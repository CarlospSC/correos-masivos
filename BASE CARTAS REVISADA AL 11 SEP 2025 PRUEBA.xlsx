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salazar/Documents/bewellplus/bewell-repos/pdfs/"/>
    </mc:Choice>
  </mc:AlternateContent>
  <xr:revisionPtr revIDLastSave="0" documentId="13_ncr:1_{2047FE13-0CA4-3F41-B8F0-2C5DADAFA7C8}" xr6:coauthVersionLast="47" xr6:coauthVersionMax="47" xr10:uidLastSave="{00000000-0000-0000-0000-000000000000}"/>
  <bookViews>
    <workbookView xWindow="0" yWindow="500" windowWidth="28800" windowHeight="16340" xr2:uid="{0ABF5117-E9F2-439F-838F-874834B0C4F5}"/>
  </bookViews>
  <sheets>
    <sheet name="CARTAS A ENVIAR" sheetId="3" r:id="rId1"/>
    <sheet name="HACER CARTAS PERO NO ENVIAR" sheetId="2" r:id="rId2"/>
    <sheet name="Sheet2" sheetId="5" r:id="rId3"/>
    <sheet name="Sheet1" sheetId="4" r:id="rId4"/>
  </sheets>
  <externalReferences>
    <externalReference r:id="rId5"/>
  </externalReferences>
  <definedNames>
    <definedName name="_xlnm._FilterDatabase" localSheetId="0" hidden="1">'CARTAS A ENVIAR'!$A$1:$AQ$2</definedName>
    <definedName name="_xlnm._FilterDatabase" localSheetId="1" hidden="1">'HACER CARTAS PERO NO ENVIAR'!$A$1:$AP$2</definedName>
  </definedNames>
  <calcPr calcId="191029"/>
  <pivotCaches>
    <pivotCache cacheId="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" i="3" l="1"/>
  <c r="AG2" i="3"/>
  <c r="AN1548" i="4"/>
  <c r="AN1547" i="4"/>
  <c r="AN1546" i="4"/>
  <c r="AN1545" i="4"/>
  <c r="AN1544" i="4"/>
  <c r="AN1543" i="4"/>
  <c r="AN1542" i="4"/>
  <c r="AN1541" i="4"/>
  <c r="AN1540" i="4"/>
  <c r="AN1539" i="4"/>
  <c r="AN1538" i="4"/>
  <c r="AN1537" i="4"/>
  <c r="AN1536" i="4"/>
  <c r="AN1535" i="4"/>
  <c r="AN1534" i="4"/>
  <c r="AN1533" i="4"/>
  <c r="AN1532" i="4"/>
  <c r="AN1531" i="4"/>
  <c r="AN1530" i="4"/>
  <c r="AN1529" i="4"/>
  <c r="AG1529" i="4"/>
  <c r="AN1528" i="4"/>
  <c r="AN1527" i="4"/>
  <c r="AG1527" i="4"/>
  <c r="AN1526" i="4"/>
  <c r="AG1526" i="4"/>
  <c r="AN1525" i="4"/>
  <c r="AG1525" i="4"/>
  <c r="AN1524" i="4"/>
  <c r="AN1523" i="4"/>
  <c r="AN1522" i="4"/>
  <c r="AN1521" i="4"/>
  <c r="AG1521" i="4"/>
  <c r="AN1520" i="4"/>
  <c r="AG1520" i="4"/>
  <c r="AN1519" i="4"/>
  <c r="AG1519" i="4"/>
  <c r="AN1518" i="4"/>
  <c r="AG1518" i="4"/>
  <c r="AN1517" i="4"/>
  <c r="AG1517" i="4"/>
  <c r="AN1516" i="4"/>
  <c r="AG1516" i="4"/>
  <c r="AN1515" i="4"/>
  <c r="AG1515" i="4"/>
  <c r="AN1514" i="4"/>
  <c r="AG1514" i="4"/>
  <c r="AN1513" i="4"/>
  <c r="AG1513" i="4"/>
  <c r="AN1512" i="4"/>
  <c r="AG1512" i="4"/>
  <c r="AN1511" i="4"/>
  <c r="AG1511" i="4"/>
  <c r="AN1510" i="4"/>
  <c r="AG1510" i="4"/>
  <c r="AN1509" i="4"/>
  <c r="AG1509" i="4"/>
  <c r="AN1508" i="4"/>
  <c r="AG1508" i="4"/>
  <c r="AN1507" i="4"/>
  <c r="AG1507" i="4"/>
  <c r="AN1506" i="4"/>
  <c r="AG1506" i="4"/>
  <c r="AN1505" i="4"/>
  <c r="AG1505" i="4"/>
  <c r="AN1504" i="4"/>
  <c r="AG1504" i="4"/>
  <c r="AN1503" i="4"/>
  <c r="AG1503" i="4"/>
  <c r="AN1502" i="4"/>
  <c r="AG1502" i="4"/>
  <c r="AN1501" i="4"/>
  <c r="AG1501" i="4"/>
  <c r="AN1500" i="4"/>
  <c r="AG1500" i="4"/>
  <c r="AN1499" i="4"/>
  <c r="AG1499" i="4"/>
  <c r="AN1498" i="4"/>
  <c r="AG1498" i="4"/>
  <c r="AN1497" i="4"/>
  <c r="AG1497" i="4"/>
  <c r="AN1496" i="4"/>
  <c r="AG1496" i="4"/>
  <c r="AN1495" i="4"/>
  <c r="AG1495" i="4"/>
  <c r="AN1494" i="4"/>
  <c r="AG1494" i="4"/>
  <c r="AN1493" i="4"/>
  <c r="AG1493" i="4"/>
  <c r="AN1492" i="4"/>
  <c r="AG1492" i="4"/>
  <c r="AN1491" i="4"/>
  <c r="AG1491" i="4"/>
  <c r="AN1490" i="4"/>
  <c r="AG1490" i="4"/>
  <c r="AN1489" i="4"/>
  <c r="AG1489" i="4"/>
  <c r="AN1488" i="4"/>
  <c r="AG1488" i="4"/>
  <c r="AN1487" i="4"/>
  <c r="AG1487" i="4"/>
  <c r="AN1486" i="4"/>
  <c r="AG1486" i="4"/>
  <c r="AN1485" i="4"/>
  <c r="AG1485" i="4"/>
  <c r="AN1484" i="4"/>
  <c r="AG1484" i="4"/>
  <c r="AN1483" i="4"/>
  <c r="AG1483" i="4"/>
  <c r="AN1482" i="4"/>
  <c r="AG1482" i="4"/>
  <c r="AN1481" i="4"/>
  <c r="AG1481" i="4"/>
  <c r="AN1480" i="4"/>
  <c r="AG1480" i="4"/>
  <c r="AN1479" i="4"/>
  <c r="AG1479" i="4"/>
  <c r="AN1478" i="4"/>
  <c r="AG1478" i="4"/>
  <c r="AN1477" i="4"/>
  <c r="AG1477" i="4"/>
  <c r="AN1476" i="4"/>
  <c r="AG1476" i="4"/>
  <c r="AN1475" i="4"/>
  <c r="AG1475" i="4"/>
  <c r="AN1474" i="4"/>
  <c r="AG1474" i="4"/>
  <c r="AN1473" i="4"/>
  <c r="AG1473" i="4"/>
  <c r="AN1472" i="4"/>
  <c r="AG1472" i="4"/>
  <c r="AN1471" i="4"/>
  <c r="AG1471" i="4"/>
  <c r="AN1470" i="4"/>
  <c r="AG1470" i="4"/>
  <c r="AN1469" i="4"/>
  <c r="AG1469" i="4"/>
  <c r="AN1468" i="4"/>
  <c r="AG1468" i="4"/>
  <c r="AN1467" i="4"/>
  <c r="AG1467" i="4"/>
  <c r="AN1466" i="4"/>
  <c r="AG1466" i="4"/>
  <c r="AN1465" i="4"/>
  <c r="AG1465" i="4"/>
  <c r="AN1464" i="4"/>
  <c r="AG1464" i="4"/>
  <c r="AN1463" i="4"/>
  <c r="AG1463" i="4"/>
  <c r="AN1462" i="4"/>
  <c r="AG1462" i="4"/>
  <c r="AN1461" i="4"/>
  <c r="AG1461" i="4"/>
  <c r="AN1460" i="4"/>
  <c r="AG1460" i="4"/>
  <c r="AN1459" i="4"/>
  <c r="AG1459" i="4"/>
  <c r="AN1458" i="4"/>
  <c r="AG1458" i="4"/>
  <c r="AN1457" i="4"/>
  <c r="AG1457" i="4"/>
  <c r="AN1456" i="4"/>
  <c r="AG1456" i="4"/>
  <c r="AN1455" i="4"/>
  <c r="AG1455" i="4"/>
  <c r="AN1454" i="4"/>
  <c r="AG1454" i="4"/>
  <c r="AN1453" i="4"/>
  <c r="AG1453" i="4"/>
  <c r="AN1452" i="4"/>
  <c r="AG1452" i="4"/>
  <c r="AN1451" i="4"/>
  <c r="AG1451" i="4"/>
  <c r="AN1450" i="4"/>
  <c r="AG1450" i="4"/>
  <c r="AN1449" i="4"/>
  <c r="AG1449" i="4"/>
  <c r="AN1448" i="4"/>
  <c r="AG1448" i="4"/>
  <c r="AN1447" i="4"/>
  <c r="AG1447" i="4"/>
  <c r="AN1446" i="4"/>
  <c r="AG1446" i="4"/>
  <c r="AN1445" i="4"/>
  <c r="AG1445" i="4"/>
  <c r="AN1444" i="4"/>
  <c r="AG1444" i="4"/>
  <c r="AN1443" i="4"/>
  <c r="AG1443" i="4"/>
  <c r="AN1442" i="4"/>
  <c r="AG1442" i="4"/>
  <c r="AN1441" i="4"/>
  <c r="AG1441" i="4"/>
  <c r="AN1440" i="4"/>
  <c r="AG1440" i="4"/>
  <c r="AN1439" i="4"/>
  <c r="AG1439" i="4"/>
  <c r="AN1438" i="4"/>
  <c r="AG1438" i="4"/>
  <c r="AN1437" i="4"/>
  <c r="AG1437" i="4"/>
  <c r="AN1436" i="4"/>
  <c r="AG1436" i="4"/>
  <c r="AN1435" i="4"/>
  <c r="AG1435" i="4"/>
  <c r="AN1434" i="4"/>
  <c r="AG1434" i="4"/>
  <c r="AN1433" i="4"/>
  <c r="AG1433" i="4"/>
  <c r="AN1432" i="4"/>
  <c r="AG1432" i="4"/>
  <c r="AN1431" i="4"/>
  <c r="AG1431" i="4"/>
  <c r="AN1430" i="4"/>
  <c r="AG1430" i="4"/>
  <c r="AN1429" i="4"/>
  <c r="AG1429" i="4"/>
  <c r="AN1428" i="4"/>
  <c r="AG1428" i="4"/>
  <c r="AN1427" i="4"/>
  <c r="AG1427" i="4"/>
  <c r="AN1426" i="4"/>
  <c r="AG1426" i="4"/>
  <c r="AN1425" i="4"/>
  <c r="AG1425" i="4"/>
  <c r="AN1424" i="4"/>
  <c r="AG1424" i="4"/>
  <c r="AN1423" i="4"/>
  <c r="AG1423" i="4"/>
  <c r="AN1422" i="4"/>
  <c r="AG1422" i="4"/>
  <c r="AN1421" i="4"/>
  <c r="AG1421" i="4"/>
  <c r="AN1420" i="4"/>
  <c r="AG1420" i="4"/>
  <c r="AN1419" i="4"/>
  <c r="AG1419" i="4"/>
  <c r="AN1418" i="4"/>
  <c r="AG1418" i="4"/>
  <c r="AN1417" i="4"/>
  <c r="AG1417" i="4"/>
  <c r="AN1416" i="4"/>
  <c r="AG1416" i="4"/>
  <c r="AN1415" i="4"/>
  <c r="AG1415" i="4"/>
  <c r="AN1414" i="4"/>
  <c r="AG1414" i="4"/>
  <c r="AN1413" i="4"/>
  <c r="AG1413" i="4"/>
  <c r="AN1412" i="4"/>
  <c r="AG1412" i="4"/>
  <c r="AN1411" i="4"/>
  <c r="AG1411" i="4"/>
  <c r="AN1410" i="4"/>
  <c r="AG1410" i="4"/>
  <c r="AN1409" i="4"/>
  <c r="AG1409" i="4"/>
  <c r="AN1408" i="4"/>
  <c r="AG1408" i="4"/>
  <c r="AN1407" i="4"/>
  <c r="AG1407" i="4"/>
  <c r="AN1406" i="4"/>
  <c r="AG1406" i="4"/>
  <c r="AN1405" i="4"/>
  <c r="AG1405" i="4"/>
  <c r="AN1404" i="4"/>
  <c r="AG1404" i="4"/>
  <c r="AN1403" i="4"/>
  <c r="AG1403" i="4"/>
  <c r="AN1402" i="4"/>
  <c r="AG1402" i="4"/>
  <c r="AN1401" i="4"/>
  <c r="AG1401" i="4"/>
  <c r="AN1400" i="4"/>
  <c r="AG1400" i="4"/>
  <c r="AN1399" i="4"/>
  <c r="AG1399" i="4"/>
  <c r="AN1398" i="4"/>
  <c r="AG1398" i="4"/>
  <c r="AN1397" i="4"/>
  <c r="AG1397" i="4"/>
  <c r="AN1396" i="4"/>
  <c r="AG1396" i="4"/>
  <c r="AN1395" i="4"/>
  <c r="AG1395" i="4"/>
  <c r="AN1394" i="4"/>
  <c r="AG1394" i="4"/>
  <c r="AN1393" i="4"/>
  <c r="AG1393" i="4"/>
  <c r="AN1392" i="4"/>
  <c r="AG1392" i="4"/>
  <c r="AN1391" i="4"/>
  <c r="AG1391" i="4"/>
  <c r="AN1390" i="4"/>
  <c r="AG1390" i="4"/>
  <c r="AN1389" i="4"/>
  <c r="AG1389" i="4"/>
  <c r="AN1388" i="4"/>
  <c r="AG1388" i="4"/>
  <c r="AN1387" i="4"/>
  <c r="AG1387" i="4"/>
  <c r="AN1386" i="4"/>
  <c r="AG1386" i="4"/>
  <c r="AN1385" i="4"/>
  <c r="AG1385" i="4"/>
  <c r="AN1384" i="4"/>
  <c r="AG1384" i="4"/>
  <c r="AN1383" i="4"/>
  <c r="AG1383" i="4"/>
  <c r="AN1382" i="4"/>
  <c r="AG1382" i="4"/>
  <c r="AN1381" i="4"/>
  <c r="AG1381" i="4"/>
  <c r="AN1380" i="4"/>
  <c r="AG1380" i="4"/>
  <c r="AN1379" i="4"/>
  <c r="AG1379" i="4"/>
  <c r="AN1378" i="4"/>
  <c r="AG1378" i="4"/>
  <c r="AN1377" i="4"/>
  <c r="AG1377" i="4"/>
  <c r="AN1376" i="4"/>
  <c r="AG1376" i="4"/>
  <c r="AN1375" i="4"/>
  <c r="AG1375" i="4"/>
  <c r="AN1374" i="4"/>
  <c r="AG1374" i="4"/>
  <c r="AN1373" i="4"/>
  <c r="AG1373" i="4"/>
  <c r="AN1372" i="4"/>
  <c r="AG1372" i="4"/>
  <c r="AN1371" i="4"/>
  <c r="AG1371" i="4"/>
  <c r="AN1370" i="4"/>
  <c r="AG1370" i="4"/>
  <c r="AN1369" i="4"/>
  <c r="AG1369" i="4"/>
  <c r="AN1368" i="4"/>
  <c r="AG1368" i="4"/>
  <c r="AN1367" i="4"/>
  <c r="AG1367" i="4"/>
  <c r="AN1366" i="4"/>
  <c r="AG1366" i="4"/>
  <c r="AN1365" i="4"/>
  <c r="AG1365" i="4"/>
  <c r="AN1364" i="4"/>
  <c r="AG1364" i="4"/>
  <c r="AN1363" i="4"/>
  <c r="AG1363" i="4"/>
  <c r="AN1362" i="4"/>
  <c r="AG1362" i="4"/>
  <c r="AN1361" i="4"/>
  <c r="AG1361" i="4"/>
  <c r="AN1360" i="4"/>
  <c r="AG1360" i="4"/>
  <c r="AN1359" i="4"/>
  <c r="AG1359" i="4"/>
  <c r="AN1358" i="4"/>
  <c r="AG1358" i="4"/>
  <c r="AN1357" i="4"/>
  <c r="AG1357" i="4"/>
  <c r="AN1356" i="4"/>
  <c r="AG1356" i="4"/>
  <c r="AN1355" i="4"/>
  <c r="AG1355" i="4"/>
  <c r="AN1354" i="4"/>
  <c r="AG1354" i="4"/>
  <c r="AN1353" i="4"/>
  <c r="AG1353" i="4"/>
  <c r="AN1352" i="4"/>
  <c r="AG1352" i="4"/>
  <c r="AN1351" i="4"/>
  <c r="AG1351" i="4"/>
  <c r="AN1350" i="4"/>
  <c r="AG1350" i="4"/>
  <c r="AN1349" i="4"/>
  <c r="AG1349" i="4"/>
  <c r="AN1348" i="4"/>
  <c r="AG1348" i="4"/>
  <c r="AN1347" i="4"/>
  <c r="AG1347" i="4"/>
  <c r="AN1346" i="4"/>
  <c r="AG1346" i="4"/>
  <c r="AN1345" i="4"/>
  <c r="AG1345" i="4"/>
  <c r="AN1344" i="4"/>
  <c r="AG1344" i="4"/>
  <c r="AN1343" i="4"/>
  <c r="AG1343" i="4"/>
  <c r="AN1342" i="4"/>
  <c r="AG1342" i="4"/>
  <c r="AN1341" i="4"/>
  <c r="AG1341" i="4"/>
  <c r="AN1340" i="4"/>
  <c r="AG1340" i="4"/>
  <c r="AN1339" i="4"/>
  <c r="AG1339" i="4"/>
  <c r="AN1338" i="4"/>
  <c r="AG1338" i="4"/>
  <c r="AN1337" i="4"/>
  <c r="AG1337" i="4"/>
  <c r="AN1336" i="4"/>
  <c r="AG1336" i="4"/>
  <c r="AN1335" i="4"/>
  <c r="AG1335" i="4"/>
  <c r="AN1334" i="4"/>
  <c r="AG1334" i="4"/>
  <c r="AN1333" i="4"/>
  <c r="AG1333" i="4"/>
  <c r="AN1332" i="4"/>
  <c r="AG1332" i="4"/>
  <c r="AN1331" i="4"/>
  <c r="AG1331" i="4"/>
  <c r="AN1330" i="4"/>
  <c r="AG1330" i="4"/>
  <c r="AN1329" i="4"/>
  <c r="AG1329" i="4"/>
  <c r="AN1328" i="4"/>
  <c r="AG1328" i="4"/>
  <c r="AN1327" i="4"/>
  <c r="AG1327" i="4"/>
  <c r="AN1326" i="4"/>
  <c r="AG1326" i="4"/>
  <c r="AN1325" i="4"/>
  <c r="AG1325" i="4"/>
  <c r="AN1324" i="4"/>
  <c r="AG1324" i="4"/>
  <c r="AN1323" i="4"/>
  <c r="AG1323" i="4"/>
  <c r="AN1322" i="4"/>
  <c r="AG1322" i="4"/>
  <c r="AN1321" i="4"/>
  <c r="AG1321" i="4"/>
  <c r="AN1320" i="4"/>
  <c r="AG1320" i="4"/>
  <c r="AN1319" i="4"/>
  <c r="AG1319" i="4"/>
  <c r="AN1318" i="4"/>
  <c r="AG1318" i="4"/>
  <c r="AN1317" i="4"/>
  <c r="AG1317" i="4"/>
  <c r="AN1316" i="4"/>
  <c r="AG1316" i="4"/>
  <c r="AN1315" i="4"/>
  <c r="AG1315" i="4"/>
  <c r="AN1314" i="4"/>
  <c r="AG1314" i="4"/>
  <c r="AN1313" i="4"/>
  <c r="AG1313" i="4"/>
  <c r="AN1312" i="4"/>
  <c r="AG1312" i="4"/>
  <c r="AN1311" i="4"/>
  <c r="AG1311" i="4"/>
  <c r="AN1310" i="4"/>
  <c r="AG1310" i="4"/>
  <c r="AN1309" i="4"/>
  <c r="AG1309" i="4"/>
  <c r="AN1308" i="4"/>
  <c r="AG1308" i="4"/>
  <c r="AN1307" i="4"/>
  <c r="AG1307" i="4"/>
  <c r="AN1306" i="4"/>
  <c r="AG1306" i="4"/>
  <c r="AN1305" i="4"/>
  <c r="AG1305" i="4"/>
  <c r="AN1304" i="4"/>
  <c r="AG1304" i="4"/>
  <c r="AN1303" i="4"/>
  <c r="AG1303" i="4"/>
  <c r="AN1302" i="4"/>
  <c r="AG1302" i="4"/>
  <c r="AN1301" i="4"/>
  <c r="AG1301" i="4"/>
  <c r="AN1300" i="4"/>
  <c r="AG1300" i="4"/>
  <c r="AN1299" i="4"/>
  <c r="AG1299" i="4"/>
  <c r="AN1298" i="4"/>
  <c r="AG1298" i="4"/>
  <c r="AN1297" i="4"/>
  <c r="AG1297" i="4"/>
  <c r="AN1296" i="4"/>
  <c r="AG1296" i="4"/>
  <c r="AN1295" i="4"/>
  <c r="AG1295" i="4"/>
  <c r="AN1294" i="4"/>
  <c r="AG1294" i="4"/>
  <c r="AN1293" i="4"/>
  <c r="AG1293" i="4"/>
  <c r="AN1292" i="4"/>
  <c r="AG1292" i="4"/>
  <c r="AN1291" i="4"/>
  <c r="AG1291" i="4"/>
  <c r="AN1290" i="4"/>
  <c r="AG1290" i="4"/>
  <c r="AN1289" i="4"/>
  <c r="AG1289" i="4"/>
  <c r="AN1288" i="4"/>
  <c r="AG1288" i="4"/>
  <c r="AN1287" i="4"/>
  <c r="AG1287" i="4"/>
  <c r="AN1286" i="4"/>
  <c r="AG1286" i="4"/>
  <c r="AN1285" i="4"/>
  <c r="AG1285" i="4"/>
  <c r="AN1284" i="4"/>
  <c r="AG1284" i="4"/>
  <c r="AN1283" i="4"/>
  <c r="AG1283" i="4"/>
  <c r="AN1282" i="4"/>
  <c r="AG1282" i="4"/>
  <c r="AN1281" i="4"/>
  <c r="AG1281" i="4"/>
  <c r="AN1280" i="4"/>
  <c r="AG1280" i="4"/>
  <c r="AN1279" i="4"/>
  <c r="AG1279" i="4"/>
  <c r="AN1278" i="4"/>
  <c r="AG1278" i="4"/>
  <c r="AN1277" i="4"/>
  <c r="AG1277" i="4"/>
  <c r="AN1276" i="4"/>
  <c r="AG1276" i="4"/>
  <c r="AN1275" i="4"/>
  <c r="AG1275" i="4"/>
  <c r="AN1274" i="4"/>
  <c r="AG1274" i="4"/>
  <c r="AN1273" i="4"/>
  <c r="AG1273" i="4"/>
  <c r="AN1272" i="4"/>
  <c r="AG1272" i="4"/>
  <c r="AN1271" i="4"/>
  <c r="AG1271" i="4"/>
  <c r="AN1270" i="4"/>
  <c r="AG1270" i="4"/>
  <c r="AN1269" i="4"/>
  <c r="AG1269" i="4"/>
  <c r="AN1268" i="4"/>
  <c r="AG1268" i="4"/>
  <c r="AN1267" i="4"/>
  <c r="AG1267" i="4"/>
  <c r="AN1266" i="4"/>
  <c r="AG1266" i="4"/>
  <c r="AN1265" i="4"/>
  <c r="AG1265" i="4"/>
  <c r="AN1264" i="4"/>
  <c r="AG1264" i="4"/>
  <c r="AN1263" i="4"/>
  <c r="AG1263" i="4"/>
  <c r="AN1262" i="4"/>
  <c r="AG1262" i="4"/>
  <c r="AN1261" i="4"/>
  <c r="AG1261" i="4"/>
  <c r="AN1260" i="4"/>
  <c r="AG1260" i="4"/>
  <c r="AN1259" i="4"/>
  <c r="AG1259" i="4"/>
  <c r="AN1258" i="4"/>
  <c r="AG1258" i="4"/>
  <c r="AN1257" i="4"/>
  <c r="AG1257" i="4"/>
  <c r="AN1256" i="4"/>
  <c r="AG1256" i="4"/>
  <c r="AN1255" i="4"/>
  <c r="AG1255" i="4"/>
  <c r="AN1254" i="4"/>
  <c r="AG1254" i="4"/>
  <c r="AN1253" i="4"/>
  <c r="AG1253" i="4"/>
  <c r="AN1252" i="4"/>
  <c r="AG1252" i="4"/>
  <c r="AN1251" i="4"/>
  <c r="AG1251" i="4"/>
  <c r="AN1250" i="4"/>
  <c r="AG1250" i="4"/>
  <c r="AN1249" i="4"/>
  <c r="AG1249" i="4"/>
  <c r="AN1248" i="4"/>
  <c r="AG1248" i="4"/>
  <c r="AN1247" i="4"/>
  <c r="AG1247" i="4"/>
  <c r="AN1246" i="4"/>
  <c r="AG1246" i="4"/>
  <c r="AN1245" i="4"/>
  <c r="AG1245" i="4"/>
  <c r="AN1244" i="4"/>
  <c r="AG1244" i="4"/>
  <c r="AN1243" i="4"/>
  <c r="AG1243" i="4"/>
  <c r="AN1242" i="4"/>
  <c r="AG1242" i="4"/>
  <c r="AN1241" i="4"/>
  <c r="AG1241" i="4"/>
  <c r="AN1240" i="4"/>
  <c r="AG1240" i="4"/>
  <c r="AN1239" i="4"/>
  <c r="AG1239" i="4"/>
  <c r="AN1238" i="4"/>
  <c r="AG1238" i="4"/>
  <c r="AN1237" i="4"/>
  <c r="AG1237" i="4"/>
  <c r="AN1236" i="4"/>
  <c r="AG1236" i="4"/>
  <c r="AN1235" i="4"/>
  <c r="AG1235" i="4"/>
  <c r="AN1234" i="4"/>
  <c r="AG1234" i="4"/>
  <c r="AN1233" i="4"/>
  <c r="AG1233" i="4"/>
  <c r="AN1232" i="4"/>
  <c r="AG1232" i="4"/>
  <c r="AN1231" i="4"/>
  <c r="AG1231" i="4"/>
  <c r="AN1230" i="4"/>
  <c r="AG1230" i="4"/>
  <c r="AN1229" i="4"/>
  <c r="AG1229" i="4"/>
  <c r="AN1228" i="4"/>
  <c r="AG1228" i="4"/>
  <c r="AN1227" i="4"/>
  <c r="AG1227" i="4"/>
  <c r="AN1226" i="4"/>
  <c r="AG1226" i="4"/>
  <c r="AN1225" i="4"/>
  <c r="AG1225" i="4"/>
  <c r="AN1224" i="4"/>
  <c r="AG1224" i="4"/>
  <c r="AN1223" i="4"/>
  <c r="AG1223" i="4"/>
  <c r="AN1222" i="4"/>
  <c r="AG1222" i="4"/>
  <c r="AN1221" i="4"/>
  <c r="AG1221" i="4"/>
  <c r="AN1220" i="4"/>
  <c r="AG1220" i="4"/>
  <c r="AN1219" i="4"/>
  <c r="AG1219" i="4"/>
  <c r="AN1218" i="4"/>
  <c r="AG1218" i="4"/>
  <c r="AN1217" i="4"/>
  <c r="AG1217" i="4"/>
  <c r="AN1216" i="4"/>
  <c r="AG1216" i="4"/>
  <c r="AN1215" i="4"/>
  <c r="AG1215" i="4"/>
  <c r="AN1214" i="4"/>
  <c r="AG1214" i="4"/>
  <c r="AN1213" i="4"/>
  <c r="AG1213" i="4"/>
  <c r="AN1212" i="4"/>
  <c r="AG1212" i="4"/>
  <c r="AN1211" i="4"/>
  <c r="AG1211" i="4"/>
  <c r="AN1210" i="4"/>
  <c r="AG1210" i="4"/>
  <c r="AN1209" i="4"/>
  <c r="AG1209" i="4"/>
  <c r="AN1208" i="4"/>
  <c r="AG1208" i="4"/>
  <c r="AN1207" i="4"/>
  <c r="AG1207" i="4"/>
  <c r="AN1206" i="4"/>
  <c r="AG1206" i="4"/>
  <c r="AN1205" i="4"/>
  <c r="AG1205" i="4"/>
  <c r="AN1204" i="4"/>
  <c r="AG1204" i="4"/>
  <c r="AN1203" i="4"/>
  <c r="AG1203" i="4"/>
  <c r="AN1202" i="4"/>
  <c r="AG1202" i="4"/>
  <c r="AN1201" i="4"/>
  <c r="AG1201" i="4"/>
  <c r="AN1200" i="4"/>
  <c r="AG1200" i="4"/>
  <c r="AN1199" i="4"/>
  <c r="AG1199" i="4"/>
  <c r="AN1198" i="4"/>
  <c r="AG1198" i="4"/>
  <c r="AN1197" i="4"/>
  <c r="AG1197" i="4"/>
  <c r="AN1196" i="4"/>
  <c r="AG1196" i="4"/>
  <c r="AN1195" i="4"/>
  <c r="AG1195" i="4"/>
  <c r="AN1194" i="4"/>
  <c r="AG1194" i="4"/>
  <c r="AN1193" i="4"/>
  <c r="AG1193" i="4"/>
  <c r="AN1192" i="4"/>
  <c r="AG1192" i="4"/>
  <c r="AN1191" i="4"/>
  <c r="AG1191" i="4"/>
  <c r="AN1190" i="4"/>
  <c r="AG1190" i="4"/>
  <c r="AN1189" i="4"/>
  <c r="AG1189" i="4"/>
  <c r="AN1188" i="4"/>
  <c r="AG1188" i="4"/>
  <c r="AN1187" i="4"/>
  <c r="AG1187" i="4"/>
  <c r="AN1186" i="4"/>
  <c r="AG1186" i="4"/>
  <c r="AN1185" i="4"/>
  <c r="AG1185" i="4"/>
  <c r="AN1184" i="4"/>
  <c r="AG1184" i="4"/>
  <c r="AN1183" i="4"/>
  <c r="AG1183" i="4"/>
  <c r="AN1182" i="4"/>
  <c r="AG1182" i="4"/>
  <c r="AN1181" i="4"/>
  <c r="AG1181" i="4"/>
  <c r="AN1180" i="4"/>
  <c r="AG1180" i="4"/>
  <c r="AN1179" i="4"/>
  <c r="AG1179" i="4"/>
  <c r="AN1178" i="4"/>
  <c r="AG1178" i="4"/>
  <c r="AN1177" i="4"/>
  <c r="AG1177" i="4"/>
  <c r="AN1176" i="4"/>
  <c r="AG1176" i="4"/>
  <c r="AN1175" i="4"/>
  <c r="AG1175" i="4"/>
  <c r="AN1174" i="4"/>
  <c r="AG1174" i="4"/>
  <c r="AN1173" i="4"/>
  <c r="AG1173" i="4"/>
  <c r="AN1172" i="4"/>
  <c r="AG1172" i="4"/>
  <c r="AN1171" i="4"/>
  <c r="AG1171" i="4"/>
  <c r="AN1170" i="4"/>
  <c r="AG1170" i="4"/>
  <c r="AN1169" i="4"/>
  <c r="AG1169" i="4"/>
  <c r="AN1168" i="4"/>
  <c r="AG1168" i="4"/>
  <c r="AN1167" i="4"/>
  <c r="AG1167" i="4"/>
  <c r="AN1166" i="4"/>
  <c r="AG1166" i="4"/>
  <c r="AN1165" i="4"/>
  <c r="AG1165" i="4"/>
  <c r="AN1164" i="4"/>
  <c r="AG1164" i="4"/>
  <c r="AN1163" i="4"/>
  <c r="AG1163" i="4"/>
  <c r="AN1162" i="4"/>
  <c r="AG1162" i="4"/>
  <c r="AN1161" i="4"/>
  <c r="AG1161" i="4"/>
  <c r="AN1160" i="4"/>
  <c r="AG1160" i="4"/>
  <c r="AN1159" i="4"/>
  <c r="AG1159" i="4"/>
  <c r="AN1158" i="4"/>
  <c r="AG1158" i="4"/>
  <c r="AN1157" i="4"/>
  <c r="AG1157" i="4"/>
  <c r="AN1156" i="4"/>
  <c r="AG1156" i="4"/>
  <c r="AN1155" i="4"/>
  <c r="AG1155" i="4"/>
  <c r="AN1154" i="4"/>
  <c r="AG1154" i="4"/>
  <c r="AN1153" i="4"/>
  <c r="AG1153" i="4"/>
  <c r="AN1152" i="4"/>
  <c r="AG1152" i="4"/>
  <c r="AN1151" i="4"/>
  <c r="AG1151" i="4"/>
  <c r="AN1150" i="4"/>
  <c r="AG1150" i="4"/>
  <c r="AN1149" i="4"/>
  <c r="AG1149" i="4"/>
  <c r="AN1148" i="4"/>
  <c r="AG1148" i="4"/>
  <c r="AN1147" i="4"/>
  <c r="AG1147" i="4"/>
  <c r="AN1146" i="4"/>
  <c r="AG1146" i="4"/>
  <c r="AN1145" i="4"/>
  <c r="AG1145" i="4"/>
  <c r="AN1144" i="4"/>
  <c r="AG1144" i="4"/>
  <c r="AN1143" i="4"/>
  <c r="AG1143" i="4"/>
  <c r="AN1142" i="4"/>
  <c r="AG1142" i="4"/>
  <c r="AN1141" i="4"/>
  <c r="AG1141" i="4"/>
  <c r="AN1140" i="4"/>
  <c r="AG1140" i="4"/>
  <c r="AN1139" i="4"/>
  <c r="AG1139" i="4"/>
  <c r="AN1138" i="4"/>
  <c r="AG1138" i="4"/>
  <c r="AN1137" i="4"/>
  <c r="AG1137" i="4"/>
  <c r="AN1136" i="4"/>
  <c r="AG1136" i="4"/>
  <c r="AN1135" i="4"/>
  <c r="AG1135" i="4"/>
  <c r="AN1134" i="4"/>
  <c r="AG1134" i="4"/>
  <c r="AN1133" i="4"/>
  <c r="AG1133" i="4"/>
  <c r="AN1132" i="4"/>
  <c r="AG1132" i="4"/>
  <c r="AN1131" i="4"/>
  <c r="AG1131" i="4"/>
  <c r="AN1130" i="4"/>
  <c r="AG1130" i="4"/>
  <c r="AN1129" i="4"/>
  <c r="AG1129" i="4"/>
  <c r="AN1128" i="4"/>
  <c r="AG1128" i="4"/>
  <c r="AN1127" i="4"/>
  <c r="AG1127" i="4"/>
  <c r="AN1126" i="4"/>
  <c r="AG1126" i="4"/>
  <c r="AN1125" i="4"/>
  <c r="AG1125" i="4"/>
  <c r="AN1124" i="4"/>
  <c r="AG1124" i="4"/>
  <c r="AN1123" i="4"/>
  <c r="AG1123" i="4"/>
  <c r="AN1122" i="4"/>
  <c r="AG1122" i="4"/>
  <c r="AN1121" i="4"/>
  <c r="AG1121" i="4"/>
  <c r="AN1120" i="4"/>
  <c r="AG1120" i="4"/>
  <c r="AN1119" i="4"/>
  <c r="AG1119" i="4"/>
  <c r="AN1118" i="4"/>
  <c r="AG1118" i="4"/>
  <c r="AN1117" i="4"/>
  <c r="AG1117" i="4"/>
  <c r="AN1116" i="4"/>
  <c r="AG1116" i="4"/>
  <c r="AN1115" i="4"/>
  <c r="AG1115" i="4"/>
  <c r="AN1114" i="4"/>
  <c r="AG1114" i="4"/>
  <c r="AN1113" i="4"/>
  <c r="AG1113" i="4"/>
  <c r="AN1112" i="4"/>
  <c r="AG1112" i="4"/>
  <c r="AN1111" i="4"/>
  <c r="AG1111" i="4"/>
  <c r="AN1110" i="4"/>
  <c r="AG1110" i="4"/>
  <c r="AN1109" i="4"/>
  <c r="AG1109" i="4"/>
  <c r="AN1108" i="4"/>
  <c r="AG1108" i="4"/>
  <c r="AN1107" i="4"/>
  <c r="AG1107" i="4"/>
  <c r="AN1106" i="4"/>
  <c r="AG1106" i="4"/>
  <c r="AN1105" i="4"/>
  <c r="AG1105" i="4"/>
  <c r="AN1104" i="4"/>
  <c r="AG1104" i="4"/>
  <c r="AN1103" i="4"/>
  <c r="AG1103" i="4"/>
  <c r="AN1102" i="4"/>
  <c r="AG1102" i="4"/>
  <c r="AN1101" i="4"/>
  <c r="AG1101" i="4"/>
  <c r="AN1100" i="4"/>
  <c r="AG1100" i="4"/>
  <c r="AN1099" i="4"/>
  <c r="AG1099" i="4"/>
  <c r="AN1098" i="4"/>
  <c r="AG1098" i="4"/>
  <c r="AN1097" i="4"/>
  <c r="AG1097" i="4"/>
  <c r="AN1096" i="4"/>
  <c r="AG1096" i="4"/>
  <c r="AN1095" i="4"/>
  <c r="AG1095" i="4"/>
  <c r="AN1094" i="4"/>
  <c r="AG1094" i="4"/>
  <c r="AN1093" i="4"/>
  <c r="AG1093" i="4"/>
  <c r="AN1092" i="4"/>
  <c r="AG1092" i="4"/>
  <c r="AN1091" i="4"/>
  <c r="AG1091" i="4"/>
  <c r="AN1090" i="4"/>
  <c r="AG1090" i="4"/>
  <c r="AN1089" i="4"/>
  <c r="AG1089" i="4"/>
  <c r="AN1088" i="4"/>
  <c r="AG1088" i="4"/>
  <c r="AN1087" i="4"/>
  <c r="AG1087" i="4"/>
  <c r="AN1086" i="4"/>
  <c r="AG1086" i="4"/>
  <c r="AN1085" i="4"/>
  <c r="AG1085" i="4"/>
  <c r="AN1084" i="4"/>
  <c r="AG1084" i="4"/>
  <c r="AN1083" i="4"/>
  <c r="AG1083" i="4"/>
  <c r="AN1082" i="4"/>
  <c r="AG1082" i="4"/>
  <c r="AN1081" i="4"/>
  <c r="AG1081" i="4"/>
  <c r="AN1080" i="4"/>
  <c r="AG1080" i="4"/>
  <c r="AN1079" i="4"/>
  <c r="AG1079" i="4"/>
  <c r="AN1078" i="4"/>
  <c r="AG1078" i="4"/>
  <c r="AN1077" i="4"/>
  <c r="AG1077" i="4"/>
  <c r="AN1076" i="4"/>
  <c r="AG1076" i="4"/>
  <c r="AN1075" i="4"/>
  <c r="AG1075" i="4"/>
  <c r="AN1074" i="4"/>
  <c r="AG1074" i="4"/>
  <c r="AN1073" i="4"/>
  <c r="AG1073" i="4"/>
  <c r="AN1072" i="4"/>
  <c r="AG1072" i="4"/>
  <c r="AN1071" i="4"/>
  <c r="AG1071" i="4"/>
  <c r="AN1070" i="4"/>
  <c r="AG1070" i="4"/>
  <c r="AN1069" i="4"/>
  <c r="AG1069" i="4"/>
  <c r="AN1068" i="4"/>
  <c r="AG1068" i="4"/>
  <c r="AN1067" i="4"/>
  <c r="AG1067" i="4"/>
  <c r="AN1066" i="4"/>
  <c r="AG1066" i="4"/>
  <c r="AN1065" i="4"/>
  <c r="AG1065" i="4"/>
  <c r="AN1064" i="4"/>
  <c r="AG1064" i="4"/>
  <c r="AN1063" i="4"/>
  <c r="AG1063" i="4"/>
  <c r="AN1062" i="4"/>
  <c r="AG1062" i="4"/>
  <c r="AN1061" i="4"/>
  <c r="AG1061" i="4"/>
  <c r="AN1060" i="4"/>
  <c r="AG1060" i="4"/>
  <c r="AN1059" i="4"/>
  <c r="AG1059" i="4"/>
  <c r="AN1058" i="4"/>
  <c r="AG1058" i="4"/>
  <c r="AN1057" i="4"/>
  <c r="AG1057" i="4"/>
  <c r="AN1056" i="4"/>
  <c r="AG1056" i="4"/>
  <c r="AN1055" i="4"/>
  <c r="AG1055" i="4"/>
  <c r="AN1054" i="4"/>
  <c r="AG1054" i="4"/>
  <c r="AN1053" i="4"/>
  <c r="AG1053" i="4"/>
  <c r="AN1052" i="4"/>
  <c r="AG1052" i="4"/>
  <c r="AN1051" i="4"/>
  <c r="AG1051" i="4"/>
  <c r="AN1050" i="4"/>
  <c r="AG1050" i="4"/>
  <c r="AN1049" i="4"/>
  <c r="AG1049" i="4"/>
  <c r="AN1048" i="4"/>
  <c r="AG1048" i="4"/>
  <c r="AN1047" i="4"/>
  <c r="AG1047" i="4"/>
  <c r="AN1046" i="4"/>
  <c r="AG1046" i="4"/>
  <c r="AN1045" i="4"/>
  <c r="AG1045" i="4"/>
  <c r="AN1044" i="4"/>
  <c r="AG1044" i="4"/>
  <c r="AN1043" i="4"/>
  <c r="AG1043" i="4"/>
  <c r="AN1042" i="4"/>
  <c r="AG1042" i="4"/>
  <c r="AN1041" i="4"/>
  <c r="AG1041" i="4"/>
  <c r="AN1040" i="4"/>
  <c r="AG1040" i="4"/>
  <c r="AN1039" i="4"/>
  <c r="AG1039" i="4"/>
  <c r="AN1038" i="4"/>
  <c r="AG1038" i="4"/>
  <c r="AN1037" i="4"/>
  <c r="AG1037" i="4"/>
  <c r="AN1036" i="4"/>
  <c r="AG1036" i="4"/>
  <c r="AN1035" i="4"/>
  <c r="AG1035" i="4"/>
  <c r="AN1034" i="4"/>
  <c r="AG1034" i="4"/>
  <c r="AN1033" i="4"/>
  <c r="AG1033" i="4"/>
  <c r="AN1032" i="4"/>
  <c r="AG1032" i="4"/>
  <c r="AN1031" i="4"/>
  <c r="AG1031" i="4"/>
  <c r="AN1030" i="4"/>
  <c r="AG1030" i="4"/>
  <c r="AN1029" i="4"/>
  <c r="AG1029" i="4"/>
  <c r="AN1028" i="4"/>
  <c r="AG1028" i="4"/>
  <c r="AN1027" i="4"/>
  <c r="AG1027" i="4"/>
  <c r="AN1026" i="4"/>
  <c r="AG1026" i="4"/>
  <c r="AN1025" i="4"/>
  <c r="AG1025" i="4"/>
  <c r="AN1024" i="4"/>
  <c r="AG1024" i="4"/>
  <c r="AN1023" i="4"/>
  <c r="AG1023" i="4"/>
  <c r="AN1022" i="4"/>
  <c r="AG1022" i="4"/>
  <c r="AN1021" i="4"/>
  <c r="AG1021" i="4"/>
  <c r="AN1020" i="4"/>
  <c r="AG1020" i="4"/>
  <c r="AN1019" i="4"/>
  <c r="AG1019" i="4"/>
  <c r="AN1018" i="4"/>
  <c r="AG1018" i="4"/>
  <c r="AN1017" i="4"/>
  <c r="AG1017" i="4"/>
  <c r="AN1016" i="4"/>
  <c r="AG1016" i="4"/>
  <c r="AN1015" i="4"/>
  <c r="AG1015" i="4"/>
  <c r="AN1014" i="4"/>
  <c r="AG1014" i="4"/>
  <c r="AN1013" i="4"/>
  <c r="AG1013" i="4"/>
  <c r="AN1012" i="4"/>
  <c r="AG1012" i="4"/>
  <c r="AN1011" i="4"/>
  <c r="AG1011" i="4"/>
  <c r="AN1010" i="4"/>
  <c r="AG1010" i="4"/>
  <c r="AN1009" i="4"/>
  <c r="AG1009" i="4"/>
  <c r="AN1008" i="4"/>
  <c r="AG1008" i="4"/>
  <c r="AN1007" i="4"/>
  <c r="AG1007" i="4"/>
  <c r="AN1006" i="4"/>
  <c r="AG1006" i="4"/>
  <c r="AN1005" i="4"/>
  <c r="AG1005" i="4"/>
  <c r="AN1004" i="4"/>
  <c r="AG1004" i="4"/>
  <c r="AN1003" i="4"/>
  <c r="AG1003" i="4"/>
  <c r="AN1002" i="4"/>
  <c r="AG1002" i="4"/>
  <c r="AN1001" i="4"/>
  <c r="AG1001" i="4"/>
  <c r="AN1000" i="4"/>
  <c r="AG1000" i="4"/>
  <c r="AN999" i="4"/>
  <c r="AG999" i="4"/>
  <c r="AN998" i="4"/>
  <c r="AG998" i="4"/>
  <c r="AN997" i="4"/>
  <c r="AG997" i="4"/>
  <c r="AN996" i="4"/>
  <c r="AG996" i="4"/>
  <c r="AN995" i="4"/>
  <c r="AG995" i="4"/>
  <c r="AN994" i="4"/>
  <c r="AG994" i="4"/>
  <c r="AN993" i="4"/>
  <c r="AG993" i="4"/>
  <c r="AN992" i="4"/>
  <c r="AG992" i="4"/>
  <c r="AN991" i="4"/>
  <c r="AG991" i="4"/>
  <c r="AN990" i="4"/>
  <c r="AG990" i="4"/>
  <c r="AN989" i="4"/>
  <c r="AG989" i="4"/>
  <c r="AN988" i="4"/>
  <c r="AG988" i="4"/>
  <c r="AN987" i="4"/>
  <c r="AG987" i="4"/>
  <c r="AN986" i="4"/>
  <c r="AG986" i="4"/>
  <c r="AN985" i="4"/>
  <c r="AG985" i="4"/>
  <c r="AN984" i="4"/>
  <c r="AG984" i="4"/>
  <c r="AN983" i="4"/>
  <c r="AG983" i="4"/>
  <c r="AN982" i="4"/>
  <c r="AG982" i="4"/>
  <c r="AN981" i="4"/>
  <c r="AG981" i="4"/>
  <c r="AN980" i="4"/>
  <c r="AG980" i="4"/>
  <c r="AN979" i="4"/>
  <c r="AG979" i="4"/>
  <c r="AN978" i="4"/>
  <c r="AG978" i="4"/>
  <c r="AN977" i="4"/>
  <c r="AG977" i="4"/>
  <c r="AN976" i="4"/>
  <c r="AG976" i="4"/>
  <c r="AN975" i="4"/>
  <c r="AG975" i="4"/>
  <c r="AN974" i="4"/>
  <c r="AG974" i="4"/>
  <c r="AN973" i="4"/>
  <c r="AG973" i="4"/>
  <c r="AN972" i="4"/>
  <c r="AG972" i="4"/>
  <c r="AN971" i="4"/>
  <c r="AG971" i="4"/>
  <c r="AN970" i="4"/>
  <c r="AG970" i="4"/>
  <c r="AN969" i="4"/>
  <c r="AG969" i="4"/>
  <c r="AN968" i="4"/>
  <c r="AG968" i="4"/>
  <c r="AN967" i="4"/>
  <c r="AG967" i="4"/>
  <c r="AN966" i="4"/>
  <c r="AG966" i="4"/>
  <c r="AN965" i="4"/>
  <c r="AG965" i="4"/>
  <c r="AN964" i="4"/>
  <c r="AG964" i="4"/>
  <c r="AN963" i="4"/>
  <c r="AG963" i="4"/>
  <c r="AN962" i="4"/>
  <c r="AG962" i="4"/>
  <c r="AN961" i="4"/>
  <c r="AG961" i="4"/>
  <c r="AN960" i="4"/>
  <c r="AG960" i="4"/>
  <c r="AN959" i="4"/>
  <c r="AG959" i="4"/>
  <c r="AN958" i="4"/>
  <c r="AG958" i="4"/>
  <c r="AN957" i="4"/>
  <c r="AG957" i="4"/>
  <c r="AN956" i="4"/>
  <c r="AG956" i="4"/>
  <c r="AN955" i="4"/>
  <c r="AG955" i="4"/>
  <c r="AN954" i="4"/>
  <c r="AG954" i="4"/>
  <c r="AN953" i="4"/>
  <c r="AG953" i="4"/>
  <c r="AN952" i="4"/>
  <c r="AG952" i="4"/>
  <c r="AN951" i="4"/>
  <c r="AG951" i="4"/>
  <c r="AN950" i="4"/>
  <c r="AG950" i="4"/>
  <c r="AN949" i="4"/>
  <c r="AG949" i="4"/>
  <c r="AN948" i="4"/>
  <c r="AG948" i="4"/>
  <c r="AN947" i="4"/>
  <c r="AG947" i="4"/>
  <c r="AN946" i="4"/>
  <c r="AG946" i="4"/>
  <c r="AN945" i="4"/>
  <c r="AG945" i="4"/>
  <c r="AN944" i="4"/>
  <c r="AG944" i="4"/>
  <c r="AN943" i="4"/>
  <c r="AG943" i="4"/>
  <c r="AN942" i="4"/>
  <c r="AG942" i="4"/>
  <c r="AN941" i="4"/>
  <c r="AG941" i="4"/>
  <c r="AN940" i="4"/>
  <c r="AG940" i="4"/>
  <c r="AN939" i="4"/>
  <c r="AG939" i="4"/>
  <c r="AN938" i="4"/>
  <c r="AG938" i="4"/>
  <c r="AN937" i="4"/>
  <c r="AG937" i="4"/>
  <c r="AN936" i="4"/>
  <c r="AG936" i="4"/>
  <c r="AN935" i="4"/>
  <c r="AG935" i="4"/>
  <c r="AN934" i="4"/>
  <c r="AG934" i="4"/>
  <c r="AN933" i="4"/>
  <c r="AG933" i="4"/>
  <c r="AN932" i="4"/>
  <c r="AG932" i="4"/>
  <c r="AN931" i="4"/>
  <c r="AG931" i="4"/>
  <c r="AN930" i="4"/>
  <c r="AG930" i="4"/>
  <c r="AN929" i="4"/>
  <c r="AG929" i="4"/>
  <c r="AN928" i="4"/>
  <c r="AG928" i="4"/>
  <c r="AN927" i="4"/>
  <c r="AG927" i="4"/>
  <c r="AN926" i="4"/>
  <c r="AG926" i="4"/>
  <c r="AN925" i="4"/>
  <c r="AG925" i="4"/>
  <c r="AN924" i="4"/>
  <c r="AG924" i="4"/>
  <c r="AN923" i="4"/>
  <c r="AG923" i="4"/>
  <c r="AN922" i="4"/>
  <c r="AG922" i="4"/>
  <c r="AN921" i="4"/>
  <c r="AG921" i="4"/>
  <c r="AN920" i="4"/>
  <c r="AG920" i="4"/>
  <c r="AN919" i="4"/>
  <c r="AG919" i="4"/>
  <c r="AN918" i="4"/>
  <c r="AG918" i="4"/>
  <c r="AN917" i="4"/>
  <c r="AG917" i="4"/>
  <c r="AN916" i="4"/>
  <c r="AG916" i="4"/>
  <c r="AN915" i="4"/>
  <c r="AG915" i="4"/>
  <c r="AN914" i="4"/>
  <c r="AG914" i="4"/>
  <c r="AN913" i="4"/>
  <c r="AG913" i="4"/>
  <c r="AN912" i="4"/>
  <c r="AG912" i="4"/>
  <c r="AN911" i="4"/>
  <c r="AG911" i="4"/>
  <c r="AN910" i="4"/>
  <c r="AG910" i="4"/>
  <c r="AN909" i="4"/>
  <c r="AG909" i="4"/>
  <c r="AN908" i="4"/>
  <c r="AG908" i="4"/>
  <c r="AN907" i="4"/>
  <c r="AG907" i="4"/>
  <c r="AN906" i="4"/>
  <c r="AG906" i="4"/>
  <c r="AN905" i="4"/>
  <c r="AG905" i="4"/>
  <c r="AN904" i="4"/>
  <c r="AG904" i="4"/>
  <c r="AN903" i="4"/>
  <c r="AG903" i="4"/>
  <c r="AN902" i="4"/>
  <c r="AG902" i="4"/>
  <c r="AN901" i="4"/>
  <c r="AG901" i="4"/>
  <c r="AN900" i="4"/>
  <c r="AG900" i="4"/>
  <c r="AN899" i="4"/>
  <c r="AG899" i="4"/>
  <c r="AN898" i="4"/>
  <c r="AG898" i="4"/>
  <c r="AN897" i="4"/>
  <c r="AG897" i="4"/>
  <c r="AN896" i="4"/>
  <c r="AG896" i="4"/>
  <c r="AN895" i="4"/>
  <c r="AG895" i="4"/>
  <c r="AN894" i="4"/>
  <c r="AG894" i="4"/>
  <c r="AN893" i="4"/>
  <c r="AG893" i="4"/>
  <c r="AN892" i="4"/>
  <c r="AG892" i="4"/>
  <c r="AN891" i="4"/>
  <c r="AG891" i="4"/>
  <c r="AN890" i="4"/>
  <c r="AG890" i="4"/>
  <c r="AN889" i="4"/>
  <c r="AG889" i="4"/>
  <c r="AN888" i="4"/>
  <c r="AG888" i="4"/>
  <c r="AN887" i="4"/>
  <c r="AG887" i="4"/>
  <c r="AN886" i="4"/>
  <c r="AG886" i="4"/>
  <c r="AN885" i="4"/>
  <c r="AG885" i="4"/>
  <c r="AN884" i="4"/>
  <c r="AG884" i="4"/>
  <c r="AN883" i="4"/>
  <c r="AG883" i="4"/>
  <c r="AN882" i="4"/>
  <c r="AG882" i="4"/>
  <c r="AN881" i="4"/>
  <c r="AG881" i="4"/>
  <c r="AN880" i="4"/>
  <c r="AG880" i="4"/>
  <c r="AN879" i="4"/>
  <c r="AG879" i="4"/>
  <c r="AN878" i="4"/>
  <c r="AG878" i="4"/>
  <c r="AN877" i="4"/>
  <c r="AG877" i="4"/>
  <c r="AN876" i="4"/>
  <c r="AG876" i="4"/>
  <c r="AN875" i="4"/>
  <c r="AG875" i="4"/>
  <c r="AN874" i="4"/>
  <c r="AG874" i="4"/>
  <c r="AN873" i="4"/>
  <c r="AG873" i="4"/>
  <c r="AN872" i="4"/>
  <c r="AG872" i="4"/>
  <c r="AN871" i="4"/>
  <c r="AG871" i="4"/>
  <c r="AN870" i="4"/>
  <c r="AG870" i="4"/>
  <c r="AN869" i="4"/>
  <c r="AG869" i="4"/>
  <c r="AN868" i="4"/>
  <c r="AG868" i="4"/>
  <c r="AN867" i="4"/>
  <c r="AG867" i="4"/>
  <c r="AN866" i="4"/>
  <c r="AG866" i="4"/>
  <c r="AN865" i="4"/>
  <c r="AG865" i="4"/>
  <c r="AN864" i="4"/>
  <c r="AG864" i="4"/>
  <c r="AN863" i="4"/>
  <c r="AG863" i="4"/>
  <c r="AN862" i="4"/>
  <c r="AG862" i="4"/>
  <c r="AN861" i="4"/>
  <c r="AG861" i="4"/>
  <c r="AN860" i="4"/>
  <c r="AG860" i="4"/>
  <c r="AN859" i="4"/>
  <c r="AG859" i="4"/>
  <c r="AN858" i="4"/>
  <c r="AG858" i="4"/>
  <c r="AN857" i="4"/>
  <c r="AG857" i="4"/>
  <c r="AN856" i="4"/>
  <c r="AG856" i="4"/>
  <c r="AN855" i="4"/>
  <c r="AG855" i="4"/>
  <c r="AN854" i="4"/>
  <c r="AG854" i="4"/>
  <c r="AN853" i="4"/>
  <c r="AG853" i="4"/>
  <c r="AN852" i="4"/>
  <c r="AG852" i="4"/>
  <c r="AN851" i="4"/>
  <c r="AG851" i="4"/>
  <c r="AN850" i="4"/>
  <c r="AG850" i="4"/>
  <c r="AN849" i="4"/>
  <c r="AG849" i="4"/>
  <c r="AN848" i="4"/>
  <c r="AG848" i="4"/>
  <c r="AN847" i="4"/>
  <c r="AG847" i="4"/>
  <c r="AN846" i="4"/>
  <c r="AG846" i="4"/>
  <c r="AN845" i="4"/>
  <c r="AG845" i="4"/>
  <c r="AN844" i="4"/>
  <c r="AG844" i="4"/>
  <c r="AN843" i="4"/>
  <c r="AG843" i="4"/>
  <c r="AN842" i="4"/>
  <c r="AG842" i="4"/>
  <c r="AN841" i="4"/>
  <c r="AG841" i="4"/>
  <c r="AN840" i="4"/>
  <c r="AG840" i="4"/>
  <c r="AN839" i="4"/>
  <c r="AG839" i="4"/>
  <c r="AN838" i="4"/>
  <c r="AG838" i="4"/>
  <c r="AN837" i="4"/>
  <c r="AG837" i="4"/>
  <c r="AN836" i="4"/>
  <c r="AG836" i="4"/>
  <c r="AN835" i="4"/>
  <c r="AG835" i="4"/>
  <c r="AN834" i="4"/>
  <c r="AG834" i="4"/>
  <c r="AN833" i="4"/>
  <c r="AG833" i="4"/>
  <c r="AN832" i="4"/>
  <c r="AG832" i="4"/>
  <c r="AN831" i="4"/>
  <c r="AG831" i="4"/>
  <c r="AN830" i="4"/>
  <c r="AG830" i="4"/>
  <c r="AN829" i="4"/>
  <c r="AG829" i="4"/>
  <c r="AN828" i="4"/>
  <c r="AG828" i="4"/>
  <c r="AN827" i="4"/>
  <c r="AG827" i="4"/>
  <c r="AN826" i="4"/>
  <c r="AG826" i="4"/>
  <c r="AN825" i="4"/>
  <c r="AG825" i="4"/>
  <c r="AN824" i="4"/>
  <c r="AG824" i="4"/>
  <c r="AN823" i="4"/>
  <c r="AG823" i="4"/>
  <c r="AN822" i="4"/>
  <c r="AG822" i="4"/>
  <c r="AN821" i="4"/>
  <c r="AG821" i="4"/>
  <c r="AN820" i="4"/>
  <c r="AG820" i="4"/>
  <c r="AN819" i="4"/>
  <c r="AG819" i="4"/>
  <c r="AN818" i="4"/>
  <c r="AG818" i="4"/>
  <c r="AN817" i="4"/>
  <c r="AG817" i="4"/>
  <c r="AN816" i="4"/>
  <c r="AG816" i="4"/>
  <c r="AN815" i="4"/>
  <c r="AG815" i="4"/>
  <c r="AN814" i="4"/>
  <c r="AG814" i="4"/>
  <c r="AN813" i="4"/>
  <c r="AG813" i="4"/>
  <c r="AN812" i="4"/>
  <c r="AG812" i="4"/>
  <c r="AN811" i="4"/>
  <c r="AG811" i="4"/>
  <c r="AN810" i="4"/>
  <c r="AG810" i="4"/>
  <c r="AN809" i="4"/>
  <c r="AG809" i="4"/>
  <c r="AN808" i="4"/>
  <c r="AG808" i="4"/>
  <c r="AN807" i="4"/>
  <c r="AG807" i="4"/>
  <c r="AN806" i="4"/>
  <c r="AG806" i="4"/>
  <c r="AN805" i="4"/>
  <c r="AG805" i="4"/>
  <c r="AN804" i="4"/>
  <c r="AG804" i="4"/>
  <c r="AN803" i="4"/>
  <c r="AG803" i="4"/>
  <c r="AN802" i="4"/>
  <c r="AG802" i="4"/>
  <c r="AN801" i="4"/>
  <c r="AG801" i="4"/>
  <c r="AN800" i="4"/>
  <c r="AG800" i="4"/>
  <c r="AN799" i="4"/>
  <c r="AG799" i="4"/>
  <c r="AN798" i="4"/>
  <c r="AG798" i="4"/>
  <c r="AN797" i="4"/>
  <c r="AG797" i="4"/>
  <c r="AN796" i="4"/>
  <c r="AG796" i="4"/>
  <c r="AN795" i="4"/>
  <c r="AG795" i="4"/>
  <c r="AN794" i="4"/>
  <c r="AG794" i="4"/>
  <c r="AN793" i="4"/>
  <c r="AG793" i="4"/>
  <c r="AN792" i="4"/>
  <c r="AG792" i="4"/>
  <c r="AN791" i="4"/>
  <c r="AG791" i="4"/>
  <c r="AN790" i="4"/>
  <c r="AG790" i="4"/>
  <c r="AN789" i="4"/>
  <c r="AG789" i="4"/>
  <c r="AN788" i="4"/>
  <c r="AG788" i="4"/>
  <c r="AN787" i="4"/>
  <c r="AG787" i="4"/>
  <c r="AN786" i="4"/>
  <c r="AG786" i="4"/>
  <c r="AN785" i="4"/>
  <c r="AG785" i="4"/>
  <c r="AN784" i="4"/>
  <c r="AG784" i="4"/>
  <c r="AN783" i="4"/>
  <c r="AG783" i="4"/>
  <c r="AN782" i="4"/>
  <c r="AG782" i="4"/>
  <c r="AN781" i="4"/>
  <c r="AG781" i="4"/>
  <c r="AN780" i="4"/>
  <c r="AG780" i="4"/>
  <c r="AN779" i="4"/>
  <c r="AG779" i="4"/>
  <c r="AN778" i="4"/>
  <c r="AG778" i="4"/>
  <c r="AN777" i="4"/>
  <c r="AG777" i="4"/>
  <c r="AN776" i="4"/>
  <c r="AG776" i="4"/>
  <c r="AN775" i="4"/>
  <c r="AG775" i="4"/>
  <c r="AN774" i="4"/>
  <c r="AG774" i="4"/>
  <c r="AN773" i="4"/>
  <c r="AG773" i="4"/>
  <c r="AN772" i="4"/>
  <c r="AG772" i="4"/>
  <c r="AN771" i="4"/>
  <c r="AG771" i="4"/>
  <c r="AN770" i="4"/>
  <c r="AG770" i="4"/>
  <c r="AN769" i="4"/>
  <c r="AG769" i="4"/>
  <c r="AN768" i="4"/>
  <c r="AG768" i="4"/>
  <c r="AN767" i="4"/>
  <c r="AG767" i="4"/>
  <c r="AN766" i="4"/>
  <c r="AG766" i="4"/>
  <c r="AN765" i="4"/>
  <c r="AG765" i="4"/>
  <c r="AN764" i="4"/>
  <c r="AG764" i="4"/>
  <c r="AN763" i="4"/>
  <c r="AG763" i="4"/>
  <c r="AN762" i="4"/>
  <c r="AG762" i="4"/>
  <c r="AN761" i="4"/>
  <c r="AG761" i="4"/>
  <c r="AN760" i="4"/>
  <c r="AG760" i="4"/>
  <c r="AN759" i="4"/>
  <c r="AG759" i="4"/>
  <c r="AN758" i="4"/>
  <c r="AG758" i="4"/>
  <c r="AN757" i="4"/>
  <c r="AG757" i="4"/>
  <c r="AN756" i="4"/>
  <c r="AG756" i="4"/>
  <c r="AN755" i="4"/>
  <c r="AG755" i="4"/>
  <c r="AN754" i="4"/>
  <c r="AG754" i="4"/>
  <c r="AN753" i="4"/>
  <c r="AG753" i="4"/>
  <c r="AN752" i="4"/>
  <c r="AG752" i="4"/>
  <c r="AN751" i="4"/>
  <c r="AG751" i="4"/>
  <c r="AN750" i="4"/>
  <c r="AG750" i="4"/>
  <c r="AN749" i="4"/>
  <c r="AG749" i="4"/>
  <c r="AN748" i="4"/>
  <c r="AG748" i="4"/>
  <c r="AN747" i="4"/>
  <c r="AG747" i="4"/>
  <c r="AN746" i="4"/>
  <c r="AG746" i="4"/>
  <c r="AN745" i="4"/>
  <c r="AG745" i="4"/>
  <c r="AN744" i="4"/>
  <c r="AG744" i="4"/>
  <c r="AN743" i="4"/>
  <c r="AG743" i="4"/>
  <c r="AN742" i="4"/>
  <c r="AG742" i="4"/>
  <c r="AN741" i="4"/>
  <c r="AG741" i="4"/>
  <c r="AN740" i="4"/>
  <c r="AG740" i="4"/>
  <c r="AN739" i="4"/>
  <c r="AG739" i="4"/>
  <c r="AN738" i="4"/>
  <c r="AG738" i="4"/>
  <c r="AN737" i="4"/>
  <c r="AG737" i="4"/>
  <c r="AN736" i="4"/>
  <c r="AG736" i="4"/>
  <c r="AN735" i="4"/>
  <c r="AG735" i="4"/>
  <c r="AN734" i="4"/>
  <c r="AG734" i="4"/>
  <c r="AN733" i="4"/>
  <c r="AG733" i="4"/>
  <c r="AN732" i="4"/>
  <c r="AG732" i="4"/>
  <c r="AN731" i="4"/>
  <c r="AG731" i="4"/>
  <c r="AN730" i="4"/>
  <c r="AG730" i="4"/>
  <c r="AN729" i="4"/>
  <c r="AG729" i="4"/>
  <c r="AN728" i="4"/>
  <c r="AG728" i="4"/>
  <c r="AN727" i="4"/>
  <c r="AG727" i="4"/>
  <c r="AN726" i="4"/>
  <c r="AG726" i="4"/>
  <c r="AN725" i="4"/>
  <c r="AG725" i="4"/>
  <c r="AN724" i="4"/>
  <c r="AG724" i="4"/>
  <c r="AN723" i="4"/>
  <c r="AG723" i="4"/>
  <c r="AN722" i="4"/>
  <c r="AG722" i="4"/>
  <c r="AN721" i="4"/>
  <c r="AG721" i="4"/>
  <c r="AN720" i="4"/>
  <c r="AG720" i="4"/>
  <c r="AN719" i="4"/>
  <c r="AG719" i="4"/>
  <c r="AN718" i="4"/>
  <c r="AG718" i="4"/>
  <c r="AN717" i="4"/>
  <c r="AG717" i="4"/>
  <c r="AN716" i="4"/>
  <c r="AG716" i="4"/>
  <c r="AN715" i="4"/>
  <c r="AG715" i="4"/>
  <c r="AN714" i="4"/>
  <c r="AG714" i="4"/>
  <c r="AN713" i="4"/>
  <c r="AG713" i="4"/>
  <c r="AN712" i="4"/>
  <c r="AG712" i="4"/>
  <c r="AN711" i="4"/>
  <c r="AG711" i="4"/>
  <c r="AN710" i="4"/>
  <c r="AG710" i="4"/>
  <c r="AN709" i="4"/>
  <c r="AG709" i="4"/>
  <c r="AN708" i="4"/>
  <c r="AG708" i="4"/>
  <c r="AN707" i="4"/>
  <c r="AG707" i="4"/>
  <c r="AN706" i="4"/>
  <c r="AG706" i="4"/>
  <c r="AN705" i="4"/>
  <c r="AG705" i="4"/>
  <c r="AN704" i="4"/>
  <c r="AG704" i="4"/>
  <c r="AN703" i="4"/>
  <c r="AG703" i="4"/>
  <c r="AN702" i="4"/>
  <c r="AG702" i="4"/>
  <c r="AN701" i="4"/>
  <c r="AG701" i="4"/>
  <c r="AN700" i="4"/>
  <c r="AG700" i="4"/>
  <c r="AN699" i="4"/>
  <c r="AG699" i="4"/>
  <c r="AN698" i="4"/>
  <c r="AG698" i="4"/>
  <c r="AN697" i="4"/>
  <c r="AG697" i="4"/>
  <c r="AN696" i="4"/>
  <c r="AG696" i="4"/>
  <c r="AN695" i="4"/>
  <c r="AG695" i="4"/>
  <c r="AN694" i="4"/>
  <c r="AG694" i="4"/>
  <c r="AN693" i="4"/>
  <c r="AG693" i="4"/>
  <c r="AN692" i="4"/>
  <c r="AG692" i="4"/>
  <c r="AN691" i="4"/>
  <c r="AG691" i="4"/>
  <c r="AN690" i="4"/>
  <c r="AG690" i="4"/>
  <c r="AN689" i="4"/>
  <c r="AG689" i="4"/>
  <c r="AN688" i="4"/>
  <c r="AG688" i="4"/>
  <c r="AN687" i="4"/>
  <c r="AG687" i="4"/>
  <c r="AN686" i="4"/>
  <c r="AG686" i="4"/>
  <c r="AN685" i="4"/>
  <c r="AG685" i="4"/>
  <c r="AN684" i="4"/>
  <c r="AG684" i="4"/>
  <c r="AN683" i="4"/>
  <c r="AG683" i="4"/>
  <c r="AN682" i="4"/>
  <c r="AG682" i="4"/>
  <c r="AN681" i="4"/>
  <c r="AG681" i="4"/>
  <c r="AN680" i="4"/>
  <c r="AG680" i="4"/>
  <c r="AN679" i="4"/>
  <c r="AG679" i="4"/>
  <c r="AN678" i="4"/>
  <c r="AG678" i="4"/>
  <c r="AN677" i="4"/>
  <c r="AG677" i="4"/>
  <c r="AN676" i="4"/>
  <c r="AG676" i="4"/>
  <c r="AN675" i="4"/>
  <c r="AG675" i="4"/>
  <c r="AN674" i="4"/>
  <c r="AG674" i="4"/>
  <c r="AN673" i="4"/>
  <c r="AG673" i="4"/>
  <c r="AN672" i="4"/>
  <c r="AG672" i="4"/>
  <c r="AN671" i="4"/>
  <c r="AG671" i="4"/>
  <c r="AN670" i="4"/>
  <c r="AG670" i="4"/>
  <c r="AN669" i="4"/>
  <c r="AG669" i="4"/>
  <c r="AN668" i="4"/>
  <c r="AG668" i="4"/>
  <c r="AN667" i="4"/>
  <c r="AG667" i="4"/>
  <c r="AN666" i="4"/>
  <c r="AG666" i="4"/>
  <c r="AN665" i="4"/>
  <c r="AG665" i="4"/>
  <c r="AN664" i="4"/>
  <c r="AG664" i="4"/>
  <c r="AN663" i="4"/>
  <c r="AG663" i="4"/>
  <c r="AN662" i="4"/>
  <c r="AG662" i="4"/>
  <c r="AN661" i="4"/>
  <c r="AG661" i="4"/>
  <c r="AN660" i="4"/>
  <c r="AG660" i="4"/>
  <c r="AN659" i="4"/>
  <c r="AG659" i="4"/>
  <c r="AN658" i="4"/>
  <c r="AG658" i="4"/>
  <c r="AN657" i="4"/>
  <c r="AG657" i="4"/>
  <c r="AN656" i="4"/>
  <c r="AG656" i="4"/>
  <c r="AN655" i="4"/>
  <c r="AG655" i="4"/>
  <c r="AN654" i="4"/>
  <c r="AG654" i="4"/>
  <c r="AN653" i="4"/>
  <c r="AG653" i="4"/>
  <c r="AN652" i="4"/>
  <c r="AG652" i="4"/>
  <c r="AN651" i="4"/>
  <c r="AG651" i="4"/>
  <c r="AN650" i="4"/>
  <c r="AG650" i="4"/>
  <c r="AN649" i="4"/>
  <c r="AG649" i="4"/>
  <c r="AN648" i="4"/>
  <c r="AG648" i="4"/>
  <c r="AN647" i="4"/>
  <c r="AG647" i="4"/>
  <c r="AN646" i="4"/>
  <c r="AG646" i="4"/>
  <c r="AN645" i="4"/>
  <c r="AG645" i="4"/>
  <c r="AN644" i="4"/>
  <c r="AG644" i="4"/>
  <c r="AN643" i="4"/>
  <c r="AG643" i="4"/>
  <c r="AN642" i="4"/>
  <c r="AG642" i="4"/>
  <c r="AN641" i="4"/>
  <c r="AG641" i="4"/>
  <c r="AN640" i="4"/>
  <c r="AG640" i="4"/>
  <c r="AN639" i="4"/>
  <c r="AG639" i="4"/>
  <c r="AN638" i="4"/>
  <c r="AG638" i="4"/>
  <c r="AN637" i="4"/>
  <c r="AG637" i="4"/>
  <c r="AN636" i="4"/>
  <c r="AG636" i="4"/>
  <c r="AN635" i="4"/>
  <c r="AG635" i="4"/>
  <c r="AN634" i="4"/>
  <c r="AG634" i="4"/>
  <c r="AN633" i="4"/>
  <c r="AG633" i="4"/>
  <c r="AN632" i="4"/>
  <c r="AG632" i="4"/>
  <c r="AN631" i="4"/>
  <c r="AG631" i="4"/>
  <c r="AN630" i="4"/>
  <c r="AG630" i="4"/>
  <c r="AN629" i="4"/>
  <c r="AG629" i="4"/>
  <c r="AN628" i="4"/>
  <c r="AG628" i="4"/>
  <c r="AN627" i="4"/>
  <c r="AG627" i="4"/>
  <c r="AN626" i="4"/>
  <c r="AG626" i="4"/>
  <c r="AN625" i="4"/>
  <c r="AG625" i="4"/>
  <c r="AN624" i="4"/>
  <c r="AG624" i="4"/>
  <c r="AN623" i="4"/>
  <c r="AG623" i="4"/>
  <c r="AN622" i="4"/>
  <c r="AG622" i="4"/>
  <c r="AN621" i="4"/>
  <c r="AG621" i="4"/>
  <c r="AN620" i="4"/>
  <c r="AG620" i="4"/>
  <c r="AN619" i="4"/>
  <c r="AG619" i="4"/>
  <c r="AN618" i="4"/>
  <c r="AG618" i="4"/>
  <c r="AN617" i="4"/>
  <c r="AG617" i="4"/>
  <c r="AN616" i="4"/>
  <c r="AG616" i="4"/>
  <c r="AN615" i="4"/>
  <c r="AG615" i="4"/>
  <c r="AN614" i="4"/>
  <c r="AG614" i="4"/>
  <c r="AN613" i="4"/>
  <c r="AG613" i="4"/>
  <c r="AN612" i="4"/>
  <c r="AG612" i="4"/>
  <c r="AN611" i="4"/>
  <c r="AG611" i="4"/>
  <c r="AN610" i="4"/>
  <c r="AG610" i="4"/>
  <c r="AN609" i="4"/>
  <c r="AG609" i="4"/>
  <c r="AN608" i="4"/>
  <c r="AG608" i="4"/>
  <c r="AN607" i="4"/>
  <c r="AG607" i="4"/>
  <c r="AN606" i="4"/>
  <c r="AG606" i="4"/>
  <c r="AN605" i="4"/>
  <c r="AG605" i="4"/>
  <c r="AN604" i="4"/>
  <c r="AG604" i="4"/>
  <c r="AN603" i="4"/>
  <c r="AG603" i="4"/>
  <c r="AN602" i="4"/>
  <c r="AG602" i="4"/>
  <c r="AN601" i="4"/>
  <c r="AG601" i="4"/>
  <c r="AN600" i="4"/>
  <c r="AG600" i="4"/>
  <c r="AN599" i="4"/>
  <c r="AG599" i="4"/>
  <c r="AN598" i="4"/>
  <c r="AG598" i="4"/>
  <c r="AN597" i="4"/>
  <c r="AG597" i="4"/>
  <c r="AN596" i="4"/>
  <c r="AN595" i="4"/>
  <c r="AN594" i="4"/>
  <c r="AN593" i="4"/>
  <c r="AN592" i="4"/>
  <c r="AN591" i="4"/>
  <c r="AN590" i="4"/>
  <c r="AN589" i="4"/>
  <c r="AN588" i="4"/>
  <c r="AN587" i="4"/>
  <c r="AN586" i="4"/>
  <c r="AN585" i="4"/>
  <c r="AN584" i="4"/>
  <c r="AN583" i="4"/>
  <c r="AN582" i="4"/>
  <c r="AN581" i="4"/>
  <c r="AN580" i="4"/>
  <c r="AN579" i="4"/>
  <c r="AN578" i="4"/>
  <c r="AN577" i="4"/>
  <c r="AN576" i="4"/>
  <c r="AN575" i="4"/>
  <c r="AN574" i="4"/>
  <c r="AN573" i="4"/>
  <c r="AN572" i="4"/>
  <c r="AN571" i="4"/>
  <c r="AG571" i="4"/>
  <c r="AN570" i="4"/>
  <c r="AG570" i="4"/>
  <c r="AN569" i="4"/>
  <c r="AG569" i="4"/>
  <c r="AN568" i="4"/>
  <c r="AG568" i="4"/>
  <c r="AN567" i="4"/>
  <c r="AG567" i="4"/>
  <c r="AN566" i="4"/>
  <c r="AG566" i="4"/>
  <c r="AN565" i="4"/>
  <c r="AG565" i="4"/>
  <c r="AN564" i="4"/>
  <c r="AG564" i="4"/>
  <c r="AN563" i="4"/>
  <c r="AG563" i="4"/>
  <c r="AN562" i="4"/>
  <c r="AG562" i="4"/>
  <c r="AN561" i="4"/>
  <c r="AG561" i="4"/>
  <c r="AN560" i="4"/>
  <c r="AG560" i="4"/>
  <c r="AN559" i="4"/>
  <c r="AG559" i="4"/>
  <c r="AN558" i="4"/>
  <c r="AG558" i="4"/>
  <c r="AN557" i="4"/>
  <c r="AG557" i="4"/>
  <c r="AN556" i="4"/>
  <c r="AG556" i="4"/>
  <c r="AN555" i="4"/>
  <c r="AG555" i="4"/>
  <c r="AN554" i="4"/>
  <c r="AG554" i="4"/>
  <c r="AN553" i="4"/>
  <c r="AG553" i="4"/>
  <c r="AN552" i="4"/>
  <c r="AG552" i="4"/>
  <c r="AN551" i="4"/>
  <c r="AG551" i="4"/>
  <c r="AN550" i="4"/>
  <c r="AG550" i="4"/>
  <c r="AN549" i="4"/>
  <c r="AG549" i="4"/>
  <c r="AN548" i="4"/>
  <c r="AG548" i="4"/>
  <c r="AN547" i="4"/>
  <c r="AG547" i="4"/>
  <c r="AN546" i="4"/>
  <c r="AG546" i="4"/>
  <c r="AN545" i="4"/>
  <c r="AG545" i="4"/>
  <c r="AN544" i="4"/>
  <c r="AG544" i="4"/>
  <c r="AN543" i="4"/>
  <c r="AG543" i="4"/>
  <c r="AN542" i="4"/>
  <c r="AG542" i="4"/>
  <c r="AN541" i="4"/>
  <c r="AG541" i="4"/>
  <c r="AN540" i="4"/>
  <c r="AG540" i="4"/>
  <c r="AN539" i="4"/>
  <c r="AG539" i="4"/>
  <c r="AN538" i="4"/>
  <c r="AG538" i="4"/>
  <c r="AN537" i="4"/>
  <c r="AG537" i="4"/>
  <c r="AN536" i="4"/>
  <c r="AG536" i="4"/>
  <c r="AN535" i="4"/>
  <c r="AG535" i="4"/>
  <c r="AN534" i="4"/>
  <c r="AG534" i="4"/>
  <c r="AN533" i="4"/>
  <c r="AG533" i="4"/>
  <c r="AN532" i="4"/>
  <c r="AG532" i="4"/>
  <c r="AN531" i="4"/>
  <c r="AG531" i="4"/>
  <c r="AN530" i="4"/>
  <c r="AG530" i="4"/>
  <c r="AN529" i="4"/>
  <c r="AG529" i="4"/>
  <c r="AN528" i="4"/>
  <c r="AG528" i="4"/>
  <c r="AN527" i="4"/>
  <c r="AG527" i="4"/>
  <c r="AN526" i="4"/>
  <c r="AG526" i="4"/>
  <c r="AN525" i="4"/>
  <c r="AG525" i="4"/>
  <c r="AN524" i="4"/>
  <c r="AG524" i="4"/>
  <c r="AN523" i="4"/>
  <c r="AG523" i="4"/>
  <c r="AN522" i="4"/>
  <c r="AG522" i="4"/>
  <c r="AN521" i="4"/>
  <c r="AG521" i="4"/>
  <c r="AN520" i="4"/>
  <c r="AG520" i="4"/>
  <c r="AN519" i="4"/>
  <c r="AG519" i="4"/>
  <c r="AN518" i="4"/>
  <c r="AG518" i="4"/>
  <c r="AN517" i="4"/>
  <c r="AG517" i="4"/>
  <c r="AN516" i="4"/>
  <c r="AG516" i="4"/>
  <c r="AN515" i="4"/>
  <c r="AG515" i="4"/>
  <c r="AN514" i="4"/>
  <c r="AG514" i="4"/>
  <c r="AN513" i="4"/>
  <c r="AG513" i="4"/>
  <c r="AN512" i="4"/>
  <c r="AG512" i="4"/>
  <c r="AN511" i="4"/>
  <c r="AG511" i="4"/>
  <c r="AN510" i="4"/>
  <c r="AG510" i="4"/>
  <c r="AN509" i="4"/>
  <c r="AG509" i="4"/>
  <c r="AN508" i="4"/>
  <c r="AG508" i="4"/>
  <c r="AN507" i="4"/>
  <c r="AG507" i="4"/>
  <c r="AN506" i="4"/>
  <c r="AG506" i="4"/>
  <c r="AN505" i="4"/>
  <c r="AG505" i="4"/>
  <c r="AN504" i="4"/>
  <c r="AG504" i="4"/>
  <c r="AN503" i="4"/>
  <c r="AG503" i="4"/>
  <c r="AN502" i="4"/>
  <c r="AG502" i="4"/>
  <c r="AN501" i="4"/>
  <c r="AG501" i="4"/>
  <c r="AN500" i="4"/>
  <c r="AG500" i="4"/>
  <c r="AN499" i="4"/>
  <c r="AG499" i="4"/>
  <c r="AN498" i="4"/>
  <c r="AG498" i="4"/>
  <c r="AN497" i="4"/>
  <c r="AG497" i="4"/>
  <c r="AN496" i="4"/>
  <c r="AG496" i="4"/>
  <c r="AN495" i="4"/>
  <c r="AG495" i="4"/>
  <c r="AN494" i="4"/>
  <c r="AG494" i="4"/>
  <c r="AN493" i="4"/>
  <c r="AG493" i="4"/>
  <c r="AN492" i="4"/>
  <c r="AG492" i="4"/>
  <c r="AN491" i="4"/>
  <c r="AG491" i="4"/>
  <c r="AN490" i="4"/>
  <c r="AG490" i="4"/>
  <c r="AN489" i="4"/>
  <c r="AG489" i="4"/>
  <c r="AN488" i="4"/>
  <c r="AG488" i="4"/>
  <c r="AN487" i="4"/>
  <c r="AG487" i="4"/>
  <c r="AN486" i="4"/>
  <c r="AG486" i="4"/>
  <c r="AN485" i="4"/>
  <c r="AG485" i="4"/>
  <c r="AN484" i="4"/>
  <c r="AG484" i="4"/>
  <c r="AN483" i="4"/>
  <c r="AG483" i="4"/>
  <c r="AN482" i="4"/>
  <c r="AG482" i="4"/>
  <c r="AN481" i="4"/>
  <c r="AG481" i="4"/>
  <c r="AN480" i="4"/>
  <c r="AG480" i="4"/>
  <c r="AN479" i="4"/>
  <c r="AG479" i="4"/>
  <c r="AN478" i="4"/>
  <c r="AG478" i="4"/>
  <c r="AN477" i="4"/>
  <c r="AG477" i="4"/>
  <c r="AN476" i="4"/>
  <c r="AG476" i="4"/>
  <c r="AN475" i="4"/>
  <c r="AG475" i="4"/>
  <c r="AN474" i="4"/>
  <c r="AG474" i="4"/>
  <c r="AN473" i="4"/>
  <c r="AG473" i="4"/>
  <c r="AN472" i="4"/>
  <c r="AG472" i="4"/>
  <c r="AN471" i="4"/>
  <c r="AG471" i="4"/>
  <c r="AN470" i="4"/>
  <c r="AG470" i="4"/>
  <c r="AN469" i="4"/>
  <c r="AG469" i="4"/>
  <c r="AN468" i="4"/>
  <c r="AG468" i="4"/>
  <c r="AN467" i="4"/>
  <c r="AG467" i="4"/>
  <c r="AN466" i="4"/>
  <c r="AG466" i="4"/>
  <c r="AN465" i="4"/>
  <c r="AG465" i="4"/>
  <c r="AN464" i="4"/>
  <c r="AG464" i="4"/>
  <c r="AN463" i="4"/>
  <c r="AG463" i="4"/>
  <c r="AN462" i="4"/>
  <c r="AG462" i="4"/>
  <c r="AN461" i="4"/>
  <c r="AG461" i="4"/>
  <c r="AN460" i="4"/>
  <c r="AG460" i="4"/>
  <c r="AN459" i="4"/>
  <c r="AG459" i="4"/>
  <c r="AN458" i="4"/>
  <c r="AG458" i="4"/>
  <c r="AN457" i="4"/>
  <c r="AG457" i="4"/>
  <c r="AN456" i="4"/>
  <c r="AG456" i="4"/>
  <c r="AN455" i="4"/>
  <c r="AG455" i="4"/>
  <c r="AN454" i="4"/>
  <c r="AG454" i="4"/>
  <c r="AN453" i="4"/>
  <c r="AG453" i="4"/>
  <c r="AN452" i="4"/>
  <c r="AG452" i="4"/>
  <c r="AN451" i="4"/>
  <c r="AG451" i="4"/>
  <c r="AN450" i="4"/>
  <c r="AG450" i="4"/>
  <c r="AN449" i="4"/>
  <c r="AG449" i="4"/>
  <c r="AN448" i="4"/>
  <c r="AG448" i="4"/>
  <c r="AN447" i="4"/>
  <c r="AG447" i="4"/>
  <c r="AN446" i="4"/>
  <c r="AG446" i="4"/>
  <c r="AN445" i="4"/>
  <c r="AG445" i="4"/>
  <c r="AN444" i="4"/>
  <c r="AG444" i="4"/>
  <c r="AN443" i="4"/>
  <c r="AG443" i="4"/>
  <c r="AN442" i="4"/>
  <c r="AG442" i="4"/>
  <c r="AN441" i="4"/>
  <c r="AG441" i="4"/>
  <c r="AN440" i="4"/>
  <c r="AG440" i="4"/>
  <c r="AN439" i="4"/>
  <c r="AG439" i="4"/>
  <c r="AN438" i="4"/>
  <c r="AG438" i="4"/>
  <c r="AN437" i="4"/>
  <c r="AG437" i="4"/>
  <c r="AN436" i="4"/>
  <c r="AG436" i="4"/>
  <c r="AN435" i="4"/>
  <c r="AG435" i="4"/>
  <c r="AN434" i="4"/>
  <c r="AG434" i="4"/>
  <c r="AN433" i="4"/>
  <c r="AG433" i="4"/>
  <c r="AN432" i="4"/>
  <c r="AG432" i="4"/>
  <c r="AN431" i="4"/>
  <c r="AG431" i="4"/>
  <c r="AN430" i="4"/>
  <c r="AG430" i="4"/>
  <c r="AN429" i="4"/>
  <c r="AG429" i="4"/>
  <c r="AN428" i="4"/>
  <c r="AG428" i="4"/>
  <c r="AN427" i="4"/>
  <c r="AG427" i="4"/>
  <c r="AN426" i="4"/>
  <c r="AG426" i="4"/>
  <c r="AN425" i="4"/>
  <c r="AG425" i="4"/>
  <c r="AN424" i="4"/>
  <c r="AG424" i="4"/>
  <c r="AN423" i="4"/>
  <c r="AG423" i="4"/>
  <c r="AN422" i="4"/>
  <c r="AG422" i="4"/>
  <c r="AN421" i="4"/>
  <c r="AG421" i="4"/>
  <c r="AN420" i="4"/>
  <c r="AG420" i="4"/>
  <c r="AN419" i="4"/>
  <c r="AG419" i="4"/>
  <c r="AN418" i="4"/>
  <c r="AG418" i="4"/>
  <c r="AN417" i="4"/>
  <c r="AG417" i="4"/>
  <c r="AN416" i="4"/>
  <c r="AG416" i="4"/>
  <c r="AN415" i="4"/>
  <c r="AG415" i="4"/>
  <c r="AN414" i="4"/>
  <c r="AG414" i="4"/>
  <c r="AN413" i="4"/>
  <c r="AG413" i="4"/>
  <c r="AN412" i="4"/>
  <c r="AG412" i="4"/>
  <c r="AN411" i="4"/>
  <c r="AG411" i="4"/>
  <c r="AN410" i="4"/>
  <c r="AG410" i="4"/>
  <c r="AN409" i="4"/>
  <c r="AG409" i="4"/>
  <c r="AN408" i="4"/>
  <c r="AG408" i="4"/>
  <c r="AN407" i="4"/>
  <c r="AG407" i="4"/>
  <c r="AN406" i="4"/>
  <c r="AG406" i="4"/>
  <c r="AN405" i="4"/>
  <c r="AG405" i="4"/>
  <c r="AN404" i="4"/>
  <c r="AG404" i="4"/>
  <c r="AN403" i="4"/>
  <c r="AG403" i="4"/>
  <c r="AN402" i="4"/>
  <c r="AG402" i="4"/>
  <c r="AN401" i="4"/>
  <c r="AG401" i="4"/>
  <c r="AN400" i="4"/>
  <c r="AG400" i="4"/>
  <c r="AN399" i="4"/>
  <c r="AG399" i="4"/>
  <c r="AN398" i="4"/>
  <c r="AG398" i="4"/>
  <c r="AN397" i="4"/>
  <c r="AG397" i="4"/>
  <c r="AN396" i="4"/>
  <c r="AG396" i="4"/>
  <c r="AN395" i="4"/>
  <c r="AG395" i="4"/>
  <c r="AN394" i="4"/>
  <c r="AG394" i="4"/>
  <c r="AN393" i="4"/>
  <c r="AG393" i="4"/>
  <c r="AN392" i="4"/>
  <c r="AG392" i="4"/>
  <c r="AN391" i="4"/>
  <c r="AG391" i="4"/>
  <c r="AN390" i="4"/>
  <c r="AG390" i="4"/>
  <c r="AN389" i="4"/>
  <c r="AG389" i="4"/>
  <c r="AN388" i="4"/>
  <c r="AG388" i="4"/>
  <c r="AN387" i="4"/>
  <c r="AG387" i="4"/>
  <c r="AN386" i="4"/>
  <c r="AG386" i="4"/>
  <c r="AN385" i="4"/>
  <c r="AG385" i="4"/>
  <c r="AN384" i="4"/>
  <c r="AG384" i="4"/>
  <c r="AN383" i="4"/>
  <c r="AG383" i="4"/>
  <c r="AN382" i="4"/>
  <c r="AG382" i="4"/>
  <c r="AN381" i="4"/>
  <c r="AG381" i="4"/>
  <c r="AN380" i="4"/>
  <c r="AG380" i="4"/>
  <c r="AN379" i="4"/>
  <c r="AG379" i="4"/>
  <c r="AN378" i="4"/>
  <c r="AG378" i="4"/>
  <c r="AN377" i="4"/>
  <c r="AG377" i="4"/>
  <c r="AN376" i="4"/>
  <c r="AG376" i="4"/>
  <c r="AN375" i="4"/>
  <c r="AG375" i="4"/>
  <c r="AN374" i="4"/>
  <c r="AG374" i="4"/>
  <c r="AN373" i="4"/>
  <c r="AG373" i="4"/>
  <c r="AN372" i="4"/>
  <c r="AG372" i="4"/>
  <c r="AN371" i="4"/>
  <c r="AG371" i="4"/>
  <c r="AN370" i="4"/>
  <c r="AG370" i="4"/>
  <c r="AN369" i="4"/>
  <c r="AG369" i="4"/>
  <c r="AN368" i="4"/>
  <c r="AG368" i="4"/>
  <c r="AN367" i="4"/>
  <c r="AG367" i="4"/>
  <c r="AN366" i="4"/>
  <c r="AG366" i="4"/>
  <c r="AN365" i="4"/>
  <c r="AG365" i="4"/>
  <c r="AN364" i="4"/>
  <c r="AG364" i="4"/>
  <c r="AN363" i="4"/>
  <c r="AG363" i="4"/>
  <c r="AN362" i="4"/>
  <c r="AG362" i="4"/>
  <c r="AN361" i="4"/>
  <c r="AG361" i="4"/>
  <c r="AN360" i="4"/>
  <c r="AG360" i="4"/>
  <c r="AN359" i="4"/>
  <c r="AG359" i="4"/>
  <c r="AN358" i="4"/>
  <c r="AG358" i="4"/>
  <c r="AN357" i="4"/>
  <c r="AG357" i="4"/>
  <c r="AN356" i="4"/>
  <c r="AG356" i="4"/>
  <c r="AN355" i="4"/>
  <c r="AG355" i="4"/>
  <c r="AN354" i="4"/>
  <c r="AG354" i="4"/>
  <c r="AN353" i="4"/>
  <c r="AG353" i="4"/>
  <c r="AN352" i="4"/>
  <c r="AG352" i="4"/>
  <c r="AN351" i="4"/>
  <c r="AG351" i="4"/>
  <c r="AN350" i="4"/>
  <c r="AG350" i="4"/>
  <c r="AN349" i="4"/>
  <c r="AG349" i="4"/>
  <c r="AN348" i="4"/>
  <c r="AG348" i="4"/>
  <c r="AN347" i="4"/>
  <c r="AG347" i="4"/>
  <c r="AN346" i="4"/>
  <c r="AG346" i="4"/>
  <c r="AN345" i="4"/>
  <c r="AG345" i="4"/>
  <c r="AN344" i="4"/>
  <c r="AG344" i="4"/>
  <c r="AN343" i="4"/>
  <c r="AG343" i="4"/>
  <c r="AN342" i="4"/>
  <c r="AG342" i="4"/>
  <c r="AN341" i="4"/>
  <c r="AG341" i="4"/>
  <c r="AN340" i="4"/>
  <c r="AG340" i="4"/>
  <c r="AN339" i="4"/>
  <c r="AG339" i="4"/>
  <c r="AN338" i="4"/>
  <c r="AG338" i="4"/>
  <c r="AN337" i="4"/>
  <c r="AG337" i="4"/>
  <c r="AN336" i="4"/>
  <c r="AG336" i="4"/>
  <c r="AN335" i="4"/>
  <c r="AG335" i="4"/>
  <c r="AN334" i="4"/>
  <c r="AG334" i="4"/>
  <c r="AN333" i="4"/>
  <c r="AG333" i="4"/>
  <c r="AN332" i="4"/>
  <c r="AG332" i="4"/>
  <c r="AN331" i="4"/>
  <c r="AG331" i="4"/>
  <c r="AN330" i="4"/>
  <c r="AG330" i="4"/>
  <c r="AN329" i="4"/>
  <c r="AG329" i="4"/>
  <c r="AN328" i="4"/>
  <c r="AG328" i="4"/>
  <c r="AN327" i="4"/>
  <c r="AG327" i="4"/>
  <c r="AN326" i="4"/>
  <c r="AG326" i="4"/>
  <c r="AN325" i="4"/>
  <c r="AG325" i="4"/>
  <c r="AN324" i="4"/>
  <c r="AG324" i="4"/>
  <c r="AN323" i="4"/>
  <c r="AG323" i="4"/>
  <c r="AN322" i="4"/>
  <c r="AG322" i="4"/>
  <c r="AN321" i="4"/>
  <c r="AG321" i="4"/>
  <c r="AN320" i="4"/>
  <c r="AG320" i="4"/>
  <c r="AN319" i="4"/>
  <c r="AG319" i="4"/>
  <c r="AN318" i="4"/>
  <c r="AG318" i="4"/>
  <c r="AN317" i="4"/>
  <c r="AG317" i="4"/>
  <c r="AN316" i="4"/>
  <c r="AG316" i="4"/>
  <c r="AN315" i="4"/>
  <c r="AG315" i="4"/>
  <c r="AN314" i="4"/>
  <c r="AG314" i="4"/>
  <c r="AN313" i="4"/>
  <c r="AG313" i="4"/>
  <c r="AN312" i="4"/>
  <c r="AG312" i="4"/>
  <c r="AN311" i="4"/>
  <c r="AG311" i="4"/>
  <c r="AN310" i="4"/>
  <c r="AG310" i="4"/>
  <c r="AN309" i="4"/>
  <c r="AG309" i="4"/>
  <c r="AN308" i="4"/>
  <c r="AG308" i="4"/>
  <c r="AN307" i="4"/>
  <c r="AN306" i="4"/>
  <c r="AN305" i="4"/>
  <c r="AN304" i="4"/>
  <c r="AN303" i="4"/>
  <c r="AN302" i="4"/>
  <c r="AN301" i="4"/>
  <c r="AN300" i="4"/>
  <c r="AN299" i="4"/>
  <c r="AG299" i="4"/>
  <c r="AN298" i="4"/>
  <c r="AG298" i="4"/>
  <c r="AN297" i="4"/>
  <c r="AG297" i="4"/>
  <c r="AN296" i="4"/>
  <c r="AG296" i="4"/>
  <c r="AN295" i="4"/>
  <c r="AG295" i="4"/>
  <c r="AN294" i="4"/>
  <c r="AG294" i="4"/>
  <c r="AN293" i="4"/>
  <c r="AG293" i="4"/>
  <c r="AN292" i="4"/>
  <c r="AG292" i="4"/>
  <c r="AN291" i="4"/>
  <c r="AG291" i="4"/>
  <c r="AN290" i="4"/>
  <c r="AG290" i="4"/>
  <c r="AN289" i="4"/>
  <c r="AG289" i="4"/>
  <c r="AN288" i="4"/>
  <c r="AG288" i="4"/>
  <c r="AN287" i="4"/>
  <c r="AG287" i="4"/>
  <c r="AN286" i="4"/>
  <c r="AG286" i="4"/>
  <c r="AN285" i="4"/>
  <c r="AG285" i="4"/>
  <c r="AN284" i="4"/>
  <c r="AG284" i="4"/>
  <c r="AN283" i="4"/>
  <c r="AG283" i="4"/>
  <c r="AN282" i="4"/>
  <c r="AG282" i="4"/>
  <c r="AN281" i="4"/>
  <c r="AG281" i="4"/>
  <c r="AN280" i="4"/>
  <c r="AG280" i="4"/>
  <c r="AN279" i="4"/>
  <c r="AG279" i="4"/>
  <c r="AN278" i="4"/>
  <c r="AG278" i="4"/>
  <c r="AN277" i="4"/>
  <c r="AG277" i="4"/>
  <c r="AN276" i="4"/>
  <c r="AG276" i="4"/>
  <c r="AN275" i="4"/>
  <c r="AG275" i="4"/>
  <c r="AN274" i="4"/>
  <c r="AG274" i="4"/>
  <c r="AN273" i="4"/>
  <c r="AG273" i="4"/>
  <c r="AN272" i="4"/>
  <c r="AG272" i="4"/>
  <c r="AN271" i="4"/>
  <c r="AG271" i="4"/>
  <c r="AN270" i="4"/>
  <c r="AG270" i="4"/>
  <c r="AN269" i="4"/>
  <c r="AG269" i="4"/>
  <c r="AN268" i="4"/>
  <c r="AG268" i="4"/>
  <c r="AN267" i="4"/>
  <c r="AG267" i="4"/>
  <c r="AN266" i="4"/>
  <c r="AG266" i="4"/>
  <c r="AN265" i="4"/>
  <c r="AG265" i="4"/>
  <c r="AN264" i="4"/>
  <c r="AG264" i="4"/>
  <c r="AN263" i="4"/>
  <c r="AG263" i="4"/>
  <c r="AN262" i="4"/>
  <c r="AG262" i="4"/>
  <c r="AN261" i="4"/>
  <c r="AG261" i="4"/>
  <c r="AN260" i="4"/>
  <c r="AG260" i="4"/>
  <c r="AN259" i="4"/>
  <c r="AG259" i="4"/>
  <c r="AN258" i="4"/>
  <c r="AG258" i="4"/>
  <c r="AN257" i="4"/>
  <c r="AG257" i="4"/>
  <c r="AN256" i="4"/>
  <c r="AG256" i="4"/>
  <c r="AN255" i="4"/>
  <c r="AG255" i="4"/>
  <c r="AN254" i="4"/>
  <c r="AG254" i="4"/>
  <c r="AN253" i="4"/>
  <c r="AG253" i="4"/>
  <c r="AN252" i="4"/>
  <c r="AG252" i="4"/>
  <c r="AN251" i="4"/>
  <c r="AG251" i="4"/>
  <c r="AN250" i="4"/>
  <c r="AG250" i="4"/>
  <c r="AN249" i="4"/>
  <c r="AG249" i="4"/>
  <c r="AN248" i="4"/>
  <c r="AG248" i="4"/>
  <c r="AN247" i="4"/>
  <c r="AG247" i="4"/>
  <c r="AN246" i="4"/>
  <c r="AG246" i="4"/>
  <c r="AN245" i="4"/>
  <c r="AG245" i="4"/>
  <c r="AN244" i="4"/>
  <c r="AG244" i="4"/>
  <c r="AN243" i="4"/>
  <c r="AG243" i="4"/>
  <c r="AN242" i="4"/>
  <c r="AG242" i="4"/>
  <c r="AN241" i="4"/>
  <c r="AG241" i="4"/>
  <c r="AN240" i="4"/>
  <c r="AG240" i="4"/>
  <c r="AN239" i="4"/>
  <c r="AG239" i="4"/>
  <c r="AN238" i="4"/>
  <c r="AG238" i="4"/>
  <c r="AN237" i="4"/>
  <c r="AG237" i="4"/>
  <c r="AN236" i="4"/>
  <c r="AG236" i="4"/>
  <c r="AN235" i="4"/>
  <c r="AG235" i="4"/>
  <c r="AN234" i="4"/>
  <c r="AG234" i="4"/>
  <c r="AN233" i="4"/>
  <c r="AG233" i="4"/>
  <c r="AN232" i="4"/>
  <c r="AG232" i="4"/>
  <c r="AN231" i="4"/>
  <c r="AG231" i="4"/>
  <c r="AN230" i="4"/>
  <c r="AG230" i="4"/>
  <c r="AN229" i="4"/>
  <c r="AG229" i="4"/>
  <c r="AN228" i="4"/>
  <c r="AG228" i="4"/>
  <c r="AN227" i="4"/>
  <c r="AG227" i="4"/>
  <c r="AN226" i="4"/>
  <c r="AG226" i="4"/>
  <c r="AN225" i="4"/>
  <c r="AG225" i="4"/>
  <c r="AN224" i="4"/>
  <c r="AG224" i="4"/>
  <c r="AN223" i="4"/>
  <c r="AG223" i="4"/>
  <c r="AN222" i="4"/>
  <c r="AG222" i="4"/>
  <c r="AN221" i="4"/>
  <c r="AG221" i="4"/>
  <c r="AN220" i="4"/>
  <c r="AG220" i="4"/>
  <c r="AN219" i="4"/>
  <c r="AG219" i="4"/>
  <c r="AN218" i="4"/>
  <c r="AG218" i="4"/>
  <c r="AN217" i="4"/>
  <c r="AG217" i="4"/>
  <c r="AN216" i="4"/>
  <c r="AG216" i="4"/>
  <c r="AN215" i="4"/>
  <c r="AG215" i="4"/>
  <c r="AN214" i="4"/>
  <c r="AG214" i="4"/>
  <c r="AN213" i="4"/>
  <c r="AG213" i="4"/>
  <c r="AN212" i="4"/>
  <c r="AG212" i="4"/>
  <c r="AN211" i="4"/>
  <c r="AG211" i="4"/>
  <c r="AN210" i="4"/>
  <c r="AG210" i="4"/>
  <c r="AN209" i="4"/>
  <c r="AG209" i="4"/>
  <c r="AN208" i="4"/>
  <c r="AG208" i="4"/>
  <c r="AN207" i="4"/>
  <c r="AG207" i="4"/>
  <c r="AN206" i="4"/>
  <c r="AG206" i="4"/>
  <c r="AN205" i="4"/>
  <c r="AG205" i="4"/>
  <c r="AN204" i="4"/>
  <c r="AG204" i="4"/>
  <c r="AN203" i="4"/>
  <c r="AG203" i="4"/>
  <c r="AN202" i="4"/>
  <c r="AG202" i="4"/>
  <c r="AN201" i="4"/>
  <c r="AG201" i="4"/>
  <c r="AN200" i="4"/>
  <c r="AG200" i="4"/>
  <c r="AN199" i="4"/>
  <c r="AG199" i="4"/>
  <c r="AN198" i="4"/>
  <c r="AG198" i="4"/>
  <c r="AN197" i="4"/>
  <c r="AG197" i="4"/>
  <c r="AN196" i="4"/>
  <c r="AG196" i="4"/>
  <c r="AN195" i="4"/>
  <c r="AG195" i="4"/>
  <c r="AN194" i="4"/>
  <c r="AG194" i="4"/>
  <c r="AN193" i="4"/>
  <c r="AG193" i="4"/>
  <c r="AN192" i="4"/>
  <c r="AG192" i="4"/>
  <c r="AN191" i="4"/>
  <c r="AG191" i="4"/>
  <c r="AN190" i="4"/>
  <c r="AG190" i="4"/>
  <c r="AN189" i="4"/>
  <c r="AG189" i="4"/>
  <c r="AN188" i="4"/>
  <c r="AG188" i="4"/>
  <c r="AN187" i="4"/>
  <c r="AG187" i="4"/>
  <c r="AN186" i="4"/>
  <c r="AG186" i="4"/>
  <c r="AN185" i="4"/>
  <c r="AG185" i="4"/>
  <c r="AN184" i="4"/>
  <c r="AG184" i="4"/>
  <c r="AN183" i="4"/>
  <c r="AG183" i="4"/>
  <c r="AN182" i="4"/>
  <c r="AG182" i="4"/>
  <c r="AN181" i="4"/>
  <c r="AG181" i="4"/>
  <c r="AN180" i="4"/>
  <c r="AG180" i="4"/>
  <c r="AN179" i="4"/>
  <c r="AG179" i="4"/>
  <c r="AN178" i="4"/>
  <c r="AG178" i="4"/>
  <c r="AN177" i="4"/>
  <c r="AG177" i="4"/>
  <c r="AN176" i="4"/>
  <c r="AG176" i="4"/>
  <c r="AN175" i="4"/>
  <c r="AG175" i="4"/>
  <c r="AN174" i="4"/>
  <c r="AG174" i="4"/>
  <c r="AN173" i="4"/>
  <c r="AG173" i="4"/>
  <c r="AN172" i="4"/>
  <c r="AG172" i="4"/>
  <c r="AN171" i="4"/>
  <c r="AG171" i="4"/>
  <c r="AN170" i="4"/>
  <c r="AG170" i="4"/>
  <c r="AN169" i="4"/>
  <c r="AG169" i="4"/>
  <c r="AN168" i="4"/>
  <c r="AG168" i="4"/>
  <c r="AN167" i="4"/>
  <c r="AG167" i="4"/>
  <c r="AN166" i="4"/>
  <c r="AG166" i="4"/>
  <c r="AN165" i="4"/>
  <c r="AG165" i="4"/>
  <c r="AN164" i="4"/>
  <c r="AG164" i="4"/>
  <c r="AN163" i="4"/>
  <c r="AG163" i="4"/>
  <c r="AN162" i="4"/>
  <c r="AG162" i="4"/>
  <c r="AN161" i="4"/>
  <c r="AG161" i="4"/>
  <c r="AN160" i="4"/>
  <c r="AG160" i="4"/>
  <c r="AN159" i="4"/>
  <c r="AG159" i="4"/>
  <c r="AN158" i="4"/>
  <c r="AG158" i="4"/>
  <c r="AN157" i="4"/>
  <c r="AG157" i="4"/>
  <c r="AN156" i="4"/>
  <c r="AG156" i="4"/>
  <c r="AN155" i="4"/>
  <c r="AG155" i="4"/>
  <c r="AN154" i="4"/>
  <c r="AG154" i="4"/>
  <c r="AN153" i="4"/>
  <c r="AG153" i="4"/>
  <c r="AN152" i="4"/>
  <c r="AG152" i="4"/>
  <c r="AN151" i="4"/>
  <c r="AG151" i="4"/>
  <c r="AN150" i="4"/>
  <c r="AG150" i="4"/>
  <c r="AN149" i="4"/>
  <c r="AG149" i="4"/>
  <c r="AN148" i="4"/>
  <c r="AG148" i="4"/>
  <c r="AN147" i="4"/>
  <c r="AG147" i="4"/>
  <c r="AN146" i="4"/>
  <c r="AG146" i="4"/>
  <c r="AN145" i="4"/>
  <c r="AG145" i="4"/>
  <c r="AN144" i="4"/>
  <c r="AG144" i="4"/>
  <c r="AN143" i="4"/>
  <c r="AG143" i="4"/>
  <c r="AN142" i="4"/>
  <c r="AG142" i="4"/>
  <c r="AN141" i="4"/>
  <c r="AG141" i="4"/>
  <c r="AN140" i="4"/>
  <c r="AG140" i="4"/>
  <c r="AN139" i="4"/>
  <c r="AG139" i="4"/>
  <c r="AN138" i="4"/>
  <c r="AG138" i="4"/>
  <c r="AN137" i="4"/>
  <c r="AG137" i="4"/>
  <c r="AN136" i="4"/>
  <c r="AG136" i="4"/>
  <c r="AN135" i="4"/>
  <c r="AG135" i="4"/>
  <c r="AN134" i="4"/>
  <c r="AG134" i="4"/>
  <c r="AN133" i="4"/>
  <c r="AG133" i="4"/>
  <c r="AN132" i="4"/>
  <c r="AG132" i="4"/>
  <c r="AN131" i="4"/>
  <c r="AG131" i="4"/>
  <c r="AN130" i="4"/>
  <c r="AG130" i="4"/>
  <c r="AN129" i="4"/>
  <c r="AG129" i="4"/>
  <c r="AN128" i="4"/>
  <c r="AG128" i="4"/>
  <c r="AN127" i="4"/>
  <c r="AG127" i="4"/>
  <c r="AN126" i="4"/>
  <c r="AG126" i="4"/>
  <c r="AN125" i="4"/>
  <c r="AG125" i="4"/>
  <c r="AN124" i="4"/>
  <c r="AG124" i="4"/>
  <c r="AN123" i="4"/>
  <c r="AG123" i="4"/>
  <c r="AN122" i="4"/>
  <c r="AG122" i="4"/>
  <c r="AN121" i="4"/>
  <c r="AG121" i="4"/>
  <c r="AN120" i="4"/>
  <c r="AG120" i="4"/>
  <c r="AN119" i="4"/>
  <c r="AG119" i="4"/>
  <c r="AN118" i="4"/>
  <c r="AG118" i="4"/>
  <c r="AN117" i="4"/>
  <c r="AG117" i="4"/>
  <c r="AN116" i="4"/>
  <c r="AN115" i="4"/>
  <c r="AN114" i="4"/>
  <c r="AN113" i="4"/>
  <c r="AN112" i="4"/>
  <c r="AN111" i="4"/>
  <c r="AN110" i="4"/>
  <c r="AN109" i="4"/>
  <c r="AN108" i="4"/>
  <c r="AN107" i="4"/>
  <c r="AG107" i="4"/>
  <c r="AN106" i="4"/>
  <c r="AG106" i="4"/>
  <c r="AN105" i="4"/>
  <c r="AG105" i="4"/>
  <c r="AN104" i="4"/>
  <c r="AG104" i="4"/>
  <c r="AN103" i="4"/>
  <c r="AG103" i="4"/>
  <c r="AN102" i="4"/>
  <c r="AG102" i="4"/>
  <c r="AN101" i="4"/>
  <c r="AN100" i="4"/>
  <c r="AN99" i="4"/>
  <c r="AG99" i="4"/>
  <c r="AN98" i="4"/>
  <c r="AG98" i="4"/>
  <c r="AN97" i="4"/>
  <c r="AG97" i="4"/>
  <c r="AN96" i="4"/>
  <c r="AG96" i="4"/>
  <c r="AN95" i="4"/>
  <c r="AN94" i="4"/>
  <c r="AN93" i="4"/>
  <c r="AN92" i="4"/>
  <c r="AN91" i="4"/>
  <c r="AN90" i="4"/>
  <c r="AN89" i="4"/>
  <c r="AG89" i="4"/>
  <c r="AN88" i="4"/>
  <c r="AN87" i="4"/>
  <c r="AG87" i="4"/>
  <c r="AN86" i="4"/>
  <c r="AG86" i="4"/>
  <c r="AN85" i="4"/>
  <c r="AG85" i="4"/>
  <c r="AN84" i="4"/>
  <c r="AG84" i="4"/>
  <c r="AN83" i="4"/>
  <c r="AG83" i="4"/>
  <c r="AN82" i="4"/>
  <c r="AG82" i="4"/>
  <c r="AN81" i="4"/>
  <c r="AG81" i="4"/>
  <c r="AN80" i="4"/>
  <c r="AG80" i="4"/>
  <c r="AN79" i="4"/>
  <c r="AG79" i="4"/>
  <c r="AN78" i="4"/>
  <c r="AG78" i="4"/>
  <c r="AN77" i="4"/>
  <c r="AG77" i="4"/>
  <c r="AN76" i="4"/>
  <c r="AG76" i="4"/>
  <c r="AN75" i="4"/>
  <c r="AN74" i="4"/>
  <c r="AN73" i="4"/>
  <c r="AN72" i="4"/>
  <c r="AN71" i="4"/>
  <c r="AN70" i="4"/>
  <c r="AN69" i="4"/>
  <c r="AN68" i="4"/>
  <c r="AN67" i="4"/>
  <c r="AN66" i="4"/>
  <c r="AN65" i="4"/>
  <c r="AN64" i="4"/>
  <c r="AN63" i="4"/>
  <c r="AG63" i="4"/>
  <c r="AN62" i="4"/>
  <c r="AG62" i="4"/>
  <c r="AN61" i="4"/>
  <c r="AN60" i="4"/>
  <c r="AN59" i="4"/>
  <c r="AG59" i="4"/>
  <c r="AN58" i="4"/>
  <c r="AG58" i="4"/>
  <c r="AN57" i="4"/>
  <c r="AG57" i="4"/>
  <c r="AN56" i="4"/>
  <c r="AG56" i="4"/>
  <c r="AN55" i="4"/>
  <c r="AG55" i="4"/>
  <c r="AN54" i="4"/>
  <c r="AG54" i="4"/>
  <c r="AN53" i="4"/>
  <c r="AN52" i="4"/>
  <c r="AN51" i="4"/>
  <c r="AN50" i="4"/>
  <c r="AN49" i="4"/>
  <c r="AG49" i="4"/>
  <c r="AN48" i="4"/>
  <c r="AG48" i="4"/>
  <c r="AN47" i="4"/>
  <c r="AG47" i="4"/>
  <c r="AN46" i="4"/>
  <c r="AN45" i="4"/>
  <c r="AN44" i="4"/>
  <c r="AN43" i="4"/>
  <c r="AN42" i="4"/>
  <c r="AN41" i="4"/>
  <c r="AN40" i="4"/>
  <c r="AN39" i="4"/>
  <c r="AN38" i="4"/>
  <c r="AG38" i="4"/>
  <c r="AN37" i="4"/>
  <c r="AG37" i="4"/>
  <c r="AN36" i="4"/>
  <c r="AN35" i="4"/>
  <c r="AN34" i="4"/>
  <c r="AG34" i="4"/>
  <c r="AN33" i="4"/>
  <c r="AG33" i="4"/>
  <c r="AN32" i="4"/>
  <c r="AG32" i="4"/>
  <c r="AN31" i="4"/>
  <c r="AG31" i="4"/>
  <c r="AN30" i="4"/>
  <c r="AG30" i="4"/>
  <c r="AN29" i="4"/>
  <c r="AG29" i="4"/>
  <c r="AN28" i="4"/>
  <c r="AG28" i="4"/>
  <c r="AN27" i="4"/>
  <c r="AG27" i="4"/>
  <c r="AN26" i="4"/>
  <c r="AG26" i="4"/>
  <c r="AN25" i="4"/>
  <c r="AG25" i="4"/>
  <c r="AN24" i="4"/>
  <c r="AG24" i="4"/>
  <c r="AN23" i="4"/>
  <c r="AG23" i="4"/>
  <c r="AN22" i="4"/>
  <c r="AG22" i="4"/>
  <c r="AN21" i="4"/>
  <c r="AG21" i="4"/>
  <c r="AN20" i="4"/>
  <c r="AG20" i="4"/>
  <c r="AN19" i="4"/>
  <c r="AG19" i="4"/>
  <c r="AN18" i="4"/>
  <c r="AG18" i="4"/>
  <c r="AN17" i="4"/>
  <c r="AG17" i="4"/>
  <c r="AN16" i="4"/>
  <c r="AG16" i="4"/>
  <c r="AN15" i="4"/>
  <c r="AG15" i="4"/>
  <c r="AN14" i="4"/>
  <c r="AG14" i="4"/>
  <c r="AN13" i="4"/>
  <c r="AG13" i="4"/>
  <c r="AN12" i="4"/>
  <c r="AG12" i="4"/>
  <c r="AN11" i="4"/>
  <c r="AG11" i="4"/>
  <c r="AN10" i="4"/>
  <c r="AG10" i="4"/>
  <c r="AN9" i="4"/>
  <c r="AG9" i="4"/>
  <c r="AN8" i="4"/>
  <c r="AG8" i="4"/>
  <c r="AN7" i="4"/>
  <c r="AG7" i="4"/>
  <c r="AN6" i="4"/>
  <c r="AG6" i="4"/>
  <c r="AN5" i="4"/>
  <c r="AG5" i="4"/>
  <c r="AN4" i="4"/>
  <c r="AG4" i="4"/>
  <c r="AN3" i="4"/>
  <c r="AG3" i="4"/>
  <c r="AN2" i="4"/>
  <c r="AG2" i="4"/>
  <c r="AM2" i="2"/>
  <c r="AN2" i="2" s="1"/>
  <c r="AO2" i="2" s="1"/>
</calcChain>
</file>

<file path=xl/sharedStrings.xml><?xml version="1.0" encoding="utf-8"?>
<sst xmlns="http://schemas.openxmlformats.org/spreadsheetml/2006/main" count="24555" uniqueCount="770">
  <si>
    <t>fecha</t>
  </si>
  <si>
    <t>Periodo</t>
  </si>
  <si>
    <t>Historial Nro. Docto</t>
  </si>
  <si>
    <t>Facturado</t>
  </si>
  <si>
    <t>Bon-Isapre</t>
  </si>
  <si>
    <t>Reclamado</t>
  </si>
  <si>
    <t>Deducible</t>
  </si>
  <si>
    <t>Pago</t>
  </si>
  <si>
    <t>Nro Documento</t>
  </si>
  <si>
    <t>Póliza</t>
  </si>
  <si>
    <t>Empresa</t>
  </si>
  <si>
    <t>Fecha Ingreso</t>
  </si>
  <si>
    <t>Fecha Liquid</t>
  </si>
  <si>
    <t>Fecha Evento</t>
  </si>
  <si>
    <t>Fecha Prestacion</t>
  </si>
  <si>
    <t>Tipo Gasto</t>
  </si>
  <si>
    <t>N° Liq</t>
  </si>
  <si>
    <t>N° Nom. Ext.</t>
  </si>
  <si>
    <t>N° Sin. Ext.</t>
  </si>
  <si>
    <t>Liquidador</t>
  </si>
  <si>
    <t xml:space="preserve"> N° Cheque</t>
  </si>
  <si>
    <t>Ficha</t>
  </si>
  <si>
    <t>Rut Asegurado</t>
  </si>
  <si>
    <t>Nombre Asegurado</t>
  </si>
  <si>
    <t>Rut Beneficiario</t>
  </si>
  <si>
    <t>Nombre Beneficiario</t>
  </si>
  <si>
    <t>Cobertura</t>
  </si>
  <si>
    <t>Cód-Prestac</t>
  </si>
  <si>
    <t>Descrip-Prestación</t>
  </si>
  <si>
    <t>Prestación Contrato</t>
  </si>
  <si>
    <t>PRESTACIÓN</t>
  </si>
  <si>
    <t xml:space="preserve">Convenio             </t>
  </si>
  <si>
    <t>NºRemesa</t>
  </si>
  <si>
    <t>RutPrestador</t>
  </si>
  <si>
    <t>DvPrestador</t>
  </si>
  <si>
    <t>Isapre</t>
  </si>
  <si>
    <t>INICIAL</t>
  </si>
  <si>
    <t>CORP DE BIENESTAR DEL PERSONAL DE A F P</t>
  </si>
  <si>
    <t>-</t>
  </si>
  <si>
    <t>TRASSA</t>
  </si>
  <si>
    <t>VASQUEZ FLORES CRISTIAN</t>
  </si>
  <si>
    <t>SAL</t>
  </si>
  <si>
    <t>AM10</t>
  </si>
  <si>
    <t xml:space="preserve">KINESITERAPIA </t>
  </si>
  <si>
    <t>GASTO FISICO</t>
  </si>
  <si>
    <t>SCL20256959558</t>
  </si>
  <si>
    <t>DUPLICADO</t>
  </si>
  <si>
    <t>AMBULATORIOS</t>
  </si>
  <si>
    <t>CRISTIAN VASQUEZ FLORES</t>
  </si>
  <si>
    <t>AM06</t>
  </si>
  <si>
    <t>PROCEDIMIENTOS DE DIAGNOSTICO</t>
  </si>
  <si>
    <t>PROCEDIMIENTO DE DIAGNOSTICO</t>
  </si>
  <si>
    <t>SIN ISAPRE</t>
  </si>
  <si>
    <t>VILLAGRAN MUÑOZ NICOLAS</t>
  </si>
  <si>
    <t>SM02</t>
  </si>
  <si>
    <t>CONSULTA PSICOLOGICA</t>
  </si>
  <si>
    <t>AMBUL20256923950</t>
  </si>
  <si>
    <t>NICOLAS VILLAGRAN MUÑOZ</t>
  </si>
  <si>
    <t>SALUD MENTAL</t>
  </si>
  <si>
    <t>DANIELA ANDREA MENDEZ CASTILLO</t>
  </si>
  <si>
    <t>OLIVER CORTES MENDEZ</t>
  </si>
  <si>
    <t>CONSULTA O SESIONES PSICOLOGICAS</t>
  </si>
  <si>
    <t>FONASA</t>
  </si>
  <si>
    <t>ISABEL MARGARITA LARRAIN LARRAIN</t>
  </si>
  <si>
    <t>GUSTAVO SALGADO LARRAIN</t>
  </si>
  <si>
    <t>AM07</t>
  </si>
  <si>
    <t>PROCEDIMIENTOS TERAPEUTICOS</t>
  </si>
  <si>
    <t>ANA ABARCA MEDINA</t>
  </si>
  <si>
    <t>RODRIGO SILVA ABARCA</t>
  </si>
  <si>
    <t>COLMENA GOLDEN CROSS</t>
  </si>
  <si>
    <t>CAMILA MOYA SANHUEZA</t>
  </si>
  <si>
    <t>SM01</t>
  </si>
  <si>
    <t>CONSULTA O SESIONES PSIQUIATRICAS</t>
  </si>
  <si>
    <t>CONSULTA PSIQUIATRICA</t>
  </si>
  <si>
    <t>RODRIGO ALEXIS MARTINEZ RODRIGUEZ</t>
  </si>
  <si>
    <t>DIANA PILLIGUA PILLIGUA</t>
  </si>
  <si>
    <t>BANMÉDICA</t>
  </si>
  <si>
    <t>BASAEZ REYES CLAUDIA</t>
  </si>
  <si>
    <t>CABELLO BASAEZ MAGDALENA</t>
  </si>
  <si>
    <t>AMBUL20256943570</t>
  </si>
  <si>
    <t>CLAUDIA BASAEZ REYES</t>
  </si>
  <si>
    <t>MAGDALENA CABELLO BASAEZ</t>
  </si>
  <si>
    <t>CLAUDIO MAXIMILIANO BARRAZA HIDALGO</t>
  </si>
  <si>
    <t>CRUZ BLANCA</t>
  </si>
  <si>
    <t>ADOLFO HANS LANG NAVARRO</t>
  </si>
  <si>
    <t>MARCELA ANGELICA BAEZA GARCES</t>
  </si>
  <si>
    <t>CONSALUD</t>
  </si>
  <si>
    <t>RUTH MUÑOZ GUTIERREZ</t>
  </si>
  <si>
    <t>DEN</t>
  </si>
  <si>
    <t>DPR3</t>
  </si>
  <si>
    <t>ORTODONCIA</t>
  </si>
  <si>
    <t>DENTAL</t>
  </si>
  <si>
    <t>DENTAL20256936265</t>
  </si>
  <si>
    <t>ADOLFO LANG BAEZA</t>
  </si>
  <si>
    <t>VIDAL PEREZ DENISSE</t>
  </si>
  <si>
    <t>DPR5</t>
  </si>
  <si>
    <t>CIRUGIA BUCAL</t>
  </si>
  <si>
    <t>DENTAL20256934204</t>
  </si>
  <si>
    <t>PROCEDIMIENTOS</t>
  </si>
  <si>
    <t>DENISSE PAMELA VIDAL PEREZ</t>
  </si>
  <si>
    <t>CAMPOS VIDAL LUCIANO</t>
  </si>
  <si>
    <t>DPR9</t>
  </si>
  <si>
    <t>ODONTOPEDIATRIA</t>
  </si>
  <si>
    <t>PROFILAXIS</t>
  </si>
  <si>
    <t>LUCIANO CAMPOS VIDAL</t>
  </si>
  <si>
    <t>VILLALOBOS ZAMORA NATALIA ALEJANDRA</t>
  </si>
  <si>
    <t>DRU2</t>
  </si>
  <si>
    <t>RADIOLOGIA DENTAL</t>
  </si>
  <si>
    <t>SCL20256948267</t>
  </si>
  <si>
    <t>RUTINARIOS</t>
  </si>
  <si>
    <t>NATALIA ALEJANDRA VILLALOBOS ZAMORA</t>
  </si>
  <si>
    <t>RADIOLOGIA DENTAL (Cuidado Dental Rutinario)</t>
  </si>
  <si>
    <t>JARA DIAZ EVELYN</t>
  </si>
  <si>
    <t>ZAMBRANO JARA ISABELLA</t>
  </si>
  <si>
    <t>OP01</t>
  </si>
  <si>
    <t>CRISTALES OPTICOS ( GRUPO )</t>
  </si>
  <si>
    <t>AMBUL20256934128</t>
  </si>
  <si>
    <t>MARCOS OPTICOS (GRUPO)</t>
  </si>
  <si>
    <t>OPTICA</t>
  </si>
  <si>
    <t>EVELYN JARA DIAZ</t>
  </si>
  <si>
    <t>ISABELLA ZAMBRANO JARA</t>
  </si>
  <si>
    <t>MARCOS o CRISTALES OPTICOS o LENTE CONTACTO</t>
  </si>
  <si>
    <t>VILLEGAS FLORES JORGE</t>
  </si>
  <si>
    <t>AM20</t>
  </si>
  <si>
    <t xml:space="preserve">MEDICAMENTO NO GENERICO ( GRUPO ) </t>
  </si>
  <si>
    <t>MEDICAMENTO</t>
  </si>
  <si>
    <t>AMBUL20256939148</t>
  </si>
  <si>
    <t>JORGE VILLEGAS FLORES</t>
  </si>
  <si>
    <t>AM12</t>
  </si>
  <si>
    <t>MEDICAMENTOS DE MARCA</t>
  </si>
  <si>
    <t>MATIAS CORTES AWAD</t>
  </si>
  <si>
    <t>MATIAS IGNACIO CORTES AWAD</t>
  </si>
  <si>
    <t>AM04</t>
  </si>
  <si>
    <t>EXAMENES DE LABORATORIO</t>
  </si>
  <si>
    <t>AM05</t>
  </si>
  <si>
    <t>EXAMENES RADIOLOGICOS</t>
  </si>
  <si>
    <t>VICTORIA OLIVIA BARDEL DIAZ</t>
  </si>
  <si>
    <t>PAULA ANDREA RIVERA MANCILLA</t>
  </si>
  <si>
    <t>TRINIDAD SILVA RIVERA</t>
  </si>
  <si>
    <t>INGRID CARRASCO GONZALEZ</t>
  </si>
  <si>
    <t>AMB5</t>
  </si>
  <si>
    <t>MED. BIOEQUIVALENTES  DE MARCA (SIN CONVENIO)</t>
  </si>
  <si>
    <t>AM48</t>
  </si>
  <si>
    <t>MED. SALUD MENTAL GENERICOS</t>
  </si>
  <si>
    <t>SIN COBERTURA(0)</t>
  </si>
  <si>
    <t>MORALES MORA LILIAN</t>
  </si>
  <si>
    <t>SCLR20256942970</t>
  </si>
  <si>
    <t>LILIAN MORALES MORA</t>
  </si>
  <si>
    <t>ROSANA TERESA NAVARRO ARAVENA</t>
  </si>
  <si>
    <t>ESENCIAL S.A.</t>
  </si>
  <si>
    <t>JAVIER GONZALEZ HOFFMUNTER</t>
  </si>
  <si>
    <t>OYARZUN SILVA JORGE</t>
  </si>
  <si>
    <t>OYARZUN BUSTAMANTE VALERIA</t>
  </si>
  <si>
    <t>MEDICAMENTOS</t>
  </si>
  <si>
    <t>SCL20256942985</t>
  </si>
  <si>
    <t>HOSPITALIZACION</t>
  </si>
  <si>
    <t>JORGE OYARZUN SILVA</t>
  </si>
  <si>
    <t>VALERIA OYARZUN BUSTAMANTE</t>
  </si>
  <si>
    <t>HO07</t>
  </si>
  <si>
    <t>DERECHO A PABELLÓN</t>
  </si>
  <si>
    <t xml:space="preserve">H.M.Q. Y SERVICIOS HOSPITALARIOS </t>
  </si>
  <si>
    <t>K</t>
  </si>
  <si>
    <t>MARIA VALDES DEL PINP</t>
  </si>
  <si>
    <t>AM67</t>
  </si>
  <si>
    <t>MEDICAMENTOS BIOEQUIVALENTES GENERICO</t>
  </si>
  <si>
    <t>AM13</t>
  </si>
  <si>
    <t>MEDICAMENTOS GENÉRICOS</t>
  </si>
  <si>
    <t>MAURICIO GARRIDO SOZA</t>
  </si>
  <si>
    <t>GABRIELA ARAVENA VILLALON</t>
  </si>
  <si>
    <t>NUEVA MASVIDA</t>
  </si>
  <si>
    <t>SEYMOUR SECALL TIARE</t>
  </si>
  <si>
    <t>SCL20256959668</t>
  </si>
  <si>
    <t>TIARE SEYMOUR SECALL</t>
  </si>
  <si>
    <t>SHELIA RIVEROS SILVA</t>
  </si>
  <si>
    <t>DPR1</t>
  </si>
  <si>
    <t>PERIODONCIA</t>
  </si>
  <si>
    <t>CASANUEVA LABRA ANDREA SOLEDAD</t>
  </si>
  <si>
    <t>MUNOZ CASANUEVA MAITE</t>
  </si>
  <si>
    <t>SCLR20256939637</t>
  </si>
  <si>
    <t>ANDREA SOLEDAD CASANUEVA LABRA</t>
  </si>
  <si>
    <t>MAITE MUNOZ CASANUEVA</t>
  </si>
  <si>
    <t>JORGE LOPEZ PEREZ</t>
  </si>
  <si>
    <t>AM47</t>
  </si>
  <si>
    <t>MED. SALUD MENTAL DE MARCA</t>
  </si>
  <si>
    <t>MEDICAMENTO SALUD MENTAL NO GENERICO</t>
  </si>
  <si>
    <t>handy nef LEIVA</t>
  </si>
  <si>
    <t>XAIRYS ADRIANA FALCON MARQUEZ</t>
  </si>
  <si>
    <t>EVELYN MORALES SANDOVAL</t>
  </si>
  <si>
    <t>ANA REYES DELGADO</t>
  </si>
  <si>
    <t>CLAUDIO ANTONIO MASSU ESPINOZA</t>
  </si>
  <si>
    <t>JOSEFA MASSU CONTRERAS</t>
  </si>
  <si>
    <t>NADIA ANDREA CABRERA MEDINA</t>
  </si>
  <si>
    <t>ROXANA JAQULINE DIAZ MARAMBIO</t>
  </si>
  <si>
    <t>EDUARDO VILLARROEL MOLINA</t>
  </si>
  <si>
    <t>CELIA MADARIAGA MOLINA</t>
  </si>
  <si>
    <t>PATRICIO ADOLFO HERNANDEZ CASANOVA</t>
  </si>
  <si>
    <t>MAURICIO QUISPE RIOS</t>
  </si>
  <si>
    <t>MARCELA PEREZ TORRES</t>
  </si>
  <si>
    <t>HECTOR VENEGAS CEA</t>
  </si>
  <si>
    <t>ALEJANDRA VANESSA MEDINA BAEZA</t>
  </si>
  <si>
    <t>MARCELA RISCO ILNAO</t>
  </si>
  <si>
    <t>VICTORIA MORENO RISCO</t>
  </si>
  <si>
    <t>BASTIAN ANDRES GRANDON ACEVEDO</t>
  </si>
  <si>
    <t>FELIPE ANTONIO IMBARACK CHARAD</t>
  </si>
  <si>
    <t>CAROLAIN OGAS ABARCA</t>
  </si>
  <si>
    <t>EMILIO TOLEDO OGAS</t>
  </si>
  <si>
    <t>GABRIELA VILCHES VILLAGRAN</t>
  </si>
  <si>
    <t>SANDRA SALGADO BECERRA</t>
  </si>
  <si>
    <t>PATRICIA ANDREA RIVERA CHAMORRO</t>
  </si>
  <si>
    <t>MARIA FERNANDA     PELAYO GONZALEZ</t>
  </si>
  <si>
    <t>PAMELA ROCHA GUNCKEL</t>
  </si>
  <si>
    <t>JESSICA MARIA SEPULVEDA CORNEJO</t>
  </si>
  <si>
    <t>MARTINA DEL CARMEN GONZALEZ GALLARDO</t>
  </si>
  <si>
    <t>DALADIEER AURELIO LLANCAO CASTILLO</t>
  </si>
  <si>
    <t>MARIA CAMPOS HERNANDEZ</t>
  </si>
  <si>
    <t>RODRIGO ANT SANDOVAL RODRIGUEZ</t>
  </si>
  <si>
    <t>NICOLAS SANDOVAL PIZARRO</t>
  </si>
  <si>
    <t>PAMELA GATICA MANDIOLA</t>
  </si>
  <si>
    <t>MARGARET KAREN JIMENEZ BARRERA</t>
  </si>
  <si>
    <t>ALAIN HERMOSILLA FUENZALIDA</t>
  </si>
  <si>
    <t>VALENTINA HERMOSILLA ROJAS</t>
  </si>
  <si>
    <t>RICARDO ANUCH PUELLE</t>
  </si>
  <si>
    <t>FRANCISCO ANUCH DAGACH</t>
  </si>
  <si>
    <t>FERNANDO RUBEN REINES ARAYA</t>
  </si>
  <si>
    <t>FELIPE REINES CORNEJO</t>
  </si>
  <si>
    <t>MYRIAM HUERTA LEON</t>
  </si>
  <si>
    <t>MARIA JOSE BRANTT PINCHEIRA</t>
  </si>
  <si>
    <t>CATALINA CAMARA BRANTT</t>
  </si>
  <si>
    <t>DANITSA ALEJANDRA FUENTES FUENTES</t>
  </si>
  <si>
    <t>AGUSTIN ESCOBAR FUENTES</t>
  </si>
  <si>
    <t>MARIA FLORES CONCHA</t>
  </si>
  <si>
    <t>EDUARDO PEREZ URETA</t>
  </si>
  <si>
    <t>PATRICIA PELAITAY PALMA</t>
  </si>
  <si>
    <t>CARLOS FAUNDEZ SAEZ</t>
  </si>
  <si>
    <t>SANDRA LORETO BALLESTEROS BUXTON</t>
  </si>
  <si>
    <t>AGUSTIN CANALES BALLESTEROS</t>
  </si>
  <si>
    <t>KAROLINA VICTORIA ESPINOZA ARCE</t>
  </si>
  <si>
    <t>ALEJANDRA SUSAN HIDALGO CARDENAS</t>
  </si>
  <si>
    <t>VIDA TRES</t>
  </si>
  <si>
    <t>INGRID CACERES FUENZALIDA</t>
  </si>
  <si>
    <t>VERONICA ROJO LIRA</t>
  </si>
  <si>
    <t>MAXIMO SAEZ MOLINA</t>
  </si>
  <si>
    <t>FELIPE VARGAS OLGUIN</t>
  </si>
  <si>
    <t>JENNIFER PINEIRO SOTO</t>
  </si>
  <si>
    <t>MARIA DROGUETT SEPULVEDA</t>
  </si>
  <si>
    <t>NICOLAS ATALIVAR ROMO DROGUETT</t>
  </si>
  <si>
    <t>SANTIAGO ROMO SANCHEZ</t>
  </si>
  <si>
    <t>ASTRID SCHLOSS DIAZ</t>
  </si>
  <si>
    <t>CAROLINA SANCHEZ ESPINOZA</t>
  </si>
  <si>
    <t>MARCELA CELEDON MORA</t>
  </si>
  <si>
    <t>CARMEN DIAZ BRICEÑO</t>
  </si>
  <si>
    <t>CHRISTIAN ROJO GAETE</t>
  </si>
  <si>
    <t>ISABEL MARGARITA GARCES TORO</t>
  </si>
  <si>
    <t>CESAR SCARCELA LARIO</t>
  </si>
  <si>
    <t>VICTORIA OLIVIA BARDET DIAZ</t>
  </si>
  <si>
    <t>CLAUDIA RODRIGUEZ SANCHEZ</t>
  </si>
  <si>
    <t>JOSE MIGUEL VALDIVIA NUÑEZ</t>
  </si>
  <si>
    <t>CRISTHEL VENEGAS BUSTOS</t>
  </si>
  <si>
    <t>URSULA NAHIR ROJAS MARTINEZ</t>
  </si>
  <si>
    <t>ALEJANDRO BEZANILLA MENA</t>
  </si>
  <si>
    <t>GUADALUPE BEZANILLA MENA</t>
  </si>
  <si>
    <t>PATRICIA ELENA DIAZ GILIBERTO</t>
  </si>
  <si>
    <t>JOSE CANDIA BELMAR</t>
  </si>
  <si>
    <t>SANTIAGO CANDIA VERA</t>
  </si>
  <si>
    <t>IGNACIA BASCUNAN RODRIGUEZ</t>
  </si>
  <si>
    <t>MIGUEL CAMPOS ZAMORA</t>
  </si>
  <si>
    <t>RAMON ORELLANA ROJAS</t>
  </si>
  <si>
    <t>JOSE MERINO PETRIC</t>
  </si>
  <si>
    <t>MARTINA MERINO TOSCANO</t>
  </si>
  <si>
    <t>GASTON MERINO TOSCANO</t>
  </si>
  <si>
    <t>ARNAU GUZMAN SEYMOUR</t>
  </si>
  <si>
    <t>ESTER ELIANA MILLAHUAL LIEMPI</t>
  </si>
  <si>
    <t>FANNY LOURDES TORRES RODRIGUEZ</t>
  </si>
  <si>
    <t>ISIDORA CANALES BALLESTEROS</t>
  </si>
  <si>
    <t>DANIELA OYARCE VASQUEZ</t>
  </si>
  <si>
    <t>CHRISTIAN EDUARDO BADAL ORELLANA</t>
  </si>
  <si>
    <t>OSCAR FRANCISCO GARIN MARIN</t>
  </si>
  <si>
    <t>MARIA CARRASCO GONZALEZ</t>
  </si>
  <si>
    <t>TATIANA LUISA ROSENBLIT SILVA</t>
  </si>
  <si>
    <t>MARIA DEL PILAR AVILES GONZALEZ</t>
  </si>
  <si>
    <t>LUIS ANTONIO APABLAZA PEDREROS</t>
  </si>
  <si>
    <t>KATIA ISABEL JIMENEZ CORONADO</t>
  </si>
  <si>
    <t>ANA GALLEGUILLOS VALDES</t>
  </si>
  <si>
    <t>JOSEFA MORA ESPINOZA</t>
  </si>
  <si>
    <t>CECILIA MARCELA PIMENTEL ASTUDILLO</t>
  </si>
  <si>
    <t>GONZALO MENENDEZ ROMERO</t>
  </si>
  <si>
    <t>TOMAS MENENDEZ MARINOV</t>
  </si>
  <si>
    <t>JOSE SALAS DIAZ</t>
  </si>
  <si>
    <t>MARIA CORNEJO GAETE</t>
  </si>
  <si>
    <t>CRISTINA LEGARES GILI</t>
  </si>
  <si>
    <t>JORDI SANCHO LEGARES</t>
  </si>
  <si>
    <t>SOFIA GALVEZ DIAZ</t>
  </si>
  <si>
    <t>BANMÃ‰DICA</t>
  </si>
  <si>
    <t>BENJAMIN ALARCON SAENGER</t>
  </si>
  <si>
    <t>PURISIMA ESPINA ESCOBAR</t>
  </si>
  <si>
    <t>PAOLA ALEJANDRA VARGAS GONZALEZ</t>
  </si>
  <si>
    <t>JUAN CARLOS SAEZ MARTINEZ</t>
  </si>
  <si>
    <t>PAULA ESPINDOLA F</t>
  </si>
  <si>
    <t>JULIO VIVAS PARRA</t>
  </si>
  <si>
    <t>PATRICIO HANZ MULLER ESCUDERO</t>
  </si>
  <si>
    <t>SOFIA MULLER OPAZO</t>
  </si>
  <si>
    <t>ERNESTO RIVERA PEREIRA</t>
  </si>
  <si>
    <t>PAMELA TEJEDO CARMONA</t>
  </si>
  <si>
    <t>PABLO CAMPOS RAVELO</t>
  </si>
  <si>
    <t>ANTONELLA CAMPOS BOIN</t>
  </si>
  <si>
    <t>PIZARRO FLORES DAVID ALEJANDRO</t>
  </si>
  <si>
    <t>MEDICAMENTOS BIOEQUIVALENTES NO GENERICOS</t>
  </si>
  <si>
    <t>SCLR20256951370</t>
  </si>
  <si>
    <t>DAVID ALEJANDRO PIZARRO FLORES</t>
  </si>
  <si>
    <t>LEIVA RABAEL MARIELA</t>
  </si>
  <si>
    <t>MEDICAMENTO GENERICO ( GRUPO )</t>
  </si>
  <si>
    <t>SCLR20256954809</t>
  </si>
  <si>
    <t>MARIELA LEIVA RABAEL</t>
  </si>
  <si>
    <t>KATHERINE HERNANDEZ SALAZAR</t>
  </si>
  <si>
    <t>SANTIAGO OLGUIN HERNANDEZ</t>
  </si>
  <si>
    <t>JAVIERA ANDREA ARRIETA SILVA</t>
  </si>
  <si>
    <t>FACUNDO DANEI ARRIETA</t>
  </si>
  <si>
    <t>FACUNDO DANAEI ARRIETA</t>
  </si>
  <si>
    <t>JACQUELINE ARAYA BULBOA</t>
  </si>
  <si>
    <t>ROCÍO MONSERRAT     MONSALVE JIMÉNEZ</t>
  </si>
  <si>
    <t>VANESSA DROGUETT TORO</t>
  </si>
  <si>
    <t>CAROLINA HERNANDEZ MENA</t>
  </si>
  <si>
    <t>BENJAMIN RODRIGUEZ HERNANDEZ</t>
  </si>
  <si>
    <t>RODRIGO GONZALEZ GONZALEZ</t>
  </si>
  <si>
    <t>VALERIA ESMERALDA SEPULVEDA SEPULVEDA</t>
  </si>
  <si>
    <t>GENESIS YERAMI BLOISE RODRIGUEZ</t>
  </si>
  <si>
    <t>MARIA FARIAS MIRANDA</t>
  </si>
  <si>
    <t>TATIANA LAVIN SANCHEZ</t>
  </si>
  <si>
    <t>VALENTINA SALDIAS LAVIN</t>
  </si>
  <si>
    <t>ISABEL VIDAL MARQUEZ</t>
  </si>
  <si>
    <t>HILDA BRIONES DE LA HOZ</t>
  </si>
  <si>
    <t>PATRICIO PINO QUINTANILLA</t>
  </si>
  <si>
    <t>FERNANDA PINO HERRERA</t>
  </si>
  <si>
    <t>JUAN CARLOS PINILLA RUIZ</t>
  </si>
  <si>
    <t>DAVID SEPULVEDA FUENTES</t>
  </si>
  <si>
    <t>JUAN SEPULVEDA MARTINEZ</t>
  </si>
  <si>
    <t>NICOLAS SEPULVEDA GOMEZ</t>
  </si>
  <si>
    <t>DANAE SEPULVEDA UNDURRAGA</t>
  </si>
  <si>
    <t>RAUL EDUARDO BUSTAMANTE CANTERO</t>
  </si>
  <si>
    <t>JACOB MORALES PINO</t>
  </si>
  <si>
    <t>NANCY TAPIA FUENTES</t>
  </si>
  <si>
    <t>JUDITH CUBILLOS BAHAMONDES</t>
  </si>
  <si>
    <t>SEBASTIAN NICOLAS MUÑOZ BRIONES</t>
  </si>
  <si>
    <t>SANDRA SAN MARTIN ULLOA</t>
  </si>
  <si>
    <t>JORGE GUZMAN CORREA</t>
  </si>
  <si>
    <t>MARIA ZUNIGA VALDES</t>
  </si>
  <si>
    <t>JORGE SALAS SALAZAR</t>
  </si>
  <si>
    <t>JACQUELINE NOVOA RIQUELME</t>
  </si>
  <si>
    <t>ANA CASTRO ROJAS</t>
  </si>
  <si>
    <t>RAUL ALBERTO SILVA ZAPATA</t>
  </si>
  <si>
    <t>CAROLE HESS OCHOA</t>
  </si>
  <si>
    <t>FRANCISCO JAVIER MINA BERTOSSI</t>
  </si>
  <si>
    <t>ELISA MINA ERRAZURIZ</t>
  </si>
  <si>
    <t>DORIS GUZMAN WIDEMANN</t>
  </si>
  <si>
    <t>CHRISTIAN SALGADO VARAS</t>
  </si>
  <si>
    <t>SOFIA UNDURRAGA FARIAS</t>
  </si>
  <si>
    <t>CESAR RODRIGUEZ MINCHOLA</t>
  </si>
  <si>
    <t>TRINIDAD RODRIGUEZ GOMEZ</t>
  </si>
  <si>
    <t>ALEXANDER JOHN MACKENZIE HUGHES</t>
  </si>
  <si>
    <t>VERONICA MARIA MACHUCA VERGARA</t>
  </si>
  <si>
    <t>MASSIEL GOMEZ PEREZ</t>
  </si>
  <si>
    <t>FELIPE GUILLER DEL CAMPO ROJAS</t>
  </si>
  <si>
    <t>MARCIA GERALDINE DIAZ BONILLA</t>
  </si>
  <si>
    <t>SOLANGE ANDREA QUIROZ CAMPOS</t>
  </si>
  <si>
    <t>JORGE MADRID ORTIZ</t>
  </si>
  <si>
    <t>RICARDO ANTONIO SEPULVEDA ARAYA</t>
  </si>
  <si>
    <t>ANTONIO ALFREDO OSORIO DIAZ</t>
  </si>
  <si>
    <t>ROCIO POZO ANTONIN</t>
  </si>
  <si>
    <t>PAULA PACHECO BARRAZA</t>
  </si>
  <si>
    <t>NICOLETTE LEEANE MENESES SANTELICES</t>
  </si>
  <si>
    <t>IGNACIO MORAN MENESES</t>
  </si>
  <si>
    <t>KARINA ANGEL VALDEBENITO CORTES</t>
  </si>
  <si>
    <t>PAOLA MUÑOZ MONTES</t>
  </si>
  <si>
    <t>MARTA DEL PILAR FARIAS SALDAÑA</t>
  </si>
  <si>
    <t>DANITZA SCARLET VASQUEZ MUÑOZ</t>
  </si>
  <si>
    <t>XIMENA DEL PILAR CALDERA CARCAMO</t>
  </si>
  <si>
    <t>LIDIA ORELLANA ALCAYAGA</t>
  </si>
  <si>
    <t>GISSELA FERNANDEZ ROMERO</t>
  </si>
  <si>
    <t>JULIAN LOZANO FERNANDEZ</t>
  </si>
  <si>
    <t>JESUS LOZANO FERNANDEZ</t>
  </si>
  <si>
    <t>MARCELA MUÑOZ OLIVARES</t>
  </si>
  <si>
    <t>CLAUDIA MAGDALENA ANTIPA REYES</t>
  </si>
  <si>
    <t>TOMAS MUNOZ CASANUEVA</t>
  </si>
  <si>
    <t>INDIRA JACQUELINE MONSALVES ZUÑIGA</t>
  </si>
  <si>
    <t>JESSICA FUENTES OSORIO</t>
  </si>
  <si>
    <t>MARIA JOSE SOTO HELLWIG</t>
  </si>
  <si>
    <t>ALONSO NAVARRO SOTO</t>
  </si>
  <si>
    <t>GRACIELA RUBILAR CHIHUAICURA</t>
  </si>
  <si>
    <t>SOLEDAD ALVARADO CESPEDES</t>
  </si>
  <si>
    <t>BERNARDA JOSEFINA FONSECA GONZALEZ</t>
  </si>
  <si>
    <t>INGRID MUÑOZ HERNANDEZ</t>
  </si>
  <si>
    <t>MARTIN REINKING MUNOZ</t>
  </si>
  <si>
    <t>ANAMARIA DE LOURDES CARRASCO ALONSO</t>
  </si>
  <si>
    <t>MARIO OROZCO CABRERA</t>
  </si>
  <si>
    <t>SUSANA RAMOS ALVAREZ</t>
  </si>
  <si>
    <t>JEANNETTE CAROLINA KLEIN ALPES</t>
  </si>
  <si>
    <t>IVAN CARREÑO GUTIERREZ</t>
  </si>
  <si>
    <t>MAGDALENA CAMPOS BOIN</t>
  </si>
  <si>
    <t>MARCELO RAMOS URZUA</t>
  </si>
  <si>
    <t>LORENA CEA BASCUR</t>
  </si>
  <si>
    <t>HOMERO LUIS AYALA ORELLANA</t>
  </si>
  <si>
    <t>JESSICA ZAMBRA MEDINA</t>
  </si>
  <si>
    <t>DEBORAH VALESKA CATALAN FERREIRA</t>
  </si>
  <si>
    <t>ELISA ARAYA PIZARRO</t>
  </si>
  <si>
    <t>PAMELA VIE ALARCON</t>
  </si>
  <si>
    <t>GABRIEL DROUILLAS VIE</t>
  </si>
  <si>
    <t>RAYEN VILLALOBOS ESPINOZA</t>
  </si>
  <si>
    <t>JENIFER DEL PILAR ULLOA JARA</t>
  </si>
  <si>
    <t>ERIKA PEDRAZA PORTUGUEZ</t>
  </si>
  <si>
    <t>ALEJANDRA  A CARTES  PEREZ</t>
  </si>
  <si>
    <t>ANGELA JACQUELINE MEZA AVILA</t>
  </si>
  <si>
    <t>CLAUDIA CECILIA ASTUDILLO TOLEDO</t>
  </si>
  <si>
    <t>MARIA PAZ CARVAJAL ASTUDILLO</t>
  </si>
  <si>
    <t>ABIGAIL TORRES MONSALVES</t>
  </si>
  <si>
    <t>CARMEN CALFUAN TRAIPI</t>
  </si>
  <si>
    <t>CESAR ESTEBAN ARANCIBIA CASTRO</t>
  </si>
  <si>
    <t>LUCIA MIRANDA MARTINEZ</t>
  </si>
  <si>
    <t>MARGARITA EVELYN REYES TILLERIA</t>
  </si>
  <si>
    <t>ALEJANDRA ANDREA BUSTOS FLORES</t>
  </si>
  <si>
    <t>AMANDA VIANA BUSTOS</t>
  </si>
  <si>
    <t>DANIELA GRANDI GARCIA</t>
  </si>
  <si>
    <t>LEONEL GABRIEL GUERRA CALDERON</t>
  </si>
  <si>
    <t>YASNA QUIROGA SALINAS</t>
  </si>
  <si>
    <t>JESSICA FLORES GANA</t>
  </si>
  <si>
    <t>CLAUDIA OROZCO VELIZ</t>
  </si>
  <si>
    <t>GLADYS GALAZ REYES</t>
  </si>
  <si>
    <t>GABRIEL EDUARDO TOVAR FALCON</t>
  </si>
  <si>
    <t>ALBANY GABRIELA TOVAR FALCON</t>
  </si>
  <si>
    <t>ADRIAN EDUARDO TOVAR FALCON</t>
  </si>
  <si>
    <t>VERONICA DEL CARMEN ROMO CAMPOS</t>
  </si>
  <si>
    <t>ANA MILENA SANCHEZ VALDES</t>
  </si>
  <si>
    <t>MAURICIO ANTONIO SALINAS ASTORGA</t>
  </si>
  <si>
    <t>MARIA OLGA CONTRERAS ROCO</t>
  </si>
  <si>
    <t>MARISA JACQUELINE CARVAJAL ARAYA</t>
  </si>
  <si>
    <t>LAURA DEL PILAR ALFARO MARTINEZ</t>
  </si>
  <si>
    <t>PATRICIO TOBAR ARRIAGADA</t>
  </si>
  <si>
    <t>CLAUDIA MARCELA ARAYA ZUNIGA</t>
  </si>
  <si>
    <t>PATRICIA MUNOZ GUTIERREZ</t>
  </si>
  <si>
    <t>CAROLA TORRES PEÑA</t>
  </si>
  <si>
    <t>CRISTINA GONZALEZ GUZMAN</t>
  </si>
  <si>
    <t>MARTINA ANTONIA DELGADO GONZALEZ</t>
  </si>
  <si>
    <t>DANITZA ANDREA CARVACHO DONOSO</t>
  </si>
  <si>
    <t>BARBARA AGUILA GARRIDO</t>
  </si>
  <si>
    <t>BASTIAN HUERTA DIAZ</t>
  </si>
  <si>
    <t>INGRID ARACENA RIVERA</t>
  </si>
  <si>
    <t>MONICA ROJAS REINOSO</t>
  </si>
  <si>
    <t>JESSICA LORENA SOTO MARTINEZ</t>
  </si>
  <si>
    <t>GABRIEL SANDOVAL BRANTT</t>
  </si>
  <si>
    <t>MIGUEL DIAZ PASMIÑO</t>
  </si>
  <si>
    <t>FLORENCIA DIAZ CANCINO</t>
  </si>
  <si>
    <t>BERNARDINO DAGOBERTO HERNANDEZ PEREZ</t>
  </si>
  <si>
    <t>MARTINA CESPEDES AGUILA</t>
  </si>
  <si>
    <t>CAROLINA CASTILLO CASTILLO</t>
  </si>
  <si>
    <t>JOSEFA MUNOZ CASTILLO</t>
  </si>
  <si>
    <t>BENJAMIN VILLEGAS GONZALEZ</t>
  </si>
  <si>
    <t>GONZALO MORA BARROS</t>
  </si>
  <si>
    <t>MARISOL HERNANDEZ PLACENCIO</t>
  </si>
  <si>
    <t>ARACELIT PARRA GUTIERREZ</t>
  </si>
  <si>
    <t>MARCELO ALEJANDRO FLORES LISBOA</t>
  </si>
  <si>
    <t>FERNANDA CHAMORRO DIAZ</t>
  </si>
  <si>
    <t>XIMENA ORELLANA AROS</t>
  </si>
  <si>
    <t>MARIA DI BIASE FERONE</t>
  </si>
  <si>
    <t>PAMELA MAKARENA CASTRO SEPULVEDA</t>
  </si>
  <si>
    <t>MARIA LORETO FUENTEALBA PEREZ</t>
  </si>
  <si>
    <t>ANTONIA RAYO FUENTEALBA</t>
  </si>
  <si>
    <t>FELIPE GUZMAN SALAZAR</t>
  </si>
  <si>
    <t>ALFREDO MAURICIO ABARCA AHUMADA</t>
  </si>
  <si>
    <t>EDITH MYRIAM AEDO MEZA</t>
  </si>
  <si>
    <t>MAURICIO OCTAVIO ALVAREZ VENEGAS</t>
  </si>
  <si>
    <t>MIRIAM DORIS FIGUEROA ELGUETA</t>
  </si>
  <si>
    <t>FELIPE TORRES FERNANDEZ</t>
  </si>
  <si>
    <t>NICOLAS GOMEZ SANTANA</t>
  </si>
  <si>
    <t>CAROLINA SIU YIN WENG SANTANA</t>
  </si>
  <si>
    <t>JEANNETTE OLATE CORNEJO</t>
  </si>
  <si>
    <t>PAOLA PEREZ MUÑOZ</t>
  </si>
  <si>
    <t>CECILIA MONTOYA ORTIZ</t>
  </si>
  <si>
    <t>CONSTANZA VILLANUEVA SCHLOSS</t>
  </si>
  <si>
    <t>MARCELA RODRIGUEZ ARAVENA</t>
  </si>
  <si>
    <t>CECILIA CIFUENTES REBOLLEDO</t>
  </si>
  <si>
    <t>ALONSO VIZCARRA CIFUENTES</t>
  </si>
  <si>
    <t>EMILIO FARIAS TISERA</t>
  </si>
  <si>
    <t>JESSICA ORREGO RIVANO</t>
  </si>
  <si>
    <t>SANDRA FLORES REYES</t>
  </si>
  <si>
    <t>PAMELA ALEJANDRA SEREY SEREY</t>
  </si>
  <si>
    <t>SANTIAGO ARAVENA SEREY</t>
  </si>
  <si>
    <t>PAMELA ALEJANDRA LAVIN SEREY</t>
  </si>
  <si>
    <t>SANTIAGO ALBERTO ARAVENA LAVIN</t>
  </si>
  <si>
    <t>FRANCISCA CASTILLO PARADA</t>
  </si>
  <si>
    <t>PAOLA FLORES ROSALES</t>
  </si>
  <si>
    <t>TERESA JACQUELINE BLU HUEPE</t>
  </si>
  <si>
    <t>NICOLAS PATRICIO ORTIZ SAEZ</t>
  </si>
  <si>
    <t>MATEO ORTIZ AREVALO</t>
  </si>
  <si>
    <t>RODRIGO DAVID CONTRERAS CACERES</t>
  </si>
  <si>
    <t>FANCY TRUJILLO ROJAS</t>
  </si>
  <si>
    <t>MARIA EUGENIA MALAGARRIGA ARAYA</t>
  </si>
  <si>
    <t>ALFREDO GONZALEZ LOBOS</t>
  </si>
  <si>
    <t>QUINTANILLA COLINA MARIA</t>
  </si>
  <si>
    <t>SCL20256959602</t>
  </si>
  <si>
    <t>MARIA QUINTANILLA COLINA</t>
  </si>
  <si>
    <t>GUZMAN SEYMOUR ARNAU</t>
  </si>
  <si>
    <t>12 DE SEPTIEMBRE DE 2025</t>
  </si>
  <si>
    <t>ESTADO HISTORIA</t>
  </si>
  <si>
    <t>N° Sol. Ext. ESTA ES LA QUE TIENEN LOS ASEGURADOS</t>
  </si>
  <si>
    <t>MAIL</t>
  </si>
  <si>
    <t>CRISTIAN.VASQUEZ@AFPHABITAT.CL</t>
  </si>
  <si>
    <t>NVILLAGR@AFPHABITAT.CL</t>
  </si>
  <si>
    <t>DANIELA.MENDEZ@AFPHABITAT.CL</t>
  </si>
  <si>
    <t>ISABEL.LARRAIN@AFPHABITAT.CL</t>
  </si>
  <si>
    <t>ANA.ABARCA@AFPHABITAT.CL</t>
  </si>
  <si>
    <t>CAMILA.MOYA@AFPHABITAT.CL</t>
  </si>
  <si>
    <t>RODRIGO.MARTINEZ@AFPHABITAT.CL</t>
  </si>
  <si>
    <t>DPILLIGU@AFPHABITAT.CL</t>
  </si>
  <si>
    <t>CBASAEZ@AFPHABITAT.CL</t>
  </si>
  <si>
    <t>CLAUDIO.BARRAZA@AFPHABITAT.CL</t>
  </si>
  <si>
    <t>ADOLFO.LANG@AFPHABITAT.CL</t>
  </si>
  <si>
    <t>RUTH.MUNOZ@AFPHABITAT.CL</t>
  </si>
  <si>
    <t>DENISSE.VIDAL@AFPHABITAT.CL</t>
  </si>
  <si>
    <t>NVILLALO@AFPHABITAT.CL</t>
  </si>
  <si>
    <t>EJARAD@AFPHABITAT.CL</t>
  </si>
  <si>
    <t>JVILLEGA@AFPHABITAT.CL</t>
  </si>
  <si>
    <t>MATIAS.CORTES@AFPHABITAT.CL</t>
  </si>
  <si>
    <t>VICTORIA.BARDET@AFPHABITAT.CL</t>
  </si>
  <si>
    <t>PRIVERAM@AFPHABITAT.CL</t>
  </si>
  <si>
    <t>ICARRASC@AFPHABITAT.CL</t>
  </si>
  <si>
    <t>LMORALES@AFPHABITAT.CL</t>
  </si>
  <si>
    <t>RNAVARRA@AFPHABITAT.CL</t>
  </si>
  <si>
    <t>JAVIER.GONZALEZ.HOFFMEISTER@AFPHABITAT.CL</t>
  </si>
  <si>
    <t>JOYARZUN@AFPHABITAT.CL</t>
  </si>
  <si>
    <t>MVALDES@AFPHABITAT.CL</t>
  </si>
  <si>
    <t>MGARRIDO@AFPHABITAT.CL</t>
  </si>
  <si>
    <t>GARAVENV@AFPHABITAT.CL</t>
  </si>
  <si>
    <t>TSEYMOUR@AFPHABITAT.CL</t>
  </si>
  <si>
    <t>SRIVEROS@AFPHABITAT.CL</t>
  </si>
  <si>
    <t>ANDREA.CASANUEVA@AFPHABITAT.CL</t>
  </si>
  <si>
    <t>JLOPEZ@AFPHABITAT.CL</t>
  </si>
  <si>
    <t>HNEFLE@AFPHABITAT.CL</t>
  </si>
  <si>
    <t>XAIRYS.FALCON@AFPHABITAT.CL</t>
  </si>
  <si>
    <t>EVELYN.SANDOVAL@AFPHABITAT.CL</t>
  </si>
  <si>
    <t>ANA.REYES@AFPHABITAT.CL</t>
  </si>
  <si>
    <t>CMASSUE@AFPHABITAT.CL</t>
  </si>
  <si>
    <t>NADIA.CABRERA@AFPHABITAT.CL</t>
  </si>
  <si>
    <t>RDIAZ@AFPHABITAT.CL</t>
  </si>
  <si>
    <t>EVILLARR@AFPHABITAT.CL</t>
  </si>
  <si>
    <t>PHERNANC@AFPHABITAT.CL</t>
  </si>
  <si>
    <t>MQUISPE@AFPHABITAT.CL</t>
  </si>
  <si>
    <t>MARCELA.PEREZ@AFPHABITAT.CL</t>
  </si>
  <si>
    <t>HECTOR.VENEGAS@AFPHABITAT.CL</t>
  </si>
  <si>
    <t>AMEDINAB@AFPHABITAT.CL</t>
  </si>
  <si>
    <t>MRISCO@AFPHABITAT.CL</t>
  </si>
  <si>
    <t>BASTIAN.GRANDON@AFPHABITAT.CL</t>
  </si>
  <si>
    <t>FIMBARAC@AFPHABITAT.CL</t>
  </si>
  <si>
    <t>COGASAB@AFPHABITAT.CL</t>
  </si>
  <si>
    <t>GVILCHEV@AFPHABITAT.CL</t>
  </si>
  <si>
    <t>SSALGADB@AFPHABITAT.CL</t>
  </si>
  <si>
    <t>PRIVERAC@AFPHABITAT.CL</t>
  </si>
  <si>
    <t>MPELAYO@AFPHABITAT.CL</t>
  </si>
  <si>
    <t>PROCHAG@AFPHABITAT.CL</t>
  </si>
  <si>
    <t>JSEPULVC@AFPHABITAT.CL</t>
  </si>
  <si>
    <t>MARTINA.GONZALEZ@AFPHABITAT.CL</t>
  </si>
  <si>
    <t>DALADIEER.LLANCAO@AFPHABITAT.CL</t>
  </si>
  <si>
    <t>MARIA.CAMPOS@AFPHABITAT.CL</t>
  </si>
  <si>
    <t>RSANDOVR@AFPHABITAT.CL</t>
  </si>
  <si>
    <t>PGATICA@AFPHABITAT.CL</t>
  </si>
  <si>
    <t>MARGARET.JIMENEZ@AFPHABITAT.CL</t>
  </si>
  <si>
    <t>AHERMOSI@AFPHABITAT.CL</t>
  </si>
  <si>
    <t>RANUCH@AFPHABITAT.CL</t>
  </si>
  <si>
    <t>FREINES@AFPHABITAT.CL</t>
  </si>
  <si>
    <t>MHUERTAL@AFPHABITAT.CL</t>
  </si>
  <si>
    <t>MBRANTT@AFPHABITAT.CL</t>
  </si>
  <si>
    <t>DFUENTEF@AFPHABITAT.CL</t>
  </si>
  <si>
    <t>MFLORESC@AFPHABITAT.CL</t>
  </si>
  <si>
    <t>EPEREZ@AFPHABITAT.CL</t>
  </si>
  <si>
    <t>PPELAITA@AFPHABITAT.CL</t>
  </si>
  <si>
    <t>CFAUNDEZ@AFPHABITAT.CL</t>
  </si>
  <si>
    <t>SBALLEST@AFPHABITAT.CL</t>
  </si>
  <si>
    <t>KESPINOZ@AFPHABITAT.CL</t>
  </si>
  <si>
    <t>AHIDALGC@AFPHABITAT.CL</t>
  </si>
  <si>
    <t>ICACERES@AFPHABITAT.CL</t>
  </si>
  <si>
    <t>VROJOL@AFPHABITAT.CL</t>
  </si>
  <si>
    <t>MSAEZ@AFPHABITAT.CL</t>
  </si>
  <si>
    <t>FVARGASO@AFPHABITAT.CL</t>
  </si>
  <si>
    <t>MDROGUET@AFPHABITAT.CL</t>
  </si>
  <si>
    <t>NROMOD@AFPHABITAT.CL</t>
  </si>
  <si>
    <t>ASCHLOSS@AFPHABITAT.CL</t>
  </si>
  <si>
    <t>CAROLINA.SANCHEZ.ESPINOZA@AFPHABITAT.CL</t>
  </si>
  <si>
    <t>MCELEDON@AFPHABITAT.CL</t>
  </si>
  <si>
    <t>CDIAZB@AFPHABITAT.CL</t>
  </si>
  <si>
    <t>CROJO@AFPHABITAT.CL</t>
  </si>
  <si>
    <t>IGARCES@AFPHABITAT.CL</t>
  </si>
  <si>
    <t>CSCARCEL@AFPHABITAT.CL</t>
  </si>
  <si>
    <t>CLAUDIA.RODRIGUEZ@AFPHABITAT.CL</t>
  </si>
  <si>
    <t>JVALDIVN@AFPHABITAT.CL</t>
  </si>
  <si>
    <t>UROJASM@AFPHABITAT.CL</t>
  </si>
  <si>
    <t>PATRICIA.DIAZ@AFPHABITAT.CL</t>
  </si>
  <si>
    <t>HCANDIA@AFPHABITAT.CL</t>
  </si>
  <si>
    <t>MCAMPOS@AFPHABITAT.CL</t>
  </si>
  <si>
    <t>RORELLAN@AFPHABITAT.CL</t>
  </si>
  <si>
    <t>JMERINO@AFPHABITAT.CL</t>
  </si>
  <si>
    <t>EMILLAHU@AFPHABITAT.CL</t>
  </si>
  <si>
    <t>FTORRES@AFPHABITAT.CL</t>
  </si>
  <si>
    <t>DOYARCE@AFPHABITAT.CL</t>
  </si>
  <si>
    <t>CBADAL@AFPHABITAT.CL</t>
  </si>
  <si>
    <t>OSCAR.GARIN@AFPHABITAT.CL</t>
  </si>
  <si>
    <t>TATIANA.ROSENBLIT@AFPHABITAT.CL</t>
  </si>
  <si>
    <t>MAVILES@AFPHABITAT.CL</t>
  </si>
  <si>
    <t>LAPABLAZ@AFPHABITAT.CL</t>
  </si>
  <si>
    <t>KJIMENEZ@AFPHABITAT.CL</t>
  </si>
  <si>
    <t>AGALLEGU@AFPHABITAT.CL</t>
  </si>
  <si>
    <t>CPIMENTE@AFPHABITAT.CL</t>
  </si>
  <si>
    <t>GONZALO.MENENDEZ@AFPHABITAT.CL</t>
  </si>
  <si>
    <t>JSALASD@AFPHABITAT.CL</t>
  </si>
  <si>
    <t>CLEGARES@AFPHABITAT.CL</t>
  </si>
  <si>
    <t>BALARCON@AFPHABITAT.CL</t>
  </si>
  <si>
    <t>PESPINAE@AFPHABITAT.CL</t>
  </si>
  <si>
    <t>PVARGAGO@AFPHABITAT.CL</t>
  </si>
  <si>
    <t>JSAEZM@AFPHABITAT.CL</t>
  </si>
  <si>
    <t>PESPINDO@AFPHABITAT.CL</t>
  </si>
  <si>
    <t>JVIVAS@AFPHABITAT.CL</t>
  </si>
  <si>
    <t>PMULLER@AFPHABITAT.CL</t>
  </si>
  <si>
    <t>ERIVERA@AFPHABITAT.CL</t>
  </si>
  <si>
    <t>PABLO.CAMPOS@AFPHABITAT.CL</t>
  </si>
  <si>
    <t>DPIZARRF@AFPHABITAT.CL</t>
  </si>
  <si>
    <t>MLEIVAR@AFPHABITAT.CL</t>
  </si>
  <si>
    <t>KHERNAND@AFPHABITAT.CL</t>
  </si>
  <si>
    <t>JAVIERA.ARRIETA@AFPHABITAT.CL</t>
  </si>
  <si>
    <t>JARAYA@AFPHABITAT.CL</t>
  </si>
  <si>
    <t>RMONSALV@AFPHABITAT.CL</t>
  </si>
  <si>
    <t>VDROGUET@AFPHABITAT.CL</t>
  </si>
  <si>
    <t>CHERNAND@AFPHABITAT.CL</t>
  </si>
  <si>
    <t>RGONZALE@AFPHABITAT.CL</t>
  </si>
  <si>
    <t>VSEPULVE@AFPHABITAT.CL</t>
  </si>
  <si>
    <t>GENESIS.BLOISE@AFPHABITAT.CL</t>
  </si>
  <si>
    <t>PFARIAS@AFPHABITAT.CL</t>
  </si>
  <si>
    <t>TLAVINS@AFPHABITAT.CL</t>
  </si>
  <si>
    <t>IVIDALM@AFPHABITAT.CL</t>
  </si>
  <si>
    <t>HBRIONES@AFPHABITAT.CL</t>
  </si>
  <si>
    <t>PPINOQ@AFPHABITAT.CL</t>
  </si>
  <si>
    <t>JUANCARLOS.PINILLA@AFPHABITAT.CL</t>
  </si>
  <si>
    <t>DSEPULVE@AFPHABITAT.CL</t>
  </si>
  <si>
    <t>NICOLAS.SEPULVEDA@AFPHABITAT.CL</t>
  </si>
  <si>
    <t>RBUSTAMA@AFPHABITAT.CL</t>
  </si>
  <si>
    <t>JMORALES@AFPHABITAT.CL</t>
  </si>
  <si>
    <t>NTAPIA@AFPHABITAT.CL</t>
  </si>
  <si>
    <t>JCUBILLO@AFPHABITAT.CL</t>
  </si>
  <si>
    <t>SEBASTIAN.MUNOZ@AFPHABITAT.CL</t>
  </si>
  <si>
    <t>SSANMART@AFPHABITAT.CL</t>
  </si>
  <si>
    <t>JGUZMAN@AFPHABITAT.CL</t>
  </si>
  <si>
    <t>JSALAS@AFPHABITAT.CL</t>
  </si>
  <si>
    <t>JNOVOA@AFPHABITAT.CL</t>
  </si>
  <si>
    <t>ACASTROR@AFPHABITAT.CL</t>
  </si>
  <si>
    <t>RSILVAP@AFPHABITAT.CL</t>
  </si>
  <si>
    <t>FMINA@AFPHABITAT.CL</t>
  </si>
  <si>
    <t>DGUZMAN@AFPHABITAT.CL</t>
  </si>
  <si>
    <t>CSALGADO@AFPHABITAT.CL</t>
  </si>
  <si>
    <t>CESAR.RODRIGUEZ@AFPHABITAT.CL</t>
  </si>
  <si>
    <t>ALEXANDER.MACKENZIE@AFPHABITAT.CL</t>
  </si>
  <si>
    <t>VERONICA.MACHUCA@AFPHABITAT.CL</t>
  </si>
  <si>
    <t>FDELCAMP@AFPHABITAT.CL</t>
  </si>
  <si>
    <t>MDIAZB@AFPHABITAT.CL</t>
  </si>
  <si>
    <t>SOLANGE.QUIROZ@AFPHABITAT.CL</t>
  </si>
  <si>
    <t>JMADRID@AFPHABITAT.CL</t>
  </si>
  <si>
    <t>RICARDO.SEPULVEDA@AFPHABITAT.CL</t>
  </si>
  <si>
    <t>AOSORIOD@AFPHABITAT.CL</t>
  </si>
  <si>
    <t>ROCIO.POZO@AFPHABITAT.CL</t>
  </si>
  <si>
    <t>PPACHECB@AFPHABITAT.CL</t>
  </si>
  <si>
    <t>NICOLETTE.MENESES@AFPHABITAT.CL</t>
  </si>
  <si>
    <t>KVALDEBE@AFPHABITAT.CL</t>
  </si>
  <si>
    <t>PMUNOZM@AFPHABITAT.CL</t>
  </si>
  <si>
    <t>MFARIAS@AFPHABITAT.CL</t>
  </si>
  <si>
    <t>DANITZA.VASQUEZ@AFPHABITAT.CL</t>
  </si>
  <si>
    <t>XCALDERA@AFPHABITAT.CL</t>
  </si>
  <si>
    <t>LORELLAA@AFPHABITAT.CL</t>
  </si>
  <si>
    <t>GFERNAND@AFPHABITAT.CL</t>
  </si>
  <si>
    <t>MMUNOZO@AFPHABITAT.CL</t>
  </si>
  <si>
    <t>CANTIPA@AFPHABITAT.CL</t>
  </si>
  <si>
    <t>IMONSALV@AFPHABITAT.CL</t>
  </si>
  <si>
    <t>JESSICA.FUENTES@AFPHABITAT.CL</t>
  </si>
  <si>
    <t>MSOTOHE@AFPHABITAT.CL</t>
  </si>
  <si>
    <t>GRUBILAR@AFPHABITAT.CL</t>
  </si>
  <si>
    <t>SALVARAD@AFPHABITAT.CL</t>
  </si>
  <si>
    <t>BERNALDA.FONSECA@AFPHABITAT.CL</t>
  </si>
  <si>
    <t>IMUNOZH@AFPHABITAT.CL</t>
  </si>
  <si>
    <t>ANAMARIA.CARRASCO@AFPHABITAT.CL</t>
  </si>
  <si>
    <t>MOROZCOC@AFPHABITAT.CL</t>
  </si>
  <si>
    <t>SRAMOSA@AFPHABITAT.CL</t>
  </si>
  <si>
    <t>JEANNETTE.KLEIN@AFPHABITAT.CL</t>
  </si>
  <si>
    <t>ICARRENG@AFPHABITAT.CL</t>
  </si>
  <si>
    <t>MRAMOS@AFPHABITAT.CL</t>
  </si>
  <si>
    <t>HAYALAO@AFPHABITAT.CL</t>
  </si>
  <si>
    <t>JZAMBRA@AFPHABITAT.CL</t>
  </si>
  <si>
    <t>DEBORAH.CATALAN@AFPHABITAT.CL</t>
  </si>
  <si>
    <t>EARAYAP@AFPHABITAT.CL</t>
  </si>
  <si>
    <t>PVIEAL@AFPHABITAT.CL</t>
  </si>
  <si>
    <t>RVILLALO@AFPHABITAT.CL</t>
  </si>
  <si>
    <t>JULLOAJ@AFPHABITAT.CL</t>
  </si>
  <si>
    <t>EPEDRAZA@AFPHABITAT.CL</t>
  </si>
  <si>
    <t>ALEJANDRA.CARTES@AFPHABITAT.CL</t>
  </si>
  <si>
    <t>ANGELA.MEZA@AFPHABITAT.CL</t>
  </si>
  <si>
    <t>CLAUDIA.ASTUDILLO.TOLEDO@AFPHABITAT.CL</t>
  </si>
  <si>
    <t>CCALFUAN@AFPHABITAT.CL</t>
  </si>
  <si>
    <t>CARANCIB@AFPHABITAT.CL</t>
  </si>
  <si>
    <t>MARGARITA.REYES@AFPHABITAT.CL</t>
  </si>
  <si>
    <t>ALEJANDRA.BUSTOS@AFPHABITAT.CL</t>
  </si>
  <si>
    <t>DGRANDI@AFPHABITAT.CL</t>
  </si>
  <si>
    <t>LGUERRA@AFPHABITAT.CL</t>
  </si>
  <si>
    <t>JFLORESG@AFPHABITAT.CL</t>
  </si>
  <si>
    <t>GGALAZR@AFPHABITAT.CL</t>
  </si>
  <si>
    <t>VERONICA.ROMO@AFPHABITAT.CL</t>
  </si>
  <si>
    <t>ANA.SANCHEZ@AFPHABITAT.CL</t>
  </si>
  <si>
    <t>MSALINAS@AFPHABITAT.CL</t>
  </si>
  <si>
    <t>MARIA.CONTRERAS@AFPHABITAT.CL</t>
  </si>
  <si>
    <t>MARISA.CARVAJAL@AFPHABITAT.CL</t>
  </si>
  <si>
    <t>LAURA.ALFARO@AFPHABITAT.CL</t>
  </si>
  <si>
    <t>PTOBARA@AFPHABITAT.CL</t>
  </si>
  <si>
    <t>CLAUDIA.ARAYA@AFPHABITAT.CL</t>
  </si>
  <si>
    <t>CAROLA.TORRES@AFPHABITAT.CL</t>
  </si>
  <si>
    <t>CRIGONZA@AFPHABITAT.CL</t>
  </si>
  <si>
    <t>DCARVACH@AFPHABITAT.CL</t>
  </si>
  <si>
    <t>BARBARA.AGUILA@AFPHABITAT.CL</t>
  </si>
  <si>
    <t>IARACENA@AFPHABITAT.CL</t>
  </si>
  <si>
    <t>MROJASR@AFPHABITAT.CL</t>
  </si>
  <si>
    <t>JESSICA.SOTO@AFPHABITAT.CL</t>
  </si>
  <si>
    <t>MDIAZP@AFPHABITAT.CL</t>
  </si>
  <si>
    <t>BHERNAPE@AFPHABITAT.CL</t>
  </si>
  <si>
    <t>CCASTILC@AFPHABITAT.CL</t>
  </si>
  <si>
    <t>GONZALO.MORA@AFPHABITAT.CL</t>
  </si>
  <si>
    <t>MHERNAND@AFPHABITAT.CL</t>
  </si>
  <si>
    <t>ARACELIT.PARRA@AFPHABITAT.CL</t>
  </si>
  <si>
    <t>MFLORESL@AFPHABITAT.CL</t>
  </si>
  <si>
    <t>PCHAMOD@AFPHABITAT.CL</t>
  </si>
  <si>
    <t>XORELLAN@AFPHABITAT.CL</t>
  </si>
  <si>
    <t>MDIBIASE@AFPHABITAT.CL</t>
  </si>
  <si>
    <t>PCASTROS@AFPHABITAT.CL</t>
  </si>
  <si>
    <t>MFUENTEA@AFPHABITAT.CL</t>
  </si>
  <si>
    <t>FGUZMAN@AFPHABITAT.CL</t>
  </si>
  <si>
    <t>AABARCAH@AFPHABITAT.CL</t>
  </si>
  <si>
    <t>EAEDOM@AFPHABITAT.CL</t>
  </si>
  <si>
    <t>MALVAREZ@AFPHABITAT.CL</t>
  </si>
  <si>
    <t>DFIGUERO@AFPHABITAT.CL</t>
  </si>
  <si>
    <t>FELIPE.TORRES@AFPHABITAT.CL</t>
  </si>
  <si>
    <t>NGOMEZ@AFPHABITAT.CL</t>
  </si>
  <si>
    <t>CWENGS@AFPHABITAT.CL</t>
  </si>
  <si>
    <t>JOLATE@AFPHABITAT.CL</t>
  </si>
  <si>
    <t>PPEREZM@AFPHABITAT.CL</t>
  </si>
  <si>
    <t>CMONTOYO@AFPHABITAT.CL</t>
  </si>
  <si>
    <t>MRODRIGA@AFPHABITAT.CL</t>
  </si>
  <si>
    <t>CCIFUENR@AFPHABITAT.CL</t>
  </si>
  <si>
    <t>EFARIAST@AFPHABITAT.CL</t>
  </si>
  <si>
    <t>SFLORES@AFPHABITAT.CL</t>
  </si>
  <si>
    <t>PAMELA.LAVIN@AFPHABITAT.CL</t>
  </si>
  <si>
    <t>FCASTILP@AFPHABITAT.CL</t>
  </si>
  <si>
    <t>PFLORES@AFPHABITAT.CL</t>
  </si>
  <si>
    <t>TBLUHU@AFPHABITAT.CL</t>
  </si>
  <si>
    <t>NORTIZS@AFPHABITAT.CL</t>
  </si>
  <si>
    <t>ROCONTRE@AFPHABITAT.CL</t>
  </si>
  <si>
    <t>FANCY.TRUJILLO@AFPHABITAT.CL</t>
  </si>
  <si>
    <t>MARIAEUGENIA.MALAGARRIGA@AFPHABITAT.CL</t>
  </si>
  <si>
    <t>MQUINTAN@AFPHABITAT.CL</t>
  </si>
  <si>
    <t>IMED SALUD</t>
  </si>
  <si>
    <t>rut|rutprestador|nrodoc|nrosolic</t>
  </si>
  <si>
    <t>Convenio2</t>
  </si>
  <si>
    <t>Igualdad</t>
  </si>
  <si>
    <t>MODALIDAD REEMBOLSO</t>
  </si>
  <si>
    <t>DEPOSITADO EN CUENTA</t>
  </si>
  <si>
    <t>APORTE VIA IMED</t>
  </si>
  <si>
    <t>rut|rutprestador|nrodoc|solic</t>
  </si>
  <si>
    <t>Row Labels</t>
  </si>
  <si>
    <t>Grand Total</t>
  </si>
  <si>
    <t>Count of Rut Asegurado</t>
  </si>
  <si>
    <t>CSALAZAR@SOMOSBEWELL.CL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</si>
</sst>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_ ;_ &quot;$&quot;* \-#,##0_ ;_ &quot;$&quot;* &quot;-&quot;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3" fillId="2" borderId="1" xfId="0" applyFont="1" applyFill="1" applyBorder="1"/>
    <xf numFmtId="1" fontId="3" fillId="3" borderId="1" xfId="0" applyNumberFormat="1" applyFont="1" applyFill="1" applyBorder="1"/>
    <xf numFmtId="164" fontId="3" fillId="2" borderId="1" xfId="1" applyFont="1" applyFill="1" applyBorder="1"/>
    <xf numFmtId="164" fontId="3" fillId="3" borderId="1" xfId="1" applyFont="1" applyFill="1" applyBorder="1"/>
    <xf numFmtId="1" fontId="3" fillId="2" borderId="1" xfId="0" applyNumberFormat="1" applyFont="1" applyFill="1" applyBorder="1"/>
    <xf numFmtId="14" fontId="3" fillId="2" borderId="1" xfId="0" applyNumberFormat="1" applyFont="1" applyFill="1" applyBorder="1"/>
    <xf numFmtId="17" fontId="2" fillId="0" borderId="1" xfId="0" applyNumberFormat="1" applyFont="1" applyBorder="1"/>
    <xf numFmtId="1" fontId="2" fillId="3" borderId="1" xfId="0" applyNumberFormat="1" applyFont="1" applyFill="1" applyBorder="1"/>
    <xf numFmtId="0" fontId="2" fillId="0" borderId="1" xfId="0" applyFont="1" applyBorder="1"/>
    <xf numFmtId="164" fontId="2" fillId="0" borderId="1" xfId="1" applyFont="1" applyBorder="1"/>
    <xf numFmtId="164" fontId="2" fillId="3" borderId="1" xfId="1" applyFont="1" applyFill="1" applyBorder="1"/>
    <xf numFmtId="1" fontId="2" fillId="0" borderId="1" xfId="0" applyNumberFormat="1" applyFont="1" applyBorder="1"/>
    <xf numFmtId="14" fontId="2" fillId="0" borderId="1" xfId="0" applyNumberFormat="1" applyFont="1" applyBorder="1"/>
    <xf numFmtId="0" fontId="2" fillId="3" borderId="1" xfId="0" applyFont="1" applyFill="1" applyBorder="1"/>
    <xf numFmtId="0" fontId="3" fillId="3" borderId="2" xfId="0" applyFont="1" applyFill="1" applyBorder="1"/>
    <xf numFmtId="0" fontId="3" fillId="3" borderId="1" xfId="0" applyFont="1" applyFill="1" applyBorder="1"/>
    <xf numFmtId="0" fontId="2" fillId="3" borderId="2" xfId="0" applyFont="1" applyFill="1" applyBorder="1"/>
    <xf numFmtId="0" fontId="3" fillId="4" borderId="1" xfId="0" applyFont="1" applyFill="1" applyBorder="1"/>
    <xf numFmtId="0" fontId="2" fillId="4" borderId="1" xfId="0" applyFont="1" applyFill="1" applyBorder="1"/>
    <xf numFmtId="17" fontId="2" fillId="3" borderId="1" xfId="0" applyNumberFormat="1" applyFont="1" applyFill="1" applyBorder="1"/>
    <xf numFmtId="14" fontId="3" fillId="3" borderId="1" xfId="0" applyNumberFormat="1" applyFont="1" applyFill="1" applyBorder="1"/>
    <xf numFmtId="14" fontId="2" fillId="3" borderId="1" xfId="0" applyNumberFormat="1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2" borderId="3" xfId="0" applyFont="1" applyFill="1" applyBorder="1"/>
    <xf numFmtId="0" fontId="2" fillId="0" borderId="3" xfId="0" applyFont="1" applyBorder="1"/>
    <xf numFmtId="14" fontId="0" fillId="0" borderId="0" xfId="0" applyNumberFormat="1"/>
    <xf numFmtId="0" fontId="3" fillId="2" borderId="4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4" fillId="3" borderId="1" xfId="2" applyFill="1" applyBorder="1"/>
  </cellXfs>
  <cellStyles count="3">
    <cellStyle name="Currency [0]" xfId="1" builtinId="7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salazar/Downloads/Analisis%20resutlado%20final%20validacion%20solo%20duplicados%20.xlsx" TargetMode="External"/><Relationship Id="rId1" Type="http://schemas.openxmlformats.org/officeDocument/2006/relationships/externalLinkPath" Target="/Users/csalazar/Downloads/Analisis%20resutlado%20final%20validacion%20solo%20duplicados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Sabana 285113-285123"/>
      <sheetName val="Reporte Duplicados"/>
    </sheetNames>
    <sheetDataSet>
      <sheetData sheetId="0" refreshError="1"/>
      <sheetData sheetId="1">
        <row r="1">
          <cell r="AQ1" t="str">
            <v>rut|rutprestador|nrodoc|solic</v>
          </cell>
          <cell r="AR1" t="str">
            <v>Desc_Tipo</v>
          </cell>
        </row>
        <row r="2">
          <cell r="AQ2" t="str">
            <v>10014102|76166543|929747549|929747549</v>
          </cell>
          <cell r="AR2" t="str">
            <v>IMED SALUD</v>
          </cell>
        </row>
        <row r="3">
          <cell r="AQ3" t="str">
            <v>10014102|76166543|929747549|929747549</v>
          </cell>
          <cell r="AR3" t="str">
            <v>IMED SALUD</v>
          </cell>
        </row>
        <row r="4">
          <cell r="AQ4" t="str">
            <v>10014102|76166543|929747549|65383786</v>
          </cell>
          <cell r="AR4" t="str">
            <v>GASTO FISICO</v>
          </cell>
        </row>
        <row r="5">
          <cell r="AQ5" t="str">
            <v>10025543|96617350|371364273|371364273</v>
          </cell>
          <cell r="AR5" t="str">
            <v>IMED SALUD</v>
          </cell>
        </row>
        <row r="6">
          <cell r="AQ6" t="str">
            <v>10025543|96617350|371364273|371364273</v>
          </cell>
          <cell r="AR6" t="str">
            <v>IMED SALUD</v>
          </cell>
        </row>
        <row r="7">
          <cell r="AQ7" t="str">
            <v>10025543|96617350|371364273|65383787</v>
          </cell>
          <cell r="AR7" t="str">
            <v>GASTO FISICO</v>
          </cell>
        </row>
        <row r="8">
          <cell r="AQ8" t="str">
            <v>10025543|96617350|371364383|371364383</v>
          </cell>
          <cell r="AR8" t="str">
            <v>IMED SALUD</v>
          </cell>
        </row>
        <row r="9">
          <cell r="AQ9" t="str">
            <v>10025543|96617350|371364383|371364383</v>
          </cell>
          <cell r="AR9" t="str">
            <v>IMED SALUD</v>
          </cell>
        </row>
        <row r="10">
          <cell r="AQ10" t="str">
            <v>10025543|96617350|371364383|371364383</v>
          </cell>
          <cell r="AR10" t="str">
            <v>IMED SALUD</v>
          </cell>
        </row>
        <row r="11">
          <cell r="AQ11" t="str">
            <v>10025543|96617350|371364383|371364383</v>
          </cell>
          <cell r="AR11" t="str">
            <v>IMED SALUD</v>
          </cell>
        </row>
        <row r="12">
          <cell r="AQ12" t="str">
            <v>10025543|96617350|371364383|65383788</v>
          </cell>
          <cell r="AR12" t="str">
            <v>GASTO FISICO</v>
          </cell>
        </row>
        <row r="13">
          <cell r="AQ13" t="str">
            <v>10025543|96617350|371364383|65383788</v>
          </cell>
          <cell r="AR13" t="str">
            <v>GASTO FISICO</v>
          </cell>
        </row>
        <row r="14">
          <cell r="AQ14" t="str">
            <v>10025543|96942400|372313528|372313528</v>
          </cell>
          <cell r="AR14" t="str">
            <v>IMED SALUD</v>
          </cell>
        </row>
        <row r="15">
          <cell r="AQ15" t="str">
            <v>10025543|96942400|372313528|372313528</v>
          </cell>
          <cell r="AR15" t="str">
            <v>IMED SALUD</v>
          </cell>
        </row>
        <row r="16">
          <cell r="AQ16" t="str">
            <v>10025543|96942400|372313528|65383793</v>
          </cell>
          <cell r="AR16" t="str">
            <v>GASTO FISICO</v>
          </cell>
        </row>
        <row r="17">
          <cell r="AQ17" t="str">
            <v>10056123|76098454|372034610|372034610</v>
          </cell>
          <cell r="AR17" t="str">
            <v>IMED SALUD</v>
          </cell>
        </row>
        <row r="18">
          <cell r="AQ18" t="str">
            <v>10056123|76098454|372034610|372034610</v>
          </cell>
          <cell r="AR18" t="str">
            <v>IMED SALUD</v>
          </cell>
        </row>
        <row r="19">
          <cell r="AQ19" t="str">
            <v>10056123|76098454|372034610|372034610</v>
          </cell>
          <cell r="AR19" t="str">
            <v>IMED SALUD</v>
          </cell>
        </row>
        <row r="20">
          <cell r="AQ20" t="str">
            <v>10056123|76098454|372034610|372034610</v>
          </cell>
          <cell r="AR20" t="str">
            <v>IMED SALUD</v>
          </cell>
        </row>
        <row r="21">
          <cell r="AQ21" t="str">
            <v>10056123|76098454|372034610|65383796</v>
          </cell>
          <cell r="AR21" t="str">
            <v>GASTO FISICO</v>
          </cell>
        </row>
        <row r="22">
          <cell r="AQ22" t="str">
            <v>10056123|76098454|372034610|65383796</v>
          </cell>
          <cell r="AR22" t="str">
            <v>GASTO FISICO</v>
          </cell>
        </row>
        <row r="23">
          <cell r="AQ23" t="str">
            <v>10125251|96923250|135892618|135892618</v>
          </cell>
          <cell r="AR23" t="str">
            <v>IMED SALUD</v>
          </cell>
        </row>
        <row r="24">
          <cell r="AQ24" t="str">
            <v>10125251|96923250|135892618|135892618</v>
          </cell>
          <cell r="AR24" t="str">
            <v>IMED SALUD</v>
          </cell>
        </row>
        <row r="25">
          <cell r="AQ25" t="str">
            <v>10125251|96923250|135892618|65383799</v>
          </cell>
          <cell r="AR25" t="str">
            <v>GASTO FISICO</v>
          </cell>
        </row>
        <row r="26">
          <cell r="AQ26" t="str">
            <v>10125251|96942400|136840550|136840550</v>
          </cell>
          <cell r="AR26" t="str">
            <v>IMED SALUD</v>
          </cell>
        </row>
        <row r="27">
          <cell r="AQ27" t="str">
            <v>10125251|96942400|136840550|136840550</v>
          </cell>
          <cell r="AR27" t="str">
            <v>IMED SALUD</v>
          </cell>
        </row>
        <row r="28">
          <cell r="AQ28" t="str">
            <v>10125251|96942400|136840550|65383800</v>
          </cell>
          <cell r="AR28" t="str">
            <v>GASTO FISICO</v>
          </cell>
        </row>
        <row r="29">
          <cell r="AQ29" t="str">
            <v>10125251|96942400|136840596|136840596</v>
          </cell>
          <cell r="AR29" t="str">
            <v>IMED SALUD</v>
          </cell>
        </row>
        <row r="30">
          <cell r="AQ30" t="str">
            <v>10125251|96942400|136840596|136840596</v>
          </cell>
          <cell r="AR30" t="str">
            <v>IMED SALUD</v>
          </cell>
        </row>
        <row r="31">
          <cell r="AQ31" t="str">
            <v>10125251|96942400|136840596|65383801</v>
          </cell>
          <cell r="AR31" t="str">
            <v>GASTO FISICO</v>
          </cell>
        </row>
        <row r="32">
          <cell r="AQ32" t="str">
            <v>10131449|70377400|919354077|919354077</v>
          </cell>
          <cell r="AR32" t="str">
            <v>IMED SALUD</v>
          </cell>
        </row>
        <row r="33">
          <cell r="AQ33" t="str">
            <v>10131449|70377400|919354077|919354077</v>
          </cell>
          <cell r="AR33" t="str">
            <v>IMED SALUD</v>
          </cell>
        </row>
        <row r="34">
          <cell r="AQ34" t="str">
            <v>10131449|70377400|919354077|919354077</v>
          </cell>
          <cell r="AR34" t="str">
            <v>IMED SALUD</v>
          </cell>
        </row>
        <row r="35">
          <cell r="AQ35" t="str">
            <v>10131449|70377400|919354077|919354077</v>
          </cell>
          <cell r="AR35" t="str">
            <v>IMED SALUD</v>
          </cell>
        </row>
        <row r="36">
          <cell r="AQ36" t="str">
            <v>10131449|70377400|919354077|65383802</v>
          </cell>
          <cell r="AR36" t="str">
            <v>GASTO FISICO</v>
          </cell>
        </row>
        <row r="37">
          <cell r="AQ37" t="str">
            <v>10131449|70377400|919354077|65383802</v>
          </cell>
          <cell r="AR37" t="str">
            <v>GASTO FISICO</v>
          </cell>
        </row>
        <row r="38">
          <cell r="AQ38" t="str">
            <v>10151614|71023600|136278405|136278405</v>
          </cell>
          <cell r="AR38" t="str">
            <v>IMED SALUD</v>
          </cell>
        </row>
        <row r="39">
          <cell r="AQ39" t="str">
            <v>10151614|71023600|136278405|136278405</v>
          </cell>
          <cell r="AR39" t="str">
            <v>IMED SALUD</v>
          </cell>
        </row>
        <row r="40">
          <cell r="AQ40" t="str">
            <v>10151614|71023600|136278405|65383805</v>
          </cell>
          <cell r="AR40" t="str">
            <v>GASTO FISICO</v>
          </cell>
        </row>
        <row r="41">
          <cell r="AQ41" t="str">
            <v>10151614|71023600|136733761|136733761</v>
          </cell>
          <cell r="AR41" t="str">
            <v>IMED SALUD</v>
          </cell>
        </row>
        <row r="42">
          <cell r="AQ42" t="str">
            <v>10151614|71023600|136733761|136733761</v>
          </cell>
          <cell r="AR42" t="str">
            <v>IMED SALUD</v>
          </cell>
        </row>
        <row r="43">
          <cell r="AQ43" t="str">
            <v>10151614|71023600|136733761|65383806</v>
          </cell>
          <cell r="AR43" t="str">
            <v>GASTO FISICO</v>
          </cell>
        </row>
        <row r="44">
          <cell r="AQ44" t="str">
            <v>10151614|76031071|646193951|21997619</v>
          </cell>
          <cell r="AR44" t="str">
            <v>GASTO FISICO</v>
          </cell>
        </row>
        <row r="45">
          <cell r="AQ45" t="str">
            <v>10151614|76031071|646193951|985668</v>
          </cell>
          <cell r="AR45" t="str">
            <v>GASTO FISICO</v>
          </cell>
        </row>
        <row r="46">
          <cell r="AQ46" t="str">
            <v>10151614|76031071|646193951|65212983</v>
          </cell>
          <cell r="AR46" t="str">
            <v>GASTO FISICO</v>
          </cell>
        </row>
        <row r="47">
          <cell r="AQ47" t="str">
            <v>10179673|76098454|915393055|915393055</v>
          </cell>
          <cell r="AR47" t="str">
            <v>IMED SALUD</v>
          </cell>
        </row>
        <row r="48">
          <cell r="AQ48" t="str">
            <v>10179673|76098454|915393055|915393055</v>
          </cell>
          <cell r="AR48" t="str">
            <v>IMED SALUD</v>
          </cell>
        </row>
        <row r="49">
          <cell r="AQ49" t="str">
            <v>10179673|76098454|915393055|65383807</v>
          </cell>
          <cell r="AR49" t="str">
            <v>GASTO FISICO</v>
          </cell>
        </row>
        <row r="50">
          <cell r="AQ50" t="str">
            <v>10179673|76098454|915769803|915769803</v>
          </cell>
          <cell r="AR50" t="str">
            <v>IMED SALUD</v>
          </cell>
        </row>
        <row r="51">
          <cell r="AQ51" t="str">
            <v>10179673|76098454|915769803|915769803</v>
          </cell>
          <cell r="AR51" t="str">
            <v>IMED SALUD</v>
          </cell>
        </row>
        <row r="52">
          <cell r="AQ52" t="str">
            <v>10179673|76098454|915769803|65383808</v>
          </cell>
          <cell r="AR52" t="str">
            <v>GASTO FISICO</v>
          </cell>
        </row>
        <row r="53">
          <cell r="AQ53" t="str">
            <v>10201208|76242774|930164187|930164187</v>
          </cell>
          <cell r="AR53" t="str">
            <v>IMED SALUD</v>
          </cell>
        </row>
        <row r="54">
          <cell r="AQ54" t="str">
            <v>10201208|76242774|930164187|930164187</v>
          </cell>
          <cell r="AR54" t="str">
            <v>IMED SALUD</v>
          </cell>
        </row>
        <row r="55">
          <cell r="AQ55" t="str">
            <v>10201208|76242774|930164187|930164187</v>
          </cell>
          <cell r="AR55" t="str">
            <v>IMED SALUD</v>
          </cell>
        </row>
        <row r="56">
          <cell r="AQ56" t="str">
            <v>10201208|76242774|930164187|930164187</v>
          </cell>
          <cell r="AR56" t="str">
            <v>IMED SALUD</v>
          </cell>
        </row>
        <row r="57">
          <cell r="AQ57" t="str">
            <v>10201208|76242774|930164187|65383809</v>
          </cell>
          <cell r="AR57" t="str">
            <v>GASTO FISICO</v>
          </cell>
        </row>
        <row r="58">
          <cell r="AQ58" t="str">
            <v>10201208|76242774|930164187|65383809</v>
          </cell>
          <cell r="AR58" t="str">
            <v>GASTO FISICO</v>
          </cell>
        </row>
        <row r="59">
          <cell r="AQ59" t="str">
            <v>10225415|78040520|765247905|765247905</v>
          </cell>
          <cell r="AR59" t="str">
            <v>IMED SALUD</v>
          </cell>
        </row>
        <row r="60">
          <cell r="AQ60" t="str">
            <v>10225415|78040520|765247905|765247905</v>
          </cell>
          <cell r="AR60" t="str">
            <v>IMED SALUD</v>
          </cell>
        </row>
        <row r="61">
          <cell r="AQ61" t="str">
            <v>10225415|78040520|765247905|65383810</v>
          </cell>
          <cell r="AR61" t="str">
            <v>GASTO FISICO</v>
          </cell>
        </row>
        <row r="62">
          <cell r="AQ62" t="str">
            <v>10225415|78040520|765248414|765248414</v>
          </cell>
          <cell r="AR62" t="str">
            <v>IMED SALUD</v>
          </cell>
        </row>
        <row r="63">
          <cell r="AQ63" t="str">
            <v>10225415|78040520|765248414|765248414</v>
          </cell>
          <cell r="AR63" t="str">
            <v>IMED SALUD</v>
          </cell>
        </row>
        <row r="64">
          <cell r="AQ64" t="str">
            <v>10225415|78040520|765248414|765248414</v>
          </cell>
          <cell r="AR64" t="str">
            <v>IMED SALUD</v>
          </cell>
        </row>
        <row r="65">
          <cell r="AQ65" t="str">
            <v>10225415|78040520|765248414|765248414</v>
          </cell>
          <cell r="AR65" t="str">
            <v>IMED SALUD</v>
          </cell>
        </row>
        <row r="66">
          <cell r="AQ66" t="str">
            <v>10225415|78040520|765248414|65383811</v>
          </cell>
          <cell r="AR66" t="str">
            <v>GASTO FISICO</v>
          </cell>
        </row>
        <row r="67">
          <cell r="AQ67" t="str">
            <v>10225415|78040520|765248414|65383811</v>
          </cell>
          <cell r="AR67" t="str">
            <v>GASTO FISICO</v>
          </cell>
        </row>
        <row r="68">
          <cell r="AQ68" t="str">
            <v>10225415|78040520|765248429|765248429</v>
          </cell>
          <cell r="AR68" t="str">
            <v>IMED SALUD</v>
          </cell>
        </row>
        <row r="69">
          <cell r="AQ69" t="str">
            <v>10225415|78040520|765248429|765248429</v>
          </cell>
          <cell r="AR69" t="str">
            <v>IMED SALUD</v>
          </cell>
        </row>
        <row r="70">
          <cell r="AQ70" t="str">
            <v>10225415|78040520|765248429|65383812</v>
          </cell>
          <cell r="AR70" t="str">
            <v>GASTO FISICO</v>
          </cell>
        </row>
        <row r="71">
          <cell r="AQ71" t="str">
            <v>10225415|78040520|765249950|765249950</v>
          </cell>
          <cell r="AR71" t="str">
            <v>IMED SALUD</v>
          </cell>
        </row>
        <row r="72">
          <cell r="AQ72" t="str">
            <v>10225415|78040520|765249950|765249950</v>
          </cell>
          <cell r="AR72" t="str">
            <v>IMED SALUD</v>
          </cell>
        </row>
        <row r="73">
          <cell r="AQ73" t="str">
            <v>10225415|78040520|765249950|765249950</v>
          </cell>
          <cell r="AR73" t="str">
            <v>IMED SALUD</v>
          </cell>
        </row>
        <row r="74">
          <cell r="AQ74" t="str">
            <v>10225415|78040520|765249950|765249950</v>
          </cell>
          <cell r="AR74" t="str">
            <v>IMED SALUD</v>
          </cell>
        </row>
        <row r="75">
          <cell r="AQ75" t="str">
            <v>10225415|78040520|765249950|65383813</v>
          </cell>
          <cell r="AR75" t="str">
            <v>GASTO FISICO</v>
          </cell>
        </row>
        <row r="76">
          <cell r="AQ76" t="str">
            <v>10225415|78040520|765249950|65383813</v>
          </cell>
          <cell r="AR76" t="str">
            <v>GASTO FISICO</v>
          </cell>
        </row>
        <row r="77">
          <cell r="AQ77" t="str">
            <v>10240460|96986050|920276428|920276428</v>
          </cell>
          <cell r="AR77" t="str">
            <v>IMED SALUD</v>
          </cell>
        </row>
        <row r="78">
          <cell r="AQ78" t="str">
            <v>10240460|96986050|920276428|920276428</v>
          </cell>
          <cell r="AR78" t="str">
            <v>IMED SALUD</v>
          </cell>
        </row>
        <row r="79">
          <cell r="AQ79" t="str">
            <v>10240460|96986050|920276428|920276428</v>
          </cell>
          <cell r="AR79" t="str">
            <v>IMED SALUD</v>
          </cell>
        </row>
        <row r="80">
          <cell r="AQ80" t="str">
            <v>10240460|96986050|920276428|920276428</v>
          </cell>
          <cell r="AR80" t="str">
            <v>IMED SALUD</v>
          </cell>
        </row>
        <row r="81">
          <cell r="AQ81" t="str">
            <v>10240460|96986050|920276428|920276428</v>
          </cell>
          <cell r="AR81" t="str">
            <v>IMED SALUD</v>
          </cell>
        </row>
        <row r="82">
          <cell r="AQ82" t="str">
            <v>10240460|96986050|920276428|920276428</v>
          </cell>
          <cell r="AR82" t="str">
            <v>IMED SALUD</v>
          </cell>
        </row>
        <row r="83">
          <cell r="AQ83" t="str">
            <v>10240460|96986050|920276428|920276428</v>
          </cell>
          <cell r="AR83" t="str">
            <v>IMED SALUD</v>
          </cell>
        </row>
        <row r="84">
          <cell r="AQ84" t="str">
            <v>10240460|96986050|920276428|920276428</v>
          </cell>
          <cell r="AR84" t="str">
            <v>IMED SALUD</v>
          </cell>
        </row>
        <row r="85">
          <cell r="AQ85" t="str">
            <v>10240460|96986050|920276428|920276428</v>
          </cell>
          <cell r="AR85" t="str">
            <v>IMED SALUD</v>
          </cell>
        </row>
        <row r="86">
          <cell r="AQ86" t="str">
            <v>10240460|96986050|920276428|920276428</v>
          </cell>
          <cell r="AR86" t="str">
            <v>IMED SALUD</v>
          </cell>
        </row>
        <row r="87">
          <cell r="AQ87" t="str">
            <v>10240460|96986050|920276428|65383814</v>
          </cell>
          <cell r="AR87" t="str">
            <v>GASTO FISICO</v>
          </cell>
        </row>
        <row r="88">
          <cell r="AQ88" t="str">
            <v>10240460|96986050|920276428|65383814</v>
          </cell>
          <cell r="AR88" t="str">
            <v>GASTO FISICO</v>
          </cell>
        </row>
        <row r="89">
          <cell r="AQ89" t="str">
            <v>10240460|96986050|920276428|65383814</v>
          </cell>
          <cell r="AR89" t="str">
            <v>GASTO FISICO</v>
          </cell>
        </row>
        <row r="90">
          <cell r="AQ90" t="str">
            <v>10240460|96986050|920276428|65383814</v>
          </cell>
          <cell r="AR90" t="str">
            <v>GASTO FISICO</v>
          </cell>
        </row>
        <row r="91">
          <cell r="AQ91" t="str">
            <v>10240460|96986050|920276428|65383814</v>
          </cell>
          <cell r="AR91" t="str">
            <v>GASTO FISICO</v>
          </cell>
        </row>
        <row r="92">
          <cell r="AQ92" t="str">
            <v>10240460|96986050|920276429|920276429</v>
          </cell>
          <cell r="AR92" t="str">
            <v>IMED SALUD</v>
          </cell>
        </row>
        <row r="93">
          <cell r="AQ93" t="str">
            <v>10240460|96986050|920276429|920276429</v>
          </cell>
          <cell r="AR93" t="str">
            <v>IMED SALUD</v>
          </cell>
        </row>
        <row r="94">
          <cell r="AQ94" t="str">
            <v>10240460|96986050|920276429|920276429</v>
          </cell>
          <cell r="AR94" t="str">
            <v>IMED SALUD</v>
          </cell>
        </row>
        <row r="95">
          <cell r="AQ95" t="str">
            <v>10240460|96986050|920276429|920276429</v>
          </cell>
          <cell r="AR95" t="str">
            <v>IMED SALUD</v>
          </cell>
        </row>
        <row r="96">
          <cell r="AQ96" t="str">
            <v>10240460|96986050|920276429|920276429</v>
          </cell>
          <cell r="AR96" t="str">
            <v>IMED SALUD</v>
          </cell>
        </row>
        <row r="97">
          <cell r="AQ97" t="str">
            <v>10240460|96986050|920276429|920276429</v>
          </cell>
          <cell r="AR97" t="str">
            <v>IMED SALUD</v>
          </cell>
        </row>
        <row r="98">
          <cell r="AQ98" t="str">
            <v>10240460|96986050|920276429|920276429</v>
          </cell>
          <cell r="AR98" t="str">
            <v>IMED SALUD</v>
          </cell>
        </row>
        <row r="99">
          <cell r="AQ99" t="str">
            <v>10240460|96986050|920276429|920276429</v>
          </cell>
          <cell r="AR99" t="str">
            <v>IMED SALUD</v>
          </cell>
        </row>
        <row r="100">
          <cell r="AQ100" t="str">
            <v>10240460|96986050|920276429|920276429</v>
          </cell>
          <cell r="AR100" t="str">
            <v>IMED SALUD</v>
          </cell>
        </row>
        <row r="101">
          <cell r="AQ101" t="str">
            <v>10240460|96986050|920276429|920276429</v>
          </cell>
          <cell r="AR101" t="str">
            <v>IMED SALUD</v>
          </cell>
        </row>
        <row r="102">
          <cell r="AQ102" t="str">
            <v>10240460|96986050|920276429|65383815</v>
          </cell>
          <cell r="AR102" t="str">
            <v>GASTO FISICO</v>
          </cell>
        </row>
        <row r="103">
          <cell r="AQ103" t="str">
            <v>10240460|96986050|920276429|65383815</v>
          </cell>
          <cell r="AR103" t="str">
            <v>GASTO FISICO</v>
          </cell>
        </row>
        <row r="104">
          <cell r="AQ104" t="str">
            <v>10240460|96986050|920276429|65383815</v>
          </cell>
          <cell r="AR104" t="str">
            <v>GASTO FISICO</v>
          </cell>
        </row>
        <row r="105">
          <cell r="AQ105" t="str">
            <v>10240460|96986050|920276429|65383815</v>
          </cell>
          <cell r="AR105" t="str">
            <v>GASTO FISICO</v>
          </cell>
        </row>
        <row r="106">
          <cell r="AQ106" t="str">
            <v>10240460|96986050|920276429|65383815</v>
          </cell>
          <cell r="AR106" t="str">
            <v>GASTO FISICO</v>
          </cell>
        </row>
        <row r="107">
          <cell r="AQ107" t="str">
            <v>10240460|96986050|920276430|920276430</v>
          </cell>
          <cell r="AR107" t="str">
            <v>IMED SALUD</v>
          </cell>
        </row>
        <row r="108">
          <cell r="AQ108" t="str">
            <v>10240460|96986050|920276430|920276430</v>
          </cell>
          <cell r="AR108" t="str">
            <v>IMED SALUD</v>
          </cell>
        </row>
        <row r="109">
          <cell r="AQ109" t="str">
            <v>10240460|96986050|920276430|920276430</v>
          </cell>
          <cell r="AR109" t="str">
            <v>IMED SALUD</v>
          </cell>
        </row>
        <row r="110">
          <cell r="AQ110" t="str">
            <v>10240460|96986050|920276430|920276430</v>
          </cell>
          <cell r="AR110" t="str">
            <v>IMED SALUD</v>
          </cell>
        </row>
        <row r="111">
          <cell r="AQ111" t="str">
            <v>10240460|96986050|920276430|920276430</v>
          </cell>
          <cell r="AR111" t="str">
            <v>IMED SALUD</v>
          </cell>
        </row>
        <row r="112">
          <cell r="AQ112" t="str">
            <v>10240460|96986050|920276430|920276430</v>
          </cell>
          <cell r="AR112" t="str">
            <v>IMED SALUD</v>
          </cell>
        </row>
        <row r="113">
          <cell r="AQ113" t="str">
            <v>10240460|96986050|920276430|920276430</v>
          </cell>
          <cell r="AR113" t="str">
            <v>IMED SALUD</v>
          </cell>
        </row>
        <row r="114">
          <cell r="AQ114" t="str">
            <v>10240460|96986050|920276430|920276430</v>
          </cell>
          <cell r="AR114" t="str">
            <v>IMED SALUD</v>
          </cell>
        </row>
        <row r="115">
          <cell r="AQ115" t="str">
            <v>10240460|96986050|920276430|920276430</v>
          </cell>
          <cell r="AR115" t="str">
            <v>IMED SALUD</v>
          </cell>
        </row>
        <row r="116">
          <cell r="AQ116" t="str">
            <v>10240460|96986050|920276430|920276430</v>
          </cell>
          <cell r="AR116" t="str">
            <v>IMED SALUD</v>
          </cell>
        </row>
        <row r="117">
          <cell r="AQ117" t="str">
            <v>10240460|96986050|920276430|65383816</v>
          </cell>
          <cell r="AR117" t="str">
            <v>GASTO FISICO</v>
          </cell>
        </row>
        <row r="118">
          <cell r="AQ118" t="str">
            <v>10240460|96986050|920276430|65383816</v>
          </cell>
          <cell r="AR118" t="str">
            <v>GASTO FISICO</v>
          </cell>
        </row>
        <row r="119">
          <cell r="AQ119" t="str">
            <v>10240460|96986050|920276430|65383816</v>
          </cell>
          <cell r="AR119" t="str">
            <v>GASTO FISICO</v>
          </cell>
        </row>
        <row r="120">
          <cell r="AQ120" t="str">
            <v>10240460|96986050|920276430|65383816</v>
          </cell>
          <cell r="AR120" t="str">
            <v>GASTO FISICO</v>
          </cell>
        </row>
        <row r="121">
          <cell r="AQ121" t="str">
            <v>10240460|96986050|920276430|65383816</v>
          </cell>
          <cell r="AR121" t="str">
            <v>GASTO FISICO</v>
          </cell>
        </row>
        <row r="122">
          <cell r="AQ122" t="str">
            <v>10240460|96986050|920276431|920276431</v>
          </cell>
          <cell r="AR122" t="str">
            <v>IMED SALUD</v>
          </cell>
        </row>
        <row r="123">
          <cell r="AQ123" t="str">
            <v>10240460|96986050|920276431|920276431</v>
          </cell>
          <cell r="AR123" t="str">
            <v>IMED SALUD</v>
          </cell>
        </row>
        <row r="124">
          <cell r="AQ124" t="str">
            <v>10240460|96986050|920276431|920276431</v>
          </cell>
          <cell r="AR124" t="str">
            <v>IMED SALUD</v>
          </cell>
        </row>
        <row r="125">
          <cell r="AQ125" t="str">
            <v>10240460|96986050|920276431|920276431</v>
          </cell>
          <cell r="AR125" t="str">
            <v>IMED SALUD</v>
          </cell>
        </row>
        <row r="126">
          <cell r="AQ126" t="str">
            <v>10240460|96986050|920276431|65383817</v>
          </cell>
          <cell r="AR126" t="str">
            <v>GASTO FISICO</v>
          </cell>
        </row>
        <row r="127">
          <cell r="AQ127" t="str">
            <v>10240460|96986050|920276431|65383817</v>
          </cell>
          <cell r="AR127" t="str">
            <v>GASTO FISICO</v>
          </cell>
        </row>
        <row r="128">
          <cell r="AQ128" t="str">
            <v>10240460|96986050|920278891|920278891</v>
          </cell>
          <cell r="AR128" t="str">
            <v>IMED SALUD</v>
          </cell>
        </row>
        <row r="129">
          <cell r="AQ129" t="str">
            <v>10240460|96986050|920278891|920278891</v>
          </cell>
          <cell r="AR129" t="str">
            <v>IMED SALUD</v>
          </cell>
        </row>
        <row r="130">
          <cell r="AQ130" t="str">
            <v>10240460|96986050|920278891|920278891</v>
          </cell>
          <cell r="AR130" t="str">
            <v>IMED SALUD</v>
          </cell>
        </row>
        <row r="131">
          <cell r="AQ131" t="str">
            <v>10240460|96986050|920278891|920278891</v>
          </cell>
          <cell r="AR131" t="str">
            <v>IMED SALUD</v>
          </cell>
        </row>
        <row r="132">
          <cell r="AQ132" t="str">
            <v>10240460|96986050|920278891|65383818</v>
          </cell>
          <cell r="AR132" t="str">
            <v>GASTO FISICO</v>
          </cell>
        </row>
        <row r="133">
          <cell r="AQ133" t="str">
            <v>10240460|96986050|920278891|65383818</v>
          </cell>
          <cell r="AR133" t="str">
            <v>GASTO FISICO</v>
          </cell>
        </row>
        <row r="134">
          <cell r="AQ134" t="str">
            <v>10240460|76098454|920884394|920884394</v>
          </cell>
          <cell r="AR134" t="str">
            <v>IMED SALUD</v>
          </cell>
        </row>
        <row r="135">
          <cell r="AQ135" t="str">
            <v>10240460|76098454|920884394|920884394</v>
          </cell>
          <cell r="AR135" t="str">
            <v>IMED SALUD</v>
          </cell>
        </row>
        <row r="136">
          <cell r="AQ136" t="str">
            <v>10240460|76098454|920884394|65383819</v>
          </cell>
          <cell r="AR136" t="str">
            <v>GASTO FISICO</v>
          </cell>
        </row>
        <row r="137">
          <cell r="AQ137" t="str">
            <v>10240460|76098454|920884860|920884860</v>
          </cell>
          <cell r="AR137" t="str">
            <v>IMED SALUD</v>
          </cell>
        </row>
        <row r="138">
          <cell r="AQ138" t="str">
            <v>10240460|76098454|920884860|920884860</v>
          </cell>
          <cell r="AR138" t="str">
            <v>IMED SALUD</v>
          </cell>
        </row>
        <row r="139">
          <cell r="AQ139" t="str">
            <v>10240460|76098454|920884860|65383820</v>
          </cell>
          <cell r="AR139" t="str">
            <v>GASTO FISICO</v>
          </cell>
        </row>
        <row r="140">
          <cell r="AQ140" t="str">
            <v>10242781|96617350|916064279|916064279</v>
          </cell>
          <cell r="AR140" t="str">
            <v>IMED SALUD</v>
          </cell>
        </row>
        <row r="141">
          <cell r="AQ141" t="str">
            <v>10242781|96617350|916064279|916064279</v>
          </cell>
          <cell r="AR141" t="str">
            <v>IMED SALUD</v>
          </cell>
        </row>
        <row r="142">
          <cell r="AQ142" t="str">
            <v>10242781|96617350|916064279|916064279</v>
          </cell>
          <cell r="AR142" t="str">
            <v>IMED SALUD</v>
          </cell>
        </row>
        <row r="143">
          <cell r="AQ143" t="str">
            <v>10242781|96617350|916064279|916064279</v>
          </cell>
          <cell r="AR143" t="str">
            <v>IMED SALUD</v>
          </cell>
        </row>
        <row r="144">
          <cell r="AQ144" t="str">
            <v>10242781|96617350|916064279|916064279</v>
          </cell>
          <cell r="AR144" t="str">
            <v>IMED SALUD</v>
          </cell>
        </row>
        <row r="145">
          <cell r="AQ145" t="str">
            <v>10242781|96617350|916064279|916064279</v>
          </cell>
          <cell r="AR145" t="str">
            <v>IMED SALUD</v>
          </cell>
        </row>
        <row r="146">
          <cell r="AQ146" t="str">
            <v>10242781|96617350|916064279|916064279</v>
          </cell>
          <cell r="AR146" t="str">
            <v>IMED SALUD</v>
          </cell>
        </row>
        <row r="147">
          <cell r="AQ147" t="str">
            <v>10242781|96617350|916064279|916064279</v>
          </cell>
          <cell r="AR147" t="str">
            <v>IMED SALUD</v>
          </cell>
        </row>
        <row r="148">
          <cell r="AQ148" t="str">
            <v>10242781|96617350|916064279|916064279</v>
          </cell>
          <cell r="AR148" t="str">
            <v>IMED SALUD</v>
          </cell>
        </row>
        <row r="149">
          <cell r="AQ149" t="str">
            <v>10242781|96617350|916064279|916064279</v>
          </cell>
          <cell r="AR149" t="str">
            <v>IMED SALUD</v>
          </cell>
        </row>
        <row r="150">
          <cell r="AQ150" t="str">
            <v>10242781|96617350|916064279|65383821</v>
          </cell>
          <cell r="AR150" t="str">
            <v>GASTO FISICO</v>
          </cell>
        </row>
        <row r="151">
          <cell r="AQ151" t="str">
            <v>10242781|96617350|916064279|65383821</v>
          </cell>
          <cell r="AR151" t="str">
            <v>GASTO FISICO</v>
          </cell>
        </row>
        <row r="152">
          <cell r="AQ152" t="str">
            <v>10242781|96617350|916064279|65383821</v>
          </cell>
          <cell r="AR152" t="str">
            <v>GASTO FISICO</v>
          </cell>
        </row>
        <row r="153">
          <cell r="AQ153" t="str">
            <v>10242781|96617350|916064279|65383821</v>
          </cell>
          <cell r="AR153" t="str">
            <v>GASTO FISICO</v>
          </cell>
        </row>
        <row r="154">
          <cell r="AQ154" t="str">
            <v>10242781|96617350|916064279|65383821</v>
          </cell>
          <cell r="AR154" t="str">
            <v>GASTO FISICO</v>
          </cell>
        </row>
        <row r="155">
          <cell r="AQ155" t="str">
            <v>10242781|76416482|916876220|916876220</v>
          </cell>
          <cell r="AR155" t="str">
            <v>IMED SALUD</v>
          </cell>
        </row>
        <row r="156">
          <cell r="AQ156" t="str">
            <v>10242781|76416482|916876220|916876220</v>
          </cell>
          <cell r="AR156" t="str">
            <v>IMED SALUD</v>
          </cell>
        </row>
        <row r="157">
          <cell r="AQ157" t="str">
            <v>10242781|76416482|916876220|65383822</v>
          </cell>
          <cell r="AR157" t="str">
            <v>GASTO FISICO</v>
          </cell>
        </row>
        <row r="158">
          <cell r="AQ158" t="str">
            <v>10242781|76416482|918373501|918373501</v>
          </cell>
          <cell r="AR158" t="str">
            <v>IMED SALUD</v>
          </cell>
        </row>
        <row r="159">
          <cell r="AQ159" t="str">
            <v>10242781|76416482|918373501|918373501</v>
          </cell>
          <cell r="AR159" t="str">
            <v>IMED SALUD</v>
          </cell>
        </row>
        <row r="160">
          <cell r="AQ160" t="str">
            <v>10242781|76416482|918373501|65383823</v>
          </cell>
          <cell r="AR160" t="str">
            <v>GASTO FISICO</v>
          </cell>
        </row>
        <row r="161">
          <cell r="AQ161" t="str">
            <v>10242781|76416482|921256042|921256042</v>
          </cell>
          <cell r="AR161" t="str">
            <v>IMED SALUD</v>
          </cell>
        </row>
        <row r="162">
          <cell r="AQ162" t="str">
            <v>10242781|76416482|921256042|921256042</v>
          </cell>
          <cell r="AR162" t="str">
            <v>IMED SALUD</v>
          </cell>
        </row>
        <row r="163">
          <cell r="AQ163" t="str">
            <v>10242781|76416482|921256042|65383824</v>
          </cell>
          <cell r="AR163" t="str">
            <v>GASTO FISICO</v>
          </cell>
        </row>
        <row r="164">
          <cell r="AQ164" t="str">
            <v>10257397|76242774|929855852|929855852</v>
          </cell>
          <cell r="AR164" t="str">
            <v>IMED SALUD</v>
          </cell>
        </row>
        <row r="165">
          <cell r="AQ165" t="str">
            <v>10257397|76242774|929855852|929855852</v>
          </cell>
          <cell r="AR165" t="str">
            <v>IMED SALUD</v>
          </cell>
        </row>
        <row r="166">
          <cell r="AQ166" t="str">
            <v>10257397|76242774|929855852|65383825</v>
          </cell>
          <cell r="AR166" t="str">
            <v>GASTO FISICO</v>
          </cell>
        </row>
        <row r="167">
          <cell r="AQ167" t="str">
            <v>10257397|76242774|929855877|929855877</v>
          </cell>
          <cell r="AR167" t="str">
            <v>IMED SALUD</v>
          </cell>
        </row>
        <row r="168">
          <cell r="AQ168" t="str">
            <v>10257397|76242774|929855877|929855877</v>
          </cell>
          <cell r="AR168" t="str">
            <v>IMED SALUD</v>
          </cell>
        </row>
        <row r="169">
          <cell r="AQ169" t="str">
            <v>10257397|76242774|929855877|65383826</v>
          </cell>
          <cell r="AR169" t="str">
            <v>GASTO FISICO</v>
          </cell>
        </row>
        <row r="170">
          <cell r="AQ170" t="str">
            <v>10257397|76242774|929856999|929856999</v>
          </cell>
          <cell r="AR170" t="str">
            <v>IMED SALUD</v>
          </cell>
        </row>
        <row r="171">
          <cell r="AQ171" t="str">
            <v>10257397|76242774|929856999|929856999</v>
          </cell>
          <cell r="AR171" t="str">
            <v>IMED SALUD</v>
          </cell>
        </row>
        <row r="172">
          <cell r="AQ172" t="str">
            <v>10257397|76242774|929856999|65383827</v>
          </cell>
          <cell r="AR172" t="str">
            <v>GASTO FISICO</v>
          </cell>
        </row>
        <row r="173">
          <cell r="AQ173" t="str">
            <v>10257397|76242774|929857004|929857004</v>
          </cell>
          <cell r="AR173" t="str">
            <v>IMED SALUD</v>
          </cell>
        </row>
        <row r="174">
          <cell r="AQ174" t="str">
            <v>10257397|76242774|929857004|929857004</v>
          </cell>
          <cell r="AR174" t="str">
            <v>IMED SALUD</v>
          </cell>
        </row>
        <row r="175">
          <cell r="AQ175" t="str">
            <v>10257397|76242774|929857004|929857004</v>
          </cell>
          <cell r="AR175" t="str">
            <v>IMED SALUD</v>
          </cell>
        </row>
        <row r="176">
          <cell r="AQ176" t="str">
            <v>10257397|76242774|929857004|929857004</v>
          </cell>
          <cell r="AR176" t="str">
            <v>IMED SALUD</v>
          </cell>
        </row>
        <row r="177">
          <cell r="AQ177" t="str">
            <v>10257397|76242774|929857004|929857004</v>
          </cell>
          <cell r="AR177" t="str">
            <v>IMED SALUD</v>
          </cell>
        </row>
        <row r="178">
          <cell r="AQ178" t="str">
            <v>10257397|76242774|929857004|929857004</v>
          </cell>
          <cell r="AR178" t="str">
            <v>IMED SALUD</v>
          </cell>
        </row>
        <row r="179">
          <cell r="AQ179" t="str">
            <v>10257397|76242774|929857004|929857004</v>
          </cell>
          <cell r="AR179" t="str">
            <v>IMED SALUD</v>
          </cell>
        </row>
        <row r="180">
          <cell r="AQ180" t="str">
            <v>10257397|76242774|929857004|929857004</v>
          </cell>
          <cell r="AR180" t="str">
            <v>IMED SALUD</v>
          </cell>
        </row>
        <row r="181">
          <cell r="AQ181" t="str">
            <v>10257397|76242774|929857004|929857004</v>
          </cell>
          <cell r="AR181" t="str">
            <v>IMED SALUD</v>
          </cell>
        </row>
        <row r="182">
          <cell r="AQ182" t="str">
            <v>10257397|76242774|929857004|929857004</v>
          </cell>
          <cell r="AR182" t="str">
            <v>IMED SALUD</v>
          </cell>
        </row>
        <row r="183">
          <cell r="AQ183" t="str">
            <v>10257397|76242774|929857004|65383828</v>
          </cell>
          <cell r="AR183" t="str">
            <v>GASTO FISICO</v>
          </cell>
        </row>
        <row r="184">
          <cell r="AQ184" t="str">
            <v>10257397|76242774|929857004|65383828</v>
          </cell>
          <cell r="AR184" t="str">
            <v>GASTO FISICO</v>
          </cell>
        </row>
        <row r="185">
          <cell r="AQ185" t="str">
            <v>10257397|76242774|929857004|65383828</v>
          </cell>
          <cell r="AR185" t="str">
            <v>GASTO FISICO</v>
          </cell>
        </row>
        <row r="186">
          <cell r="AQ186" t="str">
            <v>10257397|76242774|929857004|65383828</v>
          </cell>
          <cell r="AR186" t="str">
            <v>GASTO FISICO</v>
          </cell>
        </row>
        <row r="187">
          <cell r="AQ187" t="str">
            <v>10257397|76242774|929857004|65383828</v>
          </cell>
          <cell r="AR187" t="str">
            <v>GASTO FISICO</v>
          </cell>
        </row>
        <row r="188">
          <cell r="AQ188" t="str">
            <v>10257397|76242774|929857005|929857005</v>
          </cell>
          <cell r="AR188" t="str">
            <v>IMED SALUD</v>
          </cell>
        </row>
        <row r="189">
          <cell r="AQ189" t="str">
            <v>10257397|76242774|929857005|929857005</v>
          </cell>
          <cell r="AR189" t="str">
            <v>IMED SALUD</v>
          </cell>
        </row>
        <row r="190">
          <cell r="AQ190" t="str">
            <v>10257397|76242774|929857005|929857005</v>
          </cell>
          <cell r="AR190" t="str">
            <v>IMED SALUD</v>
          </cell>
        </row>
        <row r="191">
          <cell r="AQ191" t="str">
            <v>10257397|76242774|929857005|929857005</v>
          </cell>
          <cell r="AR191" t="str">
            <v>IMED SALUD</v>
          </cell>
        </row>
        <row r="192">
          <cell r="AQ192" t="str">
            <v>10257397|76242774|929857005|929857005</v>
          </cell>
          <cell r="AR192" t="str">
            <v>IMED SALUD</v>
          </cell>
        </row>
        <row r="193">
          <cell r="AQ193" t="str">
            <v>10257397|76242774|929857005|929857005</v>
          </cell>
          <cell r="AR193" t="str">
            <v>IMED SALUD</v>
          </cell>
        </row>
        <row r="194">
          <cell r="AQ194" t="str">
            <v>10257397|76242774|929857005|929857005</v>
          </cell>
          <cell r="AR194" t="str">
            <v>IMED SALUD</v>
          </cell>
        </row>
        <row r="195">
          <cell r="AQ195" t="str">
            <v>10257397|76242774|929857005|929857005</v>
          </cell>
          <cell r="AR195" t="str">
            <v>IMED SALUD</v>
          </cell>
        </row>
        <row r="196">
          <cell r="AQ196" t="str">
            <v>10257397|76242774|929857005|929857005</v>
          </cell>
          <cell r="AR196" t="str">
            <v>IMED SALUD</v>
          </cell>
        </row>
        <row r="197">
          <cell r="AQ197" t="str">
            <v>10257397|76242774|929857005|929857005</v>
          </cell>
          <cell r="AR197" t="str">
            <v>IMED SALUD</v>
          </cell>
        </row>
        <row r="198">
          <cell r="AQ198" t="str">
            <v>10257397|76242774|929857005|65383829</v>
          </cell>
          <cell r="AR198" t="str">
            <v>GASTO FISICO</v>
          </cell>
        </row>
        <row r="199">
          <cell r="AQ199" t="str">
            <v>10257397|76242774|929857005|65383829</v>
          </cell>
          <cell r="AR199" t="str">
            <v>GASTO FISICO</v>
          </cell>
        </row>
        <row r="200">
          <cell r="AQ200" t="str">
            <v>10257397|76242774|929857005|65383829</v>
          </cell>
          <cell r="AR200" t="str">
            <v>GASTO FISICO</v>
          </cell>
        </row>
        <row r="201">
          <cell r="AQ201" t="str">
            <v>10257397|76242774|929857005|65383829</v>
          </cell>
          <cell r="AR201" t="str">
            <v>GASTO FISICO</v>
          </cell>
        </row>
        <row r="202">
          <cell r="AQ202" t="str">
            <v>10257397|76242774|929857006|929857006</v>
          </cell>
          <cell r="AR202" t="str">
            <v>IMED SALUD</v>
          </cell>
        </row>
        <row r="203">
          <cell r="AQ203" t="str">
            <v>10257397|76242774|929857006|929857006</v>
          </cell>
          <cell r="AR203" t="str">
            <v>IMED SALUD</v>
          </cell>
        </row>
        <row r="204">
          <cell r="AQ204" t="str">
            <v>10257397|76242774|929857006|929857006</v>
          </cell>
          <cell r="AR204" t="str">
            <v>IMED SALUD</v>
          </cell>
        </row>
        <row r="205">
          <cell r="AQ205" t="str">
            <v>10257397|76242774|929857006|929857006</v>
          </cell>
          <cell r="AR205" t="str">
            <v>IMED SALUD</v>
          </cell>
        </row>
        <row r="206">
          <cell r="AQ206" t="str">
            <v>10257397|76242774|929857006|929857006</v>
          </cell>
          <cell r="AR206" t="str">
            <v>IMED SALUD</v>
          </cell>
        </row>
        <row r="207">
          <cell r="AQ207" t="str">
            <v>10257397|76242774|929857006|929857006</v>
          </cell>
          <cell r="AR207" t="str">
            <v>IMED SALUD</v>
          </cell>
        </row>
        <row r="208">
          <cell r="AQ208" t="str">
            <v>10257397|76242774|929857006|929857006</v>
          </cell>
          <cell r="AR208" t="str">
            <v>IMED SALUD</v>
          </cell>
        </row>
        <row r="209">
          <cell r="AQ209" t="str">
            <v>10257397|76242774|929857006|929857006</v>
          </cell>
          <cell r="AR209" t="str">
            <v>IMED SALUD</v>
          </cell>
        </row>
        <row r="210">
          <cell r="AQ210" t="str">
            <v>10257397|76242774|929857006|929857006</v>
          </cell>
          <cell r="AR210" t="str">
            <v>IMED SALUD</v>
          </cell>
        </row>
        <row r="211">
          <cell r="AQ211" t="str">
            <v>10257397|76242774|929857006|929857006</v>
          </cell>
          <cell r="AR211" t="str">
            <v>IMED SALUD</v>
          </cell>
        </row>
        <row r="212">
          <cell r="AQ212" t="str">
            <v>10257397|76242774|929857006|65383830</v>
          </cell>
          <cell r="AR212" t="str">
            <v>GASTO FISICO</v>
          </cell>
        </row>
        <row r="213">
          <cell r="AQ213" t="str">
            <v>10257397|76242774|929857006|65383830</v>
          </cell>
          <cell r="AR213" t="str">
            <v>GASTO FISICO</v>
          </cell>
        </row>
        <row r="214">
          <cell r="AQ214" t="str">
            <v>10257397|76242774|929857006|65383830</v>
          </cell>
          <cell r="AR214" t="str">
            <v>GASTO FISICO</v>
          </cell>
        </row>
        <row r="215">
          <cell r="AQ215" t="str">
            <v>10257397|76242774|929857006|65383830</v>
          </cell>
          <cell r="AR215" t="str">
            <v>GASTO FISICO</v>
          </cell>
        </row>
        <row r="216">
          <cell r="AQ216" t="str">
            <v>10257397|76242774|929857006|65383830</v>
          </cell>
          <cell r="AR216" t="str">
            <v>GASTO FISICO</v>
          </cell>
        </row>
        <row r="217">
          <cell r="AQ217" t="str">
            <v>10285711|76076353|7873|22143778</v>
          </cell>
          <cell r="AR217" t="str">
            <v>GASTO FISICO</v>
          </cell>
        </row>
        <row r="218">
          <cell r="AQ218" t="str">
            <v>10285711|76076353|7873|1034272</v>
          </cell>
          <cell r="AR218" t="str">
            <v>GASTO FISICO</v>
          </cell>
        </row>
        <row r="219">
          <cell r="AQ219" t="str">
            <v>10285711|76076353|7873|66380978</v>
          </cell>
          <cell r="AR219" t="str">
            <v>GASTO FISICO</v>
          </cell>
        </row>
        <row r="220">
          <cell r="AQ220" t="str">
            <v>10285711|76076353|8000|22143768</v>
          </cell>
          <cell r="AR220" t="str">
            <v>GASTO FISICO</v>
          </cell>
        </row>
        <row r="221">
          <cell r="AQ221" t="str">
            <v>10285711|76076353|8000|1034274</v>
          </cell>
          <cell r="AR221" t="str">
            <v>GASTO FISICO</v>
          </cell>
        </row>
        <row r="222">
          <cell r="AQ222" t="str">
            <v>10285711|76076353|8000|66380977</v>
          </cell>
          <cell r="AR222" t="str">
            <v>GASTO FISICO</v>
          </cell>
        </row>
        <row r="223">
          <cell r="AQ223" t="str">
            <v>10289433|96942400|916835226|916835226</v>
          </cell>
          <cell r="AR223" t="str">
            <v>IMED SALUD</v>
          </cell>
        </row>
        <row r="224">
          <cell r="AQ224" t="str">
            <v>10289433|96942400|916835226|916835226</v>
          </cell>
          <cell r="AR224" t="str">
            <v>IMED SALUD</v>
          </cell>
        </row>
        <row r="225">
          <cell r="AQ225" t="str">
            <v>10289433|96942400|916835226|916835226</v>
          </cell>
          <cell r="AR225" t="str">
            <v>IMED SALUD</v>
          </cell>
        </row>
        <row r="226">
          <cell r="AQ226" t="str">
            <v>10289433|96942400|916835226|916835226</v>
          </cell>
          <cell r="AR226" t="str">
            <v>IMED SALUD</v>
          </cell>
        </row>
        <row r="227">
          <cell r="AQ227" t="str">
            <v>10289433|96942400|916835226|916835226</v>
          </cell>
          <cell r="AR227" t="str">
            <v>IMED SALUD</v>
          </cell>
        </row>
        <row r="228">
          <cell r="AQ228" t="str">
            <v>10289433|96942400|916835226|916835226</v>
          </cell>
          <cell r="AR228" t="str">
            <v>IMED SALUD</v>
          </cell>
        </row>
        <row r="229">
          <cell r="AQ229" t="str">
            <v>10289433|96942400|916835226|916835226</v>
          </cell>
          <cell r="AR229" t="str">
            <v>IMED SALUD</v>
          </cell>
        </row>
        <row r="230">
          <cell r="AQ230" t="str">
            <v>10289433|96942400|916835226|916835226</v>
          </cell>
          <cell r="AR230" t="str">
            <v>IMED SALUD</v>
          </cell>
        </row>
        <row r="231">
          <cell r="AQ231" t="str">
            <v>10289433|96942400|916835226|916835226</v>
          </cell>
          <cell r="AR231" t="str">
            <v>IMED SALUD</v>
          </cell>
        </row>
        <row r="232">
          <cell r="AQ232" t="str">
            <v>10289433|96942400|916835226|916835226</v>
          </cell>
          <cell r="AR232" t="str">
            <v>IMED SALUD</v>
          </cell>
        </row>
        <row r="233">
          <cell r="AQ233" t="str">
            <v>10289433|96942400|916835226|65383831</v>
          </cell>
          <cell r="AR233" t="str">
            <v>GASTO FISICO</v>
          </cell>
        </row>
        <row r="234">
          <cell r="AQ234" t="str">
            <v>10289433|96942400|916835226|65383831</v>
          </cell>
          <cell r="AR234" t="str">
            <v>GASTO FISICO</v>
          </cell>
        </row>
        <row r="235">
          <cell r="AQ235" t="str">
            <v>10289433|96942400|916835226|65383831</v>
          </cell>
          <cell r="AR235" t="str">
            <v>GASTO FISICO</v>
          </cell>
        </row>
        <row r="236">
          <cell r="AQ236" t="str">
            <v>10289433|96942400|916835226|65383831</v>
          </cell>
          <cell r="AR236" t="str">
            <v>GASTO FISICO</v>
          </cell>
        </row>
        <row r="237">
          <cell r="AQ237" t="str">
            <v>10289433|96942400|916835226|65383831</v>
          </cell>
          <cell r="AR237" t="str">
            <v>GASTO FISICO</v>
          </cell>
        </row>
        <row r="238">
          <cell r="AQ238" t="str">
            <v>10289433|96942400|916877644|916877644</v>
          </cell>
          <cell r="AR238" t="str">
            <v>IMED SALUD</v>
          </cell>
        </row>
        <row r="239">
          <cell r="AQ239" t="str">
            <v>10289433|96942400|916877644|916877644</v>
          </cell>
          <cell r="AR239" t="str">
            <v>IMED SALUD</v>
          </cell>
        </row>
        <row r="240">
          <cell r="AQ240" t="str">
            <v>10289433|96942400|916877644|65383832</v>
          </cell>
          <cell r="AR240" t="str">
            <v>GASTO FISICO</v>
          </cell>
        </row>
        <row r="241">
          <cell r="AQ241" t="str">
            <v>10295620|96942400|916858622|916858622</v>
          </cell>
          <cell r="AR241" t="str">
            <v>IMED SALUD</v>
          </cell>
        </row>
        <row r="242">
          <cell r="AQ242" t="str">
            <v>10295620|96942400|916858622|916858622</v>
          </cell>
          <cell r="AR242" t="str">
            <v>IMED SALUD</v>
          </cell>
        </row>
        <row r="243">
          <cell r="AQ243" t="str">
            <v>10295620|96942400|916858622|65383833</v>
          </cell>
          <cell r="AR243" t="str">
            <v>GASTO FISICO</v>
          </cell>
        </row>
        <row r="244">
          <cell r="AQ244" t="str">
            <v>10295620|78258910|919072281|919072281</v>
          </cell>
          <cell r="AR244" t="str">
            <v>IMED SALUD</v>
          </cell>
        </row>
        <row r="245">
          <cell r="AQ245" t="str">
            <v>10295620|78258910|919072281|919072281</v>
          </cell>
          <cell r="AR245" t="str">
            <v>IMED SALUD</v>
          </cell>
        </row>
        <row r="246">
          <cell r="AQ246" t="str">
            <v>10295620|78258910|919072281|919072281</v>
          </cell>
          <cell r="AR246" t="str">
            <v>IMED SALUD</v>
          </cell>
        </row>
        <row r="247">
          <cell r="AQ247" t="str">
            <v>10295620|78258910|919072281|919072281</v>
          </cell>
          <cell r="AR247" t="str">
            <v>IMED SALUD</v>
          </cell>
        </row>
        <row r="248">
          <cell r="AQ248" t="str">
            <v>10295620|78258910|919072281|919072281</v>
          </cell>
          <cell r="AR248" t="str">
            <v>IMED SALUD</v>
          </cell>
        </row>
        <row r="249">
          <cell r="AQ249" t="str">
            <v>10295620|78258910|919072281|919072281</v>
          </cell>
          <cell r="AR249" t="str">
            <v>IMED SALUD</v>
          </cell>
        </row>
        <row r="250">
          <cell r="AQ250" t="str">
            <v>10295620|78258910|919072281|919072281</v>
          </cell>
          <cell r="AR250" t="str">
            <v>IMED SALUD</v>
          </cell>
        </row>
        <row r="251">
          <cell r="AQ251" t="str">
            <v>10295620|78258910|919072281|919072281</v>
          </cell>
          <cell r="AR251" t="str">
            <v>IMED SALUD</v>
          </cell>
        </row>
        <row r="252">
          <cell r="AQ252" t="str">
            <v>10295620|78258910|919072281|919072281</v>
          </cell>
          <cell r="AR252" t="str">
            <v>IMED SALUD</v>
          </cell>
        </row>
        <row r="253">
          <cell r="AQ253" t="str">
            <v>10295620|78258910|919072281|919072281</v>
          </cell>
          <cell r="AR253" t="str">
            <v>IMED SALUD</v>
          </cell>
        </row>
        <row r="254">
          <cell r="AQ254" t="str">
            <v>10295620|78258910|919072281|65383834</v>
          </cell>
          <cell r="AR254" t="str">
            <v>GASTO FISICO</v>
          </cell>
        </row>
        <row r="255">
          <cell r="AQ255" t="str">
            <v>10295620|78258910|919072281|65383834</v>
          </cell>
          <cell r="AR255" t="str">
            <v>GASTO FISICO</v>
          </cell>
        </row>
        <row r="256">
          <cell r="AQ256" t="str">
            <v>10295620|78258910|919072281|65383834</v>
          </cell>
          <cell r="AR256" t="str">
            <v>GASTO FISICO</v>
          </cell>
        </row>
        <row r="257">
          <cell r="AQ257" t="str">
            <v>10295620|78258910|919072281|65383834</v>
          </cell>
          <cell r="AR257" t="str">
            <v>GASTO FISICO</v>
          </cell>
        </row>
        <row r="258">
          <cell r="AQ258" t="str">
            <v>10295620|78258910|919072281|65383834</v>
          </cell>
          <cell r="AR258" t="str">
            <v>GASTO FISICO</v>
          </cell>
        </row>
        <row r="259">
          <cell r="AQ259" t="str">
            <v>10295620|78258910|919077775|919077775</v>
          </cell>
          <cell r="AR259" t="str">
            <v>IMED SALUD</v>
          </cell>
        </row>
        <row r="260">
          <cell r="AQ260" t="str">
            <v>10295620|78258910|919077775|919077775</v>
          </cell>
          <cell r="AR260" t="str">
            <v>IMED SALUD</v>
          </cell>
        </row>
        <row r="261">
          <cell r="AQ261" t="str">
            <v>10295620|78258910|919077775|919077775</v>
          </cell>
          <cell r="AR261" t="str">
            <v>IMED SALUD</v>
          </cell>
        </row>
        <row r="262">
          <cell r="AQ262" t="str">
            <v>10295620|78258910|919077775|919077775</v>
          </cell>
          <cell r="AR262" t="str">
            <v>IMED SALUD</v>
          </cell>
        </row>
        <row r="263">
          <cell r="AQ263" t="str">
            <v>10295620|78258910|919077775|919077775</v>
          </cell>
          <cell r="AR263" t="str">
            <v>IMED SALUD</v>
          </cell>
        </row>
        <row r="264">
          <cell r="AQ264" t="str">
            <v>10295620|78258910|919077775|919077775</v>
          </cell>
          <cell r="AR264" t="str">
            <v>IMED SALUD</v>
          </cell>
        </row>
        <row r="265">
          <cell r="AQ265" t="str">
            <v>10295620|78258910|919077775|919077775</v>
          </cell>
          <cell r="AR265" t="str">
            <v>IMED SALUD</v>
          </cell>
        </row>
        <row r="266">
          <cell r="AQ266" t="str">
            <v>10295620|78258910|919077775|919077775</v>
          </cell>
          <cell r="AR266" t="str">
            <v>IMED SALUD</v>
          </cell>
        </row>
        <row r="267">
          <cell r="AQ267" t="str">
            <v>10295620|78258910|919077775|919077775</v>
          </cell>
          <cell r="AR267" t="str">
            <v>IMED SALUD</v>
          </cell>
        </row>
        <row r="268">
          <cell r="AQ268" t="str">
            <v>10295620|78258910|919077775|919077775</v>
          </cell>
          <cell r="AR268" t="str">
            <v>IMED SALUD</v>
          </cell>
        </row>
        <row r="269">
          <cell r="AQ269" t="str">
            <v>10295620|78258910|919077775|65383836</v>
          </cell>
          <cell r="AR269" t="str">
            <v>GASTO FISICO</v>
          </cell>
        </row>
        <row r="270">
          <cell r="AQ270" t="str">
            <v>10295620|78258910|919077775|65383836</v>
          </cell>
          <cell r="AR270" t="str">
            <v>GASTO FISICO</v>
          </cell>
        </row>
        <row r="271">
          <cell r="AQ271" t="str">
            <v>10295620|78258910|919077775|65383836</v>
          </cell>
          <cell r="AR271" t="str">
            <v>GASTO FISICO</v>
          </cell>
        </row>
        <row r="272">
          <cell r="AQ272" t="str">
            <v>10295620|78258910|919077775|65383836</v>
          </cell>
          <cell r="AR272" t="str">
            <v>GASTO FISICO</v>
          </cell>
        </row>
        <row r="273">
          <cell r="AQ273" t="str">
            <v>10295620|78258910|919077775|65383836</v>
          </cell>
          <cell r="AR273" t="str">
            <v>GASTO FISICO</v>
          </cell>
        </row>
        <row r="274">
          <cell r="AQ274" t="str">
            <v>10295620|78258910|919077776|919077776</v>
          </cell>
          <cell r="AR274" t="str">
            <v>IMED SALUD</v>
          </cell>
        </row>
        <row r="275">
          <cell r="AQ275" t="str">
            <v>10295620|78258910|919077776|919077776</v>
          </cell>
          <cell r="AR275" t="str">
            <v>IMED SALUD</v>
          </cell>
        </row>
        <row r="276">
          <cell r="AQ276" t="str">
            <v>10295620|78258910|919077776|919077776</v>
          </cell>
          <cell r="AR276" t="str">
            <v>IMED SALUD</v>
          </cell>
        </row>
        <row r="277">
          <cell r="AQ277" t="str">
            <v>10295620|78258910|919077776|919077776</v>
          </cell>
          <cell r="AR277" t="str">
            <v>IMED SALUD</v>
          </cell>
        </row>
        <row r="278">
          <cell r="AQ278" t="str">
            <v>10295620|78258910|919077776|919077776</v>
          </cell>
          <cell r="AR278" t="str">
            <v>IMED SALUD</v>
          </cell>
        </row>
        <row r="279">
          <cell r="AQ279" t="str">
            <v>10295620|78258910|919077776|919077776</v>
          </cell>
          <cell r="AR279" t="str">
            <v>IMED SALUD</v>
          </cell>
        </row>
        <row r="280">
          <cell r="AQ280" t="str">
            <v>10295620|78258910|919077776|65383837</v>
          </cell>
          <cell r="AR280" t="str">
            <v>GASTO FISICO</v>
          </cell>
        </row>
        <row r="281">
          <cell r="AQ281" t="str">
            <v>10295620|78258910|919077776|65383837</v>
          </cell>
          <cell r="AR281" t="str">
            <v>GASTO FISICO</v>
          </cell>
        </row>
        <row r="282">
          <cell r="AQ282" t="str">
            <v>10295620|78258910|919077776|65383837</v>
          </cell>
          <cell r="AR282" t="str">
            <v>GASTO FISICO</v>
          </cell>
        </row>
        <row r="283">
          <cell r="AQ283" t="str">
            <v>10295620|78258910|919078469|919078469</v>
          </cell>
          <cell r="AR283" t="str">
            <v>IMED SALUD</v>
          </cell>
        </row>
        <row r="284">
          <cell r="AQ284" t="str">
            <v>10295620|78258910|919078469|919078469</v>
          </cell>
          <cell r="AR284" t="str">
            <v>IMED SALUD</v>
          </cell>
        </row>
        <row r="285">
          <cell r="AQ285" t="str">
            <v>10295620|78258910|919078469|65383838</v>
          </cell>
          <cell r="AR285" t="str">
            <v>GASTO FISICO</v>
          </cell>
        </row>
        <row r="286">
          <cell r="AQ286" t="str">
            <v>10295620|96942400|919378936|919378936</v>
          </cell>
          <cell r="AR286" t="str">
            <v>IMED SALUD</v>
          </cell>
        </row>
        <row r="287">
          <cell r="AQ287" t="str">
            <v>10295620|96942400|919378936|919378936</v>
          </cell>
          <cell r="AR287" t="str">
            <v>IMED SALUD</v>
          </cell>
        </row>
        <row r="288">
          <cell r="AQ288" t="str">
            <v>10295620|96942400|919378936|65383835</v>
          </cell>
          <cell r="AR288" t="str">
            <v>GASTO FISICO</v>
          </cell>
        </row>
        <row r="289">
          <cell r="AQ289" t="str">
            <v>10315539|96986050|929666759|929666759</v>
          </cell>
          <cell r="AR289" t="str">
            <v>IMED SALUD</v>
          </cell>
        </row>
        <row r="290">
          <cell r="AQ290" t="str">
            <v>10315539|96986050|929666759|929666759</v>
          </cell>
          <cell r="AR290" t="str">
            <v>IMED SALUD</v>
          </cell>
        </row>
        <row r="291">
          <cell r="AQ291" t="str">
            <v>10315539|96986050|929666759|929666759</v>
          </cell>
          <cell r="AR291" t="str">
            <v>IMED SALUD</v>
          </cell>
        </row>
        <row r="292">
          <cell r="AQ292" t="str">
            <v>10315539|96986050|929666759|929666759</v>
          </cell>
          <cell r="AR292" t="str">
            <v>IMED SALUD</v>
          </cell>
        </row>
        <row r="293">
          <cell r="AQ293" t="str">
            <v>10315539|96986050|929666759|65383840</v>
          </cell>
          <cell r="AR293" t="str">
            <v>GASTO FISICO</v>
          </cell>
        </row>
        <row r="294">
          <cell r="AQ294" t="str">
            <v>10315539|96986050|929666759|65383840</v>
          </cell>
          <cell r="AR294" t="str">
            <v>GASTO FISICO</v>
          </cell>
        </row>
        <row r="295">
          <cell r="AQ295" t="str">
            <v>10315539|96986050|929666760|929666760</v>
          </cell>
          <cell r="AR295" t="str">
            <v>IMED SALUD</v>
          </cell>
        </row>
        <row r="296">
          <cell r="AQ296" t="str">
            <v>10315539|96986050|929666760|929666760</v>
          </cell>
          <cell r="AR296" t="str">
            <v>IMED SALUD</v>
          </cell>
        </row>
        <row r="297">
          <cell r="AQ297" t="str">
            <v>10315539|96986050|929666760|929666760</v>
          </cell>
          <cell r="AR297" t="str">
            <v>IMED SALUD</v>
          </cell>
        </row>
        <row r="298">
          <cell r="AQ298" t="str">
            <v>10315539|96986050|929666760|929666760</v>
          </cell>
          <cell r="AR298" t="str">
            <v>IMED SALUD</v>
          </cell>
        </row>
        <row r="299">
          <cell r="AQ299" t="str">
            <v>10315539|96986050|929666760|929666760</v>
          </cell>
          <cell r="AR299" t="str">
            <v>IMED SALUD</v>
          </cell>
        </row>
        <row r="300">
          <cell r="AQ300" t="str">
            <v>10315539|96986050|929666760|929666760</v>
          </cell>
          <cell r="AR300" t="str">
            <v>IMED SALUD</v>
          </cell>
        </row>
        <row r="301">
          <cell r="AQ301" t="str">
            <v>10315539|96986050|929666760|929666760</v>
          </cell>
          <cell r="AR301" t="str">
            <v>IMED SALUD</v>
          </cell>
        </row>
        <row r="302">
          <cell r="AQ302" t="str">
            <v>10315539|96986050|929666760|929666760</v>
          </cell>
          <cell r="AR302" t="str">
            <v>IMED SALUD</v>
          </cell>
        </row>
        <row r="303">
          <cell r="AQ303" t="str">
            <v>10315539|96986050|929666760|65383841</v>
          </cell>
          <cell r="AR303" t="str">
            <v>GASTO FISICO</v>
          </cell>
        </row>
        <row r="304">
          <cell r="AQ304" t="str">
            <v>10315539|96986050|929666760|65383841</v>
          </cell>
          <cell r="AR304" t="str">
            <v>GASTO FISICO</v>
          </cell>
        </row>
        <row r="305">
          <cell r="AQ305" t="str">
            <v>10315539|96986050|929666760|65383841</v>
          </cell>
          <cell r="AR305" t="str">
            <v>GASTO FISICO</v>
          </cell>
        </row>
        <row r="306">
          <cell r="AQ306" t="str">
            <v>10315539|96986050|929666760|65383841</v>
          </cell>
          <cell r="AR306" t="str">
            <v>GASTO FISICO</v>
          </cell>
        </row>
        <row r="307">
          <cell r="AQ307" t="str">
            <v>10315539|96986050|929666761|929666761</v>
          </cell>
          <cell r="AR307" t="str">
            <v>IMED SALUD</v>
          </cell>
        </row>
        <row r="308">
          <cell r="AQ308" t="str">
            <v>10315539|96986050|929666761|929666761</v>
          </cell>
          <cell r="AR308" t="str">
            <v>IMED SALUD</v>
          </cell>
        </row>
        <row r="309">
          <cell r="AQ309" t="str">
            <v>10315539|96986050|929666761|929666761</v>
          </cell>
          <cell r="AR309" t="str">
            <v>IMED SALUD</v>
          </cell>
        </row>
        <row r="310">
          <cell r="AQ310" t="str">
            <v>10315539|96986050|929666761|929666761</v>
          </cell>
          <cell r="AR310" t="str">
            <v>IMED SALUD</v>
          </cell>
        </row>
        <row r="311">
          <cell r="AQ311" t="str">
            <v>10315539|96986050|929666761|929666761</v>
          </cell>
          <cell r="AR311" t="str">
            <v>IMED SALUD</v>
          </cell>
        </row>
        <row r="312">
          <cell r="AQ312" t="str">
            <v>10315539|96986050|929666761|929666761</v>
          </cell>
          <cell r="AR312" t="str">
            <v>IMED SALUD</v>
          </cell>
        </row>
        <row r="313">
          <cell r="AQ313" t="str">
            <v>10315539|96986050|929666761|929666761</v>
          </cell>
          <cell r="AR313" t="str">
            <v>IMED SALUD</v>
          </cell>
        </row>
        <row r="314">
          <cell r="AQ314" t="str">
            <v>10315539|96986050|929666761|929666761</v>
          </cell>
          <cell r="AR314" t="str">
            <v>IMED SALUD</v>
          </cell>
        </row>
        <row r="315">
          <cell r="AQ315" t="str">
            <v>10315539|96986050|929666761|929666761</v>
          </cell>
          <cell r="AR315" t="str">
            <v>IMED SALUD</v>
          </cell>
        </row>
        <row r="316">
          <cell r="AQ316" t="str">
            <v>10315539|96986050|929666761|929666761</v>
          </cell>
          <cell r="AR316" t="str">
            <v>IMED SALUD</v>
          </cell>
        </row>
        <row r="317">
          <cell r="AQ317" t="str">
            <v>10315539|96986050|929666761|65383842</v>
          </cell>
          <cell r="AR317" t="str">
            <v>GASTO FISICO</v>
          </cell>
        </row>
        <row r="318">
          <cell r="AQ318" t="str">
            <v>10315539|96986050|929666761|65383842</v>
          </cell>
          <cell r="AR318" t="str">
            <v>GASTO FISICO</v>
          </cell>
        </row>
        <row r="319">
          <cell r="AQ319" t="str">
            <v>10315539|96986050|929666761|65383842</v>
          </cell>
          <cell r="AR319" t="str">
            <v>GASTO FISICO</v>
          </cell>
        </row>
        <row r="320">
          <cell r="AQ320" t="str">
            <v>10315539|96986050|929666761|65383842</v>
          </cell>
          <cell r="AR320" t="str">
            <v>GASTO FISICO</v>
          </cell>
        </row>
        <row r="321">
          <cell r="AQ321" t="str">
            <v>10315539|96986050|929666761|65383842</v>
          </cell>
          <cell r="AR321" t="str">
            <v>GASTO FISICO</v>
          </cell>
        </row>
        <row r="322">
          <cell r="AQ322" t="str">
            <v>10315539|96942400|929678352|929678352</v>
          </cell>
          <cell r="AR322" t="str">
            <v>IMED SALUD</v>
          </cell>
        </row>
        <row r="323">
          <cell r="AQ323" t="str">
            <v>10315539|96942400|929678352|929678352</v>
          </cell>
          <cell r="AR323" t="str">
            <v>IMED SALUD</v>
          </cell>
        </row>
        <row r="324">
          <cell r="AQ324" t="str">
            <v>10315539|96942400|929678352|65383843</v>
          </cell>
          <cell r="AR324" t="str">
            <v>GASTO FISICO</v>
          </cell>
        </row>
        <row r="325">
          <cell r="AQ325" t="str">
            <v>10402393|78582780|917935590|917935590</v>
          </cell>
          <cell r="AR325" t="str">
            <v>IMED SALUD</v>
          </cell>
        </row>
        <row r="326">
          <cell r="AQ326" t="str">
            <v>10402393|78582780|917935590|917935590</v>
          </cell>
          <cell r="AR326" t="str">
            <v>IMED SALUD</v>
          </cell>
        </row>
        <row r="327">
          <cell r="AQ327" t="str">
            <v>10402393|78582780|917935590|917935590</v>
          </cell>
          <cell r="AR327" t="str">
            <v>IMED SALUD</v>
          </cell>
        </row>
        <row r="328">
          <cell r="AQ328" t="str">
            <v>10402393|78582780|917935590|917935590</v>
          </cell>
          <cell r="AR328" t="str">
            <v>IMED SALUD</v>
          </cell>
        </row>
        <row r="329">
          <cell r="AQ329" t="str">
            <v>10402393|78582780|917935590|917935590</v>
          </cell>
          <cell r="AR329" t="str">
            <v>IMED SALUD</v>
          </cell>
        </row>
        <row r="330">
          <cell r="AQ330" t="str">
            <v>10402393|78582780|917935590|917935590</v>
          </cell>
          <cell r="AR330" t="str">
            <v>IMED SALUD</v>
          </cell>
        </row>
        <row r="331">
          <cell r="AQ331" t="str">
            <v>10402393|78582780|917935590|917935590</v>
          </cell>
          <cell r="AR331" t="str">
            <v>IMED SALUD</v>
          </cell>
        </row>
        <row r="332">
          <cell r="AQ332" t="str">
            <v>10402393|78582780|917935590|917935590</v>
          </cell>
          <cell r="AR332" t="str">
            <v>IMED SALUD</v>
          </cell>
        </row>
        <row r="333">
          <cell r="AQ333" t="str">
            <v>10402393|78582780|917935590|917935590</v>
          </cell>
          <cell r="AR333" t="str">
            <v>IMED SALUD</v>
          </cell>
        </row>
        <row r="334">
          <cell r="AQ334" t="str">
            <v>10402393|78582780|917935590|917935590</v>
          </cell>
          <cell r="AR334" t="str">
            <v>IMED SALUD</v>
          </cell>
        </row>
        <row r="335">
          <cell r="AQ335" t="str">
            <v>10402393|78582780|917935590|65383844</v>
          </cell>
          <cell r="AR335" t="str">
            <v>GASTO FISICO</v>
          </cell>
        </row>
        <row r="336">
          <cell r="AQ336" t="str">
            <v>10402393|78582780|917935590|65383844</v>
          </cell>
          <cell r="AR336" t="str">
            <v>GASTO FISICO</v>
          </cell>
        </row>
        <row r="337">
          <cell r="AQ337" t="str">
            <v>10402393|78582780|917935590|65383844</v>
          </cell>
          <cell r="AR337" t="str">
            <v>GASTO FISICO</v>
          </cell>
        </row>
        <row r="338">
          <cell r="AQ338" t="str">
            <v>10402393|78582780|917935590|65383844</v>
          </cell>
          <cell r="AR338" t="str">
            <v>GASTO FISICO</v>
          </cell>
        </row>
        <row r="339">
          <cell r="AQ339" t="str">
            <v>10402393|78582780|917935590|65383844</v>
          </cell>
          <cell r="AR339" t="str">
            <v>GASTO FISICO</v>
          </cell>
        </row>
        <row r="340">
          <cell r="AQ340" t="str">
            <v>10402393|78582780|917935591|917935591</v>
          </cell>
          <cell r="AR340" t="str">
            <v>IMED SALUD</v>
          </cell>
        </row>
        <row r="341">
          <cell r="AQ341" t="str">
            <v>10402393|78582780|917935591|917935591</v>
          </cell>
          <cell r="AR341" t="str">
            <v>IMED SALUD</v>
          </cell>
        </row>
        <row r="342">
          <cell r="AQ342" t="str">
            <v>10402393|78582780|917935591|917935591</v>
          </cell>
          <cell r="AR342" t="str">
            <v>IMED SALUD</v>
          </cell>
        </row>
        <row r="343">
          <cell r="AQ343" t="str">
            <v>10402393|78582780|917935591|917935591</v>
          </cell>
          <cell r="AR343" t="str">
            <v>IMED SALUD</v>
          </cell>
        </row>
        <row r="344">
          <cell r="AQ344" t="str">
            <v>10402393|78582780|917935591|65383845</v>
          </cell>
          <cell r="AR344" t="str">
            <v>GASTO FISICO</v>
          </cell>
        </row>
        <row r="345">
          <cell r="AQ345" t="str">
            <v>10402393|78582780|917935591|65383845</v>
          </cell>
          <cell r="AR345" t="str">
            <v>GASTO FISICO</v>
          </cell>
        </row>
        <row r="346">
          <cell r="AQ346" t="str">
            <v>10402393|78582780|917935727|917935727</v>
          </cell>
          <cell r="AR346" t="str">
            <v>IMED SALUD</v>
          </cell>
        </row>
        <row r="347">
          <cell r="AQ347" t="str">
            <v>10402393|78582780|917935727|917935727</v>
          </cell>
          <cell r="AR347" t="str">
            <v>IMED SALUD</v>
          </cell>
        </row>
        <row r="348">
          <cell r="AQ348" t="str">
            <v>10402393|78582780|917935727|65383846</v>
          </cell>
          <cell r="AR348" t="str">
            <v>GASTO FISICO</v>
          </cell>
        </row>
        <row r="349">
          <cell r="AQ349" t="str">
            <v>10438932|99583690|2655764|22132994</v>
          </cell>
          <cell r="AR349" t="str">
            <v>GASTO FISICO</v>
          </cell>
        </row>
        <row r="350">
          <cell r="AQ350" t="str">
            <v>10438932|99583690|2655764|1044893</v>
          </cell>
          <cell r="AR350" t="str">
            <v>GASTO FISICO</v>
          </cell>
        </row>
        <row r="351">
          <cell r="AQ351" t="str">
            <v>10438932|99583690|2655764|66380108</v>
          </cell>
          <cell r="AR351" t="str">
            <v>GASTO FISICO</v>
          </cell>
        </row>
        <row r="352">
          <cell r="AQ352" t="str">
            <v>10438932|76098454|917688749|917688749</v>
          </cell>
          <cell r="AR352" t="str">
            <v>IMED SALUD</v>
          </cell>
        </row>
        <row r="353">
          <cell r="AQ353" t="str">
            <v>10438932|76098454|917688749|917688749</v>
          </cell>
          <cell r="AR353" t="str">
            <v>IMED SALUD</v>
          </cell>
        </row>
        <row r="354">
          <cell r="AQ354" t="str">
            <v>10438932|76098454|917688749|65383847</v>
          </cell>
          <cell r="AR354" t="str">
            <v>GASTO FISICO</v>
          </cell>
        </row>
        <row r="355">
          <cell r="AQ355" t="str">
            <v>10458253|96942400|765480130|765480130</v>
          </cell>
          <cell r="AR355" t="str">
            <v>IMED SALUD</v>
          </cell>
        </row>
        <row r="356">
          <cell r="AQ356" t="str">
            <v>10458253|96942400|765480130|765480130</v>
          </cell>
          <cell r="AR356" t="str">
            <v>IMED SALUD</v>
          </cell>
        </row>
        <row r="357">
          <cell r="AQ357" t="str">
            <v>10458253|96942400|765480130|65383848</v>
          </cell>
          <cell r="AR357" t="str">
            <v>GASTO FISICO</v>
          </cell>
        </row>
        <row r="358">
          <cell r="AQ358" t="str">
            <v>10458253|96942400|765487432|765487432</v>
          </cell>
          <cell r="AR358" t="str">
            <v>IMED SALUD</v>
          </cell>
        </row>
        <row r="359">
          <cell r="AQ359" t="str">
            <v>10458253|96942400|765487432|765487432</v>
          </cell>
          <cell r="AR359" t="str">
            <v>IMED SALUD</v>
          </cell>
        </row>
        <row r="360">
          <cell r="AQ360" t="str">
            <v>10458253|96942400|765487432|765487432</v>
          </cell>
          <cell r="AR360" t="str">
            <v>IMED SALUD</v>
          </cell>
        </row>
        <row r="361">
          <cell r="AQ361" t="str">
            <v>10458253|96942400|765487432|765487432</v>
          </cell>
          <cell r="AR361" t="str">
            <v>IMED SALUD</v>
          </cell>
        </row>
        <row r="362">
          <cell r="AQ362" t="str">
            <v>10458253|96942400|765487432|765487432</v>
          </cell>
          <cell r="AR362" t="str">
            <v>IMED SALUD</v>
          </cell>
        </row>
        <row r="363">
          <cell r="AQ363" t="str">
            <v>10458253|96942400|765487432|765487432</v>
          </cell>
          <cell r="AR363" t="str">
            <v>IMED SALUD</v>
          </cell>
        </row>
        <row r="364">
          <cell r="AQ364" t="str">
            <v>10458253|96942400|765487432|765487432</v>
          </cell>
          <cell r="AR364" t="str">
            <v>IMED SALUD</v>
          </cell>
        </row>
        <row r="365">
          <cell r="AQ365" t="str">
            <v>10458253|96942400|765487432|765487432</v>
          </cell>
          <cell r="AR365" t="str">
            <v>IMED SALUD</v>
          </cell>
        </row>
        <row r="366">
          <cell r="AQ366" t="str">
            <v>10458253|96942400|765487432|765487432</v>
          </cell>
          <cell r="AR366" t="str">
            <v>IMED SALUD</v>
          </cell>
        </row>
        <row r="367">
          <cell r="AQ367" t="str">
            <v>10458253|96942400|765487432|765487432</v>
          </cell>
          <cell r="AR367" t="str">
            <v>IMED SALUD</v>
          </cell>
        </row>
        <row r="368">
          <cell r="AQ368" t="str">
            <v>10458253|96942400|765487432|65383849</v>
          </cell>
          <cell r="AR368" t="str">
            <v>GASTO FISICO</v>
          </cell>
        </row>
        <row r="369">
          <cell r="AQ369" t="str">
            <v>10458253|96942400|765487432|65383849</v>
          </cell>
          <cell r="AR369" t="str">
            <v>GASTO FISICO</v>
          </cell>
        </row>
        <row r="370">
          <cell r="AQ370" t="str">
            <v>10458253|96942400|765487432|65383849</v>
          </cell>
          <cell r="AR370" t="str">
            <v>GASTO FISICO</v>
          </cell>
        </row>
        <row r="371">
          <cell r="AQ371" t="str">
            <v>10458253|96942400|765487432|65383849</v>
          </cell>
          <cell r="AR371" t="str">
            <v>GASTO FISICO</v>
          </cell>
        </row>
        <row r="372">
          <cell r="AQ372" t="str">
            <v>10458253|96942400|765487432|65383849</v>
          </cell>
          <cell r="AR372" t="str">
            <v>GASTO FISICO</v>
          </cell>
        </row>
        <row r="373">
          <cell r="AQ373" t="str">
            <v>10458253|96942400|765487433|765487433</v>
          </cell>
          <cell r="AR373" t="str">
            <v>IMED SALUD</v>
          </cell>
        </row>
        <row r="374">
          <cell r="AQ374" t="str">
            <v>10458253|96942400|765487433|765487433</v>
          </cell>
          <cell r="AR374" t="str">
            <v>IMED SALUD</v>
          </cell>
        </row>
        <row r="375">
          <cell r="AQ375" t="str">
            <v>10458253|96942400|765487433|765487433</v>
          </cell>
          <cell r="AR375" t="str">
            <v>IMED SALUD</v>
          </cell>
        </row>
        <row r="376">
          <cell r="AQ376" t="str">
            <v>10458253|96942400|765487433|765487433</v>
          </cell>
          <cell r="AR376" t="str">
            <v>IMED SALUD</v>
          </cell>
        </row>
        <row r="377">
          <cell r="AQ377" t="str">
            <v>10458253|96942400|765487433|765487433</v>
          </cell>
          <cell r="AR377" t="str">
            <v>IMED SALUD</v>
          </cell>
        </row>
        <row r="378">
          <cell r="AQ378" t="str">
            <v>10458253|96942400|765487433|765487433</v>
          </cell>
          <cell r="AR378" t="str">
            <v>IMED SALUD</v>
          </cell>
        </row>
        <row r="379">
          <cell r="AQ379" t="str">
            <v>10458253|96942400|765487433|765487433</v>
          </cell>
          <cell r="AR379" t="str">
            <v>IMED SALUD</v>
          </cell>
        </row>
        <row r="380">
          <cell r="AQ380" t="str">
            <v>10458253|96942400|765487433|765487433</v>
          </cell>
          <cell r="AR380" t="str">
            <v>IMED SALUD</v>
          </cell>
        </row>
        <row r="381">
          <cell r="AQ381" t="str">
            <v>10458253|96942400|765487433|765487433</v>
          </cell>
          <cell r="AR381" t="str">
            <v>IMED SALUD</v>
          </cell>
        </row>
        <row r="382">
          <cell r="AQ382" t="str">
            <v>10458253|96942400|765487433|765487433</v>
          </cell>
          <cell r="AR382" t="str">
            <v>IMED SALUD</v>
          </cell>
        </row>
        <row r="383">
          <cell r="AQ383" t="str">
            <v>10458253|96942400|765487433|65383850</v>
          </cell>
          <cell r="AR383" t="str">
            <v>GASTO FISICO</v>
          </cell>
        </row>
        <row r="384">
          <cell r="AQ384" t="str">
            <v>10458253|96942400|765487433|65383850</v>
          </cell>
          <cell r="AR384" t="str">
            <v>GASTO FISICO</v>
          </cell>
        </row>
        <row r="385">
          <cell r="AQ385" t="str">
            <v>10458253|96942400|765487433|65383850</v>
          </cell>
          <cell r="AR385" t="str">
            <v>GASTO FISICO</v>
          </cell>
        </row>
        <row r="386">
          <cell r="AQ386" t="str">
            <v>10458253|96942400|765487433|65383850</v>
          </cell>
          <cell r="AR386" t="str">
            <v>GASTO FISICO</v>
          </cell>
        </row>
        <row r="387">
          <cell r="AQ387" t="str">
            <v>10458253|96942400|765487433|65383850</v>
          </cell>
          <cell r="AR387" t="str">
            <v>GASTO FISICO</v>
          </cell>
        </row>
        <row r="388">
          <cell r="AQ388" t="str">
            <v>10458253|96942400|765487434|765487434</v>
          </cell>
          <cell r="AR388" t="str">
            <v>IMED SALUD</v>
          </cell>
        </row>
        <row r="389">
          <cell r="AQ389" t="str">
            <v>10458253|96942400|765487434|765487434</v>
          </cell>
          <cell r="AR389" t="str">
            <v>IMED SALUD</v>
          </cell>
        </row>
        <row r="390">
          <cell r="AQ390" t="str">
            <v>10458253|96942400|765487434|765487434</v>
          </cell>
          <cell r="AR390" t="str">
            <v>IMED SALUD</v>
          </cell>
        </row>
        <row r="391">
          <cell r="AQ391" t="str">
            <v>10458253|96942400|765487434|765487434</v>
          </cell>
          <cell r="AR391" t="str">
            <v>IMED SALUD</v>
          </cell>
        </row>
        <row r="392">
          <cell r="AQ392" t="str">
            <v>10458253|96942400|765487434|765487434</v>
          </cell>
          <cell r="AR392" t="str">
            <v>IMED SALUD</v>
          </cell>
        </row>
        <row r="393">
          <cell r="AQ393" t="str">
            <v>10458253|96942400|765487434|765487434</v>
          </cell>
          <cell r="AR393" t="str">
            <v>IMED SALUD</v>
          </cell>
        </row>
        <row r="394">
          <cell r="AQ394" t="str">
            <v>10458253|96942400|765487434|765487434</v>
          </cell>
          <cell r="AR394" t="str">
            <v>IMED SALUD</v>
          </cell>
        </row>
        <row r="395">
          <cell r="AQ395" t="str">
            <v>10458253|96942400|765487434|765487434</v>
          </cell>
          <cell r="AR395" t="str">
            <v>IMED SALUD</v>
          </cell>
        </row>
        <row r="396">
          <cell r="AQ396" t="str">
            <v>10458253|96942400|765487434|765487434</v>
          </cell>
          <cell r="AR396" t="str">
            <v>IMED SALUD</v>
          </cell>
        </row>
        <row r="397">
          <cell r="AQ397" t="str">
            <v>10458253|96942400|765487434|765487434</v>
          </cell>
          <cell r="AR397" t="str">
            <v>IMED SALUD</v>
          </cell>
        </row>
        <row r="398">
          <cell r="AQ398" t="str">
            <v>10458253|96942400|765487434|65383851</v>
          </cell>
          <cell r="AR398" t="str">
            <v>GASTO FISICO</v>
          </cell>
        </row>
        <row r="399">
          <cell r="AQ399" t="str">
            <v>10458253|96942400|765487434|65383851</v>
          </cell>
          <cell r="AR399" t="str">
            <v>GASTO FISICO</v>
          </cell>
        </row>
        <row r="400">
          <cell r="AQ400" t="str">
            <v>10458253|96942400|765487434|65383851</v>
          </cell>
          <cell r="AR400" t="str">
            <v>GASTO FISICO</v>
          </cell>
        </row>
        <row r="401">
          <cell r="AQ401" t="str">
            <v>10458253|96942400|765487434|65383851</v>
          </cell>
          <cell r="AR401" t="str">
            <v>GASTO FISICO</v>
          </cell>
        </row>
        <row r="402">
          <cell r="AQ402" t="str">
            <v>10458253|96942400|765487434|65383851</v>
          </cell>
          <cell r="AR402" t="str">
            <v>GASTO FISICO</v>
          </cell>
        </row>
        <row r="403">
          <cell r="AQ403" t="str">
            <v>10458253|96942400|765487435|765487435</v>
          </cell>
          <cell r="AR403" t="str">
            <v>IMED SALUD</v>
          </cell>
        </row>
        <row r="404">
          <cell r="AQ404" t="str">
            <v>10458253|96942400|765487435|765487435</v>
          </cell>
          <cell r="AR404" t="str">
            <v>IMED SALUD</v>
          </cell>
        </row>
        <row r="405">
          <cell r="AQ405" t="str">
            <v>10458253|96942400|765487435|765487435</v>
          </cell>
          <cell r="AR405" t="str">
            <v>IMED SALUD</v>
          </cell>
        </row>
        <row r="406">
          <cell r="AQ406" t="str">
            <v>10458253|96942400|765487435|765487435</v>
          </cell>
          <cell r="AR406" t="str">
            <v>IMED SALUD</v>
          </cell>
        </row>
        <row r="407">
          <cell r="AQ407" t="str">
            <v>10458253|96942400|765487435|765487435</v>
          </cell>
          <cell r="AR407" t="str">
            <v>IMED SALUD</v>
          </cell>
        </row>
        <row r="408">
          <cell r="AQ408" t="str">
            <v>10458253|96942400|765487435|765487435</v>
          </cell>
          <cell r="AR408" t="str">
            <v>IMED SALUD</v>
          </cell>
        </row>
        <row r="409">
          <cell r="AQ409" t="str">
            <v>10458253|96942400|765487435|65383852</v>
          </cell>
          <cell r="AR409" t="str">
            <v>GASTO FISICO</v>
          </cell>
        </row>
        <row r="410">
          <cell r="AQ410" t="str">
            <v>10458253|96942400|765487435|65383852</v>
          </cell>
          <cell r="AR410" t="str">
            <v>GASTO FISICO</v>
          </cell>
        </row>
        <row r="411">
          <cell r="AQ411" t="str">
            <v>10458253|96942400|765487435|65383852</v>
          </cell>
          <cell r="AR411" t="str">
            <v>GASTO FISICO</v>
          </cell>
        </row>
        <row r="412">
          <cell r="AQ412" t="str">
            <v>10458253|96942400|765577753|765577753</v>
          </cell>
          <cell r="AR412" t="str">
            <v>IMED SALUD</v>
          </cell>
        </row>
        <row r="413">
          <cell r="AQ413" t="str">
            <v>10458253|96942400|765577753|765577753</v>
          </cell>
          <cell r="AR413" t="str">
            <v>IMED SALUD</v>
          </cell>
        </row>
        <row r="414">
          <cell r="AQ414" t="str">
            <v>10458253|96942400|765577753|65383853</v>
          </cell>
          <cell r="AR414" t="str">
            <v>GASTO FISICO</v>
          </cell>
        </row>
        <row r="415">
          <cell r="AQ415" t="str">
            <v>10458253|96942400|765577844|765577844</v>
          </cell>
          <cell r="AR415" t="str">
            <v>IMED SALUD</v>
          </cell>
        </row>
        <row r="416">
          <cell r="AQ416" t="str">
            <v>10458253|96942400|765577844|765577844</v>
          </cell>
          <cell r="AR416" t="str">
            <v>IMED SALUD</v>
          </cell>
        </row>
        <row r="417">
          <cell r="AQ417" t="str">
            <v>10458253|96942400|765577844|65383854</v>
          </cell>
          <cell r="AR417" t="str">
            <v>GASTO FISICO</v>
          </cell>
        </row>
        <row r="418">
          <cell r="AQ418" t="str">
            <v>10458253|96942400|765625393|765625393</v>
          </cell>
          <cell r="AR418" t="str">
            <v>IMED SALUD</v>
          </cell>
        </row>
        <row r="419">
          <cell r="AQ419" t="str">
            <v>10458253|96942400|765625393|765625393</v>
          </cell>
          <cell r="AR419" t="str">
            <v>IMED SALUD</v>
          </cell>
        </row>
        <row r="420">
          <cell r="AQ420" t="str">
            <v>10458253|96942400|765625393|65383855</v>
          </cell>
          <cell r="AR420" t="str">
            <v>GASTO FISICO</v>
          </cell>
        </row>
        <row r="421">
          <cell r="AQ421" t="str">
            <v>10490905|96942400|919478590|919478590</v>
          </cell>
          <cell r="AR421" t="str">
            <v>IMED SALUD</v>
          </cell>
        </row>
        <row r="422">
          <cell r="AQ422" t="str">
            <v>10490905|96942400|919478590|919478590</v>
          </cell>
          <cell r="AR422" t="str">
            <v>IMED SALUD</v>
          </cell>
        </row>
        <row r="423">
          <cell r="AQ423" t="str">
            <v>10490905|96942400|919478590|919478590</v>
          </cell>
          <cell r="AR423" t="str">
            <v>IMED SALUD</v>
          </cell>
        </row>
        <row r="424">
          <cell r="AQ424" t="str">
            <v>10490905|96942400|919478590|919478590</v>
          </cell>
          <cell r="AR424" t="str">
            <v>IMED SALUD</v>
          </cell>
        </row>
        <row r="425">
          <cell r="AQ425" t="str">
            <v>10490905|96942400|919478590|919478590</v>
          </cell>
          <cell r="AR425" t="str">
            <v>IMED SALUD</v>
          </cell>
        </row>
        <row r="426">
          <cell r="AQ426" t="str">
            <v>10490905|96942400|919478590|919478590</v>
          </cell>
          <cell r="AR426" t="str">
            <v>IMED SALUD</v>
          </cell>
        </row>
        <row r="427">
          <cell r="AQ427" t="str">
            <v>10490905|96942400|919478590|919478590</v>
          </cell>
          <cell r="AR427" t="str">
            <v>IMED SALUD</v>
          </cell>
        </row>
        <row r="428">
          <cell r="AQ428" t="str">
            <v>10490905|96942400|919478590|919478590</v>
          </cell>
          <cell r="AR428" t="str">
            <v>IMED SALUD</v>
          </cell>
        </row>
        <row r="429">
          <cell r="AQ429" t="str">
            <v>10490905|96942400|919478590|919478590</v>
          </cell>
          <cell r="AR429" t="str">
            <v>IMED SALUD</v>
          </cell>
        </row>
        <row r="430">
          <cell r="AQ430" t="str">
            <v>10490905|96942400|919478590|919478590</v>
          </cell>
          <cell r="AR430" t="str">
            <v>IMED SALUD</v>
          </cell>
        </row>
        <row r="431">
          <cell r="AQ431" t="str">
            <v>10490905|96942400|919478590|65383856</v>
          </cell>
          <cell r="AR431" t="str">
            <v>GASTO FISICO</v>
          </cell>
        </row>
        <row r="432">
          <cell r="AQ432" t="str">
            <v>10490905|96942400|919478590|65383856</v>
          </cell>
          <cell r="AR432" t="str">
            <v>GASTO FISICO</v>
          </cell>
        </row>
        <row r="433">
          <cell r="AQ433" t="str">
            <v>10490905|96942400|919478590|65383856</v>
          </cell>
          <cell r="AR433" t="str">
            <v>GASTO FISICO</v>
          </cell>
        </row>
        <row r="434">
          <cell r="AQ434" t="str">
            <v>10490905|96942400|919478590|65383856</v>
          </cell>
          <cell r="AR434" t="str">
            <v>GASTO FISICO</v>
          </cell>
        </row>
        <row r="435">
          <cell r="AQ435" t="str">
            <v>10490905|96942400|919478590|65383856</v>
          </cell>
          <cell r="AR435" t="str">
            <v>GASTO FISICO</v>
          </cell>
        </row>
        <row r="436">
          <cell r="AQ436" t="str">
            <v>10490905|96942400|919478591|919478591</v>
          </cell>
          <cell r="AR436" t="str">
            <v>IMED SALUD</v>
          </cell>
        </row>
        <row r="437">
          <cell r="AQ437" t="str">
            <v>10490905|96942400|919478591|919478591</v>
          </cell>
          <cell r="AR437" t="str">
            <v>IMED SALUD</v>
          </cell>
        </row>
        <row r="438">
          <cell r="AQ438" t="str">
            <v>10490905|96942400|919478591|919478591</v>
          </cell>
          <cell r="AR438" t="str">
            <v>IMED SALUD</v>
          </cell>
        </row>
        <row r="439">
          <cell r="AQ439" t="str">
            <v>10490905|96942400|919478591|919478591</v>
          </cell>
          <cell r="AR439" t="str">
            <v>IMED SALUD</v>
          </cell>
        </row>
        <row r="440">
          <cell r="AQ440" t="str">
            <v>10490905|96942400|919478591|919478591</v>
          </cell>
          <cell r="AR440" t="str">
            <v>IMED SALUD</v>
          </cell>
        </row>
        <row r="441">
          <cell r="AQ441" t="str">
            <v>10490905|96942400|919478591|919478591</v>
          </cell>
          <cell r="AR441" t="str">
            <v>IMED SALUD</v>
          </cell>
        </row>
        <row r="442">
          <cell r="AQ442" t="str">
            <v>10490905|96942400|919478591|919478591</v>
          </cell>
          <cell r="AR442" t="str">
            <v>IMED SALUD</v>
          </cell>
        </row>
        <row r="443">
          <cell r="AQ443" t="str">
            <v>10490905|96942400|919478591|919478591</v>
          </cell>
          <cell r="AR443" t="str">
            <v>IMED SALUD</v>
          </cell>
        </row>
        <row r="444">
          <cell r="AQ444" t="str">
            <v>10490905|96942400|919478591|919478591</v>
          </cell>
          <cell r="AR444" t="str">
            <v>IMED SALUD</v>
          </cell>
        </row>
        <row r="445">
          <cell r="AQ445" t="str">
            <v>10490905|96942400|919478591|919478591</v>
          </cell>
          <cell r="AR445" t="str">
            <v>IMED SALUD</v>
          </cell>
        </row>
        <row r="446">
          <cell r="AQ446" t="str">
            <v>10490905|96942400|919478591|65383857</v>
          </cell>
          <cell r="AR446" t="str">
            <v>GASTO FISICO</v>
          </cell>
        </row>
        <row r="447">
          <cell r="AQ447" t="str">
            <v>10490905|96942400|919478591|65383857</v>
          </cell>
          <cell r="AR447" t="str">
            <v>GASTO FISICO</v>
          </cell>
        </row>
        <row r="448">
          <cell r="AQ448" t="str">
            <v>10490905|96942400|919478591|65383857</v>
          </cell>
          <cell r="AR448" t="str">
            <v>GASTO FISICO</v>
          </cell>
        </row>
        <row r="449">
          <cell r="AQ449" t="str">
            <v>10490905|96942400|919478591|65383857</v>
          </cell>
          <cell r="AR449" t="str">
            <v>GASTO FISICO</v>
          </cell>
        </row>
        <row r="450">
          <cell r="AQ450" t="str">
            <v>10490905|96942400|919478591|65383857</v>
          </cell>
          <cell r="AR450" t="str">
            <v>GASTO FISICO</v>
          </cell>
        </row>
        <row r="451">
          <cell r="AQ451" t="str">
            <v>10490905|96942400|919478592|919478592</v>
          </cell>
          <cell r="AR451" t="str">
            <v>IMED SALUD</v>
          </cell>
        </row>
        <row r="452">
          <cell r="AQ452" t="str">
            <v>10490905|96942400|919478592|919478592</v>
          </cell>
          <cell r="AR452" t="str">
            <v>IMED SALUD</v>
          </cell>
        </row>
        <row r="453">
          <cell r="AQ453" t="str">
            <v>10490905|96942400|919478592|919478592</v>
          </cell>
          <cell r="AR453" t="str">
            <v>IMED SALUD</v>
          </cell>
        </row>
        <row r="454">
          <cell r="AQ454" t="str">
            <v>10490905|96942400|919478592|919478592</v>
          </cell>
          <cell r="AR454" t="str">
            <v>IMED SALUD</v>
          </cell>
        </row>
        <row r="455">
          <cell r="AQ455" t="str">
            <v>10490905|96942400|919478592|919478592</v>
          </cell>
          <cell r="AR455" t="str">
            <v>IMED SALUD</v>
          </cell>
        </row>
        <row r="456">
          <cell r="AQ456" t="str">
            <v>10490905|96942400|919478592|919478592</v>
          </cell>
          <cell r="AR456" t="str">
            <v>IMED SALUD</v>
          </cell>
        </row>
        <row r="457">
          <cell r="AQ457" t="str">
            <v>10490905|96942400|919478592|919478592</v>
          </cell>
          <cell r="AR457" t="str">
            <v>IMED SALUD</v>
          </cell>
        </row>
        <row r="458">
          <cell r="AQ458" t="str">
            <v>10490905|96942400|919478592|919478592</v>
          </cell>
          <cell r="AR458" t="str">
            <v>IMED SALUD</v>
          </cell>
        </row>
        <row r="459">
          <cell r="AQ459" t="str">
            <v>10490905|96942400|919478592|65383858</v>
          </cell>
          <cell r="AR459" t="str">
            <v>GASTO FISICO</v>
          </cell>
        </row>
        <row r="460">
          <cell r="AQ460" t="str">
            <v>10490905|96942400|919478592|65383858</v>
          </cell>
          <cell r="AR460" t="str">
            <v>GASTO FISICO</v>
          </cell>
        </row>
        <row r="461">
          <cell r="AQ461" t="str">
            <v>10490905|96942400|919478592|65383858</v>
          </cell>
          <cell r="AR461" t="str">
            <v>GASTO FISICO</v>
          </cell>
        </row>
        <row r="462">
          <cell r="AQ462" t="str">
            <v>10490905|96942400|919478592|65383858</v>
          </cell>
          <cell r="AR462" t="str">
            <v>GASTO FISICO</v>
          </cell>
        </row>
        <row r="463">
          <cell r="AQ463" t="str">
            <v>10490905|96942400|919722828|919722828</v>
          </cell>
          <cell r="AR463" t="str">
            <v>IMED SALUD</v>
          </cell>
        </row>
        <row r="464">
          <cell r="AQ464" t="str">
            <v>10490905|96942400|919722828|919722828</v>
          </cell>
          <cell r="AR464" t="str">
            <v>IMED SALUD</v>
          </cell>
        </row>
        <row r="465">
          <cell r="AQ465" t="str">
            <v>10490905|96942400|919722828|65383859</v>
          </cell>
          <cell r="AR465" t="str">
            <v>GASTO FISICO</v>
          </cell>
        </row>
        <row r="466">
          <cell r="AQ466" t="str">
            <v>10490905|96942400|919896544|919896544</v>
          </cell>
          <cell r="AR466" t="str">
            <v>IMED SALUD</v>
          </cell>
        </row>
        <row r="467">
          <cell r="AQ467" t="str">
            <v>10490905|96942400|919896544|919896544</v>
          </cell>
          <cell r="AR467" t="str">
            <v>IMED SALUD</v>
          </cell>
        </row>
        <row r="468">
          <cell r="AQ468" t="str">
            <v>10490905|96942400|919896544|65383860</v>
          </cell>
          <cell r="AR468" t="str">
            <v>GASTO FISICO</v>
          </cell>
        </row>
        <row r="469">
          <cell r="AQ469" t="str">
            <v>10490905|96942400|919897637|919897637</v>
          </cell>
          <cell r="AR469" t="str">
            <v>IMED SALUD</v>
          </cell>
        </row>
        <row r="470">
          <cell r="AQ470" t="str">
            <v>10490905|96942400|919897637|919897637</v>
          </cell>
          <cell r="AR470" t="str">
            <v>IMED SALUD</v>
          </cell>
        </row>
        <row r="471">
          <cell r="AQ471" t="str">
            <v>10490905|96942400|919897637|65383861</v>
          </cell>
          <cell r="AR471" t="str">
            <v>GASTO FISICO</v>
          </cell>
        </row>
        <row r="472">
          <cell r="AQ472" t="str">
            <v>10553575|78040520|929714669|929714669</v>
          </cell>
          <cell r="AR472" t="str">
            <v>IMED SALUD</v>
          </cell>
        </row>
        <row r="473">
          <cell r="AQ473" t="str">
            <v>10553575|78040520|929714669|929714669</v>
          </cell>
          <cell r="AR473" t="str">
            <v>IMED SALUD</v>
          </cell>
        </row>
        <row r="474">
          <cell r="AQ474" t="str">
            <v>10553575|78040520|929714669|929714669</v>
          </cell>
          <cell r="AR474" t="str">
            <v>IMED SALUD</v>
          </cell>
        </row>
        <row r="475">
          <cell r="AQ475" t="str">
            <v>10553575|78040520|929714669|929714669</v>
          </cell>
          <cell r="AR475" t="str">
            <v>IMED SALUD</v>
          </cell>
        </row>
        <row r="476">
          <cell r="AQ476" t="str">
            <v>10553575|78040520|929714669|65383862</v>
          </cell>
          <cell r="AR476" t="str">
            <v>GASTO FISICO</v>
          </cell>
        </row>
        <row r="477">
          <cell r="AQ477" t="str">
            <v>10553575|78040520|929714669|65383862</v>
          </cell>
          <cell r="AR477" t="str">
            <v>GASTO FISICO</v>
          </cell>
        </row>
        <row r="478">
          <cell r="AQ478" t="str">
            <v>10553575|78040520|929715303|929715303</v>
          </cell>
          <cell r="AR478" t="str">
            <v>IMED SALUD</v>
          </cell>
        </row>
        <row r="479">
          <cell r="AQ479" t="str">
            <v>10553575|78040520|929715303|929715303</v>
          </cell>
          <cell r="AR479" t="str">
            <v>IMED SALUD</v>
          </cell>
        </row>
        <row r="480">
          <cell r="AQ480" t="str">
            <v>10553575|78040520|929715303|65383863</v>
          </cell>
          <cell r="AR480" t="str">
            <v>GASTO FISICO</v>
          </cell>
        </row>
        <row r="481">
          <cell r="AQ481" t="str">
            <v>10564729|96986050|929853128|929853128</v>
          </cell>
          <cell r="AR481" t="str">
            <v>IMED SALUD</v>
          </cell>
        </row>
        <row r="482">
          <cell r="AQ482" t="str">
            <v>10564729|96986050|929853128|929853128</v>
          </cell>
          <cell r="AR482" t="str">
            <v>IMED SALUD</v>
          </cell>
        </row>
        <row r="483">
          <cell r="AQ483" t="str">
            <v>10564729|96986050|929853128|929853128</v>
          </cell>
          <cell r="AR483" t="str">
            <v>IMED SALUD</v>
          </cell>
        </row>
        <row r="484">
          <cell r="AQ484" t="str">
            <v>10564729|96986050|929853128|929853128</v>
          </cell>
          <cell r="AR484" t="str">
            <v>IMED SALUD</v>
          </cell>
        </row>
        <row r="485">
          <cell r="AQ485" t="str">
            <v>10564729|96986050|929853128|929853128</v>
          </cell>
          <cell r="AR485" t="str">
            <v>IMED SALUD</v>
          </cell>
        </row>
        <row r="486">
          <cell r="AQ486" t="str">
            <v>10564729|96986050|929853128|929853128</v>
          </cell>
          <cell r="AR486" t="str">
            <v>IMED SALUD</v>
          </cell>
        </row>
        <row r="487">
          <cell r="AQ487" t="str">
            <v>10564729|96986050|929853128|65383864</v>
          </cell>
          <cell r="AR487" t="str">
            <v>GASTO FISICO</v>
          </cell>
        </row>
        <row r="488">
          <cell r="AQ488" t="str">
            <v>10564729|96986050|929853128|65383864</v>
          </cell>
          <cell r="AR488" t="str">
            <v>GASTO FISICO</v>
          </cell>
        </row>
        <row r="489">
          <cell r="AQ489" t="str">
            <v>10564729|96986050|929853128|65383864</v>
          </cell>
          <cell r="AR489" t="str">
            <v>GASTO FISICO</v>
          </cell>
        </row>
        <row r="490">
          <cell r="AQ490" t="str">
            <v>10564729|76098454|929979878|929979878</v>
          </cell>
          <cell r="AR490" t="str">
            <v>IMED SALUD</v>
          </cell>
        </row>
        <row r="491">
          <cell r="AQ491" t="str">
            <v>10564729|76098454|929979878|929979878</v>
          </cell>
          <cell r="AR491" t="str">
            <v>IMED SALUD</v>
          </cell>
        </row>
        <row r="492">
          <cell r="AQ492" t="str">
            <v>10564729|76098454|929979878|929979878</v>
          </cell>
          <cell r="AR492" t="str">
            <v>IMED SALUD</v>
          </cell>
        </row>
        <row r="493">
          <cell r="AQ493" t="str">
            <v>10564729|76098454|929979878|929979878</v>
          </cell>
          <cell r="AR493" t="str">
            <v>IMED SALUD</v>
          </cell>
        </row>
        <row r="494">
          <cell r="AQ494" t="str">
            <v>10564729|76098454|929979878|65383865</v>
          </cell>
          <cell r="AR494" t="str">
            <v>GASTO FISICO</v>
          </cell>
        </row>
        <row r="495">
          <cell r="AQ495" t="str">
            <v>10564729|76098454|929979878|65383865</v>
          </cell>
          <cell r="AR495" t="str">
            <v>GASTO FISICO</v>
          </cell>
        </row>
        <row r="496">
          <cell r="AQ496" t="str">
            <v>10586495|78739580|918209723|918209723</v>
          </cell>
          <cell r="AR496" t="str">
            <v>IMED SALUD</v>
          </cell>
        </row>
        <row r="497">
          <cell r="AQ497" t="str">
            <v>10586495|78739580|918209723|918209723</v>
          </cell>
          <cell r="AR497" t="str">
            <v>IMED SALUD</v>
          </cell>
        </row>
        <row r="498">
          <cell r="AQ498" t="str">
            <v>10586495|78739580|918209723|22023989</v>
          </cell>
          <cell r="AR498" t="str">
            <v>GASTO FISICO</v>
          </cell>
        </row>
        <row r="499">
          <cell r="AQ499" t="str">
            <v>10586495|78739580|918209723|22023989</v>
          </cell>
          <cell r="AR499" t="str">
            <v>GASTO FISICO</v>
          </cell>
        </row>
        <row r="500">
          <cell r="AQ500" t="str">
            <v>10586495|78739580|918209723|918209723</v>
          </cell>
          <cell r="AR500" t="str">
            <v>IMED SALUD</v>
          </cell>
        </row>
        <row r="501">
          <cell r="AQ501" t="str">
            <v>10586495|78739580|918209723|918209723</v>
          </cell>
          <cell r="AR501" t="str">
            <v>IMED SALUD</v>
          </cell>
        </row>
        <row r="502">
          <cell r="AQ502" t="str">
            <v>10586495|78739580|918209723|65383870</v>
          </cell>
          <cell r="AR502" t="str">
            <v>GASTO FISICO</v>
          </cell>
        </row>
        <row r="503">
          <cell r="AQ503" t="str">
            <v>10586495|78739580|918209723|65383870</v>
          </cell>
          <cell r="AR503" t="str">
            <v>GASTO FISICO</v>
          </cell>
        </row>
        <row r="504">
          <cell r="AQ504" t="str">
            <v>10586495|96942400|919427185|919427185</v>
          </cell>
          <cell r="AR504" t="str">
            <v>IMED SALUD</v>
          </cell>
        </row>
        <row r="505">
          <cell r="AQ505" t="str">
            <v>10586495|96942400|919427185|919427185</v>
          </cell>
          <cell r="AR505" t="str">
            <v>IMED SALUD</v>
          </cell>
        </row>
        <row r="506">
          <cell r="AQ506" t="str">
            <v>10586495|96942400|919427185|919427185</v>
          </cell>
          <cell r="AR506" t="str">
            <v>IMED SALUD</v>
          </cell>
        </row>
        <row r="507">
          <cell r="AQ507" t="str">
            <v>10586495|96942400|919427185|919427185</v>
          </cell>
          <cell r="AR507" t="str">
            <v>IMED SALUD</v>
          </cell>
        </row>
        <row r="508">
          <cell r="AQ508" t="str">
            <v>10586495|96942400|919427185|919427185</v>
          </cell>
          <cell r="AR508" t="str">
            <v>IMED SALUD</v>
          </cell>
        </row>
        <row r="509">
          <cell r="AQ509" t="str">
            <v>10586495|96942400|919427185|919427185</v>
          </cell>
          <cell r="AR509" t="str">
            <v>IMED SALUD</v>
          </cell>
        </row>
        <row r="510">
          <cell r="AQ510" t="str">
            <v>10586495|96942400|919427185|919427185</v>
          </cell>
          <cell r="AR510" t="str">
            <v>IMED SALUD</v>
          </cell>
        </row>
        <row r="511">
          <cell r="AQ511" t="str">
            <v>10586495|96942400|919427185|919427185</v>
          </cell>
          <cell r="AR511" t="str">
            <v>IMED SALUD</v>
          </cell>
        </row>
        <row r="512">
          <cell r="AQ512" t="str">
            <v>10586495|96942400|919427185|919427185</v>
          </cell>
          <cell r="AR512" t="str">
            <v>IMED SALUD</v>
          </cell>
        </row>
        <row r="513">
          <cell r="AQ513" t="str">
            <v>10586495|96942400|919427185|919427185</v>
          </cell>
          <cell r="AR513" t="str">
            <v>IMED SALUD</v>
          </cell>
        </row>
        <row r="514">
          <cell r="AQ514" t="str">
            <v>10586495|96942400|919427185|65383871</v>
          </cell>
          <cell r="AR514" t="str">
            <v>GASTO FISICO</v>
          </cell>
        </row>
        <row r="515">
          <cell r="AQ515" t="str">
            <v>10586495|96942400|919427185|65383871</v>
          </cell>
          <cell r="AR515" t="str">
            <v>GASTO FISICO</v>
          </cell>
        </row>
        <row r="516">
          <cell r="AQ516" t="str">
            <v>10586495|96942400|919427185|65383871</v>
          </cell>
          <cell r="AR516" t="str">
            <v>GASTO FISICO</v>
          </cell>
        </row>
        <row r="517">
          <cell r="AQ517" t="str">
            <v>10586495|96942400|919427185|65383871</v>
          </cell>
          <cell r="AR517" t="str">
            <v>GASTO FISICO</v>
          </cell>
        </row>
        <row r="518">
          <cell r="AQ518" t="str">
            <v>10586495|96942400|919427185|65383871</v>
          </cell>
          <cell r="AR518" t="str">
            <v>GASTO FISICO</v>
          </cell>
        </row>
        <row r="519">
          <cell r="AQ519" t="str">
            <v>10586495|96942400|919427186|919427186</v>
          </cell>
          <cell r="AR519" t="str">
            <v>IMED SALUD</v>
          </cell>
        </row>
        <row r="520">
          <cell r="AQ520" t="str">
            <v>10586495|96942400|919427186|919427186</v>
          </cell>
          <cell r="AR520" t="str">
            <v>IMED SALUD</v>
          </cell>
        </row>
        <row r="521">
          <cell r="AQ521" t="str">
            <v>10586495|96942400|919427186|919427186</v>
          </cell>
          <cell r="AR521" t="str">
            <v>IMED SALUD</v>
          </cell>
        </row>
        <row r="522">
          <cell r="AQ522" t="str">
            <v>10586495|96942400|919427186|919427186</v>
          </cell>
          <cell r="AR522" t="str">
            <v>IMED SALUD</v>
          </cell>
        </row>
        <row r="523">
          <cell r="AQ523" t="str">
            <v>10586495|96942400|919427186|919427186</v>
          </cell>
          <cell r="AR523" t="str">
            <v>IMED SALUD</v>
          </cell>
        </row>
        <row r="524">
          <cell r="AQ524" t="str">
            <v>10586495|96942400|919427186|919427186</v>
          </cell>
          <cell r="AR524" t="str">
            <v>IMED SALUD</v>
          </cell>
        </row>
        <row r="525">
          <cell r="AQ525" t="str">
            <v>10586495|96942400|919427186|919427186</v>
          </cell>
          <cell r="AR525" t="str">
            <v>IMED SALUD</v>
          </cell>
        </row>
        <row r="526">
          <cell r="AQ526" t="str">
            <v>10586495|96942400|919427186|919427186</v>
          </cell>
          <cell r="AR526" t="str">
            <v>IMED SALUD</v>
          </cell>
        </row>
        <row r="527">
          <cell r="AQ527" t="str">
            <v>10586495|96942400|919427186|919427186</v>
          </cell>
          <cell r="AR527" t="str">
            <v>IMED SALUD</v>
          </cell>
        </row>
        <row r="528">
          <cell r="AQ528" t="str">
            <v>10586495|96942400|919427186|919427186</v>
          </cell>
          <cell r="AR528" t="str">
            <v>IMED SALUD</v>
          </cell>
        </row>
        <row r="529">
          <cell r="AQ529" t="str">
            <v>10586495|96942400|919427186|65383872</v>
          </cell>
          <cell r="AR529" t="str">
            <v>GASTO FISICO</v>
          </cell>
        </row>
        <row r="530">
          <cell r="AQ530" t="str">
            <v>10586495|96942400|919427186|65383872</v>
          </cell>
          <cell r="AR530" t="str">
            <v>GASTO FISICO</v>
          </cell>
        </row>
        <row r="531">
          <cell r="AQ531" t="str">
            <v>10586495|96942400|919427186|65383872</v>
          </cell>
          <cell r="AR531" t="str">
            <v>GASTO FISICO</v>
          </cell>
        </row>
        <row r="532">
          <cell r="AQ532" t="str">
            <v>10586495|96942400|919427186|65383872</v>
          </cell>
          <cell r="AR532" t="str">
            <v>GASTO FISICO</v>
          </cell>
        </row>
        <row r="533">
          <cell r="AQ533" t="str">
            <v>10586495|96942400|919427186|65383872</v>
          </cell>
          <cell r="AR533" t="str">
            <v>GASTO FISICO</v>
          </cell>
        </row>
        <row r="534">
          <cell r="AQ534" t="str">
            <v>10586495|96942400|919427187|919427187</v>
          </cell>
          <cell r="AR534" t="str">
            <v>IMED SALUD</v>
          </cell>
        </row>
        <row r="535">
          <cell r="AQ535" t="str">
            <v>10586495|96942400|919427187|919427187</v>
          </cell>
          <cell r="AR535" t="str">
            <v>IMED SALUD</v>
          </cell>
        </row>
        <row r="536">
          <cell r="AQ536" t="str">
            <v>10586495|96942400|919427187|919427187</v>
          </cell>
          <cell r="AR536" t="str">
            <v>IMED SALUD</v>
          </cell>
        </row>
        <row r="537">
          <cell r="AQ537" t="str">
            <v>10586495|96942400|919427187|919427187</v>
          </cell>
          <cell r="AR537" t="str">
            <v>IMED SALUD</v>
          </cell>
        </row>
        <row r="538">
          <cell r="AQ538" t="str">
            <v>10586495|96942400|919427187|919427187</v>
          </cell>
          <cell r="AR538" t="str">
            <v>IMED SALUD</v>
          </cell>
        </row>
        <row r="539">
          <cell r="AQ539" t="str">
            <v>10586495|96942400|919427187|919427187</v>
          </cell>
          <cell r="AR539" t="str">
            <v>IMED SALUD</v>
          </cell>
        </row>
        <row r="540">
          <cell r="AQ540" t="str">
            <v>10586495|96942400|919427187|65383873</v>
          </cell>
          <cell r="AR540" t="str">
            <v>GASTO FISICO</v>
          </cell>
        </row>
        <row r="541">
          <cell r="AQ541" t="str">
            <v>10586495|96942400|919427187|65383873</v>
          </cell>
          <cell r="AR541" t="str">
            <v>GASTO FISICO</v>
          </cell>
        </row>
        <row r="542">
          <cell r="AQ542" t="str">
            <v>10586495|96942400|919427187|65383873</v>
          </cell>
          <cell r="AR542" t="str">
            <v>GASTO FISICO</v>
          </cell>
        </row>
        <row r="543">
          <cell r="AQ543" t="str">
            <v>10586495|96942400|919428118|919428118</v>
          </cell>
          <cell r="AR543" t="str">
            <v>IMED SALUD</v>
          </cell>
        </row>
        <row r="544">
          <cell r="AQ544" t="str">
            <v>10586495|96942400|919428118|919428118</v>
          </cell>
          <cell r="AR544" t="str">
            <v>IMED SALUD</v>
          </cell>
        </row>
        <row r="545">
          <cell r="AQ545" t="str">
            <v>10586495|96942400|919428118|65383874</v>
          </cell>
          <cell r="AR545" t="str">
            <v>GASTO FISICO</v>
          </cell>
        </row>
        <row r="546">
          <cell r="AQ546" t="str">
            <v>10586495|76098454|919933926|919933926</v>
          </cell>
          <cell r="AR546" t="str">
            <v>IMED SALUD</v>
          </cell>
        </row>
        <row r="547">
          <cell r="AQ547" t="str">
            <v>10586495|76098454|919933926|919933926</v>
          </cell>
          <cell r="AR547" t="str">
            <v>IMED SALUD</v>
          </cell>
        </row>
        <row r="548">
          <cell r="AQ548" t="str">
            <v>10586495|76098454|919933926|65383875</v>
          </cell>
          <cell r="AR548" t="str">
            <v>GASTO FISICO</v>
          </cell>
        </row>
        <row r="549">
          <cell r="AQ549" t="str">
            <v>10586495|76098454|920195239|920195239</v>
          </cell>
          <cell r="AR549" t="str">
            <v>IMED SALUD</v>
          </cell>
        </row>
        <row r="550">
          <cell r="AQ550" t="str">
            <v>10586495|76098454|920195239|920195239</v>
          </cell>
          <cell r="AR550" t="str">
            <v>IMED SALUD</v>
          </cell>
        </row>
        <row r="551">
          <cell r="AQ551" t="str">
            <v>10586495|76098454|920195239|65383876</v>
          </cell>
          <cell r="AR551" t="str">
            <v>GASTO FISICO</v>
          </cell>
        </row>
        <row r="552">
          <cell r="AQ552" t="str">
            <v>10586495|76098454|920195560|920195560</v>
          </cell>
          <cell r="AR552" t="str">
            <v>IMED SALUD</v>
          </cell>
        </row>
        <row r="553">
          <cell r="AQ553" t="str">
            <v>10586495|76098454|920195560|920195560</v>
          </cell>
          <cell r="AR553" t="str">
            <v>IMED SALUD</v>
          </cell>
        </row>
        <row r="554">
          <cell r="AQ554" t="str">
            <v>10586495|76098454|920195560|65383877</v>
          </cell>
          <cell r="AR554" t="str">
            <v>GASTO FISICO</v>
          </cell>
        </row>
        <row r="555">
          <cell r="AQ555" t="str">
            <v>10586495|76098454|920332015|920332015</v>
          </cell>
          <cell r="AR555" t="str">
            <v>IMED SALUD</v>
          </cell>
        </row>
        <row r="556">
          <cell r="AQ556" t="str">
            <v>10586495|76098454|920332015|920332015</v>
          </cell>
          <cell r="AR556" t="str">
            <v>IMED SALUD</v>
          </cell>
        </row>
        <row r="557">
          <cell r="AQ557" t="str">
            <v>10586495|76098454|920332015|65383878</v>
          </cell>
          <cell r="AR557" t="str">
            <v>GASTO FISICO</v>
          </cell>
        </row>
        <row r="558">
          <cell r="AQ558" t="str">
            <v>10586495|76098454|920456936|920456936</v>
          </cell>
          <cell r="AR558" t="str">
            <v>IMED SALUD</v>
          </cell>
        </row>
        <row r="559">
          <cell r="AQ559" t="str">
            <v>10586495|76098454|920456936|920456936</v>
          </cell>
          <cell r="AR559" t="str">
            <v>IMED SALUD</v>
          </cell>
        </row>
        <row r="560">
          <cell r="AQ560" t="str">
            <v>10586495|76098454|920456936|65383879</v>
          </cell>
          <cell r="AR560" t="str">
            <v>GASTO FISICO</v>
          </cell>
        </row>
        <row r="561">
          <cell r="AQ561" t="str">
            <v>10586495|76098454|920579846|920579846</v>
          </cell>
          <cell r="AR561" t="str">
            <v>IMED SALUD</v>
          </cell>
        </row>
        <row r="562">
          <cell r="AQ562" t="str">
            <v>10586495|76098454|920579846|920579846</v>
          </cell>
          <cell r="AR562" t="str">
            <v>IMED SALUD</v>
          </cell>
        </row>
        <row r="563">
          <cell r="AQ563" t="str">
            <v>10586495|76098454|920579846|65383880</v>
          </cell>
          <cell r="AR563" t="str">
            <v>GASTO FISICO</v>
          </cell>
        </row>
        <row r="564">
          <cell r="AQ564" t="str">
            <v>10586495|76098454|920579860|920579860</v>
          </cell>
          <cell r="AR564" t="str">
            <v>IMED SALUD</v>
          </cell>
        </row>
        <row r="565">
          <cell r="AQ565" t="str">
            <v>10586495|76098454|920579860|920579860</v>
          </cell>
          <cell r="AR565" t="str">
            <v>IMED SALUD</v>
          </cell>
        </row>
        <row r="566">
          <cell r="AQ566" t="str">
            <v>10586495|76098454|920579860|65383881</v>
          </cell>
          <cell r="AR566" t="str">
            <v>GASTO FISICO</v>
          </cell>
        </row>
        <row r="567">
          <cell r="AQ567" t="str">
            <v>10586495|76098454|921688570|921688570</v>
          </cell>
          <cell r="AR567" t="str">
            <v>IMED SALUD</v>
          </cell>
        </row>
        <row r="568">
          <cell r="AQ568" t="str">
            <v>10586495|76098454|921688570|921688570</v>
          </cell>
          <cell r="AR568" t="str">
            <v>IMED SALUD</v>
          </cell>
        </row>
        <row r="569">
          <cell r="AQ569" t="str">
            <v>10586495|76098454|921688570|65383886</v>
          </cell>
          <cell r="AR569" t="str">
            <v>GASTO FISICO</v>
          </cell>
        </row>
        <row r="570">
          <cell r="AQ570" t="str">
            <v>10586495|76098454|921688758|921688758</v>
          </cell>
          <cell r="AR570" t="str">
            <v>IMED SALUD</v>
          </cell>
        </row>
        <row r="571">
          <cell r="AQ571" t="str">
            <v>10586495|76098454|921688758|921688758</v>
          </cell>
          <cell r="AR571" t="str">
            <v>IMED SALUD</v>
          </cell>
        </row>
        <row r="572">
          <cell r="AQ572" t="str">
            <v>10586495|76098454|921688758|65383887</v>
          </cell>
          <cell r="AR572" t="str">
            <v>GASTO FISICO</v>
          </cell>
        </row>
        <row r="573">
          <cell r="AQ573" t="str">
            <v>10687543|88434100|921207882|921207882</v>
          </cell>
          <cell r="AR573" t="str">
            <v>IMED SALUD</v>
          </cell>
        </row>
        <row r="574">
          <cell r="AQ574" t="str">
            <v>10687543|88434100|921207882|921207882</v>
          </cell>
          <cell r="AR574" t="str">
            <v>IMED SALUD</v>
          </cell>
        </row>
        <row r="575">
          <cell r="AQ575" t="str">
            <v>10687543|88434100|921207882|921207882</v>
          </cell>
          <cell r="AR575" t="str">
            <v>IMED SALUD</v>
          </cell>
        </row>
        <row r="576">
          <cell r="AQ576" t="str">
            <v>10687543|88434100|921207882|921207882</v>
          </cell>
          <cell r="AR576" t="str">
            <v>IMED SALUD</v>
          </cell>
        </row>
        <row r="577">
          <cell r="AQ577" t="str">
            <v>10687543|88434100|921207882|921207882</v>
          </cell>
          <cell r="AR577" t="str">
            <v>IMED SALUD</v>
          </cell>
        </row>
        <row r="578">
          <cell r="AQ578" t="str">
            <v>10687543|88434100|921207882|921207882</v>
          </cell>
          <cell r="AR578" t="str">
            <v>IMED SALUD</v>
          </cell>
        </row>
        <row r="579">
          <cell r="AQ579" t="str">
            <v>10687543|88434100|921207882|921207882</v>
          </cell>
          <cell r="AR579" t="str">
            <v>IMED SALUD</v>
          </cell>
        </row>
        <row r="580">
          <cell r="AQ580" t="str">
            <v>10687543|88434100|921207882|921207882</v>
          </cell>
          <cell r="AR580" t="str">
            <v>IMED SALUD</v>
          </cell>
        </row>
        <row r="581">
          <cell r="AQ581" t="str">
            <v>10687543|88434100|921207882|921207882</v>
          </cell>
          <cell r="AR581" t="str">
            <v>IMED SALUD</v>
          </cell>
        </row>
        <row r="582">
          <cell r="AQ582" t="str">
            <v>10687543|88434100|921207882|921207882</v>
          </cell>
          <cell r="AR582" t="str">
            <v>IMED SALUD</v>
          </cell>
        </row>
        <row r="583">
          <cell r="AQ583" t="str">
            <v>10687543|88434100|921207882|65383892</v>
          </cell>
          <cell r="AR583" t="str">
            <v>GASTO FISICO</v>
          </cell>
        </row>
        <row r="584">
          <cell r="AQ584" t="str">
            <v>10687543|88434100|921207882|65383892</v>
          </cell>
          <cell r="AR584" t="str">
            <v>GASTO FISICO</v>
          </cell>
        </row>
        <row r="585">
          <cell r="AQ585" t="str">
            <v>10687543|88434100|921207882|65383892</v>
          </cell>
          <cell r="AR585" t="str">
            <v>GASTO FISICO</v>
          </cell>
        </row>
        <row r="586">
          <cell r="AQ586" t="str">
            <v>10687543|88434100|921207882|65383892</v>
          </cell>
          <cell r="AR586" t="str">
            <v>GASTO FISICO</v>
          </cell>
        </row>
        <row r="587">
          <cell r="AQ587" t="str">
            <v>10687543|88434100|921207882|65383892</v>
          </cell>
          <cell r="AR587" t="str">
            <v>GASTO FISICO</v>
          </cell>
        </row>
        <row r="588">
          <cell r="AQ588" t="str">
            <v>10687543|88434100|921207883|921207883</v>
          </cell>
          <cell r="AR588" t="str">
            <v>IMED SALUD</v>
          </cell>
        </row>
        <row r="589">
          <cell r="AQ589" t="str">
            <v>10687543|88434100|921207883|921207883</v>
          </cell>
          <cell r="AR589" t="str">
            <v>IMED SALUD</v>
          </cell>
        </row>
        <row r="590">
          <cell r="AQ590" t="str">
            <v>10687543|88434100|921207883|921207883</v>
          </cell>
          <cell r="AR590" t="str">
            <v>IMED SALUD</v>
          </cell>
        </row>
        <row r="591">
          <cell r="AQ591" t="str">
            <v>10687543|88434100|921207883|921207883</v>
          </cell>
          <cell r="AR591" t="str">
            <v>IMED SALUD</v>
          </cell>
        </row>
        <row r="592">
          <cell r="AQ592" t="str">
            <v>10687543|88434100|921207883|921207883</v>
          </cell>
          <cell r="AR592" t="str">
            <v>IMED SALUD</v>
          </cell>
        </row>
        <row r="593">
          <cell r="AQ593" t="str">
            <v>10687543|88434100|921207883|921207883</v>
          </cell>
          <cell r="AR593" t="str">
            <v>IMED SALUD</v>
          </cell>
        </row>
        <row r="594">
          <cell r="AQ594" t="str">
            <v>10687543|88434100|921207883|921207883</v>
          </cell>
          <cell r="AR594" t="str">
            <v>IMED SALUD</v>
          </cell>
        </row>
        <row r="595">
          <cell r="AQ595" t="str">
            <v>10687543|88434100|921207883|921207883</v>
          </cell>
          <cell r="AR595" t="str">
            <v>IMED SALUD</v>
          </cell>
        </row>
        <row r="596">
          <cell r="AQ596" t="str">
            <v>10687543|88434100|921207883|921207883</v>
          </cell>
          <cell r="AR596" t="str">
            <v>IMED SALUD</v>
          </cell>
        </row>
        <row r="597">
          <cell r="AQ597" t="str">
            <v>10687543|88434100|921207883|921207883</v>
          </cell>
          <cell r="AR597" t="str">
            <v>IMED SALUD</v>
          </cell>
        </row>
        <row r="598">
          <cell r="AQ598" t="str">
            <v>10687543|88434100|921207883|65383893</v>
          </cell>
          <cell r="AR598" t="str">
            <v>GASTO FISICO</v>
          </cell>
        </row>
        <row r="599">
          <cell r="AQ599" t="str">
            <v>10687543|88434100|921207883|65383893</v>
          </cell>
          <cell r="AR599" t="str">
            <v>GASTO FISICO</v>
          </cell>
        </row>
        <row r="600">
          <cell r="AQ600" t="str">
            <v>10687543|88434100|921207883|65383893</v>
          </cell>
          <cell r="AR600" t="str">
            <v>GASTO FISICO</v>
          </cell>
        </row>
        <row r="601">
          <cell r="AQ601" t="str">
            <v>10687543|88434100|921207883|65383893</v>
          </cell>
          <cell r="AR601" t="str">
            <v>GASTO FISICO</v>
          </cell>
        </row>
        <row r="602">
          <cell r="AQ602" t="str">
            <v>10687543|88434100|921207883|65383893</v>
          </cell>
          <cell r="AR602" t="str">
            <v>GASTO FISICO</v>
          </cell>
        </row>
        <row r="603">
          <cell r="AQ603" t="str">
            <v>10687543|88434100|921207884|921207884</v>
          </cell>
          <cell r="AR603" t="str">
            <v>IMED SALUD</v>
          </cell>
        </row>
        <row r="604">
          <cell r="AQ604" t="str">
            <v>10687543|88434100|921207884|921207884</v>
          </cell>
          <cell r="AR604" t="str">
            <v>IMED SALUD</v>
          </cell>
        </row>
        <row r="605">
          <cell r="AQ605" t="str">
            <v>10687543|88434100|921207884|65383894</v>
          </cell>
          <cell r="AR605" t="str">
            <v>GASTO FISICO</v>
          </cell>
        </row>
        <row r="606">
          <cell r="AQ606" t="str">
            <v>10690510|88611600|916049985|916049985</v>
          </cell>
          <cell r="AR606" t="str">
            <v>IMED SALUD</v>
          </cell>
        </row>
        <row r="607">
          <cell r="AQ607" t="str">
            <v>10690510|88611600|916049985|916049985</v>
          </cell>
          <cell r="AR607" t="str">
            <v>IMED SALUD</v>
          </cell>
        </row>
        <row r="608">
          <cell r="AQ608" t="str">
            <v>10690510|88611600|916049985|65383895</v>
          </cell>
          <cell r="AR608" t="str">
            <v>GASTO FISICO</v>
          </cell>
        </row>
        <row r="609">
          <cell r="AQ609" t="str">
            <v>10690510|88611600|916406327|916406327</v>
          </cell>
          <cell r="AR609" t="str">
            <v>IMED SALUD</v>
          </cell>
        </row>
        <row r="610">
          <cell r="AQ610" t="str">
            <v>10690510|88611600|916406327|916406327</v>
          </cell>
          <cell r="AR610" t="str">
            <v>IMED SALUD</v>
          </cell>
        </row>
        <row r="611">
          <cell r="AQ611" t="str">
            <v>10690510|88611600|916406327|65383896</v>
          </cell>
          <cell r="AR611" t="str">
            <v>GASTO FISICO</v>
          </cell>
        </row>
        <row r="612">
          <cell r="AQ612" t="str">
            <v>10690510|88611600|916406416|916406416</v>
          </cell>
          <cell r="AR612" t="str">
            <v>IMED SALUD</v>
          </cell>
        </row>
        <row r="613">
          <cell r="AQ613" t="str">
            <v>10690510|88611600|916406416|916406416</v>
          </cell>
          <cell r="AR613" t="str">
            <v>IMED SALUD</v>
          </cell>
        </row>
        <row r="614">
          <cell r="AQ614" t="str">
            <v>10690510|88611600|916406416|916406416</v>
          </cell>
          <cell r="AR614" t="str">
            <v>IMED SALUD</v>
          </cell>
        </row>
        <row r="615">
          <cell r="AQ615" t="str">
            <v>10690510|88611600|916406416|916406416</v>
          </cell>
          <cell r="AR615" t="str">
            <v>IMED SALUD</v>
          </cell>
        </row>
        <row r="616">
          <cell r="AQ616" t="str">
            <v>10690510|88611600|916406416|65383897</v>
          </cell>
          <cell r="AR616" t="str">
            <v>GASTO FISICO</v>
          </cell>
        </row>
        <row r="617">
          <cell r="AQ617" t="str">
            <v>10690510|88611600|916406416|65383897</v>
          </cell>
          <cell r="AR617" t="str">
            <v>GASTO FISICO</v>
          </cell>
        </row>
        <row r="618">
          <cell r="AQ618" t="str">
            <v>10745560|76436880|765455725|765455725</v>
          </cell>
          <cell r="AR618" t="str">
            <v>IMED SALUD</v>
          </cell>
        </row>
        <row r="619">
          <cell r="AQ619" t="str">
            <v>10745560|76436880|765455725|765455725</v>
          </cell>
          <cell r="AR619" t="str">
            <v>IMED SALUD</v>
          </cell>
        </row>
        <row r="620">
          <cell r="AQ620" t="str">
            <v>10745560|76436880|765455725|765455725</v>
          </cell>
          <cell r="AR620" t="str">
            <v>IMED SALUD</v>
          </cell>
        </row>
        <row r="621">
          <cell r="AQ621" t="str">
            <v>10745560|76436880|765455725|765455725</v>
          </cell>
          <cell r="AR621" t="str">
            <v>IMED SALUD</v>
          </cell>
        </row>
        <row r="622">
          <cell r="AQ622" t="str">
            <v>10745560|76436880|765455725|65383898</v>
          </cell>
          <cell r="AR622" t="str">
            <v>GASTO FISICO</v>
          </cell>
        </row>
        <row r="623">
          <cell r="AQ623" t="str">
            <v>10745560|76436880|765455725|65383898</v>
          </cell>
          <cell r="AR623" t="str">
            <v>GASTO FISICO</v>
          </cell>
        </row>
        <row r="624">
          <cell r="AQ624" t="str">
            <v>10792213|96942400|918406296|918406296</v>
          </cell>
          <cell r="AR624" t="str">
            <v>IMED SALUD</v>
          </cell>
        </row>
        <row r="625">
          <cell r="AQ625" t="str">
            <v>10792213|96942400|918406296|918406296</v>
          </cell>
          <cell r="AR625" t="str">
            <v>IMED SALUD</v>
          </cell>
        </row>
        <row r="626">
          <cell r="AQ626" t="str">
            <v>10792213|96942400|918406296|65383901</v>
          </cell>
          <cell r="AR626" t="str">
            <v>GASTO FISICO</v>
          </cell>
        </row>
        <row r="627">
          <cell r="AQ627" t="str">
            <v>10792213|77774340|919203796|919203796</v>
          </cell>
          <cell r="AR627" t="str">
            <v>IMED SALUD</v>
          </cell>
        </row>
        <row r="628">
          <cell r="AQ628" t="str">
            <v>10792213|77774340|919203796|919203796</v>
          </cell>
          <cell r="AR628" t="str">
            <v>IMED SALUD</v>
          </cell>
        </row>
        <row r="629">
          <cell r="AQ629" t="str">
            <v>10792213|77774340|919203796|65383900</v>
          </cell>
          <cell r="AR629" t="str">
            <v>GASTO FISICO</v>
          </cell>
        </row>
        <row r="630">
          <cell r="AQ630" t="str">
            <v>10979169|86687700|95818071|95818071</v>
          </cell>
          <cell r="AR630" t="str">
            <v>IMED SALUD</v>
          </cell>
        </row>
        <row r="631">
          <cell r="AQ631" t="str">
            <v>10979169|86687700|95818071|95818071</v>
          </cell>
          <cell r="AR631" t="str">
            <v>IMED SALUD</v>
          </cell>
        </row>
        <row r="632">
          <cell r="AQ632" t="str">
            <v>10979169|86687700|95818071|95818071</v>
          </cell>
          <cell r="AR632" t="str">
            <v>IMED SALUD</v>
          </cell>
        </row>
        <row r="633">
          <cell r="AQ633" t="str">
            <v>10979169|86687700|95818071|95818071</v>
          </cell>
          <cell r="AR633" t="str">
            <v>IMED SALUD</v>
          </cell>
        </row>
        <row r="634">
          <cell r="AQ634" t="str">
            <v>10979169|86687700|95818071|95818071</v>
          </cell>
          <cell r="AR634" t="str">
            <v>IMED SALUD</v>
          </cell>
        </row>
        <row r="635">
          <cell r="AQ635" t="str">
            <v>10979169|86687700|95818071|95818071</v>
          </cell>
          <cell r="AR635" t="str">
            <v>IMED SALUD</v>
          </cell>
        </row>
        <row r="636">
          <cell r="AQ636" t="str">
            <v>10979169|86687700|95818071|95818071</v>
          </cell>
          <cell r="AR636" t="str">
            <v>IMED SALUD</v>
          </cell>
        </row>
        <row r="637">
          <cell r="AQ637" t="str">
            <v>10979169|86687700|95818071|95818071</v>
          </cell>
          <cell r="AR637" t="str">
            <v>IMED SALUD</v>
          </cell>
        </row>
        <row r="638">
          <cell r="AQ638" t="str">
            <v>10979169|86687700|95818071|95818071</v>
          </cell>
          <cell r="AR638" t="str">
            <v>IMED SALUD</v>
          </cell>
        </row>
        <row r="639">
          <cell r="AQ639" t="str">
            <v>10979169|86687700|95818071|95818071</v>
          </cell>
          <cell r="AR639" t="str">
            <v>IMED SALUD</v>
          </cell>
        </row>
        <row r="640">
          <cell r="AQ640" t="str">
            <v>10979169|86687700|95818071|65383907</v>
          </cell>
          <cell r="AR640" t="str">
            <v>GASTO FISICO</v>
          </cell>
        </row>
        <row r="641">
          <cell r="AQ641" t="str">
            <v>10979169|86687700|95818071|65383907</v>
          </cell>
          <cell r="AR641" t="str">
            <v>GASTO FISICO</v>
          </cell>
        </row>
        <row r="642">
          <cell r="AQ642" t="str">
            <v>10979169|86687700|95818071|65383907</v>
          </cell>
          <cell r="AR642" t="str">
            <v>GASTO FISICO</v>
          </cell>
        </row>
        <row r="643">
          <cell r="AQ643" t="str">
            <v>10979169|86687700|95818071|65383907</v>
          </cell>
          <cell r="AR643" t="str">
            <v>GASTO FISICO</v>
          </cell>
        </row>
        <row r="644">
          <cell r="AQ644" t="str">
            <v>10979169|86687700|95818071|65383907</v>
          </cell>
          <cell r="AR644" t="str">
            <v>GASTO FISICO</v>
          </cell>
        </row>
        <row r="645">
          <cell r="AQ645" t="str">
            <v>10979169|86687700|95818072|95818072</v>
          </cell>
          <cell r="AR645" t="str">
            <v>IMED SALUD</v>
          </cell>
        </row>
        <row r="646">
          <cell r="AQ646" t="str">
            <v>10979169|86687700|95818072|95818072</v>
          </cell>
          <cell r="AR646" t="str">
            <v>IMED SALUD</v>
          </cell>
        </row>
        <row r="647">
          <cell r="AQ647" t="str">
            <v>10979169|86687700|95818072|95818072</v>
          </cell>
          <cell r="AR647" t="str">
            <v>IMED SALUD</v>
          </cell>
        </row>
        <row r="648">
          <cell r="AQ648" t="str">
            <v>10979169|86687700|95818072|95818072</v>
          </cell>
          <cell r="AR648" t="str">
            <v>IMED SALUD</v>
          </cell>
        </row>
        <row r="649">
          <cell r="AQ649" t="str">
            <v>10979169|86687700|95818072|95818072</v>
          </cell>
          <cell r="AR649" t="str">
            <v>IMED SALUD</v>
          </cell>
        </row>
        <row r="650">
          <cell r="AQ650" t="str">
            <v>10979169|86687700|95818072|95818072</v>
          </cell>
          <cell r="AR650" t="str">
            <v>IMED SALUD</v>
          </cell>
        </row>
        <row r="651">
          <cell r="AQ651" t="str">
            <v>10979169|86687700|95818072|95818072</v>
          </cell>
          <cell r="AR651" t="str">
            <v>IMED SALUD</v>
          </cell>
        </row>
        <row r="652">
          <cell r="AQ652" t="str">
            <v>10979169|86687700|95818072|95818072</v>
          </cell>
          <cell r="AR652" t="str">
            <v>IMED SALUD</v>
          </cell>
        </row>
        <row r="653">
          <cell r="AQ653" t="str">
            <v>10979169|86687700|95818072|95818072</v>
          </cell>
          <cell r="AR653" t="str">
            <v>IMED SALUD</v>
          </cell>
        </row>
        <row r="654">
          <cell r="AQ654" t="str">
            <v>10979169|86687700|95818072|95818072</v>
          </cell>
          <cell r="AR654" t="str">
            <v>IMED SALUD</v>
          </cell>
        </row>
        <row r="655">
          <cell r="AQ655" t="str">
            <v>10979169|86687700|95818072|65383908</v>
          </cell>
          <cell r="AR655" t="str">
            <v>GASTO FISICO</v>
          </cell>
        </row>
        <row r="656">
          <cell r="AQ656" t="str">
            <v>10979169|86687700|95818072|65383908</v>
          </cell>
          <cell r="AR656" t="str">
            <v>GASTO FISICO</v>
          </cell>
        </row>
        <row r="657">
          <cell r="AQ657" t="str">
            <v>10979169|86687700|95818072|65383908</v>
          </cell>
          <cell r="AR657" t="str">
            <v>GASTO FISICO</v>
          </cell>
        </row>
        <row r="658">
          <cell r="AQ658" t="str">
            <v>10979169|86687700|95818072|65383908</v>
          </cell>
          <cell r="AR658" t="str">
            <v>GASTO FISICO</v>
          </cell>
        </row>
        <row r="659">
          <cell r="AQ659" t="str">
            <v>10979169|86687700|95818072|65383908</v>
          </cell>
          <cell r="AR659" t="str">
            <v>GASTO FISICO</v>
          </cell>
        </row>
        <row r="660">
          <cell r="AQ660" t="str">
            <v>10979169|86687700|95818073|95818073</v>
          </cell>
          <cell r="AR660" t="str">
            <v>IMED SALUD</v>
          </cell>
        </row>
        <row r="661">
          <cell r="AQ661" t="str">
            <v>10979169|86687700|95818073|95818073</v>
          </cell>
          <cell r="AR661" t="str">
            <v>IMED SALUD</v>
          </cell>
        </row>
        <row r="662">
          <cell r="AQ662" t="str">
            <v>10979169|86687700|95818073|95818073</v>
          </cell>
          <cell r="AR662" t="str">
            <v>IMED SALUD</v>
          </cell>
        </row>
        <row r="663">
          <cell r="AQ663" t="str">
            <v>10979169|86687700|95818073|95818073</v>
          </cell>
          <cell r="AR663" t="str">
            <v>IMED SALUD</v>
          </cell>
        </row>
        <row r="664">
          <cell r="AQ664" t="str">
            <v>10979169|86687700|95818073|95818073</v>
          </cell>
          <cell r="AR664" t="str">
            <v>IMED SALUD</v>
          </cell>
        </row>
        <row r="665">
          <cell r="AQ665" t="str">
            <v>10979169|86687700|95818073|95818073</v>
          </cell>
          <cell r="AR665" t="str">
            <v>IMED SALUD</v>
          </cell>
        </row>
        <row r="666">
          <cell r="AQ666" t="str">
            <v>10979169|86687700|95818073|65383909</v>
          </cell>
          <cell r="AR666" t="str">
            <v>GASTO FISICO</v>
          </cell>
        </row>
        <row r="667">
          <cell r="AQ667" t="str">
            <v>10979169|86687700|95818073|65383909</v>
          </cell>
          <cell r="AR667" t="str">
            <v>GASTO FISICO</v>
          </cell>
        </row>
        <row r="668">
          <cell r="AQ668" t="str">
            <v>10979169|86687700|95818073|65383909</v>
          </cell>
          <cell r="AR668" t="str">
            <v>GASTO FISICO</v>
          </cell>
        </row>
        <row r="669">
          <cell r="AQ669" t="str">
            <v>11128784|96617350|371546977|371546977</v>
          </cell>
          <cell r="AR669" t="str">
            <v>IMED SALUD</v>
          </cell>
        </row>
        <row r="670">
          <cell r="AQ670" t="str">
            <v>11128784|96617350|371546977|371546977</v>
          </cell>
          <cell r="AR670" t="str">
            <v>IMED SALUD</v>
          </cell>
        </row>
        <row r="671">
          <cell r="AQ671" t="str">
            <v>11128784|96617350|371546977|65383910</v>
          </cell>
          <cell r="AR671" t="str">
            <v>GASTO FISICO</v>
          </cell>
        </row>
        <row r="672">
          <cell r="AQ672" t="str">
            <v>11128784|96617350|372354413|372354413</v>
          </cell>
          <cell r="AR672" t="str">
            <v>IMED SALUD</v>
          </cell>
        </row>
        <row r="673">
          <cell r="AQ673" t="str">
            <v>11128784|96617350|372354413|372354413</v>
          </cell>
          <cell r="AR673" t="str">
            <v>IMED SALUD</v>
          </cell>
        </row>
        <row r="674">
          <cell r="AQ674" t="str">
            <v>11128784|96617350|372354413|65383911</v>
          </cell>
          <cell r="AR674" t="str">
            <v>GASTO FISICO</v>
          </cell>
        </row>
        <row r="675">
          <cell r="AQ675" t="str">
            <v>11161648|77148750|920230877|920230877</v>
          </cell>
          <cell r="AR675" t="str">
            <v>IMED SALUD</v>
          </cell>
        </row>
        <row r="676">
          <cell r="AQ676" t="str">
            <v>11161648|77148750|920230877|920230877</v>
          </cell>
          <cell r="AR676" t="str">
            <v>IMED SALUD</v>
          </cell>
        </row>
        <row r="677">
          <cell r="AQ677" t="str">
            <v>11161648|77148750|920230877|920230877</v>
          </cell>
          <cell r="AR677" t="str">
            <v>IMED SALUD</v>
          </cell>
        </row>
        <row r="678">
          <cell r="AQ678" t="str">
            <v>11161648|77148750|920230877|920230877</v>
          </cell>
          <cell r="AR678" t="str">
            <v>IMED SALUD</v>
          </cell>
        </row>
        <row r="679">
          <cell r="AQ679" t="str">
            <v>11161648|77148750|920230877|920230877</v>
          </cell>
          <cell r="AR679" t="str">
            <v>IMED SALUD</v>
          </cell>
        </row>
        <row r="680">
          <cell r="AQ680" t="str">
            <v>11161648|77148750|920230877|920230877</v>
          </cell>
          <cell r="AR680" t="str">
            <v>IMED SALUD</v>
          </cell>
        </row>
        <row r="681">
          <cell r="AQ681" t="str">
            <v>11161648|77148750|920230877|920230877</v>
          </cell>
          <cell r="AR681" t="str">
            <v>IMED SALUD</v>
          </cell>
        </row>
        <row r="682">
          <cell r="AQ682" t="str">
            <v>11161648|77148750|920230877|920230877</v>
          </cell>
          <cell r="AR682" t="str">
            <v>IMED SALUD</v>
          </cell>
        </row>
        <row r="683">
          <cell r="AQ683" t="str">
            <v>11161648|77148750|920230877|920230877</v>
          </cell>
          <cell r="AR683" t="str">
            <v>IMED SALUD</v>
          </cell>
        </row>
        <row r="684">
          <cell r="AQ684" t="str">
            <v>11161648|77148750|920230877|920230877</v>
          </cell>
          <cell r="AR684" t="str">
            <v>IMED SALUD</v>
          </cell>
        </row>
        <row r="685">
          <cell r="AQ685" t="str">
            <v>11161648|77148750|920230877|65383912</v>
          </cell>
          <cell r="AR685" t="str">
            <v>GASTO FISICO</v>
          </cell>
        </row>
        <row r="686">
          <cell r="AQ686" t="str">
            <v>11161648|77148750|920230877|65383912</v>
          </cell>
          <cell r="AR686" t="str">
            <v>GASTO FISICO</v>
          </cell>
        </row>
        <row r="687">
          <cell r="AQ687" t="str">
            <v>11161648|77148750|920230877|65383912</v>
          </cell>
          <cell r="AR687" t="str">
            <v>GASTO FISICO</v>
          </cell>
        </row>
        <row r="688">
          <cell r="AQ688" t="str">
            <v>11161648|77148750|920230877|65383912</v>
          </cell>
          <cell r="AR688" t="str">
            <v>GASTO FISICO</v>
          </cell>
        </row>
        <row r="689">
          <cell r="AQ689" t="str">
            <v>11161648|77148750|920230877|65383912</v>
          </cell>
          <cell r="AR689" t="str">
            <v>GASTO FISICO</v>
          </cell>
        </row>
        <row r="690">
          <cell r="AQ690" t="str">
            <v>11161648|77148750|920230878|920230878</v>
          </cell>
          <cell r="AR690" t="str">
            <v>IMED SALUD</v>
          </cell>
        </row>
        <row r="691">
          <cell r="AQ691" t="str">
            <v>11161648|77148750|920230878|920230878</v>
          </cell>
          <cell r="AR691" t="str">
            <v>IMED SALUD</v>
          </cell>
        </row>
        <row r="692">
          <cell r="AQ692" t="str">
            <v>11161648|77148750|920230878|920230878</v>
          </cell>
          <cell r="AR692" t="str">
            <v>IMED SALUD</v>
          </cell>
        </row>
        <row r="693">
          <cell r="AQ693" t="str">
            <v>11161648|77148750|920230878|920230878</v>
          </cell>
          <cell r="AR693" t="str">
            <v>IMED SALUD</v>
          </cell>
        </row>
        <row r="694">
          <cell r="AQ694" t="str">
            <v>11161648|77148750|920230878|920230878</v>
          </cell>
          <cell r="AR694" t="str">
            <v>IMED SALUD</v>
          </cell>
        </row>
        <row r="695">
          <cell r="AQ695" t="str">
            <v>11161648|77148750|920230878|920230878</v>
          </cell>
          <cell r="AR695" t="str">
            <v>IMED SALUD</v>
          </cell>
        </row>
        <row r="696">
          <cell r="AQ696" t="str">
            <v>11161648|77148750|920230878|920230878</v>
          </cell>
          <cell r="AR696" t="str">
            <v>IMED SALUD</v>
          </cell>
        </row>
        <row r="697">
          <cell r="AQ697" t="str">
            <v>11161648|77148750|920230878|920230878</v>
          </cell>
          <cell r="AR697" t="str">
            <v>IMED SALUD</v>
          </cell>
        </row>
        <row r="698">
          <cell r="AQ698" t="str">
            <v>11161648|77148750|920230878|920230878</v>
          </cell>
          <cell r="AR698" t="str">
            <v>IMED SALUD</v>
          </cell>
        </row>
        <row r="699">
          <cell r="AQ699" t="str">
            <v>11161648|77148750|920230878|920230878</v>
          </cell>
          <cell r="AR699" t="str">
            <v>IMED SALUD</v>
          </cell>
        </row>
        <row r="700">
          <cell r="AQ700" t="str">
            <v>11161648|77148750|920230878|65383913</v>
          </cell>
          <cell r="AR700" t="str">
            <v>GASTO FISICO</v>
          </cell>
        </row>
        <row r="701">
          <cell r="AQ701" t="str">
            <v>11161648|77148750|920230878|65383913</v>
          </cell>
          <cell r="AR701" t="str">
            <v>GASTO FISICO</v>
          </cell>
        </row>
        <row r="702">
          <cell r="AQ702" t="str">
            <v>11161648|77148750|920230878|65383913</v>
          </cell>
          <cell r="AR702" t="str">
            <v>GASTO FISICO</v>
          </cell>
        </row>
        <row r="703">
          <cell r="AQ703" t="str">
            <v>11161648|77148750|920230878|65383913</v>
          </cell>
          <cell r="AR703" t="str">
            <v>GASTO FISICO</v>
          </cell>
        </row>
        <row r="704">
          <cell r="AQ704" t="str">
            <v>11161648|77148750|920230878|65383913</v>
          </cell>
          <cell r="AR704" t="str">
            <v>GASTO FISICO</v>
          </cell>
        </row>
        <row r="705">
          <cell r="AQ705" t="str">
            <v>11161648|77148750|920230879|920230879</v>
          </cell>
          <cell r="AR705" t="str">
            <v>IMED SALUD</v>
          </cell>
        </row>
        <row r="706">
          <cell r="AQ706" t="str">
            <v>11161648|77148750|920230879|920230879</v>
          </cell>
          <cell r="AR706" t="str">
            <v>IMED SALUD</v>
          </cell>
        </row>
        <row r="707">
          <cell r="AQ707" t="str">
            <v>11161648|77148750|920230879|920230879</v>
          </cell>
          <cell r="AR707" t="str">
            <v>IMED SALUD</v>
          </cell>
        </row>
        <row r="708">
          <cell r="AQ708" t="str">
            <v>11161648|77148750|920230879|920230879</v>
          </cell>
          <cell r="AR708" t="str">
            <v>IMED SALUD</v>
          </cell>
        </row>
        <row r="709">
          <cell r="AQ709" t="str">
            <v>11161648|77148750|920230879|65383914</v>
          </cell>
          <cell r="AR709" t="str">
            <v>GASTO FISICO</v>
          </cell>
        </row>
        <row r="710">
          <cell r="AQ710" t="str">
            <v>11161648|77148750|920230879|65383914</v>
          </cell>
          <cell r="AR710" t="str">
            <v>GASTO FISICO</v>
          </cell>
        </row>
        <row r="711">
          <cell r="AQ711" t="str">
            <v>11166332|96942400|765377929|765377929</v>
          </cell>
          <cell r="AR711" t="str">
            <v>IMED SALUD</v>
          </cell>
        </row>
        <row r="712">
          <cell r="AQ712" t="str">
            <v>11166332|96942400|765377929|765377929</v>
          </cell>
          <cell r="AR712" t="str">
            <v>IMED SALUD</v>
          </cell>
        </row>
        <row r="713">
          <cell r="AQ713" t="str">
            <v>11166332|96942400|765377929|765377929</v>
          </cell>
          <cell r="AR713" t="str">
            <v>IMED SALUD</v>
          </cell>
        </row>
        <row r="714">
          <cell r="AQ714" t="str">
            <v>11166332|96942400|765377929|765377929</v>
          </cell>
          <cell r="AR714" t="str">
            <v>IMED SALUD</v>
          </cell>
        </row>
        <row r="715">
          <cell r="AQ715" t="str">
            <v>11166332|96942400|765377929|65383915</v>
          </cell>
          <cell r="AR715" t="str">
            <v>GASTO FISICO</v>
          </cell>
        </row>
        <row r="716">
          <cell r="AQ716" t="str">
            <v>11166332|96942400|765377929|65383915</v>
          </cell>
          <cell r="AR716" t="str">
            <v>GASTO FISICO</v>
          </cell>
        </row>
        <row r="717">
          <cell r="AQ717" t="str">
            <v>11166332|76754097|765752520|765752520</v>
          </cell>
          <cell r="AR717" t="str">
            <v>IMED SALUD</v>
          </cell>
        </row>
        <row r="718">
          <cell r="AQ718" t="str">
            <v>11166332|76754097|765752520|765752520</v>
          </cell>
          <cell r="AR718" t="str">
            <v>IMED SALUD</v>
          </cell>
        </row>
        <row r="719">
          <cell r="AQ719" t="str">
            <v>11166332|76754097|765752520|65383916</v>
          </cell>
          <cell r="AR719" t="str">
            <v>GASTO FISICO</v>
          </cell>
        </row>
        <row r="720">
          <cell r="AQ720" t="str">
            <v>11227555|96530470|920113883|920113883</v>
          </cell>
          <cell r="AR720" t="str">
            <v>IMED SALUD</v>
          </cell>
        </row>
        <row r="721">
          <cell r="AQ721" t="str">
            <v>11227555|96530470|920113883|920113883</v>
          </cell>
          <cell r="AR721" t="str">
            <v>IMED SALUD</v>
          </cell>
        </row>
        <row r="722">
          <cell r="AQ722" t="str">
            <v>11227555|96530470|920113883|920113883</v>
          </cell>
          <cell r="AR722" t="str">
            <v>IMED SALUD</v>
          </cell>
        </row>
        <row r="723">
          <cell r="AQ723" t="str">
            <v>11227555|96530470|920113883|920113883</v>
          </cell>
          <cell r="AR723" t="str">
            <v>IMED SALUD</v>
          </cell>
        </row>
        <row r="724">
          <cell r="AQ724" t="str">
            <v>11227555|96530470|920113883|920113883</v>
          </cell>
          <cell r="AR724" t="str">
            <v>IMED SALUD</v>
          </cell>
        </row>
        <row r="725">
          <cell r="AQ725" t="str">
            <v>11227555|96530470|920113883|920113883</v>
          </cell>
          <cell r="AR725" t="str">
            <v>IMED SALUD</v>
          </cell>
        </row>
        <row r="726">
          <cell r="AQ726" t="str">
            <v>11227555|96530470|920113883|920113883</v>
          </cell>
          <cell r="AR726" t="str">
            <v>IMED SALUD</v>
          </cell>
        </row>
        <row r="727">
          <cell r="AQ727" t="str">
            <v>11227555|96530470|920113883|920113883</v>
          </cell>
          <cell r="AR727" t="str">
            <v>IMED SALUD</v>
          </cell>
        </row>
        <row r="728">
          <cell r="AQ728" t="str">
            <v>11227555|96530470|920113883|920113883</v>
          </cell>
          <cell r="AR728" t="str">
            <v>IMED SALUD</v>
          </cell>
        </row>
        <row r="729">
          <cell r="AQ729" t="str">
            <v>11227555|96530470|920113883|920113883</v>
          </cell>
          <cell r="AR729" t="str">
            <v>IMED SALUD</v>
          </cell>
        </row>
        <row r="730">
          <cell r="AQ730" t="str">
            <v>11227555|96530470|920113883|65383917</v>
          </cell>
          <cell r="AR730" t="str">
            <v>GASTO FISICO</v>
          </cell>
        </row>
        <row r="731">
          <cell r="AQ731" t="str">
            <v>11227555|96530470|920113883|65383917</v>
          </cell>
          <cell r="AR731" t="str">
            <v>GASTO FISICO</v>
          </cell>
        </row>
        <row r="732">
          <cell r="AQ732" t="str">
            <v>11227555|96530470|920113883|65383917</v>
          </cell>
          <cell r="AR732" t="str">
            <v>GASTO FISICO</v>
          </cell>
        </row>
        <row r="733">
          <cell r="AQ733" t="str">
            <v>11227555|96530470|920113883|65383917</v>
          </cell>
          <cell r="AR733" t="str">
            <v>GASTO FISICO</v>
          </cell>
        </row>
        <row r="734">
          <cell r="AQ734" t="str">
            <v>11227555|96530470|920113883|65383917</v>
          </cell>
          <cell r="AR734" t="str">
            <v>GASTO FISICO</v>
          </cell>
        </row>
        <row r="735">
          <cell r="AQ735" t="str">
            <v>11227555|96530470|920113884|920113884</v>
          </cell>
          <cell r="AR735" t="str">
            <v>IMED SALUD</v>
          </cell>
        </row>
        <row r="736">
          <cell r="AQ736" t="str">
            <v>11227555|96530470|920113884|920113884</v>
          </cell>
          <cell r="AR736" t="str">
            <v>IMED SALUD</v>
          </cell>
        </row>
        <row r="737">
          <cell r="AQ737" t="str">
            <v>11227555|96530470|920113884|920113884</v>
          </cell>
          <cell r="AR737" t="str">
            <v>IMED SALUD</v>
          </cell>
        </row>
        <row r="738">
          <cell r="AQ738" t="str">
            <v>11227555|96530470|920113884|920113884</v>
          </cell>
          <cell r="AR738" t="str">
            <v>IMED SALUD</v>
          </cell>
        </row>
        <row r="739">
          <cell r="AQ739" t="str">
            <v>11227555|96530470|920113884|920113884</v>
          </cell>
          <cell r="AR739" t="str">
            <v>IMED SALUD</v>
          </cell>
        </row>
        <row r="740">
          <cell r="AQ740" t="str">
            <v>11227555|96530470|920113884|920113884</v>
          </cell>
          <cell r="AR740" t="str">
            <v>IMED SALUD</v>
          </cell>
        </row>
        <row r="741">
          <cell r="AQ741" t="str">
            <v>11227555|96530470|920113884|920113884</v>
          </cell>
          <cell r="AR741" t="str">
            <v>IMED SALUD</v>
          </cell>
        </row>
        <row r="742">
          <cell r="AQ742" t="str">
            <v>11227555|96530470|920113884|920113884</v>
          </cell>
          <cell r="AR742" t="str">
            <v>IMED SALUD</v>
          </cell>
        </row>
        <row r="743">
          <cell r="AQ743" t="str">
            <v>11227555|96530470|920113884|65383918</v>
          </cell>
          <cell r="AR743" t="str">
            <v>GASTO FISICO</v>
          </cell>
        </row>
        <row r="744">
          <cell r="AQ744" t="str">
            <v>11227555|96530470|920113884|65383918</v>
          </cell>
          <cell r="AR744" t="str">
            <v>GASTO FISICO</v>
          </cell>
        </row>
        <row r="745">
          <cell r="AQ745" t="str">
            <v>11227555|96530470|920113884|65383918</v>
          </cell>
          <cell r="AR745" t="str">
            <v>GASTO FISICO</v>
          </cell>
        </row>
        <row r="746">
          <cell r="AQ746" t="str">
            <v>11227555|96530470|920113884|65383918</v>
          </cell>
          <cell r="AR746" t="str">
            <v>GASTO FISICO</v>
          </cell>
        </row>
        <row r="747">
          <cell r="AQ747" t="str">
            <v>11257569|96942400|915716650|915716650</v>
          </cell>
          <cell r="AR747" t="str">
            <v>IMED SALUD</v>
          </cell>
        </row>
        <row r="748">
          <cell r="AQ748" t="str">
            <v>11257569|96942400|915716650|915716650</v>
          </cell>
          <cell r="AR748" t="str">
            <v>IMED SALUD</v>
          </cell>
        </row>
        <row r="749">
          <cell r="AQ749" t="str">
            <v>11257569|96942400|915716650|65383919</v>
          </cell>
          <cell r="AR749" t="str">
            <v>GASTO FISICO</v>
          </cell>
        </row>
        <row r="750">
          <cell r="AQ750" t="str">
            <v>11257569|96942400|916635086|916635086</v>
          </cell>
          <cell r="AR750" t="str">
            <v>IMED SALUD</v>
          </cell>
        </row>
        <row r="751">
          <cell r="AQ751" t="str">
            <v>11257569|96942400|916635086|916635086</v>
          </cell>
          <cell r="AR751" t="str">
            <v>IMED SALUD</v>
          </cell>
        </row>
        <row r="752">
          <cell r="AQ752" t="str">
            <v>11257569|96942400|916635086|65383920</v>
          </cell>
          <cell r="AR752" t="str">
            <v>GASTO FISICO</v>
          </cell>
        </row>
        <row r="753">
          <cell r="AQ753" t="str">
            <v>11257569|96942400|916635560|916635560</v>
          </cell>
          <cell r="AR753" t="str">
            <v>IMED SALUD</v>
          </cell>
        </row>
        <row r="754">
          <cell r="AQ754" t="str">
            <v>11257569|96942400|916635560|916635560</v>
          </cell>
          <cell r="AR754" t="str">
            <v>IMED SALUD</v>
          </cell>
        </row>
        <row r="755">
          <cell r="AQ755" t="str">
            <v>11257569|96942400|916635560|916635560</v>
          </cell>
          <cell r="AR755" t="str">
            <v>IMED SALUD</v>
          </cell>
        </row>
        <row r="756">
          <cell r="AQ756" t="str">
            <v>11257569|96942400|916635560|916635560</v>
          </cell>
          <cell r="AR756" t="str">
            <v>IMED SALUD</v>
          </cell>
        </row>
        <row r="757">
          <cell r="AQ757" t="str">
            <v>11257569|96942400|916635560|65383921</v>
          </cell>
          <cell r="AR757" t="str">
            <v>GASTO FISICO</v>
          </cell>
        </row>
        <row r="758">
          <cell r="AQ758" t="str">
            <v>11257569|96942400|916635560|65383921</v>
          </cell>
          <cell r="AR758" t="str">
            <v>GASTO FISICO</v>
          </cell>
        </row>
        <row r="759">
          <cell r="AQ759" t="str">
            <v>11257569|99540210|920034174|920034174</v>
          </cell>
          <cell r="AR759" t="str">
            <v>IMED SALUD</v>
          </cell>
        </row>
        <row r="760">
          <cell r="AQ760" t="str">
            <v>11257569|99540210|920034174|920034174</v>
          </cell>
          <cell r="AR760" t="str">
            <v>IMED SALUD</v>
          </cell>
        </row>
        <row r="761">
          <cell r="AQ761" t="str">
            <v>11257569|99540210|920034174|65383922</v>
          </cell>
          <cell r="AR761" t="str">
            <v>GASTO FISICO</v>
          </cell>
        </row>
        <row r="762">
          <cell r="AQ762" t="str">
            <v>11266109|89807200|1575002263|21997458</v>
          </cell>
          <cell r="AR762" t="str">
            <v>GASTO FISICO</v>
          </cell>
        </row>
        <row r="763">
          <cell r="AQ763" t="str">
            <v>11266109|89807200|1575002263|987772</v>
          </cell>
          <cell r="AR763" t="str">
            <v>GASTO FISICO</v>
          </cell>
        </row>
        <row r="764">
          <cell r="AQ764" t="str">
            <v>11266109|89807200|1575002263|65213020</v>
          </cell>
          <cell r="AR764" t="str">
            <v>GASTO FISICO</v>
          </cell>
        </row>
        <row r="765">
          <cell r="AQ765" t="str">
            <v>11266109|76098454|921552450|921552450</v>
          </cell>
          <cell r="AR765" t="str">
            <v>IMED SALUD</v>
          </cell>
        </row>
        <row r="766">
          <cell r="AQ766" t="str">
            <v>11266109|76098454|921552450|921552450</v>
          </cell>
          <cell r="AR766" t="str">
            <v>IMED SALUD</v>
          </cell>
        </row>
        <row r="767">
          <cell r="AQ767" t="str">
            <v>11266109|76098454|921552450|65383923</v>
          </cell>
          <cell r="AR767" t="str">
            <v>GASTO FISICO</v>
          </cell>
        </row>
        <row r="768">
          <cell r="AQ768" t="str">
            <v>11297522|76098454|135979121|135979121</v>
          </cell>
          <cell r="AR768" t="str">
            <v>IMED SALUD</v>
          </cell>
        </row>
        <row r="769">
          <cell r="AQ769" t="str">
            <v>11297522|76098454|135979121|135979121</v>
          </cell>
          <cell r="AR769" t="str">
            <v>IMED SALUD</v>
          </cell>
        </row>
        <row r="770">
          <cell r="AQ770" t="str">
            <v>11297522|76098454|135979121|65383925</v>
          </cell>
          <cell r="AR770" t="str">
            <v>GASTO FISICO</v>
          </cell>
        </row>
        <row r="771">
          <cell r="AQ771" t="str">
            <v>11297522|76098454|136011207|136011207</v>
          </cell>
          <cell r="AR771" t="str">
            <v>IMED SALUD</v>
          </cell>
        </row>
        <row r="772">
          <cell r="AQ772" t="str">
            <v>11297522|76098454|136011207|136011207</v>
          </cell>
          <cell r="AR772" t="str">
            <v>IMED SALUD</v>
          </cell>
        </row>
        <row r="773">
          <cell r="AQ773" t="str">
            <v>11297522|76098454|136011207|65383926</v>
          </cell>
          <cell r="AR773" t="str">
            <v>GASTO FISICO</v>
          </cell>
        </row>
        <row r="774">
          <cell r="AQ774" t="str">
            <v>11297522|76098454|136014898|136014898</v>
          </cell>
          <cell r="AR774" t="str">
            <v>IMED SALUD</v>
          </cell>
        </row>
        <row r="775">
          <cell r="AQ775" t="str">
            <v>11297522|76098454|136014898|136014898</v>
          </cell>
          <cell r="AR775" t="str">
            <v>IMED SALUD</v>
          </cell>
        </row>
        <row r="776">
          <cell r="AQ776" t="str">
            <v>11297522|76098454|136014898|65383927</v>
          </cell>
          <cell r="AR776" t="str">
            <v>GASTO FISICO</v>
          </cell>
        </row>
        <row r="777">
          <cell r="AQ777" t="str">
            <v>11297522|96986050|136466627|136466627</v>
          </cell>
          <cell r="AR777" t="str">
            <v>IMED SALUD</v>
          </cell>
        </row>
        <row r="778">
          <cell r="AQ778" t="str">
            <v>11297522|96986050|136466627|136466627</v>
          </cell>
          <cell r="AR778" t="str">
            <v>IMED SALUD</v>
          </cell>
        </row>
        <row r="779">
          <cell r="AQ779" t="str">
            <v>11297522|96986050|136466627|136466627</v>
          </cell>
          <cell r="AR779" t="str">
            <v>IMED SALUD</v>
          </cell>
        </row>
        <row r="780">
          <cell r="AQ780" t="str">
            <v>11297522|96986050|136466627|136466627</v>
          </cell>
          <cell r="AR780" t="str">
            <v>IMED SALUD</v>
          </cell>
        </row>
        <row r="781">
          <cell r="AQ781" t="str">
            <v>11297522|96986050|136466627|65383928</v>
          </cell>
          <cell r="AR781" t="str">
            <v>GASTO FISICO</v>
          </cell>
        </row>
        <row r="782">
          <cell r="AQ782" t="str">
            <v>11297522|96986050|136466627|65383928</v>
          </cell>
          <cell r="AR782" t="str">
            <v>GASTO FISICO</v>
          </cell>
        </row>
        <row r="783">
          <cell r="AQ783" t="str">
            <v>11385748|79749170|921431680|921431680</v>
          </cell>
          <cell r="AR783" t="str">
            <v>IMED SALUD</v>
          </cell>
        </row>
        <row r="784">
          <cell r="AQ784" t="str">
            <v>11385748|79749170|921431680|921431680</v>
          </cell>
          <cell r="AR784" t="str">
            <v>IMED SALUD</v>
          </cell>
        </row>
        <row r="785">
          <cell r="AQ785" t="str">
            <v>11385748|79749170|921431680|921431680</v>
          </cell>
          <cell r="AR785" t="str">
            <v>IMED SALUD</v>
          </cell>
        </row>
        <row r="786">
          <cell r="AQ786" t="str">
            <v>11385748|79749170|921431680|921431680</v>
          </cell>
          <cell r="AR786" t="str">
            <v>IMED SALUD</v>
          </cell>
        </row>
        <row r="787">
          <cell r="AQ787" t="str">
            <v>11385748|79749170|921431680|921431680</v>
          </cell>
          <cell r="AR787" t="str">
            <v>IMED SALUD</v>
          </cell>
        </row>
        <row r="788">
          <cell r="AQ788" t="str">
            <v>11385748|79749170|921431680|921431680</v>
          </cell>
          <cell r="AR788" t="str">
            <v>IMED SALUD</v>
          </cell>
        </row>
        <row r="789">
          <cell r="AQ789" t="str">
            <v>11385748|79749170|921431680|921431680</v>
          </cell>
          <cell r="AR789" t="str">
            <v>IMED SALUD</v>
          </cell>
        </row>
        <row r="790">
          <cell r="AQ790" t="str">
            <v>11385748|79749170|921431680|921431680</v>
          </cell>
          <cell r="AR790" t="str">
            <v>IMED SALUD</v>
          </cell>
        </row>
        <row r="791">
          <cell r="AQ791" t="str">
            <v>11385748|79749170|921431680|921431680</v>
          </cell>
          <cell r="AR791" t="str">
            <v>IMED SALUD</v>
          </cell>
        </row>
        <row r="792">
          <cell r="AQ792" t="str">
            <v>11385748|79749170|921431680|921431680</v>
          </cell>
          <cell r="AR792" t="str">
            <v>IMED SALUD</v>
          </cell>
        </row>
        <row r="793">
          <cell r="AQ793" t="str">
            <v>11385748|79749170|921431680|65383929</v>
          </cell>
          <cell r="AR793" t="str">
            <v>GASTO FISICO</v>
          </cell>
        </row>
        <row r="794">
          <cell r="AQ794" t="str">
            <v>11385748|79749170|921431680|65383929</v>
          </cell>
          <cell r="AR794" t="str">
            <v>GASTO FISICO</v>
          </cell>
        </row>
        <row r="795">
          <cell r="AQ795" t="str">
            <v>11385748|79749170|921431680|65383929</v>
          </cell>
          <cell r="AR795" t="str">
            <v>GASTO FISICO</v>
          </cell>
        </row>
        <row r="796">
          <cell r="AQ796" t="str">
            <v>11385748|79749170|921431680|65383929</v>
          </cell>
          <cell r="AR796" t="str">
            <v>GASTO FISICO</v>
          </cell>
        </row>
        <row r="797">
          <cell r="AQ797" t="str">
            <v>11385748|79749170|921431680|65383929</v>
          </cell>
          <cell r="AR797" t="str">
            <v>GASTO FISICO</v>
          </cell>
        </row>
        <row r="798">
          <cell r="AQ798" t="str">
            <v>11385748|79749170|921431681|921431681</v>
          </cell>
          <cell r="AR798" t="str">
            <v>IMED SALUD</v>
          </cell>
        </row>
        <row r="799">
          <cell r="AQ799" t="str">
            <v>11385748|79749170|921431681|921431681</v>
          </cell>
          <cell r="AR799" t="str">
            <v>IMED SALUD</v>
          </cell>
        </row>
        <row r="800">
          <cell r="AQ800" t="str">
            <v>11385748|79749170|921431681|65383930</v>
          </cell>
          <cell r="AR800" t="str">
            <v>GASTO FISICO</v>
          </cell>
        </row>
        <row r="801">
          <cell r="AQ801" t="str">
            <v>11385748|77026140|921460482|921460482</v>
          </cell>
          <cell r="AR801" t="str">
            <v>IMED SALUD</v>
          </cell>
        </row>
        <row r="802">
          <cell r="AQ802" t="str">
            <v>11385748|77026140|921460482|921460482</v>
          </cell>
          <cell r="AR802" t="str">
            <v>IMED SALUD</v>
          </cell>
        </row>
        <row r="803">
          <cell r="AQ803" t="str">
            <v>11385748|77026140|921460482|65383931</v>
          </cell>
          <cell r="AR803" t="str">
            <v>GASTO FISICO</v>
          </cell>
        </row>
        <row r="804">
          <cell r="AQ804" t="str">
            <v>11394861|76098454|921673247|921673247</v>
          </cell>
          <cell r="AR804" t="str">
            <v>IMED SALUD</v>
          </cell>
        </row>
        <row r="805">
          <cell r="AQ805" t="str">
            <v>11394861|76098454|921673247|921673247</v>
          </cell>
          <cell r="AR805" t="str">
            <v>IMED SALUD</v>
          </cell>
        </row>
        <row r="806">
          <cell r="AQ806" t="str">
            <v>11394861|76098454|921673247|65383932</v>
          </cell>
          <cell r="AR806" t="str">
            <v>GASTO FISICO</v>
          </cell>
        </row>
        <row r="807">
          <cell r="AQ807" t="str">
            <v>11398255|96986050|930187665|930187665</v>
          </cell>
          <cell r="AR807" t="str">
            <v>IMED SALUD</v>
          </cell>
        </row>
        <row r="808">
          <cell r="AQ808" t="str">
            <v>11398255|96986050|930187665|930187665</v>
          </cell>
          <cell r="AR808" t="str">
            <v>IMED SALUD</v>
          </cell>
        </row>
        <row r="809">
          <cell r="AQ809" t="str">
            <v>11398255|96986050|930187665|930187665</v>
          </cell>
          <cell r="AR809" t="str">
            <v>IMED SALUD</v>
          </cell>
        </row>
        <row r="810">
          <cell r="AQ810" t="str">
            <v>11398255|96986050|930187665|930187665</v>
          </cell>
          <cell r="AR810" t="str">
            <v>IMED SALUD</v>
          </cell>
        </row>
        <row r="811">
          <cell r="AQ811" t="str">
            <v>11398255|96986050|930187665|930187665</v>
          </cell>
          <cell r="AR811" t="str">
            <v>IMED SALUD</v>
          </cell>
        </row>
        <row r="812">
          <cell r="AQ812" t="str">
            <v>11398255|96986050|930187665|930187665</v>
          </cell>
          <cell r="AR812" t="str">
            <v>IMED SALUD</v>
          </cell>
        </row>
        <row r="813">
          <cell r="AQ813" t="str">
            <v>11398255|96986050|930187665|930187665</v>
          </cell>
          <cell r="AR813" t="str">
            <v>IMED SALUD</v>
          </cell>
        </row>
        <row r="814">
          <cell r="AQ814" t="str">
            <v>11398255|96986050|930187665|930187665</v>
          </cell>
          <cell r="AR814" t="str">
            <v>IMED SALUD</v>
          </cell>
        </row>
        <row r="815">
          <cell r="AQ815" t="str">
            <v>11398255|96986050|930187665|65383933</v>
          </cell>
          <cell r="AR815" t="str">
            <v>GASTO FISICO</v>
          </cell>
        </row>
        <row r="816">
          <cell r="AQ816" t="str">
            <v>11398255|96986050|930187665|65383933</v>
          </cell>
          <cell r="AR816" t="str">
            <v>GASTO FISICO</v>
          </cell>
        </row>
        <row r="817">
          <cell r="AQ817" t="str">
            <v>11398255|96986050|930187665|65383933</v>
          </cell>
          <cell r="AR817" t="str">
            <v>GASTO FISICO</v>
          </cell>
        </row>
        <row r="818">
          <cell r="AQ818" t="str">
            <v>11472231|76436880|370234618|370234618</v>
          </cell>
          <cell r="AR818" t="str">
            <v>IMED SALUD</v>
          </cell>
        </row>
        <row r="819">
          <cell r="AQ819" t="str">
            <v>11472231|76436880|370234618|370234618</v>
          </cell>
          <cell r="AR819" t="str">
            <v>IMED SALUD</v>
          </cell>
        </row>
        <row r="820">
          <cell r="AQ820" t="str">
            <v>11472231|76436880|370234618|65383934</v>
          </cell>
          <cell r="AR820" t="str">
            <v>GASTO FISICO</v>
          </cell>
        </row>
        <row r="821">
          <cell r="AQ821" t="str">
            <v>11478198|76098454|1128157|22135105</v>
          </cell>
          <cell r="AR821" t="str">
            <v>GASTO FISICO</v>
          </cell>
        </row>
        <row r="822">
          <cell r="AQ822" t="str">
            <v>11478198|76098454|1128157|1036471</v>
          </cell>
          <cell r="AR822" t="str">
            <v>GASTO FISICO</v>
          </cell>
        </row>
        <row r="823">
          <cell r="AQ823" t="str">
            <v>11478198|76098454|1128157|66380297</v>
          </cell>
          <cell r="AR823" t="str">
            <v>GASTO FISICO</v>
          </cell>
        </row>
        <row r="824">
          <cell r="AQ824" t="str">
            <v>11478198|79980070|5165059|22135065</v>
          </cell>
          <cell r="AR824" t="str">
            <v>GASTO FISICO</v>
          </cell>
        </row>
        <row r="825">
          <cell r="AQ825" t="str">
            <v>11478198|79980070|5165059|1036466</v>
          </cell>
          <cell r="AR825" t="str">
            <v>GASTO FISICO</v>
          </cell>
        </row>
        <row r="826">
          <cell r="AQ826" t="str">
            <v>11478198|79980070|5165059|66380291</v>
          </cell>
          <cell r="AR826" t="str">
            <v>GASTO FISICO</v>
          </cell>
        </row>
        <row r="827">
          <cell r="AQ827" t="str">
            <v>11478198|96530470|5325974|22135030</v>
          </cell>
          <cell r="AR827" t="str">
            <v>GASTO FISICO</v>
          </cell>
        </row>
        <row r="828">
          <cell r="AQ828" t="str">
            <v>11478198|96530470|5325974|1036465</v>
          </cell>
          <cell r="AR828" t="str">
            <v>GASTO FISICO</v>
          </cell>
        </row>
        <row r="829">
          <cell r="AQ829" t="str">
            <v>11478198|96530470|5325974|66380289</v>
          </cell>
          <cell r="AR829" t="str">
            <v>GASTO FISICO</v>
          </cell>
        </row>
        <row r="830">
          <cell r="AQ830" t="str">
            <v>11492055|89807200|1485661525|21987166</v>
          </cell>
          <cell r="AR830" t="str">
            <v>GASTO FISICO</v>
          </cell>
        </row>
        <row r="831">
          <cell r="AQ831" t="str">
            <v>11492055|89807200|1485661525|983662</v>
          </cell>
          <cell r="AR831" t="str">
            <v>GASTO FISICO</v>
          </cell>
        </row>
        <row r="832">
          <cell r="AQ832" t="str">
            <v>11492055|89807200|1485661525|65213031</v>
          </cell>
          <cell r="AR832" t="str">
            <v>GASTO FISICO</v>
          </cell>
        </row>
        <row r="833">
          <cell r="AQ833" t="str">
            <v>11507708|76506844|918400161|918400161</v>
          </cell>
          <cell r="AR833" t="str">
            <v>IMED SALUD</v>
          </cell>
        </row>
        <row r="834">
          <cell r="AQ834" t="str">
            <v>11507708|76506844|918400161|918400161</v>
          </cell>
          <cell r="AR834" t="str">
            <v>IMED SALUD</v>
          </cell>
        </row>
        <row r="835">
          <cell r="AQ835" t="str">
            <v>11507708|76506844|918400161|918400161</v>
          </cell>
          <cell r="AR835" t="str">
            <v>IMED SALUD</v>
          </cell>
        </row>
        <row r="836">
          <cell r="AQ836" t="str">
            <v>11507708|76506844|918400161|918400161</v>
          </cell>
          <cell r="AR836" t="str">
            <v>IMED SALUD</v>
          </cell>
        </row>
        <row r="837">
          <cell r="AQ837" t="str">
            <v>11507708|76506844|918400161|918400161</v>
          </cell>
          <cell r="AR837" t="str">
            <v>IMED SALUD</v>
          </cell>
        </row>
        <row r="838">
          <cell r="AQ838" t="str">
            <v>11507708|76506844|918400161|918400161</v>
          </cell>
          <cell r="AR838" t="str">
            <v>IMED SALUD</v>
          </cell>
        </row>
        <row r="839">
          <cell r="AQ839" t="str">
            <v>11507708|76506844|918400161|918400161</v>
          </cell>
          <cell r="AR839" t="str">
            <v>IMED SALUD</v>
          </cell>
        </row>
        <row r="840">
          <cell r="AQ840" t="str">
            <v>11507708|76506844|918400161|918400161</v>
          </cell>
          <cell r="AR840" t="str">
            <v>IMED SALUD</v>
          </cell>
        </row>
        <row r="841">
          <cell r="AQ841" t="str">
            <v>11507708|76506844|918400161|65383935</v>
          </cell>
          <cell r="AR841" t="str">
            <v>GASTO FISICO</v>
          </cell>
        </row>
        <row r="842">
          <cell r="AQ842" t="str">
            <v>11507708|76506844|918400161|65383935</v>
          </cell>
          <cell r="AR842" t="str">
            <v>GASTO FISICO</v>
          </cell>
        </row>
        <row r="843">
          <cell r="AQ843" t="str">
            <v>11507708|76506844|918400161|65383935</v>
          </cell>
          <cell r="AR843" t="str">
            <v>GASTO FISICO</v>
          </cell>
        </row>
        <row r="844">
          <cell r="AQ844" t="str">
            <v>11507708|76506844|918400161|65383935</v>
          </cell>
          <cell r="AR844" t="str">
            <v>GASTO FISICO</v>
          </cell>
        </row>
        <row r="845">
          <cell r="AQ845" t="str">
            <v>11513719|96986050|918857677|918857677</v>
          </cell>
          <cell r="AR845" t="str">
            <v>IMED SALUD</v>
          </cell>
        </row>
        <row r="846">
          <cell r="AQ846" t="str">
            <v>11513719|96986050|918857677|918857677</v>
          </cell>
          <cell r="AR846" t="str">
            <v>IMED SALUD</v>
          </cell>
        </row>
        <row r="847">
          <cell r="AQ847" t="str">
            <v>11513719|96986050|918857677|918857677</v>
          </cell>
          <cell r="AR847" t="str">
            <v>IMED SALUD</v>
          </cell>
        </row>
        <row r="848">
          <cell r="AQ848" t="str">
            <v>11513719|96986050|918857677|918857677</v>
          </cell>
          <cell r="AR848" t="str">
            <v>IMED SALUD</v>
          </cell>
        </row>
        <row r="849">
          <cell r="AQ849" t="str">
            <v>11513719|96986050|918857677|918857677</v>
          </cell>
          <cell r="AR849" t="str">
            <v>IMED SALUD</v>
          </cell>
        </row>
        <row r="850">
          <cell r="AQ850" t="str">
            <v>11513719|96986050|918857677|918857677</v>
          </cell>
          <cell r="AR850" t="str">
            <v>IMED SALUD</v>
          </cell>
        </row>
        <row r="851">
          <cell r="AQ851" t="str">
            <v>11513719|96986050|918857677|918857677</v>
          </cell>
          <cell r="AR851" t="str">
            <v>IMED SALUD</v>
          </cell>
        </row>
        <row r="852">
          <cell r="AQ852" t="str">
            <v>11513719|96986050|918857677|918857677</v>
          </cell>
          <cell r="AR852" t="str">
            <v>IMED SALUD</v>
          </cell>
        </row>
        <row r="853">
          <cell r="AQ853" t="str">
            <v>11513719|96986050|918857677|918857677</v>
          </cell>
          <cell r="AR853" t="str">
            <v>IMED SALUD</v>
          </cell>
        </row>
        <row r="854">
          <cell r="AQ854" t="str">
            <v>11513719|96986050|918857677|918857677</v>
          </cell>
          <cell r="AR854" t="str">
            <v>IMED SALUD</v>
          </cell>
        </row>
        <row r="855">
          <cell r="AQ855" t="str">
            <v>11513719|96986050|918857677|65383938</v>
          </cell>
          <cell r="AR855" t="str">
            <v>GASTO FISICO</v>
          </cell>
        </row>
        <row r="856">
          <cell r="AQ856" t="str">
            <v>11513719|96986050|918857677|65383938</v>
          </cell>
          <cell r="AR856" t="str">
            <v>GASTO FISICO</v>
          </cell>
        </row>
        <row r="857">
          <cell r="AQ857" t="str">
            <v>11513719|96986050|918857677|65383938</v>
          </cell>
          <cell r="AR857" t="str">
            <v>GASTO FISICO</v>
          </cell>
        </row>
        <row r="858">
          <cell r="AQ858" t="str">
            <v>11513719|96986050|918857677|65383938</v>
          </cell>
          <cell r="AR858" t="str">
            <v>GASTO FISICO</v>
          </cell>
        </row>
        <row r="859">
          <cell r="AQ859" t="str">
            <v>11513719|96986050|918857677|65383938</v>
          </cell>
          <cell r="AR859" t="str">
            <v>GASTO FISICO</v>
          </cell>
        </row>
        <row r="860">
          <cell r="AQ860" t="str">
            <v>11513719|96986050|918857678|918857678</v>
          </cell>
          <cell r="AR860" t="str">
            <v>IMED SALUD</v>
          </cell>
        </row>
        <row r="861">
          <cell r="AQ861" t="str">
            <v>11513719|96986050|918857678|918857678</v>
          </cell>
          <cell r="AR861" t="str">
            <v>IMED SALUD</v>
          </cell>
        </row>
        <row r="862">
          <cell r="AQ862" t="str">
            <v>11513719|96986050|918857678|918857678</v>
          </cell>
          <cell r="AR862" t="str">
            <v>IMED SALUD</v>
          </cell>
        </row>
        <row r="863">
          <cell r="AQ863" t="str">
            <v>11513719|96986050|918857678|918857678</v>
          </cell>
          <cell r="AR863" t="str">
            <v>IMED SALUD</v>
          </cell>
        </row>
        <row r="864">
          <cell r="AQ864" t="str">
            <v>11513719|96986050|918857678|918857678</v>
          </cell>
          <cell r="AR864" t="str">
            <v>IMED SALUD</v>
          </cell>
        </row>
        <row r="865">
          <cell r="AQ865" t="str">
            <v>11513719|96986050|918857678|918857678</v>
          </cell>
          <cell r="AR865" t="str">
            <v>IMED SALUD</v>
          </cell>
        </row>
        <row r="866">
          <cell r="AQ866" t="str">
            <v>11513719|96986050|918857678|918857678</v>
          </cell>
          <cell r="AR866" t="str">
            <v>IMED SALUD</v>
          </cell>
        </row>
        <row r="867">
          <cell r="AQ867" t="str">
            <v>11513719|96986050|918857678|918857678</v>
          </cell>
          <cell r="AR867" t="str">
            <v>IMED SALUD</v>
          </cell>
        </row>
        <row r="868">
          <cell r="AQ868" t="str">
            <v>11513719|96986050|918857678|918857678</v>
          </cell>
          <cell r="AR868" t="str">
            <v>IMED SALUD</v>
          </cell>
        </row>
        <row r="869">
          <cell r="AQ869" t="str">
            <v>11513719|96986050|918857678|918857678</v>
          </cell>
          <cell r="AR869" t="str">
            <v>IMED SALUD</v>
          </cell>
        </row>
        <row r="870">
          <cell r="AQ870" t="str">
            <v>11513719|96986050|918857678|65383939</v>
          </cell>
          <cell r="AR870" t="str">
            <v>GASTO FISICO</v>
          </cell>
        </row>
        <row r="871">
          <cell r="AQ871" t="str">
            <v>11513719|96986050|918857678|65383939</v>
          </cell>
          <cell r="AR871" t="str">
            <v>GASTO FISICO</v>
          </cell>
        </row>
        <row r="872">
          <cell r="AQ872" t="str">
            <v>11513719|96986050|918857678|65383939</v>
          </cell>
          <cell r="AR872" t="str">
            <v>GASTO FISICO</v>
          </cell>
        </row>
        <row r="873">
          <cell r="AQ873" t="str">
            <v>11513719|96986050|918857678|65383939</v>
          </cell>
          <cell r="AR873" t="str">
            <v>GASTO FISICO</v>
          </cell>
        </row>
        <row r="874">
          <cell r="AQ874" t="str">
            <v>11513719|96986050|918857678|65383939</v>
          </cell>
          <cell r="AR874" t="str">
            <v>GASTO FISICO</v>
          </cell>
        </row>
        <row r="875">
          <cell r="AQ875" t="str">
            <v>11513719|96986050|918857679|918857679</v>
          </cell>
          <cell r="AR875" t="str">
            <v>IMED SALUD</v>
          </cell>
        </row>
        <row r="876">
          <cell r="AQ876" t="str">
            <v>11513719|96986050|918857679|918857679</v>
          </cell>
          <cell r="AR876" t="str">
            <v>IMED SALUD</v>
          </cell>
        </row>
        <row r="877">
          <cell r="AQ877" t="str">
            <v>11513719|96986050|918857679|918857679</v>
          </cell>
          <cell r="AR877" t="str">
            <v>IMED SALUD</v>
          </cell>
        </row>
        <row r="878">
          <cell r="AQ878" t="str">
            <v>11513719|96986050|918857679|918857679</v>
          </cell>
          <cell r="AR878" t="str">
            <v>IMED SALUD</v>
          </cell>
        </row>
        <row r="879">
          <cell r="AQ879" t="str">
            <v>11513719|96986050|918857679|65383940</v>
          </cell>
          <cell r="AR879" t="str">
            <v>GASTO FISICO</v>
          </cell>
        </row>
        <row r="880">
          <cell r="AQ880" t="str">
            <v>11513719|96986050|918857679|65383940</v>
          </cell>
          <cell r="AR880" t="str">
            <v>GASTO FISICO</v>
          </cell>
        </row>
        <row r="881">
          <cell r="AQ881" t="str">
            <v>11551746|99573490|371474020|371474020</v>
          </cell>
          <cell r="AR881" t="str">
            <v>IMED SALUD</v>
          </cell>
        </row>
        <row r="882">
          <cell r="AQ882" t="str">
            <v>11551746|99573490|371474020|371474020</v>
          </cell>
          <cell r="AR882" t="str">
            <v>IMED SALUD</v>
          </cell>
        </row>
        <row r="883">
          <cell r="AQ883" t="str">
            <v>11551746|99573490|371474020|371474020</v>
          </cell>
          <cell r="AR883" t="str">
            <v>IMED SALUD</v>
          </cell>
        </row>
        <row r="884">
          <cell r="AQ884" t="str">
            <v>11551746|99573490|371474020|371474020</v>
          </cell>
          <cell r="AR884" t="str">
            <v>IMED SALUD</v>
          </cell>
        </row>
        <row r="885">
          <cell r="AQ885" t="str">
            <v>11551746|99573490|371474020|371474020</v>
          </cell>
          <cell r="AR885" t="str">
            <v>IMED SALUD</v>
          </cell>
        </row>
        <row r="886">
          <cell r="AQ886" t="str">
            <v>11551746|99573490|371474020|371474020</v>
          </cell>
          <cell r="AR886" t="str">
            <v>IMED SALUD</v>
          </cell>
        </row>
        <row r="887">
          <cell r="AQ887" t="str">
            <v>11551746|99573490|371474020|371474020</v>
          </cell>
          <cell r="AR887" t="str">
            <v>IMED SALUD</v>
          </cell>
        </row>
        <row r="888">
          <cell r="AQ888" t="str">
            <v>11551746|99573490|371474020|371474020</v>
          </cell>
          <cell r="AR888" t="str">
            <v>IMED SALUD</v>
          </cell>
        </row>
        <row r="889">
          <cell r="AQ889" t="str">
            <v>11551746|99573490|371474020|371474020</v>
          </cell>
          <cell r="AR889" t="str">
            <v>IMED SALUD</v>
          </cell>
        </row>
        <row r="890">
          <cell r="AQ890" t="str">
            <v>11551746|99573490|371474020|371474020</v>
          </cell>
          <cell r="AR890" t="str">
            <v>IMED SALUD</v>
          </cell>
        </row>
        <row r="891">
          <cell r="AQ891" t="str">
            <v>11551746|99573490|371474020|65383941</v>
          </cell>
          <cell r="AR891" t="str">
            <v>GASTO FISICO</v>
          </cell>
        </row>
        <row r="892">
          <cell r="AQ892" t="str">
            <v>11551746|99573490|371474020|65383941</v>
          </cell>
          <cell r="AR892" t="str">
            <v>GASTO FISICO</v>
          </cell>
        </row>
        <row r="893">
          <cell r="AQ893" t="str">
            <v>11551746|99573490|371474020|65383941</v>
          </cell>
          <cell r="AR893" t="str">
            <v>GASTO FISICO</v>
          </cell>
        </row>
        <row r="894">
          <cell r="AQ894" t="str">
            <v>11551746|99573490|371474020|65383941</v>
          </cell>
          <cell r="AR894" t="str">
            <v>GASTO FISICO</v>
          </cell>
        </row>
        <row r="895">
          <cell r="AQ895" t="str">
            <v>11551746|99573490|371474020|65383941</v>
          </cell>
          <cell r="AR895" t="str">
            <v>GASTO FISICO</v>
          </cell>
        </row>
        <row r="896">
          <cell r="AQ896" t="str">
            <v>11551746|99573490|371474021|371474021</v>
          </cell>
          <cell r="AR896" t="str">
            <v>IMED SALUD</v>
          </cell>
        </row>
        <row r="897">
          <cell r="AQ897" t="str">
            <v>11551746|99573490|371474021|371474021</v>
          </cell>
          <cell r="AR897" t="str">
            <v>IMED SALUD</v>
          </cell>
        </row>
        <row r="898">
          <cell r="AQ898" t="str">
            <v>11551746|99573490|371474021|371474021</v>
          </cell>
          <cell r="AR898" t="str">
            <v>IMED SALUD</v>
          </cell>
        </row>
        <row r="899">
          <cell r="AQ899" t="str">
            <v>11551746|99573490|371474021|371474021</v>
          </cell>
          <cell r="AR899" t="str">
            <v>IMED SALUD</v>
          </cell>
        </row>
        <row r="900">
          <cell r="AQ900" t="str">
            <v>11551746|99573490|371474021|371474021</v>
          </cell>
          <cell r="AR900" t="str">
            <v>IMED SALUD</v>
          </cell>
        </row>
        <row r="901">
          <cell r="AQ901" t="str">
            <v>11551746|99573490|371474021|371474021</v>
          </cell>
          <cell r="AR901" t="str">
            <v>IMED SALUD</v>
          </cell>
        </row>
        <row r="902">
          <cell r="AQ902" t="str">
            <v>11551746|99573490|371474021|371474021</v>
          </cell>
          <cell r="AR902" t="str">
            <v>IMED SALUD</v>
          </cell>
        </row>
        <row r="903">
          <cell r="AQ903" t="str">
            <v>11551746|99573490|371474021|371474021</v>
          </cell>
          <cell r="AR903" t="str">
            <v>IMED SALUD</v>
          </cell>
        </row>
        <row r="904">
          <cell r="AQ904" t="str">
            <v>11551746|99573490|371474021|371474021</v>
          </cell>
          <cell r="AR904" t="str">
            <v>IMED SALUD</v>
          </cell>
        </row>
        <row r="905">
          <cell r="AQ905" t="str">
            <v>11551746|99573490|371474021|371474021</v>
          </cell>
          <cell r="AR905" t="str">
            <v>IMED SALUD</v>
          </cell>
        </row>
        <row r="906">
          <cell r="AQ906" t="str">
            <v>11551746|99573490|371474021|65383942</v>
          </cell>
          <cell r="AR906" t="str">
            <v>GASTO FISICO</v>
          </cell>
        </row>
        <row r="907">
          <cell r="AQ907" t="str">
            <v>11551746|99573490|371474021|65383942</v>
          </cell>
          <cell r="AR907" t="str">
            <v>GASTO FISICO</v>
          </cell>
        </row>
        <row r="908">
          <cell r="AQ908" t="str">
            <v>11551746|99573490|371474021|65383942</v>
          </cell>
          <cell r="AR908" t="str">
            <v>GASTO FISICO</v>
          </cell>
        </row>
        <row r="909">
          <cell r="AQ909" t="str">
            <v>11551746|99573490|371474021|65383942</v>
          </cell>
          <cell r="AR909" t="str">
            <v>GASTO FISICO</v>
          </cell>
        </row>
        <row r="910">
          <cell r="AQ910" t="str">
            <v>11551746|99573490|371474021|65383942</v>
          </cell>
          <cell r="AR910" t="str">
            <v>GASTO FISICO</v>
          </cell>
        </row>
        <row r="911">
          <cell r="AQ911" t="str">
            <v>11551746|99573490|371474022|371474022</v>
          </cell>
          <cell r="AR911" t="str">
            <v>IMED SALUD</v>
          </cell>
        </row>
        <row r="912">
          <cell r="AQ912" t="str">
            <v>11551746|99573490|371474022|371474022</v>
          </cell>
          <cell r="AR912" t="str">
            <v>IMED SALUD</v>
          </cell>
        </row>
        <row r="913">
          <cell r="AQ913" t="str">
            <v>11551746|99573490|371474022|371474022</v>
          </cell>
          <cell r="AR913" t="str">
            <v>IMED SALUD</v>
          </cell>
        </row>
        <row r="914">
          <cell r="AQ914" t="str">
            <v>11551746|99573490|371474022|371474022</v>
          </cell>
          <cell r="AR914" t="str">
            <v>IMED SALUD</v>
          </cell>
        </row>
        <row r="915">
          <cell r="AQ915" t="str">
            <v>11551746|99573490|371474022|65383943</v>
          </cell>
          <cell r="AR915" t="str">
            <v>GASTO FISICO</v>
          </cell>
        </row>
        <row r="916">
          <cell r="AQ916" t="str">
            <v>11551746|99573490|371474022|65383943</v>
          </cell>
          <cell r="AR916" t="str">
            <v>GASTO FISICO</v>
          </cell>
        </row>
        <row r="917">
          <cell r="AQ917" t="str">
            <v>11551746|99573490|371474288|371474288</v>
          </cell>
          <cell r="AR917" t="str">
            <v>IMED SALUD</v>
          </cell>
        </row>
        <row r="918">
          <cell r="AQ918" t="str">
            <v>11551746|99573490|371474288|371474288</v>
          </cell>
          <cell r="AR918" t="str">
            <v>IMED SALUD</v>
          </cell>
        </row>
        <row r="919">
          <cell r="AQ919" t="str">
            <v>11551746|99573490|371474288|371474288</v>
          </cell>
          <cell r="AR919" t="str">
            <v>IMED SALUD</v>
          </cell>
        </row>
        <row r="920">
          <cell r="AQ920" t="str">
            <v>11551746|99573490|371474288|371474288</v>
          </cell>
          <cell r="AR920" t="str">
            <v>IMED SALUD</v>
          </cell>
        </row>
        <row r="921">
          <cell r="AQ921" t="str">
            <v>11551746|99573490|371474288|371474288</v>
          </cell>
          <cell r="AR921" t="str">
            <v>IMED SALUD</v>
          </cell>
        </row>
        <row r="922">
          <cell r="AQ922" t="str">
            <v>11551746|99573490|371474288|371474288</v>
          </cell>
          <cell r="AR922" t="str">
            <v>IMED SALUD</v>
          </cell>
        </row>
        <row r="923">
          <cell r="AQ923" t="str">
            <v>11551746|99573490|371474288|371474288</v>
          </cell>
          <cell r="AR923" t="str">
            <v>IMED SALUD</v>
          </cell>
        </row>
        <row r="924">
          <cell r="AQ924" t="str">
            <v>11551746|99573490|371474288|371474288</v>
          </cell>
          <cell r="AR924" t="str">
            <v>IMED SALUD</v>
          </cell>
        </row>
        <row r="925">
          <cell r="AQ925" t="str">
            <v>11551746|99573490|371474288|371474288</v>
          </cell>
          <cell r="AR925" t="str">
            <v>IMED SALUD</v>
          </cell>
        </row>
        <row r="926">
          <cell r="AQ926" t="str">
            <v>11551746|99573490|371474288|371474288</v>
          </cell>
          <cell r="AR926" t="str">
            <v>IMED SALUD</v>
          </cell>
        </row>
        <row r="927">
          <cell r="AQ927" t="str">
            <v>11551746|99573490|371474288|65383944</v>
          </cell>
          <cell r="AR927" t="str">
            <v>GASTO FISICO</v>
          </cell>
        </row>
        <row r="928">
          <cell r="AQ928" t="str">
            <v>11551746|99573490|371474288|65383944</v>
          </cell>
          <cell r="AR928" t="str">
            <v>GASTO FISICO</v>
          </cell>
        </row>
        <row r="929">
          <cell r="AQ929" t="str">
            <v>11551746|99573490|371474288|65383944</v>
          </cell>
          <cell r="AR929" t="str">
            <v>GASTO FISICO</v>
          </cell>
        </row>
        <row r="930">
          <cell r="AQ930" t="str">
            <v>11551746|99573490|371474288|65383944</v>
          </cell>
          <cell r="AR930" t="str">
            <v>GASTO FISICO</v>
          </cell>
        </row>
        <row r="931">
          <cell r="AQ931" t="str">
            <v>11551746|99573490|371474288|65383944</v>
          </cell>
          <cell r="AR931" t="str">
            <v>GASTO FISICO</v>
          </cell>
        </row>
        <row r="932">
          <cell r="AQ932" t="str">
            <v>11551746|99573490|371474289|371474289</v>
          </cell>
          <cell r="AR932" t="str">
            <v>IMED SALUD</v>
          </cell>
        </row>
        <row r="933">
          <cell r="AQ933" t="str">
            <v>11551746|99573490|371474289|371474289</v>
          </cell>
          <cell r="AR933" t="str">
            <v>IMED SALUD</v>
          </cell>
        </row>
        <row r="934">
          <cell r="AQ934" t="str">
            <v>11551746|99573490|371474289|371474289</v>
          </cell>
          <cell r="AR934" t="str">
            <v>IMED SALUD</v>
          </cell>
        </row>
        <row r="935">
          <cell r="AQ935" t="str">
            <v>11551746|99573490|371474289|371474289</v>
          </cell>
          <cell r="AR935" t="str">
            <v>IMED SALUD</v>
          </cell>
        </row>
        <row r="936">
          <cell r="AQ936" t="str">
            <v>11551746|99573490|371474289|371474289</v>
          </cell>
          <cell r="AR936" t="str">
            <v>IMED SALUD</v>
          </cell>
        </row>
        <row r="937">
          <cell r="AQ937" t="str">
            <v>11551746|99573490|371474289|371474289</v>
          </cell>
          <cell r="AR937" t="str">
            <v>IMED SALUD</v>
          </cell>
        </row>
        <row r="938">
          <cell r="AQ938" t="str">
            <v>11551746|99573490|371474289|65383945</v>
          </cell>
          <cell r="AR938" t="str">
            <v>GASTO FISICO</v>
          </cell>
        </row>
        <row r="939">
          <cell r="AQ939" t="str">
            <v>11551746|99573490|371474289|65383945</v>
          </cell>
          <cell r="AR939" t="str">
            <v>GASTO FISICO</v>
          </cell>
        </row>
        <row r="940">
          <cell r="AQ940" t="str">
            <v>11551746|99573490|371474289|65383945</v>
          </cell>
          <cell r="AR940" t="str">
            <v>GASTO FISICO</v>
          </cell>
        </row>
        <row r="941">
          <cell r="AQ941" t="str">
            <v>11594083|81949100|136583211|136583211</v>
          </cell>
          <cell r="AR941" t="str">
            <v>IMED SALUD</v>
          </cell>
        </row>
        <row r="942">
          <cell r="AQ942" t="str">
            <v>11594083|81949100|136583211|136583211</v>
          </cell>
          <cell r="AR942" t="str">
            <v>IMED SALUD</v>
          </cell>
        </row>
        <row r="943">
          <cell r="AQ943" t="str">
            <v>11594083|81949100|136583211|136583211</v>
          </cell>
          <cell r="AR943" t="str">
            <v>IMED SALUD</v>
          </cell>
        </row>
        <row r="944">
          <cell r="AQ944" t="str">
            <v>11594083|81949100|136583211|136583211</v>
          </cell>
          <cell r="AR944" t="str">
            <v>IMED SALUD</v>
          </cell>
        </row>
        <row r="945">
          <cell r="AQ945" t="str">
            <v>11594083|81949100|136583211|65383946</v>
          </cell>
          <cell r="AR945" t="str">
            <v>GASTO FISICO</v>
          </cell>
        </row>
        <row r="946">
          <cell r="AQ946" t="str">
            <v>11594083|81949100|136583211|65383946</v>
          </cell>
          <cell r="AR946" t="str">
            <v>GASTO FISICO</v>
          </cell>
        </row>
        <row r="947">
          <cell r="AQ947" t="str">
            <v>11635877|96942400|917444124|917444124</v>
          </cell>
          <cell r="AR947" t="str">
            <v>IMED SALUD</v>
          </cell>
        </row>
        <row r="948">
          <cell r="AQ948" t="str">
            <v>11635877|96942400|917444124|917444124</v>
          </cell>
          <cell r="AR948" t="str">
            <v>IMED SALUD</v>
          </cell>
        </row>
        <row r="949">
          <cell r="AQ949" t="str">
            <v>11635877|96942400|917444124|65383947</v>
          </cell>
          <cell r="AR949" t="str">
            <v>GASTO FISICO</v>
          </cell>
        </row>
        <row r="950">
          <cell r="AQ950" t="str">
            <v>11641940|76242774|95782718|95782718</v>
          </cell>
          <cell r="AR950" t="str">
            <v>IMED SALUD</v>
          </cell>
        </row>
        <row r="951">
          <cell r="AQ951" t="str">
            <v>11641940|76242774|95782718|95782718</v>
          </cell>
          <cell r="AR951" t="str">
            <v>IMED SALUD</v>
          </cell>
        </row>
        <row r="952">
          <cell r="AQ952" t="str">
            <v>11641940|76242774|95782718|65383948</v>
          </cell>
          <cell r="AR952" t="str">
            <v>GASTO FISICO</v>
          </cell>
        </row>
        <row r="953">
          <cell r="AQ953" t="str">
            <v>11641940|76242774|95782725|95782725</v>
          </cell>
          <cell r="AR953" t="str">
            <v>IMED SALUD</v>
          </cell>
        </row>
        <row r="954">
          <cell r="AQ954" t="str">
            <v>11641940|76242774|95782725|95782725</v>
          </cell>
          <cell r="AR954" t="str">
            <v>IMED SALUD</v>
          </cell>
        </row>
        <row r="955">
          <cell r="AQ955" t="str">
            <v>11641940|76242774|95782725|65383949</v>
          </cell>
          <cell r="AR955" t="str">
            <v>GASTO FISICO</v>
          </cell>
        </row>
        <row r="956">
          <cell r="AQ956" t="str">
            <v>11653820|76225357|179599|21996012</v>
          </cell>
          <cell r="AR956" t="str">
            <v>GASTO FISICO</v>
          </cell>
        </row>
        <row r="957">
          <cell r="AQ957" t="str">
            <v>11653820|76225357|179599|985689</v>
          </cell>
          <cell r="AR957" t="str">
            <v>GASTO FISICO</v>
          </cell>
        </row>
        <row r="958">
          <cell r="AQ958" t="str">
            <v>11653820|76225357|179599|65213039</v>
          </cell>
          <cell r="AR958" t="str">
            <v>GASTO FISICO</v>
          </cell>
        </row>
        <row r="959">
          <cell r="AQ959" t="str">
            <v>11663256|96617350|371385895|371385895</v>
          </cell>
          <cell r="AR959" t="str">
            <v>IMED SALUD</v>
          </cell>
        </row>
        <row r="960">
          <cell r="AQ960" t="str">
            <v>11663256|96617350|371385895|371385895</v>
          </cell>
          <cell r="AR960" t="str">
            <v>IMED SALUD</v>
          </cell>
        </row>
        <row r="961">
          <cell r="AQ961" t="str">
            <v>11663256|96617350|371385895|371385895</v>
          </cell>
          <cell r="AR961" t="str">
            <v>IMED SALUD</v>
          </cell>
        </row>
        <row r="962">
          <cell r="AQ962" t="str">
            <v>11663256|96617350|371385895|371385895</v>
          </cell>
          <cell r="AR962" t="str">
            <v>IMED SALUD</v>
          </cell>
        </row>
        <row r="963">
          <cell r="AQ963" t="str">
            <v>11663256|96617350|371385895|371385895</v>
          </cell>
          <cell r="AR963" t="str">
            <v>IMED SALUD</v>
          </cell>
        </row>
        <row r="964">
          <cell r="AQ964" t="str">
            <v>11663256|96617350|371385895|371385895</v>
          </cell>
          <cell r="AR964" t="str">
            <v>IMED SALUD</v>
          </cell>
        </row>
        <row r="965">
          <cell r="AQ965" t="str">
            <v>11663256|96617350|371385895|371385895</v>
          </cell>
          <cell r="AR965" t="str">
            <v>IMED SALUD</v>
          </cell>
        </row>
        <row r="966">
          <cell r="AQ966" t="str">
            <v>11663256|96617350|371385895|371385895</v>
          </cell>
          <cell r="AR966" t="str">
            <v>IMED SALUD</v>
          </cell>
        </row>
        <row r="967">
          <cell r="AQ967" t="str">
            <v>11663256|96617350|371385895|371385895</v>
          </cell>
          <cell r="AR967" t="str">
            <v>IMED SALUD</v>
          </cell>
        </row>
        <row r="968">
          <cell r="AQ968" t="str">
            <v>11663256|96617350|371385895|371385895</v>
          </cell>
          <cell r="AR968" t="str">
            <v>IMED SALUD</v>
          </cell>
        </row>
        <row r="969">
          <cell r="AQ969" t="str">
            <v>11663256|96617350|371385895|65383951</v>
          </cell>
          <cell r="AR969" t="str">
            <v>GASTO FISICO</v>
          </cell>
        </row>
        <row r="970">
          <cell r="AQ970" t="str">
            <v>11663256|96617350|371385895|65383951</v>
          </cell>
          <cell r="AR970" t="str">
            <v>GASTO FISICO</v>
          </cell>
        </row>
        <row r="971">
          <cell r="AQ971" t="str">
            <v>11663256|96617350|371385895|65383951</v>
          </cell>
          <cell r="AR971" t="str">
            <v>GASTO FISICO</v>
          </cell>
        </row>
        <row r="972">
          <cell r="AQ972" t="str">
            <v>11663256|96617350|371385895|65383951</v>
          </cell>
          <cell r="AR972" t="str">
            <v>GASTO FISICO</v>
          </cell>
        </row>
        <row r="973">
          <cell r="AQ973" t="str">
            <v>11663256|96617350|371385895|65383951</v>
          </cell>
          <cell r="AR973" t="str">
            <v>GASTO FISICO</v>
          </cell>
        </row>
        <row r="974">
          <cell r="AQ974" t="str">
            <v>11663256|96617350|371385897|371385897</v>
          </cell>
          <cell r="AR974" t="str">
            <v>IMED SALUD</v>
          </cell>
        </row>
        <row r="975">
          <cell r="AQ975" t="str">
            <v>11663256|96617350|371385897|371385897</v>
          </cell>
          <cell r="AR975" t="str">
            <v>IMED SALUD</v>
          </cell>
        </row>
        <row r="976">
          <cell r="AQ976" t="str">
            <v>11663256|96617350|371385897|371385897</v>
          </cell>
          <cell r="AR976" t="str">
            <v>IMED SALUD</v>
          </cell>
        </row>
        <row r="977">
          <cell r="AQ977" t="str">
            <v>11663256|96617350|371385897|371385897</v>
          </cell>
          <cell r="AR977" t="str">
            <v>IMED SALUD</v>
          </cell>
        </row>
        <row r="978">
          <cell r="AQ978" t="str">
            <v>11663256|96617350|371385897|371385897</v>
          </cell>
          <cell r="AR978" t="str">
            <v>IMED SALUD</v>
          </cell>
        </row>
        <row r="979">
          <cell r="AQ979" t="str">
            <v>11663256|96617350|371385897|371385897</v>
          </cell>
          <cell r="AR979" t="str">
            <v>IMED SALUD</v>
          </cell>
        </row>
        <row r="980">
          <cell r="AQ980" t="str">
            <v>11663256|96617350|371385897|65383952</v>
          </cell>
          <cell r="AR980" t="str">
            <v>GASTO FISICO</v>
          </cell>
        </row>
        <row r="981">
          <cell r="AQ981" t="str">
            <v>11663256|96617350|371385897|65383952</v>
          </cell>
          <cell r="AR981" t="str">
            <v>GASTO FISICO</v>
          </cell>
        </row>
        <row r="982">
          <cell r="AQ982" t="str">
            <v>11663256|96617350|371385897|65383952</v>
          </cell>
          <cell r="AR982" t="str">
            <v>GASTO FISICO</v>
          </cell>
        </row>
        <row r="983">
          <cell r="AQ983" t="str">
            <v>11739910|78053560|765348438|765348438</v>
          </cell>
          <cell r="AR983" t="str">
            <v>IMED SALUD</v>
          </cell>
        </row>
        <row r="984">
          <cell r="AQ984" t="str">
            <v>11739910|78053560|765348438|765348438</v>
          </cell>
          <cell r="AR984" t="str">
            <v>IMED SALUD</v>
          </cell>
        </row>
        <row r="985">
          <cell r="AQ985" t="str">
            <v>11739910|78053560|765348438|765348438</v>
          </cell>
          <cell r="AR985" t="str">
            <v>IMED SALUD</v>
          </cell>
        </row>
        <row r="986">
          <cell r="AQ986" t="str">
            <v>11739910|78053560|765348438|765348438</v>
          </cell>
          <cell r="AR986" t="str">
            <v>IMED SALUD</v>
          </cell>
        </row>
        <row r="987">
          <cell r="AQ987" t="str">
            <v>11739910|78053560|765348438|765348438</v>
          </cell>
          <cell r="AR987" t="str">
            <v>IMED SALUD</v>
          </cell>
        </row>
        <row r="988">
          <cell r="AQ988" t="str">
            <v>11739910|78053560|765348438|765348438</v>
          </cell>
          <cell r="AR988" t="str">
            <v>IMED SALUD</v>
          </cell>
        </row>
        <row r="989">
          <cell r="AQ989" t="str">
            <v>11739910|78053560|765348438|765348438</v>
          </cell>
          <cell r="AR989" t="str">
            <v>IMED SALUD</v>
          </cell>
        </row>
        <row r="990">
          <cell r="AQ990" t="str">
            <v>11739910|78053560|765348438|765348438</v>
          </cell>
          <cell r="AR990" t="str">
            <v>IMED SALUD</v>
          </cell>
        </row>
        <row r="991">
          <cell r="AQ991" t="str">
            <v>11739910|78053560|765348438|765348438</v>
          </cell>
          <cell r="AR991" t="str">
            <v>IMED SALUD</v>
          </cell>
        </row>
        <row r="992">
          <cell r="AQ992" t="str">
            <v>11739910|78053560|765348438|765348438</v>
          </cell>
          <cell r="AR992" t="str">
            <v>IMED SALUD</v>
          </cell>
        </row>
        <row r="993">
          <cell r="AQ993" t="str">
            <v>11739910|78053560|765348438|65383953</v>
          </cell>
          <cell r="AR993" t="str">
            <v>GASTO FISICO</v>
          </cell>
        </row>
        <row r="994">
          <cell r="AQ994" t="str">
            <v>11739910|78053560|765348438|65383953</v>
          </cell>
          <cell r="AR994" t="str">
            <v>GASTO FISICO</v>
          </cell>
        </row>
        <row r="995">
          <cell r="AQ995" t="str">
            <v>11739910|78053560|765348438|65383953</v>
          </cell>
          <cell r="AR995" t="str">
            <v>GASTO FISICO</v>
          </cell>
        </row>
        <row r="996">
          <cell r="AQ996" t="str">
            <v>11739910|78053560|765348438|65383953</v>
          </cell>
          <cell r="AR996" t="str">
            <v>GASTO FISICO</v>
          </cell>
        </row>
        <row r="997">
          <cell r="AQ997" t="str">
            <v>11739910|78053560|765348438|65383953</v>
          </cell>
          <cell r="AR997" t="str">
            <v>GASTO FISICO</v>
          </cell>
        </row>
        <row r="998">
          <cell r="AQ998" t="str">
            <v>11739910|78053560|765348439|765348439</v>
          </cell>
          <cell r="AR998" t="str">
            <v>IMED SALUD</v>
          </cell>
        </row>
        <row r="999">
          <cell r="AQ999" t="str">
            <v>11739910|78053560|765348439|765348439</v>
          </cell>
          <cell r="AR999" t="str">
            <v>IMED SALUD</v>
          </cell>
        </row>
        <row r="1000">
          <cell r="AQ1000" t="str">
            <v>11739910|78053560|765348439|765348439</v>
          </cell>
          <cell r="AR1000" t="str">
            <v>IMED SALUD</v>
          </cell>
        </row>
        <row r="1001">
          <cell r="AQ1001" t="str">
            <v>11739910|78053560|765348439|765348439</v>
          </cell>
          <cell r="AR1001" t="str">
            <v>IMED SALUD</v>
          </cell>
        </row>
        <row r="1002">
          <cell r="AQ1002" t="str">
            <v>11739910|78053560|765348439|765348439</v>
          </cell>
          <cell r="AR1002" t="str">
            <v>IMED SALUD</v>
          </cell>
        </row>
        <row r="1003">
          <cell r="AQ1003" t="str">
            <v>11739910|78053560|765348439|765348439</v>
          </cell>
          <cell r="AR1003" t="str">
            <v>IMED SALUD</v>
          </cell>
        </row>
        <row r="1004">
          <cell r="AQ1004" t="str">
            <v>11739910|78053560|765348439|765348439</v>
          </cell>
          <cell r="AR1004" t="str">
            <v>IMED SALUD</v>
          </cell>
        </row>
        <row r="1005">
          <cell r="AQ1005" t="str">
            <v>11739910|78053560|765348439|765348439</v>
          </cell>
          <cell r="AR1005" t="str">
            <v>IMED SALUD</v>
          </cell>
        </row>
        <row r="1006">
          <cell r="AQ1006" t="str">
            <v>11739910|78053560|765348439|765348439</v>
          </cell>
          <cell r="AR1006" t="str">
            <v>IMED SALUD</v>
          </cell>
        </row>
        <row r="1007">
          <cell r="AQ1007" t="str">
            <v>11739910|78053560|765348439|765348439</v>
          </cell>
          <cell r="AR1007" t="str">
            <v>IMED SALUD</v>
          </cell>
        </row>
        <row r="1008">
          <cell r="AQ1008" t="str">
            <v>11739910|78053560|765348439|65383954</v>
          </cell>
          <cell r="AR1008" t="str">
            <v>GASTO FISICO</v>
          </cell>
        </row>
        <row r="1009">
          <cell r="AQ1009" t="str">
            <v>11739910|78053560|765348439|65383954</v>
          </cell>
          <cell r="AR1009" t="str">
            <v>GASTO FISICO</v>
          </cell>
        </row>
        <row r="1010">
          <cell r="AQ1010" t="str">
            <v>11739910|78053560|765348439|65383954</v>
          </cell>
          <cell r="AR1010" t="str">
            <v>GASTO FISICO</v>
          </cell>
        </row>
        <row r="1011">
          <cell r="AQ1011" t="str">
            <v>11739910|78053560|765348439|65383954</v>
          </cell>
          <cell r="AR1011" t="str">
            <v>GASTO FISICO</v>
          </cell>
        </row>
        <row r="1012">
          <cell r="AQ1012" t="str">
            <v>11739910|78053560|765348439|65383954</v>
          </cell>
          <cell r="AR1012" t="str">
            <v>GASTO FISICO</v>
          </cell>
        </row>
        <row r="1013">
          <cell r="AQ1013" t="str">
            <v>11739910|78053560|765348440|765348440</v>
          </cell>
          <cell r="AR1013" t="str">
            <v>IMED SALUD</v>
          </cell>
        </row>
        <row r="1014">
          <cell r="AQ1014" t="str">
            <v>11739910|78053560|765348440|765348440</v>
          </cell>
          <cell r="AR1014" t="str">
            <v>IMED SALUD</v>
          </cell>
        </row>
        <row r="1015">
          <cell r="AQ1015" t="str">
            <v>11739910|78053560|765348440|65383955</v>
          </cell>
          <cell r="AR1015" t="str">
            <v>GASTO FISICO</v>
          </cell>
        </row>
        <row r="1016">
          <cell r="AQ1016" t="str">
            <v>11739910|78053560|765348486|765348486</v>
          </cell>
          <cell r="AR1016" t="str">
            <v>IMED SALUD</v>
          </cell>
        </row>
        <row r="1017">
          <cell r="AQ1017" t="str">
            <v>11739910|78053560|765348486|765348486</v>
          </cell>
          <cell r="AR1017" t="str">
            <v>IMED SALUD</v>
          </cell>
        </row>
        <row r="1018">
          <cell r="AQ1018" t="str">
            <v>11739910|78053560|765348486|765348486</v>
          </cell>
          <cell r="AR1018" t="str">
            <v>IMED SALUD</v>
          </cell>
        </row>
        <row r="1019">
          <cell r="AQ1019" t="str">
            <v>11739910|78053560|765348486|765348486</v>
          </cell>
          <cell r="AR1019" t="str">
            <v>IMED SALUD</v>
          </cell>
        </row>
        <row r="1020">
          <cell r="AQ1020" t="str">
            <v>11739910|78053560|765348486|65383956</v>
          </cell>
          <cell r="AR1020" t="str">
            <v>GASTO FISICO</v>
          </cell>
        </row>
        <row r="1021">
          <cell r="AQ1021" t="str">
            <v>11739910|78053560|765348486|65383956</v>
          </cell>
          <cell r="AR1021" t="str">
            <v>GASTO FISICO</v>
          </cell>
        </row>
        <row r="1022">
          <cell r="AQ1022" t="str">
            <v>11739910|96923250|765353794|765353794</v>
          </cell>
          <cell r="AR1022" t="str">
            <v>IMED SALUD</v>
          </cell>
        </row>
        <row r="1023">
          <cell r="AQ1023" t="str">
            <v>11739910|96923250|765353794|765353794</v>
          </cell>
          <cell r="AR1023" t="str">
            <v>IMED SALUD</v>
          </cell>
        </row>
        <row r="1024">
          <cell r="AQ1024" t="str">
            <v>11739910|96923250|765353794|765353794</v>
          </cell>
          <cell r="AR1024" t="str">
            <v>IMED SALUD</v>
          </cell>
        </row>
        <row r="1025">
          <cell r="AQ1025" t="str">
            <v>11739910|96923250|765353794|765353794</v>
          </cell>
          <cell r="AR1025" t="str">
            <v>IMED SALUD</v>
          </cell>
        </row>
        <row r="1026">
          <cell r="AQ1026" t="str">
            <v>11739910|96923250|765353794|65383957</v>
          </cell>
          <cell r="AR1026" t="str">
            <v>GASTO FISICO</v>
          </cell>
        </row>
        <row r="1027">
          <cell r="AQ1027" t="str">
            <v>11739910|96923250|765353794|65383957</v>
          </cell>
          <cell r="AR1027" t="str">
            <v>GASTO FISICO</v>
          </cell>
        </row>
        <row r="1028">
          <cell r="AQ1028" t="str">
            <v>11739910|96942400|765503086|765503086</v>
          </cell>
          <cell r="AR1028" t="str">
            <v>IMED SALUD</v>
          </cell>
        </row>
        <row r="1029">
          <cell r="AQ1029" t="str">
            <v>11739910|96942400|765503086|765503086</v>
          </cell>
          <cell r="AR1029" t="str">
            <v>IMED SALUD</v>
          </cell>
        </row>
        <row r="1030">
          <cell r="AQ1030" t="str">
            <v>11739910|96942400|765503086|65383958</v>
          </cell>
          <cell r="AR1030" t="str">
            <v>GASTO FISICO</v>
          </cell>
        </row>
        <row r="1031">
          <cell r="AQ1031" t="str">
            <v>11739910|96942400|765562903|765562903</v>
          </cell>
          <cell r="AR1031" t="str">
            <v>IMED SALUD</v>
          </cell>
        </row>
        <row r="1032">
          <cell r="AQ1032" t="str">
            <v>11739910|96942400|765562903|765562903</v>
          </cell>
          <cell r="AR1032" t="str">
            <v>IMED SALUD</v>
          </cell>
        </row>
        <row r="1033">
          <cell r="AQ1033" t="str">
            <v>11739910|96942400|765562903|65383959</v>
          </cell>
          <cell r="AR1033" t="str">
            <v>GASTO FISICO</v>
          </cell>
        </row>
        <row r="1034">
          <cell r="AQ1034" t="str">
            <v>11739910|96942400|765577902|765577902</v>
          </cell>
          <cell r="AR1034" t="str">
            <v>IMED SALUD</v>
          </cell>
        </row>
        <row r="1035">
          <cell r="AQ1035" t="str">
            <v>11739910|96942400|765577902|765577902</v>
          </cell>
          <cell r="AR1035" t="str">
            <v>IMED SALUD</v>
          </cell>
        </row>
        <row r="1036">
          <cell r="AQ1036" t="str">
            <v>11739910|96942400|765577902|65383960</v>
          </cell>
          <cell r="AR1036" t="str">
            <v>GASTO FISICO</v>
          </cell>
        </row>
        <row r="1037">
          <cell r="AQ1037" t="str">
            <v>11739910|96942400|765579441|765579441</v>
          </cell>
          <cell r="AR1037" t="str">
            <v>IMED SALUD</v>
          </cell>
        </row>
        <row r="1038">
          <cell r="AQ1038" t="str">
            <v>11739910|96942400|765579441|765579441</v>
          </cell>
          <cell r="AR1038" t="str">
            <v>IMED SALUD</v>
          </cell>
        </row>
        <row r="1039">
          <cell r="AQ1039" t="str">
            <v>11739910|96942400|765579441|65383961</v>
          </cell>
          <cell r="AR1039" t="str">
            <v>GASTO FISICO</v>
          </cell>
        </row>
        <row r="1040">
          <cell r="AQ1040" t="str">
            <v>11739910|96923250|765656662|765656662</v>
          </cell>
          <cell r="AR1040" t="str">
            <v>IMED SALUD</v>
          </cell>
        </row>
        <row r="1041">
          <cell r="AQ1041" t="str">
            <v>11739910|96923250|765656662|765656662</v>
          </cell>
          <cell r="AR1041" t="str">
            <v>IMED SALUD</v>
          </cell>
        </row>
        <row r="1042">
          <cell r="AQ1042" t="str">
            <v>11739910|96923250|765656662|65383962</v>
          </cell>
          <cell r="AR1042" t="str">
            <v>GASTO FISICO</v>
          </cell>
        </row>
        <row r="1043">
          <cell r="AQ1043" t="str">
            <v>11762547|76094395|95838743|95838743</v>
          </cell>
          <cell r="AR1043" t="str">
            <v>IMED SALUD</v>
          </cell>
        </row>
        <row r="1044">
          <cell r="AQ1044" t="str">
            <v>11762547|76094395|95838743|95838743</v>
          </cell>
          <cell r="AR1044" t="str">
            <v>IMED SALUD</v>
          </cell>
        </row>
        <row r="1045">
          <cell r="AQ1045" t="str">
            <v>11762547|76094395|95838743|65383963</v>
          </cell>
          <cell r="AR1045" t="str">
            <v>GASTO FISICO</v>
          </cell>
        </row>
        <row r="1046">
          <cell r="AQ1046" t="str">
            <v>11841687|76098454|917187246|917187246</v>
          </cell>
          <cell r="AR1046" t="str">
            <v>IMED SALUD</v>
          </cell>
        </row>
        <row r="1047">
          <cell r="AQ1047" t="str">
            <v>11841687|76098454|917187246|917187246</v>
          </cell>
          <cell r="AR1047" t="str">
            <v>IMED SALUD</v>
          </cell>
        </row>
        <row r="1048">
          <cell r="AQ1048" t="str">
            <v>11841687|76098454|917187246|65383964</v>
          </cell>
          <cell r="AR1048" t="str">
            <v>GASTO FISICO</v>
          </cell>
        </row>
        <row r="1049">
          <cell r="AQ1049" t="str">
            <v>11841687|96986050|917196933|917196933</v>
          </cell>
          <cell r="AR1049" t="str">
            <v>IMED SALUD</v>
          </cell>
        </row>
        <row r="1050">
          <cell r="AQ1050" t="str">
            <v>11841687|96986050|917196933|917196933</v>
          </cell>
          <cell r="AR1050" t="str">
            <v>IMED SALUD</v>
          </cell>
        </row>
        <row r="1051">
          <cell r="AQ1051" t="str">
            <v>11841687|96986050|917196933|917196933</v>
          </cell>
          <cell r="AR1051" t="str">
            <v>IMED SALUD</v>
          </cell>
        </row>
        <row r="1052">
          <cell r="AQ1052" t="str">
            <v>11841687|96986050|917196933|917196933</v>
          </cell>
          <cell r="AR1052" t="str">
            <v>IMED SALUD</v>
          </cell>
        </row>
        <row r="1053">
          <cell r="AQ1053" t="str">
            <v>11841687|96986050|917196933|917196933</v>
          </cell>
          <cell r="AR1053" t="str">
            <v>IMED SALUD</v>
          </cell>
        </row>
        <row r="1054">
          <cell r="AQ1054" t="str">
            <v>11841687|96986050|917196933|917196933</v>
          </cell>
          <cell r="AR1054" t="str">
            <v>IMED SALUD</v>
          </cell>
        </row>
        <row r="1055">
          <cell r="AQ1055" t="str">
            <v>11841687|96986050|917196933|917196933</v>
          </cell>
          <cell r="AR1055" t="str">
            <v>IMED SALUD</v>
          </cell>
        </row>
        <row r="1056">
          <cell r="AQ1056" t="str">
            <v>11841687|96986050|917196933|917196933</v>
          </cell>
          <cell r="AR1056" t="str">
            <v>IMED SALUD</v>
          </cell>
        </row>
        <row r="1057">
          <cell r="AQ1057" t="str">
            <v>11841687|96986050|917196933|917196933</v>
          </cell>
          <cell r="AR1057" t="str">
            <v>IMED SALUD</v>
          </cell>
        </row>
        <row r="1058">
          <cell r="AQ1058" t="str">
            <v>11841687|96986050|917196933|917196933</v>
          </cell>
          <cell r="AR1058" t="str">
            <v>IMED SALUD</v>
          </cell>
        </row>
        <row r="1059">
          <cell r="AQ1059" t="str">
            <v>11841687|96986050|917196933|65383965</v>
          </cell>
          <cell r="AR1059" t="str">
            <v>GASTO FISICO</v>
          </cell>
        </row>
        <row r="1060">
          <cell r="AQ1060" t="str">
            <v>11841687|96986050|917196933|65383965</v>
          </cell>
          <cell r="AR1060" t="str">
            <v>GASTO FISICO</v>
          </cell>
        </row>
        <row r="1061">
          <cell r="AQ1061" t="str">
            <v>11841687|96986050|917196933|65383965</v>
          </cell>
          <cell r="AR1061" t="str">
            <v>GASTO FISICO</v>
          </cell>
        </row>
        <row r="1062">
          <cell r="AQ1062" t="str">
            <v>11841687|96986050|917196933|65383965</v>
          </cell>
          <cell r="AR1062" t="str">
            <v>GASTO FISICO</v>
          </cell>
        </row>
        <row r="1063">
          <cell r="AQ1063" t="str">
            <v>11841687|96986050|917196933|65383965</v>
          </cell>
          <cell r="AR1063" t="str">
            <v>GASTO FISICO</v>
          </cell>
        </row>
        <row r="1064">
          <cell r="AQ1064" t="str">
            <v>11841687|96986050|917196934|917196934</v>
          </cell>
          <cell r="AR1064" t="str">
            <v>IMED SALUD</v>
          </cell>
        </row>
        <row r="1065">
          <cell r="AQ1065" t="str">
            <v>11841687|96986050|917196934|917196934</v>
          </cell>
          <cell r="AR1065" t="str">
            <v>IMED SALUD</v>
          </cell>
        </row>
        <row r="1066">
          <cell r="AQ1066" t="str">
            <v>11841687|96986050|917196934|917196934</v>
          </cell>
          <cell r="AR1066" t="str">
            <v>IMED SALUD</v>
          </cell>
        </row>
        <row r="1067">
          <cell r="AQ1067" t="str">
            <v>11841687|96986050|917196934|917196934</v>
          </cell>
          <cell r="AR1067" t="str">
            <v>IMED SALUD</v>
          </cell>
        </row>
        <row r="1068">
          <cell r="AQ1068" t="str">
            <v>11841687|96986050|917196934|917196934</v>
          </cell>
          <cell r="AR1068" t="str">
            <v>IMED SALUD</v>
          </cell>
        </row>
        <row r="1069">
          <cell r="AQ1069" t="str">
            <v>11841687|96986050|917196934|917196934</v>
          </cell>
          <cell r="AR1069" t="str">
            <v>IMED SALUD</v>
          </cell>
        </row>
        <row r="1070">
          <cell r="AQ1070" t="str">
            <v>11841687|96986050|917196934|917196934</v>
          </cell>
          <cell r="AR1070" t="str">
            <v>IMED SALUD</v>
          </cell>
        </row>
        <row r="1071">
          <cell r="AQ1071" t="str">
            <v>11841687|96986050|917196934|917196934</v>
          </cell>
          <cell r="AR1071" t="str">
            <v>IMED SALUD</v>
          </cell>
        </row>
        <row r="1072">
          <cell r="AQ1072" t="str">
            <v>11841687|96986050|917196934|917196934</v>
          </cell>
          <cell r="AR1072" t="str">
            <v>IMED SALUD</v>
          </cell>
        </row>
        <row r="1073">
          <cell r="AQ1073" t="str">
            <v>11841687|96986050|917196934|917196934</v>
          </cell>
          <cell r="AR1073" t="str">
            <v>IMED SALUD</v>
          </cell>
        </row>
        <row r="1074">
          <cell r="AQ1074" t="str">
            <v>11841687|96986050|917196934|65383966</v>
          </cell>
          <cell r="AR1074" t="str">
            <v>GASTO FISICO</v>
          </cell>
        </row>
        <row r="1075">
          <cell r="AQ1075" t="str">
            <v>11841687|96986050|917196934|65383966</v>
          </cell>
          <cell r="AR1075" t="str">
            <v>GASTO FISICO</v>
          </cell>
        </row>
        <row r="1076">
          <cell r="AQ1076" t="str">
            <v>11841687|96986050|917196934|65383966</v>
          </cell>
          <cell r="AR1076" t="str">
            <v>GASTO FISICO</v>
          </cell>
        </row>
        <row r="1077">
          <cell r="AQ1077" t="str">
            <v>11841687|96986050|917196934|65383966</v>
          </cell>
          <cell r="AR1077" t="str">
            <v>GASTO FISICO</v>
          </cell>
        </row>
        <row r="1078">
          <cell r="AQ1078" t="str">
            <v>11841687|96986050|917196934|65383966</v>
          </cell>
          <cell r="AR1078" t="str">
            <v>GASTO FISICO</v>
          </cell>
        </row>
        <row r="1079">
          <cell r="AQ1079" t="str">
            <v>11854294|76098454|765480576|765480576</v>
          </cell>
          <cell r="AR1079" t="str">
            <v>IMED SALUD</v>
          </cell>
        </row>
        <row r="1080">
          <cell r="AQ1080" t="str">
            <v>11854294|76098454|765480576|765480576</v>
          </cell>
          <cell r="AR1080" t="str">
            <v>IMED SALUD</v>
          </cell>
        </row>
        <row r="1081">
          <cell r="AQ1081" t="str">
            <v>11854294|76098454|765480576|65383967</v>
          </cell>
          <cell r="AR1081" t="str">
            <v>GASTO FISICO</v>
          </cell>
        </row>
        <row r="1082">
          <cell r="AQ1082" t="str">
            <v>11858652|93930000|929990781|929990781</v>
          </cell>
          <cell r="AR1082" t="str">
            <v>IMED SALUD</v>
          </cell>
        </row>
        <row r="1083">
          <cell r="AQ1083" t="str">
            <v>11858652|93930000|929990781|929990781</v>
          </cell>
          <cell r="AR1083" t="str">
            <v>IMED SALUD</v>
          </cell>
        </row>
        <row r="1084">
          <cell r="AQ1084" t="str">
            <v>11858652|93930000|929990781|65383968</v>
          </cell>
          <cell r="AR1084" t="str">
            <v>GASTO FISICO</v>
          </cell>
        </row>
        <row r="1085">
          <cell r="AQ1085" t="str">
            <v>11867573|96942400|370870987|370870987</v>
          </cell>
          <cell r="AR1085" t="str">
            <v>IMED SALUD</v>
          </cell>
        </row>
        <row r="1086">
          <cell r="AQ1086" t="str">
            <v>11867573|96942400|370870987|370870987</v>
          </cell>
          <cell r="AR1086" t="str">
            <v>IMED SALUD</v>
          </cell>
        </row>
        <row r="1087">
          <cell r="AQ1087" t="str">
            <v>11867573|96942400|370870987|370870987</v>
          </cell>
          <cell r="AR1087" t="str">
            <v>IMED SALUD</v>
          </cell>
        </row>
        <row r="1088">
          <cell r="AQ1088" t="str">
            <v>11867573|96942400|370870987|370870987</v>
          </cell>
          <cell r="AR1088" t="str">
            <v>IMED SALUD</v>
          </cell>
        </row>
        <row r="1089">
          <cell r="AQ1089" t="str">
            <v>11867573|96942400|370870987|65383969</v>
          </cell>
          <cell r="AR1089" t="str">
            <v>GASTO FISICO</v>
          </cell>
        </row>
        <row r="1090">
          <cell r="AQ1090" t="str">
            <v>11867573|96942400|370870987|65383969</v>
          </cell>
          <cell r="AR1090" t="str">
            <v>GASTO FISICO</v>
          </cell>
        </row>
        <row r="1091">
          <cell r="AQ1091" t="str">
            <v>11867573|96617350|371268340|371268340</v>
          </cell>
          <cell r="AR1091" t="str">
            <v>IMED SALUD</v>
          </cell>
        </row>
        <row r="1092">
          <cell r="AQ1092" t="str">
            <v>11867573|96617350|371268340|371268340</v>
          </cell>
          <cell r="AR1092" t="str">
            <v>IMED SALUD</v>
          </cell>
        </row>
        <row r="1093">
          <cell r="AQ1093" t="str">
            <v>11867573|96617350|371268340|371268340</v>
          </cell>
          <cell r="AR1093" t="str">
            <v>IMED SALUD</v>
          </cell>
        </row>
        <row r="1094">
          <cell r="AQ1094" t="str">
            <v>11867573|96617350|371268340|371268340</v>
          </cell>
          <cell r="AR1094" t="str">
            <v>IMED SALUD</v>
          </cell>
        </row>
        <row r="1095">
          <cell r="AQ1095" t="str">
            <v>11867573|96617350|371268340|371268340</v>
          </cell>
          <cell r="AR1095" t="str">
            <v>IMED SALUD</v>
          </cell>
        </row>
        <row r="1096">
          <cell r="AQ1096" t="str">
            <v>11867573|96617350|371268340|371268340</v>
          </cell>
          <cell r="AR1096" t="str">
            <v>IMED SALUD</v>
          </cell>
        </row>
        <row r="1097">
          <cell r="AQ1097" t="str">
            <v>11867573|96617350|371268340|371268340</v>
          </cell>
          <cell r="AR1097" t="str">
            <v>IMED SALUD</v>
          </cell>
        </row>
        <row r="1098">
          <cell r="AQ1098" t="str">
            <v>11867573|96617350|371268340|371268340</v>
          </cell>
          <cell r="AR1098" t="str">
            <v>IMED SALUD</v>
          </cell>
        </row>
        <row r="1099">
          <cell r="AQ1099" t="str">
            <v>11867573|96617350|371268340|371268340</v>
          </cell>
          <cell r="AR1099" t="str">
            <v>IMED SALUD</v>
          </cell>
        </row>
        <row r="1100">
          <cell r="AQ1100" t="str">
            <v>11867573|96617350|371268340|371268340</v>
          </cell>
          <cell r="AR1100" t="str">
            <v>IMED SALUD</v>
          </cell>
        </row>
        <row r="1101">
          <cell r="AQ1101" t="str">
            <v>11867573|96617350|371268340|65383970</v>
          </cell>
          <cell r="AR1101" t="str">
            <v>GASTO FISICO</v>
          </cell>
        </row>
        <row r="1102">
          <cell r="AQ1102" t="str">
            <v>11867573|96617350|371268340|65383970</v>
          </cell>
          <cell r="AR1102" t="str">
            <v>GASTO FISICO</v>
          </cell>
        </row>
        <row r="1103">
          <cell r="AQ1103" t="str">
            <v>11867573|96617350|371268340|65383970</v>
          </cell>
          <cell r="AR1103" t="str">
            <v>GASTO FISICO</v>
          </cell>
        </row>
        <row r="1104">
          <cell r="AQ1104" t="str">
            <v>11867573|96617350|371268340|65383970</v>
          </cell>
          <cell r="AR1104" t="str">
            <v>GASTO FISICO</v>
          </cell>
        </row>
        <row r="1105">
          <cell r="AQ1105" t="str">
            <v>11867573|96617350|371268340|65383970</v>
          </cell>
          <cell r="AR1105" t="str">
            <v>GASTO FISICO</v>
          </cell>
        </row>
        <row r="1106">
          <cell r="AQ1106" t="str">
            <v>11867573|96617350|371268341|371268341</v>
          </cell>
          <cell r="AR1106" t="str">
            <v>IMED SALUD</v>
          </cell>
        </row>
        <row r="1107">
          <cell r="AQ1107" t="str">
            <v>11867573|96617350|371268341|371268341</v>
          </cell>
          <cell r="AR1107" t="str">
            <v>IMED SALUD</v>
          </cell>
        </row>
        <row r="1108">
          <cell r="AQ1108" t="str">
            <v>11867573|96617350|371268341|371268341</v>
          </cell>
          <cell r="AR1108" t="str">
            <v>IMED SALUD</v>
          </cell>
        </row>
        <row r="1109">
          <cell r="AQ1109" t="str">
            <v>11867573|96617350|371268341|371268341</v>
          </cell>
          <cell r="AR1109" t="str">
            <v>IMED SALUD</v>
          </cell>
        </row>
        <row r="1110">
          <cell r="AQ1110" t="str">
            <v>11867573|96617350|371268341|65383971</v>
          </cell>
          <cell r="AR1110" t="str">
            <v>GASTO FISICO</v>
          </cell>
        </row>
        <row r="1111">
          <cell r="AQ1111" t="str">
            <v>11867573|96617350|371268341|65383971</v>
          </cell>
          <cell r="AR1111" t="str">
            <v>GASTO FISICO</v>
          </cell>
        </row>
        <row r="1112">
          <cell r="AQ1112" t="str">
            <v>11867573|96617350|371268342|371268342</v>
          </cell>
          <cell r="AR1112" t="str">
            <v>IMED SALUD</v>
          </cell>
        </row>
        <row r="1113">
          <cell r="AQ1113" t="str">
            <v>11867573|96617350|371268342|371268342</v>
          </cell>
          <cell r="AR1113" t="str">
            <v>IMED SALUD</v>
          </cell>
        </row>
        <row r="1114">
          <cell r="AQ1114" t="str">
            <v>11867573|96617350|371268342|371268342</v>
          </cell>
          <cell r="AR1114" t="str">
            <v>IMED SALUD</v>
          </cell>
        </row>
        <row r="1115">
          <cell r="AQ1115" t="str">
            <v>11867573|96617350|371268342|371268342</v>
          </cell>
          <cell r="AR1115" t="str">
            <v>IMED SALUD</v>
          </cell>
        </row>
        <row r="1116">
          <cell r="AQ1116" t="str">
            <v>11867573|96617350|371268342|65383972</v>
          </cell>
          <cell r="AR1116" t="str">
            <v>GASTO FISICO</v>
          </cell>
        </row>
        <row r="1117">
          <cell r="AQ1117" t="str">
            <v>11867573|96617350|371268342|65383972</v>
          </cell>
          <cell r="AR1117" t="str">
            <v>GASTO FISICO</v>
          </cell>
        </row>
        <row r="1118">
          <cell r="AQ1118" t="str">
            <v>11867573|79980070|371515851|371515851</v>
          </cell>
          <cell r="AR1118" t="str">
            <v>IMED SALUD</v>
          </cell>
        </row>
        <row r="1119">
          <cell r="AQ1119" t="str">
            <v>11867573|79980070|371515851|371515851</v>
          </cell>
          <cell r="AR1119" t="str">
            <v>IMED SALUD</v>
          </cell>
        </row>
        <row r="1120">
          <cell r="AQ1120" t="str">
            <v>11867573|79980070|371515851|65383973</v>
          </cell>
          <cell r="AR1120" t="str">
            <v>GASTO FISICO</v>
          </cell>
        </row>
        <row r="1121">
          <cell r="AQ1121" t="str">
            <v>11883982|76098454|765233309|765233309</v>
          </cell>
          <cell r="AR1121" t="str">
            <v>IMED SALUD</v>
          </cell>
        </row>
        <row r="1122">
          <cell r="AQ1122" t="str">
            <v>11883982|76098454|765233309|765233309</v>
          </cell>
          <cell r="AR1122" t="str">
            <v>IMED SALUD</v>
          </cell>
        </row>
        <row r="1123">
          <cell r="AQ1123" t="str">
            <v>11883982|76098454|765233309|65383975</v>
          </cell>
          <cell r="AR1123" t="str">
            <v>GASTO FISICO</v>
          </cell>
        </row>
        <row r="1124">
          <cell r="AQ1124" t="str">
            <v>11883982|76098454|765341401|765341401</v>
          </cell>
          <cell r="AR1124" t="str">
            <v>IMED SALUD</v>
          </cell>
        </row>
        <row r="1125">
          <cell r="AQ1125" t="str">
            <v>11883982|76098454|765341401|765341401</v>
          </cell>
          <cell r="AR1125" t="str">
            <v>IMED SALUD</v>
          </cell>
        </row>
        <row r="1126">
          <cell r="AQ1126" t="str">
            <v>11883982|76098454|765341401|65383976</v>
          </cell>
          <cell r="AR1126" t="str">
            <v>GASTO FISICO</v>
          </cell>
        </row>
        <row r="1127">
          <cell r="AQ1127" t="str">
            <v>11883982|76098454|765341433|765341433</v>
          </cell>
          <cell r="AR1127" t="str">
            <v>IMED SALUD</v>
          </cell>
        </row>
        <row r="1128">
          <cell r="AQ1128" t="str">
            <v>11883982|76098454|765341433|765341433</v>
          </cell>
          <cell r="AR1128" t="str">
            <v>IMED SALUD</v>
          </cell>
        </row>
        <row r="1129">
          <cell r="AQ1129" t="str">
            <v>11883982|76098454|765341433|65383977</v>
          </cell>
          <cell r="AR1129" t="str">
            <v>GASTO FISICO</v>
          </cell>
        </row>
        <row r="1130">
          <cell r="AQ1130" t="str">
            <v>11883982|96986050|765341537|765341537</v>
          </cell>
          <cell r="AR1130" t="str">
            <v>IMED SALUD</v>
          </cell>
        </row>
        <row r="1131">
          <cell r="AQ1131" t="str">
            <v>11883982|96986050|765341537|765341537</v>
          </cell>
          <cell r="AR1131" t="str">
            <v>IMED SALUD</v>
          </cell>
        </row>
        <row r="1132">
          <cell r="AQ1132" t="str">
            <v>11883982|96986050|765341537|765341537</v>
          </cell>
          <cell r="AR1132" t="str">
            <v>IMED SALUD</v>
          </cell>
        </row>
        <row r="1133">
          <cell r="AQ1133" t="str">
            <v>11883982|96986050|765341537|765341537</v>
          </cell>
          <cell r="AR1133" t="str">
            <v>IMED SALUD</v>
          </cell>
        </row>
        <row r="1134">
          <cell r="AQ1134" t="str">
            <v>11883982|96986050|765341537|65383978</v>
          </cell>
          <cell r="AR1134" t="str">
            <v>GASTO FISICO</v>
          </cell>
        </row>
        <row r="1135">
          <cell r="AQ1135" t="str">
            <v>11883982|76696200|918294084|918294084</v>
          </cell>
          <cell r="AR1135" t="str">
            <v>IMED SALUD</v>
          </cell>
        </row>
        <row r="1136">
          <cell r="AQ1136" t="str">
            <v>11883982|76696200|918294084|918294084</v>
          </cell>
          <cell r="AR1136" t="str">
            <v>IMED SALUD</v>
          </cell>
        </row>
        <row r="1137">
          <cell r="AQ1137" t="str">
            <v>11883982|76696200|918294084|65383974</v>
          </cell>
          <cell r="AR1137" t="str">
            <v>GASTO FISICO</v>
          </cell>
        </row>
        <row r="1138">
          <cell r="AQ1138" t="str">
            <v>11898667|76686235|135881939|135881939</v>
          </cell>
          <cell r="AR1138" t="str">
            <v>IMED SALUD</v>
          </cell>
        </row>
        <row r="1139">
          <cell r="AQ1139" t="str">
            <v>11898667|76686235|135881939|135881939</v>
          </cell>
          <cell r="AR1139" t="str">
            <v>IMED SALUD</v>
          </cell>
        </row>
        <row r="1140">
          <cell r="AQ1140" t="str">
            <v>11898667|76686235|135881939|65383979</v>
          </cell>
          <cell r="AR1140" t="str">
            <v>GASTO FISICO</v>
          </cell>
        </row>
        <row r="1141">
          <cell r="AQ1141" t="str">
            <v>11946769|77200240|135539942|135539942</v>
          </cell>
          <cell r="AR1141" t="str">
            <v>IMED SALUD</v>
          </cell>
        </row>
        <row r="1142">
          <cell r="AQ1142" t="str">
            <v>11946769|77200240|135539942|135539942</v>
          </cell>
          <cell r="AR1142" t="str">
            <v>IMED SALUD</v>
          </cell>
        </row>
        <row r="1143">
          <cell r="AQ1143" t="str">
            <v>11946769|77200240|135539942|65383980</v>
          </cell>
          <cell r="AR1143" t="str">
            <v>GASTO FISICO</v>
          </cell>
        </row>
        <row r="1144">
          <cell r="AQ1144" t="str">
            <v>11946769|76098454|136763432|136763432</v>
          </cell>
          <cell r="AR1144" t="str">
            <v>IMED SALUD</v>
          </cell>
        </row>
        <row r="1145">
          <cell r="AQ1145" t="str">
            <v>11946769|76098454|136763432|136763432</v>
          </cell>
          <cell r="AR1145" t="str">
            <v>IMED SALUD</v>
          </cell>
        </row>
        <row r="1146">
          <cell r="AQ1146" t="str">
            <v>11946769|76098454|136763432|65383981</v>
          </cell>
          <cell r="AR1146" t="str">
            <v>GASTO FISICO</v>
          </cell>
        </row>
        <row r="1147">
          <cell r="AQ1147" t="str">
            <v>11946769|76098454|136889208|136889208</v>
          </cell>
          <cell r="AR1147" t="str">
            <v>IMED SALUD</v>
          </cell>
        </row>
        <row r="1148">
          <cell r="AQ1148" t="str">
            <v>11946769|76098454|136889208|136889208</v>
          </cell>
          <cell r="AR1148" t="str">
            <v>IMED SALUD</v>
          </cell>
        </row>
        <row r="1149">
          <cell r="AQ1149" t="str">
            <v>11946769|76098454|136889208|65383982</v>
          </cell>
          <cell r="AR1149" t="str">
            <v>GASTO FISICO</v>
          </cell>
        </row>
        <row r="1150">
          <cell r="AQ1150" t="str">
            <v>12009863|76660480|2364|21973278</v>
          </cell>
          <cell r="AR1150" t="str">
            <v>GASTO FISICO</v>
          </cell>
        </row>
        <row r="1151">
          <cell r="AQ1151" t="str">
            <v>12009863|76660480|2364|21973278</v>
          </cell>
          <cell r="AR1151" t="str">
            <v>GASTO FISICO</v>
          </cell>
        </row>
        <row r="1152">
          <cell r="AQ1152" t="str">
            <v>12009863|76660480|2364|987215</v>
          </cell>
          <cell r="AR1152" t="str">
            <v>GASTO FISICO</v>
          </cell>
        </row>
        <row r="1153">
          <cell r="AQ1153" t="str">
            <v>12009863|76660480|2364|987215</v>
          </cell>
          <cell r="AR1153" t="str">
            <v>GASTO FISICO</v>
          </cell>
        </row>
        <row r="1154">
          <cell r="AQ1154" t="str">
            <v>12009863|76660480|2364|65213058</v>
          </cell>
          <cell r="AR1154" t="str">
            <v>GASTO FISICO</v>
          </cell>
        </row>
        <row r="1155">
          <cell r="AQ1155" t="str">
            <v>12009863|76423422|69741|21991065</v>
          </cell>
          <cell r="AR1155" t="str">
            <v>GASTO FISICO</v>
          </cell>
        </row>
        <row r="1156">
          <cell r="AQ1156" t="str">
            <v>12009863|76423422|69741|987228</v>
          </cell>
          <cell r="AR1156" t="str">
            <v>GASTO FISICO</v>
          </cell>
        </row>
        <row r="1157">
          <cell r="AQ1157" t="str">
            <v>12009863|76423422|69741|65213059</v>
          </cell>
          <cell r="AR1157" t="str">
            <v>GASTO FISICO</v>
          </cell>
        </row>
        <row r="1158">
          <cell r="AQ1158" t="str">
            <v>12009863|12692603|7576|22024693</v>
          </cell>
          <cell r="AR1158" t="str">
            <v>GASTO FISICO</v>
          </cell>
        </row>
        <row r="1159">
          <cell r="AQ1159" t="str">
            <v>12009863|12692603|7576|994540</v>
          </cell>
          <cell r="AR1159" t="str">
            <v>GASTO FISICO</v>
          </cell>
        </row>
        <row r="1160">
          <cell r="AQ1160" t="str">
            <v>12009863|12692603|7576|65383983</v>
          </cell>
          <cell r="AR1160" t="str">
            <v>GASTO FISICO</v>
          </cell>
        </row>
        <row r="1161">
          <cell r="AQ1161" t="str">
            <v>12026051|96617350|917362947|917362947</v>
          </cell>
          <cell r="AR1161" t="str">
            <v>IMED SALUD</v>
          </cell>
        </row>
        <row r="1162">
          <cell r="AQ1162" t="str">
            <v>12026051|96617350|917362947|917362947</v>
          </cell>
          <cell r="AR1162" t="str">
            <v>IMED SALUD</v>
          </cell>
        </row>
        <row r="1163">
          <cell r="AQ1163" t="str">
            <v>12026051|96617350|917362947|917362947</v>
          </cell>
          <cell r="AR1163" t="str">
            <v>IMED SALUD</v>
          </cell>
        </row>
        <row r="1164">
          <cell r="AQ1164" t="str">
            <v>12026051|96617350|917362947|917362947</v>
          </cell>
          <cell r="AR1164" t="str">
            <v>IMED SALUD</v>
          </cell>
        </row>
        <row r="1165">
          <cell r="AQ1165" t="str">
            <v>12026051|96617350|917362947|917362947</v>
          </cell>
          <cell r="AR1165" t="str">
            <v>IMED SALUD</v>
          </cell>
        </row>
        <row r="1166">
          <cell r="AQ1166" t="str">
            <v>12026051|96617350|917362947|917362947</v>
          </cell>
          <cell r="AR1166" t="str">
            <v>IMED SALUD</v>
          </cell>
        </row>
        <row r="1167">
          <cell r="AQ1167" t="str">
            <v>12026051|96617350|917362947|917362947</v>
          </cell>
          <cell r="AR1167" t="str">
            <v>IMED SALUD</v>
          </cell>
        </row>
        <row r="1168">
          <cell r="AQ1168" t="str">
            <v>12026051|96617350|917362947|917362947</v>
          </cell>
          <cell r="AR1168" t="str">
            <v>IMED SALUD</v>
          </cell>
        </row>
        <row r="1169">
          <cell r="AQ1169" t="str">
            <v>12026051|96617350|917362947|917362947</v>
          </cell>
          <cell r="AR1169" t="str">
            <v>IMED SALUD</v>
          </cell>
        </row>
        <row r="1170">
          <cell r="AQ1170" t="str">
            <v>12026051|96617350|917362947|917362947</v>
          </cell>
          <cell r="AR1170" t="str">
            <v>IMED SALUD</v>
          </cell>
        </row>
        <row r="1171">
          <cell r="AQ1171" t="str">
            <v>12026051|96617350|917362947|65383984</v>
          </cell>
          <cell r="AR1171" t="str">
            <v>GASTO FISICO</v>
          </cell>
        </row>
        <row r="1172">
          <cell r="AQ1172" t="str">
            <v>12026051|96617350|917362947|65383984</v>
          </cell>
          <cell r="AR1172" t="str">
            <v>GASTO FISICO</v>
          </cell>
        </row>
        <row r="1173">
          <cell r="AQ1173" t="str">
            <v>12026051|96617350|917362947|65383984</v>
          </cell>
          <cell r="AR1173" t="str">
            <v>GASTO FISICO</v>
          </cell>
        </row>
        <row r="1174">
          <cell r="AQ1174" t="str">
            <v>12026051|96617350|917362947|65383984</v>
          </cell>
          <cell r="AR1174" t="str">
            <v>GASTO FISICO</v>
          </cell>
        </row>
        <row r="1175">
          <cell r="AQ1175" t="str">
            <v>12026051|96617350|917362947|65383984</v>
          </cell>
          <cell r="AR1175" t="str">
            <v>GASTO FISICO</v>
          </cell>
        </row>
        <row r="1176">
          <cell r="AQ1176" t="str">
            <v>12026051|96617350|917362948|917362948</v>
          </cell>
          <cell r="AR1176" t="str">
            <v>IMED SALUD</v>
          </cell>
        </row>
        <row r="1177">
          <cell r="AQ1177" t="str">
            <v>12026051|96617350|917362948|917362948</v>
          </cell>
          <cell r="AR1177" t="str">
            <v>IMED SALUD</v>
          </cell>
        </row>
        <row r="1178">
          <cell r="AQ1178" t="str">
            <v>12026051|96617350|917362948|917362948</v>
          </cell>
          <cell r="AR1178" t="str">
            <v>IMED SALUD</v>
          </cell>
        </row>
        <row r="1179">
          <cell r="AQ1179" t="str">
            <v>12026051|96617350|917362948|917362948</v>
          </cell>
          <cell r="AR1179" t="str">
            <v>IMED SALUD</v>
          </cell>
        </row>
        <row r="1180">
          <cell r="AQ1180" t="str">
            <v>12026051|96617350|917362948|917362948</v>
          </cell>
          <cell r="AR1180" t="str">
            <v>IMED SALUD</v>
          </cell>
        </row>
        <row r="1181">
          <cell r="AQ1181" t="str">
            <v>12026051|96617350|917362948|917362948</v>
          </cell>
          <cell r="AR1181" t="str">
            <v>IMED SALUD</v>
          </cell>
        </row>
        <row r="1182">
          <cell r="AQ1182" t="str">
            <v>12026051|96617350|917362948|917362948</v>
          </cell>
          <cell r="AR1182" t="str">
            <v>IMED SALUD</v>
          </cell>
        </row>
        <row r="1183">
          <cell r="AQ1183" t="str">
            <v>12026051|96617350|917362948|917362948</v>
          </cell>
          <cell r="AR1183" t="str">
            <v>IMED SALUD</v>
          </cell>
        </row>
        <row r="1184">
          <cell r="AQ1184" t="str">
            <v>12026051|96617350|917362948|917362948</v>
          </cell>
          <cell r="AR1184" t="str">
            <v>IMED SALUD</v>
          </cell>
        </row>
        <row r="1185">
          <cell r="AQ1185" t="str">
            <v>12026051|96617350|917362948|917362948</v>
          </cell>
          <cell r="AR1185" t="str">
            <v>IMED SALUD</v>
          </cell>
        </row>
        <row r="1186">
          <cell r="AQ1186" t="str">
            <v>12026051|96617350|917362948|65383985</v>
          </cell>
          <cell r="AR1186" t="str">
            <v>GASTO FISICO</v>
          </cell>
        </row>
        <row r="1187">
          <cell r="AQ1187" t="str">
            <v>12026051|96617350|917362948|65383985</v>
          </cell>
          <cell r="AR1187" t="str">
            <v>GASTO FISICO</v>
          </cell>
        </row>
        <row r="1188">
          <cell r="AQ1188" t="str">
            <v>12026051|96617350|917362948|65383985</v>
          </cell>
          <cell r="AR1188" t="str">
            <v>GASTO FISICO</v>
          </cell>
        </row>
        <row r="1189">
          <cell r="AQ1189" t="str">
            <v>12026051|96617350|917362948|65383985</v>
          </cell>
          <cell r="AR1189" t="str">
            <v>GASTO FISICO</v>
          </cell>
        </row>
        <row r="1190">
          <cell r="AQ1190" t="str">
            <v>12026051|96617350|917362948|65383985</v>
          </cell>
          <cell r="AR1190" t="str">
            <v>GASTO FISICO</v>
          </cell>
        </row>
        <row r="1191">
          <cell r="AQ1191" t="str">
            <v>12026051|96617350|917362949|917362949</v>
          </cell>
          <cell r="AR1191" t="str">
            <v>IMED SALUD</v>
          </cell>
        </row>
        <row r="1192">
          <cell r="AQ1192" t="str">
            <v>12026051|96617350|917362949|917362949</v>
          </cell>
          <cell r="AR1192" t="str">
            <v>IMED SALUD</v>
          </cell>
        </row>
        <row r="1193">
          <cell r="AQ1193" t="str">
            <v>12026051|96617350|917362949|917362949</v>
          </cell>
          <cell r="AR1193" t="str">
            <v>IMED SALUD</v>
          </cell>
        </row>
        <row r="1194">
          <cell r="AQ1194" t="str">
            <v>12026051|96617350|917362949|917362949</v>
          </cell>
          <cell r="AR1194" t="str">
            <v>IMED SALUD</v>
          </cell>
        </row>
        <row r="1195">
          <cell r="AQ1195" t="str">
            <v>12026051|96617350|917362949|917362949</v>
          </cell>
          <cell r="AR1195" t="str">
            <v>IMED SALUD</v>
          </cell>
        </row>
        <row r="1196">
          <cell r="AQ1196" t="str">
            <v>12026051|96617350|917362949|917362949</v>
          </cell>
          <cell r="AR1196" t="str">
            <v>IMED SALUD</v>
          </cell>
        </row>
        <row r="1197">
          <cell r="AQ1197" t="str">
            <v>12026051|96617350|917362949|917362949</v>
          </cell>
          <cell r="AR1197" t="str">
            <v>IMED SALUD</v>
          </cell>
        </row>
        <row r="1198">
          <cell r="AQ1198" t="str">
            <v>12026051|96617350|917362949|917362949</v>
          </cell>
          <cell r="AR1198" t="str">
            <v>IMED SALUD</v>
          </cell>
        </row>
        <row r="1199">
          <cell r="AQ1199" t="str">
            <v>12026051|96617350|917362949|917362949</v>
          </cell>
          <cell r="AR1199" t="str">
            <v>IMED SALUD</v>
          </cell>
        </row>
        <row r="1200">
          <cell r="AQ1200" t="str">
            <v>12026051|96617350|917362949|917362949</v>
          </cell>
          <cell r="AR1200" t="str">
            <v>IMED SALUD</v>
          </cell>
        </row>
        <row r="1201">
          <cell r="AQ1201" t="str">
            <v>12026051|96617350|917362949|65383986</v>
          </cell>
          <cell r="AR1201" t="str">
            <v>GASTO FISICO</v>
          </cell>
        </row>
        <row r="1202">
          <cell r="AQ1202" t="str">
            <v>12026051|96617350|917362949|65383986</v>
          </cell>
          <cell r="AR1202" t="str">
            <v>GASTO FISICO</v>
          </cell>
        </row>
        <row r="1203">
          <cell r="AQ1203" t="str">
            <v>12026051|96617350|917362949|65383986</v>
          </cell>
          <cell r="AR1203" t="str">
            <v>GASTO FISICO</v>
          </cell>
        </row>
        <row r="1204">
          <cell r="AQ1204" t="str">
            <v>12026051|96617350|917362949|65383986</v>
          </cell>
          <cell r="AR1204" t="str">
            <v>GASTO FISICO</v>
          </cell>
        </row>
        <row r="1205">
          <cell r="AQ1205" t="str">
            <v>12026051|96617350|917362949|65383986</v>
          </cell>
          <cell r="AR1205" t="str">
            <v>GASTO FISICO</v>
          </cell>
        </row>
        <row r="1206">
          <cell r="AQ1206" t="str">
            <v>12097117|70095900|371187102|371187102</v>
          </cell>
          <cell r="AR1206" t="str">
            <v>IMED SALUD</v>
          </cell>
        </row>
        <row r="1207">
          <cell r="AQ1207" t="str">
            <v>12097117|70095900|371187102|371187102</v>
          </cell>
          <cell r="AR1207" t="str">
            <v>IMED SALUD</v>
          </cell>
        </row>
        <row r="1208">
          <cell r="AQ1208" t="str">
            <v>12097117|70095900|371187102|371187102</v>
          </cell>
          <cell r="AR1208" t="str">
            <v>IMED SALUD</v>
          </cell>
        </row>
        <row r="1209">
          <cell r="AQ1209" t="str">
            <v>12097117|70095900|371187102|371187102</v>
          </cell>
          <cell r="AR1209" t="str">
            <v>IMED SALUD</v>
          </cell>
        </row>
        <row r="1210">
          <cell r="AQ1210" t="str">
            <v>12097117|70095900|371187102|65383987</v>
          </cell>
          <cell r="AR1210" t="str">
            <v>GASTO FISICO</v>
          </cell>
        </row>
        <row r="1211">
          <cell r="AQ1211" t="str">
            <v>12097117|70095900|371187102|65383987</v>
          </cell>
          <cell r="AR1211" t="str">
            <v>GASTO FISICO</v>
          </cell>
        </row>
        <row r="1212">
          <cell r="AQ1212" t="str">
            <v>12097117|70095900|371196291|371196291</v>
          </cell>
          <cell r="AR1212" t="str">
            <v>IMED SALUD</v>
          </cell>
        </row>
        <row r="1213">
          <cell r="AQ1213" t="str">
            <v>12097117|70095900|371196291|371196291</v>
          </cell>
          <cell r="AR1213" t="str">
            <v>IMED SALUD</v>
          </cell>
        </row>
        <row r="1214">
          <cell r="AQ1214" t="str">
            <v>12097117|70095900|371196291|65383988</v>
          </cell>
          <cell r="AR1214" t="str">
            <v>GASTO FISICO</v>
          </cell>
        </row>
        <row r="1215">
          <cell r="AQ1215" t="str">
            <v>12097117|77200240|371363684|371363684</v>
          </cell>
          <cell r="AR1215" t="str">
            <v>IMED SALUD</v>
          </cell>
        </row>
        <row r="1216">
          <cell r="AQ1216" t="str">
            <v>12097117|77200240|371363684|371363684</v>
          </cell>
          <cell r="AR1216" t="str">
            <v>IMED SALUD</v>
          </cell>
        </row>
        <row r="1217">
          <cell r="AQ1217" t="str">
            <v>12097117|77200240|371363684|65383989</v>
          </cell>
          <cell r="AR1217" t="str">
            <v>GASTO FISICO</v>
          </cell>
        </row>
        <row r="1218">
          <cell r="AQ1218" t="str">
            <v>12240014|76098454|371325529|371325529</v>
          </cell>
          <cell r="AR1218" t="str">
            <v>IMED SALUD</v>
          </cell>
        </row>
        <row r="1219">
          <cell r="AQ1219" t="str">
            <v>12240014|76098454|371325529|371325529</v>
          </cell>
          <cell r="AR1219" t="str">
            <v>IMED SALUD</v>
          </cell>
        </row>
        <row r="1220">
          <cell r="AQ1220" t="str">
            <v>12240014|76098454|371325529|65384000</v>
          </cell>
          <cell r="AR1220" t="str">
            <v>GASTO FISICO</v>
          </cell>
        </row>
        <row r="1221">
          <cell r="AQ1221" t="str">
            <v>12240014|76098454|371325587|371325587</v>
          </cell>
          <cell r="AR1221" t="str">
            <v>IMED SALUD</v>
          </cell>
        </row>
        <row r="1222">
          <cell r="AQ1222" t="str">
            <v>12240014|76098454|371325587|371325587</v>
          </cell>
          <cell r="AR1222" t="str">
            <v>IMED SALUD</v>
          </cell>
        </row>
        <row r="1223">
          <cell r="AQ1223" t="str">
            <v>12240014|76098454|371325587|65384001</v>
          </cell>
          <cell r="AR1223" t="str">
            <v>GASTO FISICO</v>
          </cell>
        </row>
        <row r="1224">
          <cell r="AQ1224" t="str">
            <v>12240014|96986050|371346868|371346868</v>
          </cell>
          <cell r="AR1224" t="str">
            <v>IMED SALUD</v>
          </cell>
        </row>
        <row r="1225">
          <cell r="AQ1225" t="str">
            <v>12240014|96986050|371346868|371346868</v>
          </cell>
          <cell r="AR1225" t="str">
            <v>IMED SALUD</v>
          </cell>
        </row>
        <row r="1226">
          <cell r="AQ1226" t="str">
            <v>12240014|96986050|371346868|371346868</v>
          </cell>
          <cell r="AR1226" t="str">
            <v>IMED SALUD</v>
          </cell>
        </row>
        <row r="1227">
          <cell r="AQ1227" t="str">
            <v>12240014|96986050|371346868|371346868</v>
          </cell>
          <cell r="AR1227" t="str">
            <v>IMED SALUD</v>
          </cell>
        </row>
        <row r="1228">
          <cell r="AQ1228" t="str">
            <v>12240014|96986050|371346868|371346868</v>
          </cell>
          <cell r="AR1228" t="str">
            <v>IMED SALUD</v>
          </cell>
        </row>
        <row r="1229">
          <cell r="AQ1229" t="str">
            <v>12240014|96986050|371346868|371346868</v>
          </cell>
          <cell r="AR1229" t="str">
            <v>IMED SALUD</v>
          </cell>
        </row>
        <row r="1230">
          <cell r="AQ1230" t="str">
            <v>12240014|96986050|371346868|371346868</v>
          </cell>
          <cell r="AR1230" t="str">
            <v>IMED SALUD</v>
          </cell>
        </row>
        <row r="1231">
          <cell r="AQ1231" t="str">
            <v>12240014|96986050|371346868|371346868</v>
          </cell>
          <cell r="AR1231" t="str">
            <v>IMED SALUD</v>
          </cell>
        </row>
        <row r="1232">
          <cell r="AQ1232" t="str">
            <v>12240014|96986050|371346868|371346868</v>
          </cell>
          <cell r="AR1232" t="str">
            <v>IMED SALUD</v>
          </cell>
        </row>
        <row r="1233">
          <cell r="AQ1233" t="str">
            <v>12240014|96986050|371346868|371346868</v>
          </cell>
          <cell r="AR1233" t="str">
            <v>IMED SALUD</v>
          </cell>
        </row>
        <row r="1234">
          <cell r="AQ1234" t="str">
            <v>12240014|96986050|371346868|65384002</v>
          </cell>
          <cell r="AR1234" t="str">
            <v>GASTO FISICO</v>
          </cell>
        </row>
        <row r="1235">
          <cell r="AQ1235" t="str">
            <v>12240014|96986050|371346868|65384002</v>
          </cell>
          <cell r="AR1235" t="str">
            <v>GASTO FISICO</v>
          </cell>
        </row>
        <row r="1236">
          <cell r="AQ1236" t="str">
            <v>12240014|96986050|371346868|65384002</v>
          </cell>
          <cell r="AR1236" t="str">
            <v>GASTO FISICO</v>
          </cell>
        </row>
        <row r="1237">
          <cell r="AQ1237" t="str">
            <v>12240014|96986050|371346868|65384002</v>
          </cell>
          <cell r="AR1237" t="str">
            <v>GASTO FISICO</v>
          </cell>
        </row>
        <row r="1238">
          <cell r="AQ1238" t="str">
            <v>12240014|96986050|371346868|65384002</v>
          </cell>
          <cell r="AR1238" t="str">
            <v>GASTO FISICO</v>
          </cell>
        </row>
        <row r="1239">
          <cell r="AQ1239" t="str">
            <v>12240014|96986050|371346869|371346869</v>
          </cell>
          <cell r="AR1239" t="str">
            <v>IMED SALUD</v>
          </cell>
        </row>
        <row r="1240">
          <cell r="AQ1240" t="str">
            <v>12240014|96986050|371346869|371346869</v>
          </cell>
          <cell r="AR1240" t="str">
            <v>IMED SALUD</v>
          </cell>
        </row>
        <row r="1241">
          <cell r="AQ1241" t="str">
            <v>12240014|96986050|371346869|371346869</v>
          </cell>
          <cell r="AR1241" t="str">
            <v>IMED SALUD</v>
          </cell>
        </row>
        <row r="1242">
          <cell r="AQ1242" t="str">
            <v>12240014|96986050|371346869|371346869</v>
          </cell>
          <cell r="AR1242" t="str">
            <v>IMED SALUD</v>
          </cell>
        </row>
        <row r="1243">
          <cell r="AQ1243" t="str">
            <v>12240014|96986050|371346869|371346869</v>
          </cell>
          <cell r="AR1243" t="str">
            <v>IMED SALUD</v>
          </cell>
        </row>
        <row r="1244">
          <cell r="AQ1244" t="str">
            <v>12240014|96986050|371346869|371346869</v>
          </cell>
          <cell r="AR1244" t="str">
            <v>IMED SALUD</v>
          </cell>
        </row>
        <row r="1245">
          <cell r="AQ1245" t="str">
            <v>12240014|96986050|371346869|65384003</v>
          </cell>
          <cell r="AR1245" t="str">
            <v>GASTO FISICO</v>
          </cell>
        </row>
        <row r="1246">
          <cell r="AQ1246" t="str">
            <v>12240014|96986050|371346869|65384003</v>
          </cell>
          <cell r="AR1246" t="str">
            <v>GASTO FISICO</v>
          </cell>
        </row>
        <row r="1247">
          <cell r="AQ1247" t="str">
            <v>12240014|96986050|371346869|65384003</v>
          </cell>
          <cell r="AR1247" t="str">
            <v>GASTO FISICO</v>
          </cell>
        </row>
        <row r="1248">
          <cell r="AQ1248" t="str">
            <v>12259330|76110809|930138828|930138828</v>
          </cell>
          <cell r="AR1248" t="str">
            <v>IMED SALUD</v>
          </cell>
        </row>
        <row r="1249">
          <cell r="AQ1249" t="str">
            <v>12259330|76110809|930138828|930138828</v>
          </cell>
          <cell r="AR1249" t="str">
            <v>IMED SALUD</v>
          </cell>
        </row>
        <row r="1250">
          <cell r="AQ1250" t="str">
            <v>12259330|76110809|930138828|65384004</v>
          </cell>
          <cell r="AR1250" t="str">
            <v>GASTO FISICO</v>
          </cell>
        </row>
        <row r="1251">
          <cell r="AQ1251" t="str">
            <v>12259330|76110809|930138845|930138845</v>
          </cell>
          <cell r="AR1251" t="str">
            <v>IMED SALUD</v>
          </cell>
        </row>
        <row r="1252">
          <cell r="AQ1252" t="str">
            <v>12259330|76110809|930138845|930138845</v>
          </cell>
          <cell r="AR1252" t="str">
            <v>IMED SALUD</v>
          </cell>
        </row>
        <row r="1253">
          <cell r="AQ1253" t="str">
            <v>12259330|76110809|930138845|65384005</v>
          </cell>
          <cell r="AR1253" t="str">
            <v>GASTO FISICO</v>
          </cell>
        </row>
        <row r="1254">
          <cell r="AQ1254" t="str">
            <v>12287508|96631140|929989696|929989696</v>
          </cell>
          <cell r="AR1254" t="str">
            <v>IMED SALUD</v>
          </cell>
        </row>
        <row r="1255">
          <cell r="AQ1255" t="str">
            <v>12287508|96631140|929989696|929989696</v>
          </cell>
          <cell r="AR1255" t="str">
            <v>IMED SALUD</v>
          </cell>
        </row>
        <row r="1256">
          <cell r="AQ1256" t="str">
            <v>12287508|96631140|929989696|929989696</v>
          </cell>
          <cell r="AR1256" t="str">
            <v>IMED SALUD</v>
          </cell>
        </row>
        <row r="1257">
          <cell r="AQ1257" t="str">
            <v>12287508|96631140|929989696|929989696</v>
          </cell>
          <cell r="AR1257" t="str">
            <v>IMED SALUD</v>
          </cell>
        </row>
        <row r="1258">
          <cell r="AQ1258" t="str">
            <v>12287508|96631140|929989696|929989696</v>
          </cell>
          <cell r="AR1258" t="str">
            <v>IMED SALUD</v>
          </cell>
        </row>
        <row r="1259">
          <cell r="AQ1259" t="str">
            <v>12287508|96631140|929989696|929989696</v>
          </cell>
          <cell r="AR1259" t="str">
            <v>IMED SALUD</v>
          </cell>
        </row>
        <row r="1260">
          <cell r="AQ1260" t="str">
            <v>12287508|96631140|929989696|65384006</v>
          </cell>
          <cell r="AR1260" t="str">
            <v>GASTO FISICO</v>
          </cell>
        </row>
        <row r="1261">
          <cell r="AQ1261" t="str">
            <v>12287508|96631140|929989696|65384006</v>
          </cell>
          <cell r="AR1261" t="str">
            <v>GASTO FISICO</v>
          </cell>
        </row>
        <row r="1262">
          <cell r="AQ1262" t="str">
            <v>12287508|96631140|929989696|65384006</v>
          </cell>
          <cell r="AR1262" t="str">
            <v>GASTO FISICO</v>
          </cell>
        </row>
        <row r="1263">
          <cell r="AQ1263" t="str">
            <v>12287508|96631140|930123723|930123723</v>
          </cell>
          <cell r="AR1263" t="str">
            <v>IMED SALUD</v>
          </cell>
        </row>
        <row r="1264">
          <cell r="AQ1264" t="str">
            <v>12287508|96631140|930123723|930123723</v>
          </cell>
          <cell r="AR1264" t="str">
            <v>IMED SALUD</v>
          </cell>
        </row>
        <row r="1265">
          <cell r="AQ1265" t="str">
            <v>12287508|96631140|930123723|65384007</v>
          </cell>
          <cell r="AR1265" t="str">
            <v>GASTO FISICO</v>
          </cell>
        </row>
        <row r="1266">
          <cell r="AQ1266" t="str">
            <v>12289972|92051000|765255071|765255071</v>
          </cell>
          <cell r="AR1266" t="str">
            <v>IMED SALUD</v>
          </cell>
        </row>
        <row r="1267">
          <cell r="AQ1267" t="str">
            <v>12289972|92051000|765255071|765255071</v>
          </cell>
          <cell r="AR1267" t="str">
            <v>IMED SALUD</v>
          </cell>
        </row>
        <row r="1268">
          <cell r="AQ1268" t="str">
            <v>12289972|92051000|765255071|765255071</v>
          </cell>
          <cell r="AR1268" t="str">
            <v>IMED SALUD</v>
          </cell>
        </row>
        <row r="1269">
          <cell r="AQ1269" t="str">
            <v>12289972|92051000|765255071|765255071</v>
          </cell>
          <cell r="AR1269" t="str">
            <v>IMED SALUD</v>
          </cell>
        </row>
        <row r="1270">
          <cell r="AQ1270" t="str">
            <v>12289972|92051000|765255071|765255071</v>
          </cell>
          <cell r="AR1270" t="str">
            <v>IMED SALUD</v>
          </cell>
        </row>
        <row r="1271">
          <cell r="AQ1271" t="str">
            <v>12289972|92051000|765255071|765255071</v>
          </cell>
          <cell r="AR1271" t="str">
            <v>IMED SALUD</v>
          </cell>
        </row>
        <row r="1272">
          <cell r="AQ1272" t="str">
            <v>12289972|92051000|765255071|765255071</v>
          </cell>
          <cell r="AR1272" t="str">
            <v>IMED SALUD</v>
          </cell>
        </row>
        <row r="1273">
          <cell r="AQ1273" t="str">
            <v>12289972|92051000|765255071|765255071</v>
          </cell>
          <cell r="AR1273" t="str">
            <v>IMED SALUD</v>
          </cell>
        </row>
        <row r="1274">
          <cell r="AQ1274" t="str">
            <v>12289972|92051000|765255071|765255071</v>
          </cell>
          <cell r="AR1274" t="str">
            <v>IMED SALUD</v>
          </cell>
        </row>
        <row r="1275">
          <cell r="AQ1275" t="str">
            <v>12289972|92051000|765255071|65384008</v>
          </cell>
          <cell r="AR1275" t="str">
            <v>GASTO FISICO</v>
          </cell>
        </row>
        <row r="1276">
          <cell r="AQ1276" t="str">
            <v>12289972|92051000|765255071|65384008</v>
          </cell>
          <cell r="AR1276" t="str">
            <v>GASTO FISICO</v>
          </cell>
        </row>
        <row r="1277">
          <cell r="AQ1277" t="str">
            <v>12289972|92051000|765255071|65384008</v>
          </cell>
          <cell r="AR1277" t="str">
            <v>GASTO FISICO</v>
          </cell>
        </row>
        <row r="1278">
          <cell r="AQ1278" t="str">
            <v>12289972|92051000|765255071|65384008</v>
          </cell>
          <cell r="AR1278" t="str">
            <v>GASTO FISICO</v>
          </cell>
        </row>
        <row r="1279">
          <cell r="AQ1279" t="str">
            <v>12289972|92051000|765255071|65384008</v>
          </cell>
          <cell r="AR1279" t="str">
            <v>GASTO FISICO</v>
          </cell>
        </row>
        <row r="1280">
          <cell r="AQ1280" t="str">
            <v>12407583|76573076|2131977|21969731</v>
          </cell>
          <cell r="AR1280" t="str">
            <v>GASTO FISICO</v>
          </cell>
        </row>
        <row r="1281">
          <cell r="AQ1281" t="str">
            <v>12407583|76573076|2131977|21969731</v>
          </cell>
          <cell r="AR1281" t="str">
            <v>GASTO FISICO</v>
          </cell>
        </row>
        <row r="1282">
          <cell r="AQ1282" t="str">
            <v>12407583|76573076|2131977|21969731</v>
          </cell>
          <cell r="AR1282" t="str">
            <v>GASTO FISICO</v>
          </cell>
        </row>
        <row r="1283">
          <cell r="AQ1283" t="str">
            <v>12407583|76573076|2131977|21969731</v>
          </cell>
          <cell r="AR1283" t="str">
            <v>GASTO FISICO</v>
          </cell>
        </row>
        <row r="1284">
          <cell r="AQ1284" t="str">
            <v>12407583|76573076|2131977|978113</v>
          </cell>
          <cell r="AR1284" t="str">
            <v>GASTO FISICO</v>
          </cell>
        </row>
        <row r="1285">
          <cell r="AQ1285" t="str">
            <v>12407583|76573076|2131977|978113</v>
          </cell>
          <cell r="AR1285" t="str">
            <v>GASTO FISICO</v>
          </cell>
        </row>
        <row r="1286">
          <cell r="AQ1286" t="str">
            <v>12407583|76573076|2131977|978113</v>
          </cell>
          <cell r="AR1286" t="str">
            <v>GASTO FISICO</v>
          </cell>
        </row>
        <row r="1287">
          <cell r="AQ1287" t="str">
            <v>12407583|76573076|2131977|978113</v>
          </cell>
          <cell r="AR1287" t="str">
            <v>GASTO FISICO</v>
          </cell>
        </row>
        <row r="1288">
          <cell r="AQ1288" t="str">
            <v>12407583|76573076|2131977|65213062</v>
          </cell>
          <cell r="AR1288" t="str">
            <v>GASTO FISICO</v>
          </cell>
        </row>
        <row r="1289">
          <cell r="AQ1289" t="str">
            <v>12407583|76573076|2131977|65213062</v>
          </cell>
          <cell r="AR1289" t="str">
            <v>GASTO FISICO</v>
          </cell>
        </row>
        <row r="1290">
          <cell r="AQ1290" t="str">
            <v>12407583|76573076|2131977|65213062</v>
          </cell>
          <cell r="AR1290" t="str">
            <v>GASTO FISICO</v>
          </cell>
        </row>
        <row r="1291">
          <cell r="AQ1291" t="str">
            <v>12407583|76573076|2131977|65213062</v>
          </cell>
          <cell r="AR1291" t="str">
            <v>GASTO FISICO</v>
          </cell>
        </row>
        <row r="1292">
          <cell r="AQ1292" t="str">
            <v>12409984|96942400|765607455|765607455</v>
          </cell>
          <cell r="AR1292" t="str">
            <v>IMED SALUD</v>
          </cell>
        </row>
        <row r="1293">
          <cell r="AQ1293" t="str">
            <v>12409984|96942400|765607455|765607455</v>
          </cell>
          <cell r="AR1293" t="str">
            <v>IMED SALUD</v>
          </cell>
        </row>
        <row r="1294">
          <cell r="AQ1294" t="str">
            <v>12409984|96942400|765607455|65384010</v>
          </cell>
          <cell r="AR1294" t="str">
            <v>GASTO FISICO</v>
          </cell>
        </row>
        <row r="1295">
          <cell r="AQ1295" t="str">
            <v>12409984|96942400|765621424|765621424</v>
          </cell>
          <cell r="AR1295" t="str">
            <v>IMED SALUD</v>
          </cell>
        </row>
        <row r="1296">
          <cell r="AQ1296" t="str">
            <v>12409984|96942400|765621424|765621424</v>
          </cell>
          <cell r="AR1296" t="str">
            <v>IMED SALUD</v>
          </cell>
        </row>
        <row r="1297">
          <cell r="AQ1297" t="str">
            <v>12409984|96942400|765621424|65384011</v>
          </cell>
          <cell r="AR1297" t="str">
            <v>GASTO FISICO</v>
          </cell>
        </row>
        <row r="1298">
          <cell r="AQ1298" t="str">
            <v>12462191|96986050|917728603|917728603</v>
          </cell>
          <cell r="AR1298" t="str">
            <v>IMED SALUD</v>
          </cell>
        </row>
        <row r="1299">
          <cell r="AQ1299" t="str">
            <v>12462191|96986050|917728603|917728603</v>
          </cell>
          <cell r="AR1299" t="str">
            <v>IMED SALUD</v>
          </cell>
        </row>
        <row r="1300">
          <cell r="AQ1300" t="str">
            <v>12462191|96986050|917728603|917728603</v>
          </cell>
          <cell r="AR1300" t="str">
            <v>IMED SALUD</v>
          </cell>
        </row>
        <row r="1301">
          <cell r="AQ1301" t="str">
            <v>12462191|96986050|917728603|917728603</v>
          </cell>
          <cell r="AR1301" t="str">
            <v>IMED SALUD</v>
          </cell>
        </row>
        <row r="1302">
          <cell r="AQ1302" t="str">
            <v>12462191|96986050|917728603|917728603</v>
          </cell>
          <cell r="AR1302" t="str">
            <v>IMED SALUD</v>
          </cell>
        </row>
        <row r="1303">
          <cell r="AQ1303" t="str">
            <v>12462191|96986050|917728603|917728603</v>
          </cell>
          <cell r="AR1303" t="str">
            <v>IMED SALUD</v>
          </cell>
        </row>
        <row r="1304">
          <cell r="AQ1304" t="str">
            <v>12462191|96986050|917728603|917728603</v>
          </cell>
          <cell r="AR1304" t="str">
            <v>IMED SALUD</v>
          </cell>
        </row>
        <row r="1305">
          <cell r="AQ1305" t="str">
            <v>12462191|96986050|917728603|917728603</v>
          </cell>
          <cell r="AR1305" t="str">
            <v>IMED SALUD</v>
          </cell>
        </row>
        <row r="1306">
          <cell r="AQ1306" t="str">
            <v>12462191|96986050|917728603|917728603</v>
          </cell>
          <cell r="AR1306" t="str">
            <v>IMED SALUD</v>
          </cell>
        </row>
        <row r="1307">
          <cell r="AQ1307" t="str">
            <v>12462191|96986050|917728603|917728603</v>
          </cell>
          <cell r="AR1307" t="str">
            <v>IMED SALUD</v>
          </cell>
        </row>
        <row r="1308">
          <cell r="AQ1308" t="str">
            <v>12462191|96986050|917728603|65384012</v>
          </cell>
          <cell r="AR1308" t="str">
            <v>GASTO FISICO</v>
          </cell>
        </row>
        <row r="1309">
          <cell r="AQ1309" t="str">
            <v>12462191|96986050|917728603|65384012</v>
          </cell>
          <cell r="AR1309" t="str">
            <v>GASTO FISICO</v>
          </cell>
        </row>
        <row r="1310">
          <cell r="AQ1310" t="str">
            <v>12462191|96986050|917728603|65384012</v>
          </cell>
          <cell r="AR1310" t="str">
            <v>GASTO FISICO</v>
          </cell>
        </row>
        <row r="1311">
          <cell r="AQ1311" t="str">
            <v>12462191|96986050|917728603|65384012</v>
          </cell>
          <cell r="AR1311" t="str">
            <v>GASTO FISICO</v>
          </cell>
        </row>
        <row r="1312">
          <cell r="AQ1312" t="str">
            <v>12462191|96986050|917728603|65384012</v>
          </cell>
          <cell r="AR1312" t="str">
            <v>GASTO FISICO</v>
          </cell>
        </row>
        <row r="1313">
          <cell r="AQ1313" t="str">
            <v>12479496|77200240|370229731|370229731</v>
          </cell>
          <cell r="AR1313" t="str">
            <v>IMED SALUD</v>
          </cell>
        </row>
        <row r="1314">
          <cell r="AQ1314" t="str">
            <v>12479496|77200240|370229731|370229731</v>
          </cell>
          <cell r="AR1314" t="str">
            <v>IMED SALUD</v>
          </cell>
        </row>
        <row r="1315">
          <cell r="AQ1315" t="str">
            <v>12479496|77200240|370229731|65384013</v>
          </cell>
          <cell r="AR1315" t="str">
            <v>GASTO FISICO</v>
          </cell>
        </row>
        <row r="1316">
          <cell r="AQ1316" t="str">
            <v>12479496|77200240|372470496|372470496</v>
          </cell>
          <cell r="AR1316" t="str">
            <v>IMED SALUD</v>
          </cell>
        </row>
        <row r="1317">
          <cell r="AQ1317" t="str">
            <v>12479496|77200240|372470496|372470496</v>
          </cell>
          <cell r="AR1317" t="str">
            <v>IMED SALUD</v>
          </cell>
        </row>
        <row r="1318">
          <cell r="AQ1318" t="str">
            <v>12479496|77200240|372470496|65384014</v>
          </cell>
          <cell r="AR1318" t="str">
            <v>GASTO FISICO</v>
          </cell>
        </row>
        <row r="1319">
          <cell r="AQ1319" t="str">
            <v>12480709|76436880|136400609|136400609</v>
          </cell>
          <cell r="AR1319" t="str">
            <v>IMED SALUD</v>
          </cell>
        </row>
        <row r="1320">
          <cell r="AQ1320" t="str">
            <v>12480709|76436880|136400609|136400609</v>
          </cell>
          <cell r="AR1320" t="str">
            <v>IMED SALUD</v>
          </cell>
        </row>
        <row r="1321">
          <cell r="AQ1321" t="str">
            <v>12480709|76436880|136400609|65384015</v>
          </cell>
          <cell r="AR1321" t="str">
            <v>GASTO FISICO</v>
          </cell>
        </row>
        <row r="1322">
          <cell r="AQ1322" t="str">
            <v>12488563|76098454|370274117|370274117</v>
          </cell>
          <cell r="AR1322" t="str">
            <v>IMED SALUD</v>
          </cell>
        </row>
        <row r="1323">
          <cell r="AQ1323" t="str">
            <v>12488563|76098454|370274117|370274117</v>
          </cell>
          <cell r="AR1323" t="str">
            <v>IMED SALUD</v>
          </cell>
        </row>
        <row r="1324">
          <cell r="AQ1324" t="str">
            <v>12488563|76098454|370274117|370274117</v>
          </cell>
          <cell r="AR1324" t="str">
            <v>IMED SALUD</v>
          </cell>
        </row>
        <row r="1325">
          <cell r="AQ1325" t="str">
            <v>12488563|76098454|370274117|370274117</v>
          </cell>
          <cell r="AR1325" t="str">
            <v>IMED SALUD</v>
          </cell>
        </row>
        <row r="1326">
          <cell r="AQ1326" t="str">
            <v>12488563|76098454|370274117|65384017</v>
          </cell>
          <cell r="AR1326" t="str">
            <v>GASTO FISICO</v>
          </cell>
        </row>
        <row r="1327">
          <cell r="AQ1327" t="str">
            <v>12488563|76098454|370274117|65384017</v>
          </cell>
          <cell r="AR1327" t="str">
            <v>GASTO FISICO</v>
          </cell>
        </row>
        <row r="1328">
          <cell r="AQ1328" t="str">
            <v>12488563|96617350|372400577|372400577</v>
          </cell>
          <cell r="AR1328" t="str">
            <v>IMED SALUD</v>
          </cell>
        </row>
        <row r="1329">
          <cell r="AQ1329" t="str">
            <v>12488563|96617350|372400577|372400577</v>
          </cell>
          <cell r="AR1329" t="str">
            <v>IMED SALUD</v>
          </cell>
        </row>
        <row r="1330">
          <cell r="AQ1330" t="str">
            <v>12488563|96617350|372400577|65384028</v>
          </cell>
          <cell r="AR1330" t="str">
            <v>GASTO FISICO</v>
          </cell>
        </row>
        <row r="1331">
          <cell r="AQ1331" t="str">
            <v>12612542|99573490|371182979|371182979</v>
          </cell>
          <cell r="AR1331" t="str">
            <v>IMED SALUD</v>
          </cell>
        </row>
        <row r="1332">
          <cell r="AQ1332" t="str">
            <v>12612542|99573490|371182979|371182979</v>
          </cell>
          <cell r="AR1332" t="str">
            <v>IMED SALUD</v>
          </cell>
        </row>
        <row r="1333">
          <cell r="AQ1333" t="str">
            <v>12612542|99573490|371182979|371182979</v>
          </cell>
          <cell r="AR1333" t="str">
            <v>IMED SALUD</v>
          </cell>
        </row>
        <row r="1334">
          <cell r="AQ1334" t="str">
            <v>12612542|99573490|371182979|371182979</v>
          </cell>
          <cell r="AR1334" t="str">
            <v>IMED SALUD</v>
          </cell>
        </row>
        <row r="1335">
          <cell r="AQ1335" t="str">
            <v>12612542|99573490|371182979|371182979</v>
          </cell>
          <cell r="AR1335" t="str">
            <v>IMED SALUD</v>
          </cell>
        </row>
        <row r="1336">
          <cell r="AQ1336" t="str">
            <v>12612542|99573490|371182979|371182979</v>
          </cell>
          <cell r="AR1336" t="str">
            <v>IMED SALUD</v>
          </cell>
        </row>
        <row r="1337">
          <cell r="AQ1337" t="str">
            <v>12612542|99573490|371182979|371182979</v>
          </cell>
          <cell r="AR1337" t="str">
            <v>IMED SALUD</v>
          </cell>
        </row>
        <row r="1338">
          <cell r="AQ1338" t="str">
            <v>12612542|99573490|371182979|371182979</v>
          </cell>
          <cell r="AR1338" t="str">
            <v>IMED SALUD</v>
          </cell>
        </row>
        <row r="1339">
          <cell r="AQ1339" t="str">
            <v>12612542|99573490|371182979|371182979</v>
          </cell>
          <cell r="AR1339" t="str">
            <v>IMED SALUD</v>
          </cell>
        </row>
        <row r="1340">
          <cell r="AQ1340" t="str">
            <v>12612542|99573490|371182979|371182979</v>
          </cell>
          <cell r="AR1340" t="str">
            <v>IMED SALUD</v>
          </cell>
        </row>
        <row r="1341">
          <cell r="AQ1341" t="str">
            <v>12612542|99573490|371182979|65384029</v>
          </cell>
          <cell r="AR1341" t="str">
            <v>GASTO FISICO</v>
          </cell>
        </row>
        <row r="1342">
          <cell r="AQ1342" t="str">
            <v>12612542|99573490|371182979|65384029</v>
          </cell>
          <cell r="AR1342" t="str">
            <v>GASTO FISICO</v>
          </cell>
        </row>
        <row r="1343">
          <cell r="AQ1343" t="str">
            <v>12612542|99573490|371182979|65384029</v>
          </cell>
          <cell r="AR1343" t="str">
            <v>GASTO FISICO</v>
          </cell>
        </row>
        <row r="1344">
          <cell r="AQ1344" t="str">
            <v>12612542|99573490|371182979|65384029</v>
          </cell>
          <cell r="AR1344" t="str">
            <v>GASTO FISICO</v>
          </cell>
        </row>
        <row r="1345">
          <cell r="AQ1345" t="str">
            <v>12612542|99573490|371182979|65384029</v>
          </cell>
          <cell r="AR1345" t="str">
            <v>GASTO FISICO</v>
          </cell>
        </row>
        <row r="1346">
          <cell r="AQ1346" t="str">
            <v>12612542|99573490|371182980|371182980</v>
          </cell>
          <cell r="AR1346" t="str">
            <v>IMED SALUD</v>
          </cell>
        </row>
        <row r="1347">
          <cell r="AQ1347" t="str">
            <v>12612542|99573490|371182980|371182980</v>
          </cell>
          <cell r="AR1347" t="str">
            <v>IMED SALUD</v>
          </cell>
        </row>
        <row r="1348">
          <cell r="AQ1348" t="str">
            <v>12612542|99573490|371182980|371182980</v>
          </cell>
          <cell r="AR1348" t="str">
            <v>IMED SALUD</v>
          </cell>
        </row>
        <row r="1349">
          <cell r="AQ1349" t="str">
            <v>12612542|99573490|371182980|371182980</v>
          </cell>
          <cell r="AR1349" t="str">
            <v>IMED SALUD</v>
          </cell>
        </row>
        <row r="1350">
          <cell r="AQ1350" t="str">
            <v>12612542|99573490|371182980|371182980</v>
          </cell>
          <cell r="AR1350" t="str">
            <v>IMED SALUD</v>
          </cell>
        </row>
        <row r="1351">
          <cell r="AQ1351" t="str">
            <v>12612542|99573490|371182980|371182980</v>
          </cell>
          <cell r="AR1351" t="str">
            <v>IMED SALUD</v>
          </cell>
        </row>
        <row r="1352">
          <cell r="AQ1352" t="str">
            <v>12612542|99573490|371182980|371182980</v>
          </cell>
          <cell r="AR1352" t="str">
            <v>IMED SALUD</v>
          </cell>
        </row>
        <row r="1353">
          <cell r="AQ1353" t="str">
            <v>12612542|99573490|371182980|371182980</v>
          </cell>
          <cell r="AR1353" t="str">
            <v>IMED SALUD</v>
          </cell>
        </row>
        <row r="1354">
          <cell r="AQ1354" t="str">
            <v>12612542|99573490|371182980|371182980</v>
          </cell>
          <cell r="AR1354" t="str">
            <v>IMED SALUD</v>
          </cell>
        </row>
        <row r="1355">
          <cell r="AQ1355" t="str">
            <v>12612542|99573490|371182980|371182980</v>
          </cell>
          <cell r="AR1355" t="str">
            <v>IMED SALUD</v>
          </cell>
        </row>
        <row r="1356">
          <cell r="AQ1356" t="str">
            <v>12612542|99573490|371182980|65384030</v>
          </cell>
          <cell r="AR1356" t="str">
            <v>GASTO FISICO</v>
          </cell>
        </row>
        <row r="1357">
          <cell r="AQ1357" t="str">
            <v>12612542|99573490|371182980|65384030</v>
          </cell>
          <cell r="AR1357" t="str">
            <v>GASTO FISICO</v>
          </cell>
        </row>
        <row r="1358">
          <cell r="AQ1358" t="str">
            <v>12612542|99573490|371182980|65384030</v>
          </cell>
          <cell r="AR1358" t="str">
            <v>GASTO FISICO</v>
          </cell>
        </row>
        <row r="1359">
          <cell r="AQ1359" t="str">
            <v>12612542|99573490|371182980|65384030</v>
          </cell>
          <cell r="AR1359" t="str">
            <v>GASTO FISICO</v>
          </cell>
        </row>
        <row r="1360">
          <cell r="AQ1360" t="str">
            <v>12612542|99573490|371182980|65384030</v>
          </cell>
          <cell r="AR1360" t="str">
            <v>GASTO FISICO</v>
          </cell>
        </row>
        <row r="1361">
          <cell r="AQ1361" t="str">
            <v>12612542|99573490|371182981|371182981</v>
          </cell>
          <cell r="AR1361" t="str">
            <v>IMED SALUD</v>
          </cell>
        </row>
        <row r="1362">
          <cell r="AQ1362" t="str">
            <v>12612542|99573490|371182981|371182981</v>
          </cell>
          <cell r="AR1362" t="str">
            <v>IMED SALUD</v>
          </cell>
        </row>
        <row r="1363">
          <cell r="AQ1363" t="str">
            <v>12612542|99573490|371182981|371182981</v>
          </cell>
          <cell r="AR1363" t="str">
            <v>IMED SALUD</v>
          </cell>
        </row>
        <row r="1364">
          <cell r="AQ1364" t="str">
            <v>12612542|99573490|371182981|371182981</v>
          </cell>
          <cell r="AR1364" t="str">
            <v>IMED SALUD</v>
          </cell>
        </row>
        <row r="1365">
          <cell r="AQ1365" t="str">
            <v>12612542|99573490|371182981|371182981</v>
          </cell>
          <cell r="AR1365" t="str">
            <v>IMED SALUD</v>
          </cell>
        </row>
        <row r="1366">
          <cell r="AQ1366" t="str">
            <v>12612542|99573490|371182981|371182981</v>
          </cell>
          <cell r="AR1366" t="str">
            <v>IMED SALUD</v>
          </cell>
        </row>
        <row r="1367">
          <cell r="AQ1367" t="str">
            <v>12612542|99573490|371182981|371182981</v>
          </cell>
          <cell r="AR1367" t="str">
            <v>IMED SALUD</v>
          </cell>
        </row>
        <row r="1368">
          <cell r="AQ1368" t="str">
            <v>12612542|99573490|371182981|371182981</v>
          </cell>
          <cell r="AR1368" t="str">
            <v>IMED SALUD</v>
          </cell>
        </row>
        <row r="1369">
          <cell r="AQ1369" t="str">
            <v>12612542|99573490|371182981|371182981</v>
          </cell>
          <cell r="AR1369" t="str">
            <v>IMED SALUD</v>
          </cell>
        </row>
        <row r="1370">
          <cell r="AQ1370" t="str">
            <v>12612542|99573490|371182981|371182981</v>
          </cell>
          <cell r="AR1370" t="str">
            <v>IMED SALUD</v>
          </cell>
        </row>
        <row r="1371">
          <cell r="AQ1371" t="str">
            <v>12612542|99573490|371182981|65384031</v>
          </cell>
          <cell r="AR1371" t="str">
            <v>GASTO FISICO</v>
          </cell>
        </row>
        <row r="1372">
          <cell r="AQ1372" t="str">
            <v>12612542|99573490|371182981|65384031</v>
          </cell>
          <cell r="AR1372" t="str">
            <v>GASTO FISICO</v>
          </cell>
        </row>
        <row r="1373">
          <cell r="AQ1373" t="str">
            <v>12612542|99573490|371182981|65384031</v>
          </cell>
          <cell r="AR1373" t="str">
            <v>GASTO FISICO</v>
          </cell>
        </row>
        <row r="1374">
          <cell r="AQ1374" t="str">
            <v>12612542|99573490|371182981|65384031</v>
          </cell>
          <cell r="AR1374" t="str">
            <v>GASTO FISICO</v>
          </cell>
        </row>
        <row r="1375">
          <cell r="AQ1375" t="str">
            <v>12612542|99573490|371182981|65384031</v>
          </cell>
          <cell r="AR1375" t="str">
            <v>GASTO FISICO</v>
          </cell>
        </row>
        <row r="1376">
          <cell r="AQ1376" t="str">
            <v>12612542|99573490|371182982|371182982</v>
          </cell>
          <cell r="AR1376" t="str">
            <v>IMED SALUD</v>
          </cell>
        </row>
        <row r="1377">
          <cell r="AQ1377" t="str">
            <v>12612542|99573490|371182982|371182982</v>
          </cell>
          <cell r="AR1377" t="str">
            <v>IMED SALUD</v>
          </cell>
        </row>
        <row r="1378">
          <cell r="AQ1378" t="str">
            <v>12612542|99573490|371182982|371182982</v>
          </cell>
          <cell r="AR1378" t="str">
            <v>IMED SALUD</v>
          </cell>
        </row>
        <row r="1379">
          <cell r="AQ1379" t="str">
            <v>12612542|99573490|371182982|371182982</v>
          </cell>
          <cell r="AR1379" t="str">
            <v>IMED SALUD</v>
          </cell>
        </row>
        <row r="1380">
          <cell r="AQ1380" t="str">
            <v>12612542|99573490|371182982|371182982</v>
          </cell>
          <cell r="AR1380" t="str">
            <v>IMED SALUD</v>
          </cell>
        </row>
        <row r="1381">
          <cell r="AQ1381" t="str">
            <v>12612542|99573490|371182982|371182982</v>
          </cell>
          <cell r="AR1381" t="str">
            <v>IMED SALUD</v>
          </cell>
        </row>
        <row r="1382">
          <cell r="AQ1382" t="str">
            <v>12612542|99573490|371182982|371182982</v>
          </cell>
          <cell r="AR1382" t="str">
            <v>IMED SALUD</v>
          </cell>
        </row>
        <row r="1383">
          <cell r="AQ1383" t="str">
            <v>12612542|99573490|371182982|371182982</v>
          </cell>
          <cell r="AR1383" t="str">
            <v>IMED SALUD</v>
          </cell>
        </row>
        <row r="1384">
          <cell r="AQ1384" t="str">
            <v>12612542|99573490|371182982|371182982</v>
          </cell>
          <cell r="AR1384" t="str">
            <v>IMED SALUD</v>
          </cell>
        </row>
        <row r="1385">
          <cell r="AQ1385" t="str">
            <v>12612542|99573490|371182982|371182982</v>
          </cell>
          <cell r="AR1385" t="str">
            <v>IMED SALUD</v>
          </cell>
        </row>
        <row r="1386">
          <cell r="AQ1386" t="str">
            <v>12612542|99573490|371182982|65384032</v>
          </cell>
          <cell r="AR1386" t="str">
            <v>GASTO FISICO</v>
          </cell>
        </row>
        <row r="1387">
          <cell r="AQ1387" t="str">
            <v>12612542|99573490|371182982|65384032</v>
          </cell>
          <cell r="AR1387" t="str">
            <v>GASTO FISICO</v>
          </cell>
        </row>
        <row r="1388">
          <cell r="AQ1388" t="str">
            <v>12612542|99573490|371182982|65384032</v>
          </cell>
          <cell r="AR1388" t="str">
            <v>GASTO FISICO</v>
          </cell>
        </row>
        <row r="1389">
          <cell r="AQ1389" t="str">
            <v>12612542|99573490|371182982|65384032</v>
          </cell>
          <cell r="AR1389" t="str">
            <v>GASTO FISICO</v>
          </cell>
        </row>
        <row r="1390">
          <cell r="AQ1390" t="str">
            <v>12612542|99573490|371182982|65384032</v>
          </cell>
          <cell r="AR1390" t="str">
            <v>GASTO FISICO</v>
          </cell>
        </row>
        <row r="1391">
          <cell r="AQ1391" t="str">
            <v>12612542|99573490|371182983|371182983</v>
          </cell>
          <cell r="AR1391" t="str">
            <v>IMED SALUD</v>
          </cell>
        </row>
        <row r="1392">
          <cell r="AQ1392" t="str">
            <v>12612542|99573490|371182983|371182983</v>
          </cell>
          <cell r="AR1392" t="str">
            <v>IMED SALUD</v>
          </cell>
        </row>
        <row r="1393">
          <cell r="AQ1393" t="str">
            <v>12612542|99573490|371182983|371182983</v>
          </cell>
          <cell r="AR1393" t="str">
            <v>IMED SALUD</v>
          </cell>
        </row>
        <row r="1394">
          <cell r="AQ1394" t="str">
            <v>12612542|99573490|371182983|371182983</v>
          </cell>
          <cell r="AR1394" t="str">
            <v>IMED SALUD</v>
          </cell>
        </row>
        <row r="1395">
          <cell r="AQ1395" t="str">
            <v>12612542|99573490|371182983|371182983</v>
          </cell>
          <cell r="AR1395" t="str">
            <v>IMED SALUD</v>
          </cell>
        </row>
        <row r="1396">
          <cell r="AQ1396" t="str">
            <v>12612542|99573490|371182983|371182983</v>
          </cell>
          <cell r="AR1396" t="str">
            <v>IMED SALUD</v>
          </cell>
        </row>
        <row r="1397">
          <cell r="AQ1397" t="str">
            <v>12612542|99573490|371182983|371182983</v>
          </cell>
          <cell r="AR1397" t="str">
            <v>IMED SALUD</v>
          </cell>
        </row>
        <row r="1398">
          <cell r="AQ1398" t="str">
            <v>12612542|99573490|371182983|371182983</v>
          </cell>
          <cell r="AR1398" t="str">
            <v>IMED SALUD</v>
          </cell>
        </row>
        <row r="1399">
          <cell r="AQ1399" t="str">
            <v>12612542|99573490|371182983|371182983</v>
          </cell>
          <cell r="AR1399" t="str">
            <v>IMED SALUD</v>
          </cell>
        </row>
        <row r="1400">
          <cell r="AQ1400" t="str">
            <v>12612542|99573490|371182983|371182983</v>
          </cell>
          <cell r="AR1400" t="str">
            <v>IMED SALUD</v>
          </cell>
        </row>
        <row r="1401">
          <cell r="AQ1401" t="str">
            <v>12612542|99573490|371182983|65384033</v>
          </cell>
          <cell r="AR1401" t="str">
            <v>GASTO FISICO</v>
          </cell>
        </row>
        <row r="1402">
          <cell r="AQ1402" t="str">
            <v>12612542|99573490|371182983|65384033</v>
          </cell>
          <cell r="AR1402" t="str">
            <v>GASTO FISICO</v>
          </cell>
        </row>
        <row r="1403">
          <cell r="AQ1403" t="str">
            <v>12612542|99573490|371182983|65384033</v>
          </cell>
          <cell r="AR1403" t="str">
            <v>GASTO FISICO</v>
          </cell>
        </row>
        <row r="1404">
          <cell r="AQ1404" t="str">
            <v>12612542|99573490|371182983|65384033</v>
          </cell>
          <cell r="AR1404" t="str">
            <v>GASTO FISICO</v>
          </cell>
        </row>
        <row r="1405">
          <cell r="AQ1405" t="str">
            <v>12612542|99573490|371182983|65384033</v>
          </cell>
          <cell r="AR1405" t="str">
            <v>GASTO FISICO</v>
          </cell>
        </row>
        <row r="1406">
          <cell r="AQ1406" t="str">
            <v>12612542|99573490|371182984|371182984</v>
          </cell>
          <cell r="AR1406" t="str">
            <v>IMED SALUD</v>
          </cell>
        </row>
        <row r="1407">
          <cell r="AQ1407" t="str">
            <v>12612542|99573490|371182984|371182984</v>
          </cell>
          <cell r="AR1407" t="str">
            <v>IMED SALUD</v>
          </cell>
        </row>
        <row r="1408">
          <cell r="AQ1408" t="str">
            <v>12612542|99573490|371182984|65384034</v>
          </cell>
          <cell r="AR1408" t="str">
            <v>GASTO FISICO</v>
          </cell>
        </row>
        <row r="1409">
          <cell r="AQ1409" t="str">
            <v>12666564|81949100|135973136|135973136</v>
          </cell>
          <cell r="AR1409" t="str">
            <v>IMED SALUD</v>
          </cell>
        </row>
        <row r="1410">
          <cell r="AQ1410" t="str">
            <v>12666564|81949100|135973136|135973136</v>
          </cell>
          <cell r="AR1410" t="str">
            <v>IMED SALUD</v>
          </cell>
        </row>
        <row r="1411">
          <cell r="AQ1411" t="str">
            <v>12666564|81949100|135973136|135973136</v>
          </cell>
          <cell r="AR1411" t="str">
            <v>IMED SALUD</v>
          </cell>
        </row>
        <row r="1412">
          <cell r="AQ1412" t="str">
            <v>12666564|81949100|135973136|135973136</v>
          </cell>
          <cell r="AR1412" t="str">
            <v>IMED SALUD</v>
          </cell>
        </row>
        <row r="1413">
          <cell r="AQ1413" t="str">
            <v>12666564|81949100|135973136|135973136</v>
          </cell>
          <cell r="AR1413" t="str">
            <v>IMED SALUD</v>
          </cell>
        </row>
        <row r="1414">
          <cell r="AQ1414" t="str">
            <v>12666564|81949100|135973136|135973136</v>
          </cell>
          <cell r="AR1414" t="str">
            <v>IMED SALUD</v>
          </cell>
        </row>
        <row r="1415">
          <cell r="AQ1415" t="str">
            <v>12666564|81949100|135973136|135973136</v>
          </cell>
          <cell r="AR1415" t="str">
            <v>IMED SALUD</v>
          </cell>
        </row>
        <row r="1416">
          <cell r="AQ1416" t="str">
            <v>12666564|81949100|135973136|135973136</v>
          </cell>
          <cell r="AR1416" t="str">
            <v>IMED SALUD</v>
          </cell>
        </row>
        <row r="1417">
          <cell r="AQ1417" t="str">
            <v>12666564|81949100|135973136|135973136</v>
          </cell>
          <cell r="AR1417" t="str">
            <v>IMED SALUD</v>
          </cell>
        </row>
        <row r="1418">
          <cell r="AQ1418" t="str">
            <v>12666564|81949100|135973136|135973136</v>
          </cell>
          <cell r="AR1418" t="str">
            <v>IMED SALUD</v>
          </cell>
        </row>
        <row r="1419">
          <cell r="AQ1419" t="str">
            <v>12666564|81949100|135973136|65384035</v>
          </cell>
          <cell r="AR1419" t="str">
            <v>GASTO FISICO</v>
          </cell>
        </row>
        <row r="1420">
          <cell r="AQ1420" t="str">
            <v>12666564|81949100|135973136|65384035</v>
          </cell>
          <cell r="AR1420" t="str">
            <v>GASTO FISICO</v>
          </cell>
        </row>
        <row r="1421">
          <cell r="AQ1421" t="str">
            <v>12666564|81949100|135973136|65384035</v>
          </cell>
          <cell r="AR1421" t="str">
            <v>GASTO FISICO</v>
          </cell>
        </row>
        <row r="1422">
          <cell r="AQ1422" t="str">
            <v>12666564|81949100|135973136|65384035</v>
          </cell>
          <cell r="AR1422" t="str">
            <v>GASTO FISICO</v>
          </cell>
        </row>
        <row r="1423">
          <cell r="AQ1423" t="str">
            <v>12666564|81949100|135973136|65384035</v>
          </cell>
          <cell r="AR1423" t="str">
            <v>GASTO FISICO</v>
          </cell>
        </row>
        <row r="1424">
          <cell r="AQ1424" t="str">
            <v>12666564|81949100|135973137|135973137</v>
          </cell>
          <cell r="AR1424" t="str">
            <v>IMED SALUD</v>
          </cell>
        </row>
        <row r="1425">
          <cell r="AQ1425" t="str">
            <v>12666564|81949100|135973137|135973137</v>
          </cell>
          <cell r="AR1425" t="str">
            <v>IMED SALUD</v>
          </cell>
        </row>
        <row r="1426">
          <cell r="AQ1426" t="str">
            <v>12666564|81949100|135973137|135973137</v>
          </cell>
          <cell r="AR1426" t="str">
            <v>IMED SALUD</v>
          </cell>
        </row>
        <row r="1427">
          <cell r="AQ1427" t="str">
            <v>12666564|81949100|135973137|135973137</v>
          </cell>
          <cell r="AR1427" t="str">
            <v>IMED SALUD</v>
          </cell>
        </row>
        <row r="1428">
          <cell r="AQ1428" t="str">
            <v>12666564|81949100|135973137|135973137</v>
          </cell>
          <cell r="AR1428" t="str">
            <v>IMED SALUD</v>
          </cell>
        </row>
        <row r="1429">
          <cell r="AQ1429" t="str">
            <v>12666564|81949100|135973137|135973137</v>
          </cell>
          <cell r="AR1429" t="str">
            <v>IMED SALUD</v>
          </cell>
        </row>
        <row r="1430">
          <cell r="AQ1430" t="str">
            <v>12666564|81949100|135973137|135973137</v>
          </cell>
          <cell r="AR1430" t="str">
            <v>IMED SALUD</v>
          </cell>
        </row>
        <row r="1431">
          <cell r="AQ1431" t="str">
            <v>12666564|81949100|135973137|135973137</v>
          </cell>
          <cell r="AR1431" t="str">
            <v>IMED SALUD</v>
          </cell>
        </row>
        <row r="1432">
          <cell r="AQ1432" t="str">
            <v>12666564|81949100|135973137|135973137</v>
          </cell>
          <cell r="AR1432" t="str">
            <v>IMED SALUD</v>
          </cell>
        </row>
        <row r="1433">
          <cell r="AQ1433" t="str">
            <v>12666564|81949100|135973137|135973137</v>
          </cell>
          <cell r="AR1433" t="str">
            <v>IMED SALUD</v>
          </cell>
        </row>
        <row r="1434">
          <cell r="AQ1434" t="str">
            <v>12666564|81949100|135973137|65384036</v>
          </cell>
          <cell r="AR1434" t="str">
            <v>GASTO FISICO</v>
          </cell>
        </row>
        <row r="1435">
          <cell r="AQ1435" t="str">
            <v>12666564|81949100|135973137|65384036</v>
          </cell>
          <cell r="AR1435" t="str">
            <v>GASTO FISICO</v>
          </cell>
        </row>
        <row r="1436">
          <cell r="AQ1436" t="str">
            <v>12666564|81949100|135973137|65384036</v>
          </cell>
          <cell r="AR1436" t="str">
            <v>GASTO FISICO</v>
          </cell>
        </row>
        <row r="1437">
          <cell r="AQ1437" t="str">
            <v>12666564|81949100|135973137|65384036</v>
          </cell>
          <cell r="AR1437" t="str">
            <v>GASTO FISICO</v>
          </cell>
        </row>
        <row r="1438">
          <cell r="AQ1438" t="str">
            <v>12666564|81949100|135973137|65384036</v>
          </cell>
          <cell r="AR1438" t="str">
            <v>GASTO FISICO</v>
          </cell>
        </row>
        <row r="1439">
          <cell r="AQ1439" t="str">
            <v>12666564|81949100|135973138|135973138</v>
          </cell>
          <cell r="AR1439" t="str">
            <v>IMED SALUD</v>
          </cell>
        </row>
        <row r="1440">
          <cell r="AQ1440" t="str">
            <v>12666564|81949100|135973138|135973138</v>
          </cell>
          <cell r="AR1440" t="str">
            <v>IMED SALUD</v>
          </cell>
        </row>
        <row r="1441">
          <cell r="AQ1441" t="str">
            <v>12666564|81949100|135973138|135973138</v>
          </cell>
          <cell r="AR1441" t="str">
            <v>IMED SALUD</v>
          </cell>
        </row>
        <row r="1442">
          <cell r="AQ1442" t="str">
            <v>12666564|81949100|135973138|135973138</v>
          </cell>
          <cell r="AR1442" t="str">
            <v>IMED SALUD</v>
          </cell>
        </row>
        <row r="1443">
          <cell r="AQ1443" t="str">
            <v>12666564|81949100|135973138|65384037</v>
          </cell>
          <cell r="AR1443" t="str">
            <v>GASTO FISICO</v>
          </cell>
        </row>
        <row r="1444">
          <cell r="AQ1444" t="str">
            <v>12666564|81949100|135973138|65384037</v>
          </cell>
          <cell r="AR1444" t="str">
            <v>GASTO FISICO</v>
          </cell>
        </row>
        <row r="1445">
          <cell r="AQ1445" t="str">
            <v>12697520|77200240|370141554|370141554</v>
          </cell>
          <cell r="AR1445" t="str">
            <v>IMED SALUD</v>
          </cell>
        </row>
        <row r="1446">
          <cell r="AQ1446" t="str">
            <v>12697520|77200240|370141554|370141554</v>
          </cell>
          <cell r="AR1446" t="str">
            <v>IMED SALUD</v>
          </cell>
        </row>
        <row r="1447">
          <cell r="AQ1447" t="str">
            <v>12697520|77200240|370141554|65384038</v>
          </cell>
          <cell r="AR1447" t="str">
            <v>GASTO FISICO</v>
          </cell>
        </row>
        <row r="1448">
          <cell r="AQ1448" t="str">
            <v>12722154|76098454|370848911|370848911</v>
          </cell>
          <cell r="AR1448" t="str">
            <v>IMED SALUD</v>
          </cell>
        </row>
        <row r="1449">
          <cell r="AQ1449" t="str">
            <v>12722154|76098454|370848911|370848911</v>
          </cell>
          <cell r="AR1449" t="str">
            <v>IMED SALUD</v>
          </cell>
        </row>
        <row r="1450">
          <cell r="AQ1450" t="str">
            <v>12722154|76098454|370848911|65384039</v>
          </cell>
          <cell r="AR1450" t="str">
            <v>GASTO FISICO</v>
          </cell>
        </row>
        <row r="1451">
          <cell r="AQ1451" t="str">
            <v>12722154|76098454|370849643|370849643</v>
          </cell>
          <cell r="AR1451" t="str">
            <v>IMED SALUD</v>
          </cell>
        </row>
        <row r="1452">
          <cell r="AQ1452" t="str">
            <v>12722154|76098454|370849643|370849643</v>
          </cell>
          <cell r="AR1452" t="str">
            <v>IMED SALUD</v>
          </cell>
        </row>
        <row r="1453">
          <cell r="AQ1453" t="str">
            <v>12722154|76098454|370849643|65384040</v>
          </cell>
          <cell r="AR1453" t="str">
            <v>GASTO FISICO</v>
          </cell>
        </row>
        <row r="1454">
          <cell r="AQ1454" t="str">
            <v>12752688|81949100|930135307|930135307</v>
          </cell>
          <cell r="AR1454" t="str">
            <v>IMED SALUD</v>
          </cell>
        </row>
        <row r="1455">
          <cell r="AQ1455" t="str">
            <v>12752688|81949100|930135307|930135307</v>
          </cell>
          <cell r="AR1455" t="str">
            <v>IMED SALUD</v>
          </cell>
        </row>
        <row r="1456">
          <cell r="AQ1456" t="str">
            <v>12752688|81949100|930135307|65384041</v>
          </cell>
          <cell r="AR1456" t="str">
            <v>GASTO FISICO</v>
          </cell>
        </row>
        <row r="1457">
          <cell r="AQ1457" t="str">
            <v>12752688|81949100|930213898|930213898</v>
          </cell>
          <cell r="AR1457" t="str">
            <v>IMED SALUD</v>
          </cell>
        </row>
        <row r="1458">
          <cell r="AQ1458" t="str">
            <v>12752688|81949100|930213898|930213898</v>
          </cell>
          <cell r="AR1458" t="str">
            <v>IMED SALUD</v>
          </cell>
        </row>
        <row r="1459">
          <cell r="AQ1459" t="str">
            <v>12752688|81949100|930213898|65384042</v>
          </cell>
          <cell r="AR1459" t="str">
            <v>GASTO FISICO</v>
          </cell>
        </row>
        <row r="1460">
          <cell r="AQ1460" t="str">
            <v>12752688|81949100|930213899|930213899</v>
          </cell>
          <cell r="AR1460" t="str">
            <v>IMED SALUD</v>
          </cell>
        </row>
        <row r="1461">
          <cell r="AQ1461" t="str">
            <v>12752688|81949100|930213899|930213899</v>
          </cell>
          <cell r="AR1461" t="str">
            <v>IMED SALUD</v>
          </cell>
        </row>
        <row r="1462">
          <cell r="AQ1462" t="str">
            <v>12752688|81949100|930213899|930213899</v>
          </cell>
          <cell r="AR1462" t="str">
            <v>IMED SALUD</v>
          </cell>
        </row>
        <row r="1463">
          <cell r="AQ1463" t="str">
            <v>12752688|81949100|930213899|930213899</v>
          </cell>
          <cell r="AR1463" t="str">
            <v>IMED SALUD</v>
          </cell>
        </row>
        <row r="1464">
          <cell r="AQ1464" t="str">
            <v>12752688|81949100|930213899|930213899</v>
          </cell>
          <cell r="AR1464" t="str">
            <v>IMED SALUD</v>
          </cell>
        </row>
        <row r="1465">
          <cell r="AQ1465" t="str">
            <v>12752688|81949100|930213899|930213899</v>
          </cell>
          <cell r="AR1465" t="str">
            <v>IMED SALUD</v>
          </cell>
        </row>
        <row r="1466">
          <cell r="AQ1466" t="str">
            <v>12752688|81949100|930213899|930213899</v>
          </cell>
          <cell r="AR1466" t="str">
            <v>IMED SALUD</v>
          </cell>
        </row>
        <row r="1467">
          <cell r="AQ1467" t="str">
            <v>12752688|81949100|930213899|930213899</v>
          </cell>
          <cell r="AR1467" t="str">
            <v>IMED SALUD</v>
          </cell>
        </row>
        <row r="1468">
          <cell r="AQ1468" t="str">
            <v>12752688|81949100|930213899|930213899</v>
          </cell>
          <cell r="AR1468" t="str">
            <v>IMED SALUD</v>
          </cell>
        </row>
        <row r="1469">
          <cell r="AQ1469" t="str">
            <v>12752688|81949100|930213899|930213899</v>
          </cell>
          <cell r="AR1469" t="str">
            <v>IMED SALUD</v>
          </cell>
        </row>
        <row r="1470">
          <cell r="AQ1470" t="str">
            <v>12752688|81949100|930213899|65384043</v>
          </cell>
          <cell r="AR1470" t="str">
            <v>GASTO FISICO</v>
          </cell>
        </row>
        <row r="1471">
          <cell r="AQ1471" t="str">
            <v>12752688|81949100|930213899|65384043</v>
          </cell>
          <cell r="AR1471" t="str">
            <v>GASTO FISICO</v>
          </cell>
        </row>
        <row r="1472">
          <cell r="AQ1472" t="str">
            <v>12752688|81949100|930213899|65384043</v>
          </cell>
          <cell r="AR1472" t="str">
            <v>GASTO FISICO</v>
          </cell>
        </row>
        <row r="1473">
          <cell r="AQ1473" t="str">
            <v>12752688|81949100|930213899|65384043</v>
          </cell>
          <cell r="AR1473" t="str">
            <v>GASTO FISICO</v>
          </cell>
        </row>
        <row r="1474">
          <cell r="AQ1474" t="str">
            <v>12752688|81949100|930213899|65384043</v>
          </cell>
          <cell r="AR1474" t="str">
            <v>GASTO FISICO</v>
          </cell>
        </row>
        <row r="1475">
          <cell r="AQ1475" t="str">
            <v>12838615|86687700|370250532|370250532</v>
          </cell>
          <cell r="AR1475" t="str">
            <v>IMED SALUD</v>
          </cell>
        </row>
        <row r="1476">
          <cell r="AQ1476" t="str">
            <v>12838615|86687700|370250532|370250532</v>
          </cell>
          <cell r="AR1476" t="str">
            <v>IMED SALUD</v>
          </cell>
        </row>
        <row r="1477">
          <cell r="AQ1477" t="str">
            <v>12838615|86687700|370250532|370250532</v>
          </cell>
          <cell r="AR1477" t="str">
            <v>IMED SALUD</v>
          </cell>
        </row>
        <row r="1478">
          <cell r="AQ1478" t="str">
            <v>12838615|86687700|370250532|370250532</v>
          </cell>
          <cell r="AR1478" t="str">
            <v>IMED SALUD</v>
          </cell>
        </row>
        <row r="1479">
          <cell r="AQ1479" t="str">
            <v>12838615|86687700|370250532|370250532</v>
          </cell>
          <cell r="AR1479" t="str">
            <v>IMED SALUD</v>
          </cell>
        </row>
        <row r="1480">
          <cell r="AQ1480" t="str">
            <v>12838615|86687700|370250532|370250532</v>
          </cell>
          <cell r="AR1480" t="str">
            <v>IMED SALUD</v>
          </cell>
        </row>
        <row r="1481">
          <cell r="AQ1481" t="str">
            <v>12838615|86687700|370250532|370250532</v>
          </cell>
          <cell r="AR1481" t="str">
            <v>IMED SALUD</v>
          </cell>
        </row>
        <row r="1482">
          <cell r="AQ1482" t="str">
            <v>12838615|86687700|370250532|370250532</v>
          </cell>
          <cell r="AR1482" t="str">
            <v>IMED SALUD</v>
          </cell>
        </row>
        <row r="1483">
          <cell r="AQ1483" t="str">
            <v>12838615|86687700|370250532|370250532</v>
          </cell>
          <cell r="AR1483" t="str">
            <v>IMED SALUD</v>
          </cell>
        </row>
        <row r="1484">
          <cell r="AQ1484" t="str">
            <v>12838615|86687700|370250532|370250532</v>
          </cell>
          <cell r="AR1484" t="str">
            <v>IMED SALUD</v>
          </cell>
        </row>
        <row r="1485">
          <cell r="AQ1485" t="str">
            <v>12838615|86687700|370250532|65384048</v>
          </cell>
          <cell r="AR1485" t="str">
            <v>GASTO FISICO</v>
          </cell>
        </row>
        <row r="1486">
          <cell r="AQ1486" t="str">
            <v>12838615|86687700|370250532|65384048</v>
          </cell>
          <cell r="AR1486" t="str">
            <v>GASTO FISICO</v>
          </cell>
        </row>
        <row r="1487">
          <cell r="AQ1487" t="str">
            <v>12838615|86687700|370250532|65384048</v>
          </cell>
          <cell r="AR1487" t="str">
            <v>GASTO FISICO</v>
          </cell>
        </row>
        <row r="1488">
          <cell r="AQ1488" t="str">
            <v>12838615|86687700|370250532|65384048</v>
          </cell>
          <cell r="AR1488" t="str">
            <v>GASTO FISICO</v>
          </cell>
        </row>
        <row r="1489">
          <cell r="AQ1489" t="str">
            <v>12838615|86687700|370250532|65384048</v>
          </cell>
          <cell r="AR1489" t="str">
            <v>GASTO FISICO</v>
          </cell>
        </row>
        <row r="1490">
          <cell r="AQ1490" t="str">
            <v>12838615|70377400|370320841|370320841</v>
          </cell>
          <cell r="AR1490" t="str">
            <v>IMED SALUD</v>
          </cell>
        </row>
        <row r="1491">
          <cell r="AQ1491" t="str">
            <v>12838615|70377400|370320841|370320841</v>
          </cell>
          <cell r="AR1491" t="str">
            <v>IMED SALUD</v>
          </cell>
        </row>
        <row r="1492">
          <cell r="AQ1492" t="str">
            <v>12838615|70377400|370320841|65384049</v>
          </cell>
          <cell r="AR1492" t="str">
            <v>GASTO FISICO</v>
          </cell>
        </row>
        <row r="1493">
          <cell r="AQ1493" t="str">
            <v>12875970|89807200|1512009398|21995471</v>
          </cell>
          <cell r="AR1493" t="str">
            <v>GASTO FISICO</v>
          </cell>
        </row>
        <row r="1494">
          <cell r="AQ1494" t="str">
            <v>12875970|89807200|1512009398|986140</v>
          </cell>
          <cell r="AR1494" t="str">
            <v>GASTO FISICO</v>
          </cell>
        </row>
        <row r="1495">
          <cell r="AQ1495" t="str">
            <v>12875970|89807200|1512009398|65213074</v>
          </cell>
          <cell r="AR1495" t="str">
            <v>GASTO FISICO</v>
          </cell>
        </row>
        <row r="1496">
          <cell r="AQ1496" t="str">
            <v>12875970|77892462|9095|21995471</v>
          </cell>
          <cell r="AR1496" t="str">
            <v>GASTO FISICO</v>
          </cell>
        </row>
        <row r="1497">
          <cell r="AQ1497" t="str">
            <v>12875970|77892462|9095|986140</v>
          </cell>
          <cell r="AR1497" t="str">
            <v>GASTO FISICO</v>
          </cell>
        </row>
        <row r="1498">
          <cell r="AQ1498" t="str">
            <v>12875970|77892462|9095|65213074</v>
          </cell>
          <cell r="AR1498" t="str">
            <v>GASTO FISICO</v>
          </cell>
        </row>
        <row r="1499">
          <cell r="AQ1499" t="str">
            <v>12892012|96942400|765143789|765143789</v>
          </cell>
          <cell r="AR1499" t="str">
            <v>IMED SALUD</v>
          </cell>
        </row>
        <row r="1500">
          <cell r="AQ1500" t="str">
            <v>12892012|96942400|765143789|765143789</v>
          </cell>
          <cell r="AR1500" t="str">
            <v>IMED SALUD</v>
          </cell>
        </row>
        <row r="1501">
          <cell r="AQ1501" t="str">
            <v>12892012|96942400|765143789|65384050</v>
          </cell>
          <cell r="AR1501" t="str">
            <v>GASTO FISICO</v>
          </cell>
        </row>
        <row r="1502">
          <cell r="AQ1502" t="str">
            <v>12892012|96942400|765462191|765462191</v>
          </cell>
          <cell r="AR1502" t="str">
            <v>IMED SALUD</v>
          </cell>
        </row>
        <row r="1503">
          <cell r="AQ1503" t="str">
            <v>12892012|96942400|765462191|765462191</v>
          </cell>
          <cell r="AR1503" t="str">
            <v>IMED SALUD</v>
          </cell>
        </row>
        <row r="1504">
          <cell r="AQ1504" t="str">
            <v>12892012|96942400|765462191|65384051</v>
          </cell>
          <cell r="AR1504" t="str">
            <v>GASTO FISICO</v>
          </cell>
        </row>
        <row r="1505">
          <cell r="AQ1505" t="str">
            <v>12892012|96942400|765472299|765472299</v>
          </cell>
          <cell r="AR1505" t="str">
            <v>IMED SALUD</v>
          </cell>
        </row>
        <row r="1506">
          <cell r="AQ1506" t="str">
            <v>12892012|96942400|765472299|765472299</v>
          </cell>
          <cell r="AR1506" t="str">
            <v>IMED SALUD</v>
          </cell>
        </row>
        <row r="1507">
          <cell r="AQ1507" t="str">
            <v>12892012|96942400|765472299|65384052</v>
          </cell>
          <cell r="AR1507" t="str">
            <v>GASTO FISICO</v>
          </cell>
        </row>
        <row r="1508">
          <cell r="AQ1508" t="str">
            <v>12892012|96942400|765476755|765476755</v>
          </cell>
          <cell r="AR1508" t="str">
            <v>IMED SALUD</v>
          </cell>
        </row>
        <row r="1509">
          <cell r="AQ1509" t="str">
            <v>12892012|96942400|765476755|765476755</v>
          </cell>
          <cell r="AR1509" t="str">
            <v>IMED SALUD</v>
          </cell>
        </row>
        <row r="1510">
          <cell r="AQ1510" t="str">
            <v>12892012|96942400|765476755|765476755</v>
          </cell>
          <cell r="AR1510" t="str">
            <v>IMED SALUD</v>
          </cell>
        </row>
        <row r="1511">
          <cell r="AQ1511" t="str">
            <v>12892012|96942400|765476755|765476755</v>
          </cell>
          <cell r="AR1511" t="str">
            <v>IMED SALUD</v>
          </cell>
        </row>
        <row r="1512">
          <cell r="AQ1512" t="str">
            <v>12892012|96942400|765476755|765476755</v>
          </cell>
          <cell r="AR1512" t="str">
            <v>IMED SALUD</v>
          </cell>
        </row>
        <row r="1513">
          <cell r="AQ1513" t="str">
            <v>12892012|96942400|765476755|765476755</v>
          </cell>
          <cell r="AR1513" t="str">
            <v>IMED SALUD</v>
          </cell>
        </row>
        <row r="1514">
          <cell r="AQ1514" t="str">
            <v>12892012|96942400|765476755|765476755</v>
          </cell>
          <cell r="AR1514" t="str">
            <v>IMED SALUD</v>
          </cell>
        </row>
        <row r="1515">
          <cell r="AQ1515" t="str">
            <v>12892012|96942400|765476755|765476755</v>
          </cell>
          <cell r="AR1515" t="str">
            <v>IMED SALUD</v>
          </cell>
        </row>
        <row r="1516">
          <cell r="AQ1516" t="str">
            <v>12892012|96942400|765476755|765476755</v>
          </cell>
          <cell r="AR1516" t="str">
            <v>IMED SALUD</v>
          </cell>
        </row>
        <row r="1517">
          <cell r="AQ1517" t="str">
            <v>12892012|96942400|765476755|765476755</v>
          </cell>
          <cell r="AR1517" t="str">
            <v>IMED SALUD</v>
          </cell>
        </row>
        <row r="1518">
          <cell r="AQ1518" t="str">
            <v>12892012|96942400|765476755|65384053</v>
          </cell>
          <cell r="AR1518" t="str">
            <v>GASTO FISICO</v>
          </cell>
        </row>
        <row r="1519">
          <cell r="AQ1519" t="str">
            <v>12892012|96942400|765476755|65384053</v>
          </cell>
          <cell r="AR1519" t="str">
            <v>GASTO FISICO</v>
          </cell>
        </row>
        <row r="1520">
          <cell r="AQ1520" t="str">
            <v>12892012|96942400|765476755|65384053</v>
          </cell>
          <cell r="AR1520" t="str">
            <v>GASTO FISICO</v>
          </cell>
        </row>
        <row r="1521">
          <cell r="AQ1521" t="str">
            <v>12892012|96942400|765476755|65384053</v>
          </cell>
          <cell r="AR1521" t="str">
            <v>GASTO FISICO</v>
          </cell>
        </row>
        <row r="1522">
          <cell r="AQ1522" t="str">
            <v>12892012|96942400|765476755|65384053</v>
          </cell>
          <cell r="AR1522" t="str">
            <v>GASTO FISICO</v>
          </cell>
        </row>
        <row r="1523">
          <cell r="AQ1523" t="str">
            <v>12892012|96942400|765476756|765476756</v>
          </cell>
          <cell r="AR1523" t="str">
            <v>IMED SALUD</v>
          </cell>
        </row>
        <row r="1524">
          <cell r="AQ1524" t="str">
            <v>12892012|96942400|765476756|765476756</v>
          </cell>
          <cell r="AR1524" t="str">
            <v>IMED SALUD</v>
          </cell>
        </row>
        <row r="1525">
          <cell r="AQ1525" t="str">
            <v>12892012|96942400|765476756|765476756</v>
          </cell>
          <cell r="AR1525" t="str">
            <v>IMED SALUD</v>
          </cell>
        </row>
        <row r="1526">
          <cell r="AQ1526" t="str">
            <v>12892012|96942400|765476756|765476756</v>
          </cell>
          <cell r="AR1526" t="str">
            <v>IMED SALUD</v>
          </cell>
        </row>
        <row r="1527">
          <cell r="AQ1527" t="str">
            <v>12892012|96942400|765476756|765476756</v>
          </cell>
          <cell r="AR1527" t="str">
            <v>IMED SALUD</v>
          </cell>
        </row>
        <row r="1528">
          <cell r="AQ1528" t="str">
            <v>12892012|96942400|765476756|765476756</v>
          </cell>
          <cell r="AR1528" t="str">
            <v>IMED SALUD</v>
          </cell>
        </row>
        <row r="1529">
          <cell r="AQ1529" t="str">
            <v>12892012|96942400|765476756|765476756</v>
          </cell>
          <cell r="AR1529" t="str">
            <v>IMED SALUD</v>
          </cell>
        </row>
        <row r="1530">
          <cell r="AQ1530" t="str">
            <v>12892012|96942400|765476756|765476756</v>
          </cell>
          <cell r="AR1530" t="str">
            <v>IMED SALUD</v>
          </cell>
        </row>
        <row r="1531">
          <cell r="AQ1531" t="str">
            <v>12892012|96942400|765476756|765476756</v>
          </cell>
          <cell r="AR1531" t="str">
            <v>IMED SALUD</v>
          </cell>
        </row>
        <row r="1532">
          <cell r="AQ1532" t="str">
            <v>12892012|96942400|765476756|765476756</v>
          </cell>
          <cell r="AR1532" t="str">
            <v>IMED SALUD</v>
          </cell>
        </row>
        <row r="1533">
          <cell r="AQ1533" t="str">
            <v>12892012|96942400|765476756|65384054</v>
          </cell>
          <cell r="AR1533" t="str">
            <v>GASTO FISICO</v>
          </cell>
        </row>
        <row r="1534">
          <cell r="AQ1534" t="str">
            <v>12892012|96942400|765476756|65384054</v>
          </cell>
          <cell r="AR1534" t="str">
            <v>GASTO FISICO</v>
          </cell>
        </row>
        <row r="1535">
          <cell r="AQ1535" t="str">
            <v>12892012|96942400|765476756|65384054</v>
          </cell>
          <cell r="AR1535" t="str">
            <v>GASTO FISICO</v>
          </cell>
        </row>
        <row r="1536">
          <cell r="AQ1536" t="str">
            <v>12892012|96942400|765476756|65384054</v>
          </cell>
          <cell r="AR1536" t="str">
            <v>GASTO FISICO</v>
          </cell>
        </row>
        <row r="1537">
          <cell r="AQ1537" t="str">
            <v>12892012|96942400|765476757|765476757</v>
          </cell>
          <cell r="AR1537" t="str">
            <v>IMED SALUD</v>
          </cell>
        </row>
        <row r="1538">
          <cell r="AQ1538" t="str">
            <v>12892012|96942400|765476757|765476757</v>
          </cell>
          <cell r="AR1538" t="str">
            <v>IMED SALUD</v>
          </cell>
        </row>
        <row r="1539">
          <cell r="AQ1539" t="str">
            <v>12892012|96942400|765476757|765476757</v>
          </cell>
          <cell r="AR1539" t="str">
            <v>IMED SALUD</v>
          </cell>
        </row>
        <row r="1540">
          <cell r="AQ1540" t="str">
            <v>12892012|96942400|765476757|765476757</v>
          </cell>
          <cell r="AR1540" t="str">
            <v>IMED SALUD</v>
          </cell>
        </row>
        <row r="1541">
          <cell r="AQ1541" t="str">
            <v>12892012|96942400|765476757|765476757</v>
          </cell>
          <cell r="AR1541" t="str">
            <v>IMED SALUD</v>
          </cell>
        </row>
        <row r="1542">
          <cell r="AQ1542" t="str">
            <v>12892012|96942400|765476757|765476757</v>
          </cell>
          <cell r="AR1542" t="str">
            <v>IMED SALUD</v>
          </cell>
        </row>
        <row r="1543">
          <cell r="AQ1543" t="str">
            <v>12892012|96942400|765476757|765476757</v>
          </cell>
          <cell r="AR1543" t="str">
            <v>IMED SALUD</v>
          </cell>
        </row>
        <row r="1544">
          <cell r="AQ1544" t="str">
            <v>12892012|96942400|765476757|765476757</v>
          </cell>
          <cell r="AR1544" t="str">
            <v>IMED SALUD</v>
          </cell>
        </row>
        <row r="1545">
          <cell r="AQ1545" t="str">
            <v>12892012|96942400|765476757|765476757</v>
          </cell>
          <cell r="AR1545" t="str">
            <v>IMED SALUD</v>
          </cell>
        </row>
        <row r="1546">
          <cell r="AQ1546" t="str">
            <v>12892012|96942400|765476757|765476757</v>
          </cell>
          <cell r="AR1546" t="str">
            <v>IMED SALUD</v>
          </cell>
        </row>
        <row r="1547">
          <cell r="AQ1547" t="str">
            <v>12892012|96942400|765476757|65384055</v>
          </cell>
          <cell r="AR1547" t="str">
            <v>GASTO FISICO</v>
          </cell>
        </row>
        <row r="1548">
          <cell r="AQ1548" t="str">
            <v>12892012|96942400|765476757|65384055</v>
          </cell>
          <cell r="AR1548" t="str">
            <v>GASTO FISICO</v>
          </cell>
        </row>
        <row r="1549">
          <cell r="AQ1549" t="str">
            <v>12892012|96942400|765476757|65384055</v>
          </cell>
          <cell r="AR1549" t="str">
            <v>GASTO FISICO</v>
          </cell>
        </row>
        <row r="1550">
          <cell r="AQ1550" t="str">
            <v>12892012|96942400|765476758|765476758</v>
          </cell>
          <cell r="AR1550" t="str">
            <v>IMED SALUD</v>
          </cell>
        </row>
        <row r="1551">
          <cell r="AQ1551" t="str">
            <v>12892012|96942400|765476758|765476758</v>
          </cell>
          <cell r="AR1551" t="str">
            <v>IMED SALUD</v>
          </cell>
        </row>
        <row r="1552">
          <cell r="AQ1552" t="str">
            <v>12892012|96942400|765476758|765476758</v>
          </cell>
          <cell r="AR1552" t="str">
            <v>IMED SALUD</v>
          </cell>
        </row>
        <row r="1553">
          <cell r="AQ1553" t="str">
            <v>12892012|96942400|765476758|765476758</v>
          </cell>
          <cell r="AR1553" t="str">
            <v>IMED SALUD</v>
          </cell>
        </row>
        <row r="1554">
          <cell r="AQ1554" t="str">
            <v>12892012|96942400|765476758|65384056</v>
          </cell>
          <cell r="AR1554" t="str">
            <v>GASTO FISICO</v>
          </cell>
        </row>
        <row r="1555">
          <cell r="AQ1555" t="str">
            <v>12892012|96942400|765476758|65384056</v>
          </cell>
          <cell r="AR1555" t="str">
            <v>GASTO FISICO</v>
          </cell>
        </row>
        <row r="1556">
          <cell r="AQ1556" t="str">
            <v>12892012|96942400|765542192|765542192</v>
          </cell>
          <cell r="AR1556" t="str">
            <v>IMED SALUD</v>
          </cell>
        </row>
        <row r="1557">
          <cell r="AQ1557" t="str">
            <v>12892012|96942400|765542192|765542192</v>
          </cell>
          <cell r="AR1557" t="str">
            <v>IMED SALUD</v>
          </cell>
        </row>
        <row r="1558">
          <cell r="AQ1558" t="str">
            <v>12892012|96942400|765542192|65384057</v>
          </cell>
          <cell r="AR1558" t="str">
            <v>GASTO FISICO</v>
          </cell>
        </row>
        <row r="1559">
          <cell r="AQ1559" t="str">
            <v>12892012|96942400|765542496|765542496</v>
          </cell>
          <cell r="AR1559" t="str">
            <v>IMED SALUD</v>
          </cell>
        </row>
        <row r="1560">
          <cell r="AQ1560" t="str">
            <v>12892012|96942400|765542496|765542496</v>
          </cell>
          <cell r="AR1560" t="str">
            <v>IMED SALUD</v>
          </cell>
        </row>
        <row r="1561">
          <cell r="AQ1561" t="str">
            <v>12892012|96942400|765542496|65384058</v>
          </cell>
          <cell r="AR1561" t="str">
            <v>GASTO FISICO</v>
          </cell>
        </row>
        <row r="1562">
          <cell r="AQ1562" t="str">
            <v>12914588|89807200|1573882205|22025998</v>
          </cell>
          <cell r="AR1562" t="str">
            <v>GASTO FISICO</v>
          </cell>
        </row>
        <row r="1563">
          <cell r="AQ1563" t="str">
            <v>12914588|89807200|1573882205|22026145</v>
          </cell>
          <cell r="AR1563" t="str">
            <v>GASTO FISICO</v>
          </cell>
        </row>
        <row r="1564">
          <cell r="AQ1564" t="str">
            <v>12914588|89807200|1573882205|994858</v>
          </cell>
          <cell r="AR1564" t="str">
            <v>GASTO FISICO</v>
          </cell>
        </row>
        <row r="1565">
          <cell r="AQ1565" t="str">
            <v>12914588|89807200|1573882205|65384059</v>
          </cell>
          <cell r="AR1565" t="str">
            <v>GASTO FISICO</v>
          </cell>
        </row>
        <row r="1566">
          <cell r="AQ1566" t="str">
            <v>12952727|88081300|765132665|765132665</v>
          </cell>
          <cell r="AR1566" t="str">
            <v>IMED SALUD</v>
          </cell>
        </row>
        <row r="1567">
          <cell r="AQ1567" t="str">
            <v>12952727|88081300|765132665|765132665</v>
          </cell>
          <cell r="AR1567" t="str">
            <v>IMED SALUD</v>
          </cell>
        </row>
        <row r="1568">
          <cell r="AQ1568" t="str">
            <v>12952727|88081300|765132665|65384060</v>
          </cell>
          <cell r="AR1568" t="str">
            <v>GASTO FISICO</v>
          </cell>
        </row>
        <row r="1569">
          <cell r="AQ1569" t="str">
            <v>12956502|77312614|64445|22143645</v>
          </cell>
          <cell r="AR1569" t="str">
            <v>GASTO FISICO</v>
          </cell>
        </row>
        <row r="1570">
          <cell r="AQ1570" t="str">
            <v>12956502|77312614|64445|22143645</v>
          </cell>
          <cell r="AR1570" t="str">
            <v>GASTO FISICO</v>
          </cell>
        </row>
        <row r="1571">
          <cell r="AQ1571" t="str">
            <v>12956502|77312614|64445|1035521</v>
          </cell>
          <cell r="AR1571" t="str">
            <v>GASTO FISICO</v>
          </cell>
        </row>
        <row r="1572">
          <cell r="AQ1572" t="str">
            <v>12956502|77312614|64445|66380972</v>
          </cell>
          <cell r="AR1572" t="str">
            <v>GASTO FISICO</v>
          </cell>
        </row>
        <row r="1573">
          <cell r="AQ1573" t="str">
            <v>12956502|77404437|922040971|922040971</v>
          </cell>
          <cell r="AR1573" t="str">
            <v>IMED SALUD</v>
          </cell>
        </row>
        <row r="1574">
          <cell r="AQ1574" t="str">
            <v>12956502|77404437|922040971|922040971</v>
          </cell>
          <cell r="AR1574" t="str">
            <v>IMED SALUD</v>
          </cell>
        </row>
        <row r="1575">
          <cell r="AQ1575" t="str">
            <v>12956502|77404437|922040971|65384061</v>
          </cell>
          <cell r="AR1575" t="str">
            <v>GASTO FISICO</v>
          </cell>
        </row>
        <row r="1576">
          <cell r="AQ1576" t="str">
            <v>13024964|76098454|135711912|135711912</v>
          </cell>
          <cell r="AR1576" t="str">
            <v>IMED SALUD</v>
          </cell>
        </row>
        <row r="1577">
          <cell r="AQ1577" t="str">
            <v>13024964|76098454|135711912|135711912</v>
          </cell>
          <cell r="AR1577" t="str">
            <v>IMED SALUD</v>
          </cell>
        </row>
        <row r="1578">
          <cell r="AQ1578" t="str">
            <v>13024964|76098454|135711912|65384062</v>
          </cell>
          <cell r="AR1578" t="str">
            <v>GASTO FISICO</v>
          </cell>
        </row>
        <row r="1579">
          <cell r="AQ1579" t="str">
            <v>13024964|99573490|135724323|135724323</v>
          </cell>
          <cell r="AR1579" t="str">
            <v>IMED SALUD</v>
          </cell>
        </row>
        <row r="1580">
          <cell r="AQ1580" t="str">
            <v>13024964|99573490|135724323|135724323</v>
          </cell>
          <cell r="AR1580" t="str">
            <v>IMED SALUD</v>
          </cell>
        </row>
        <row r="1581">
          <cell r="AQ1581" t="str">
            <v>13024964|99573490|135724323|135724323</v>
          </cell>
          <cell r="AR1581" t="str">
            <v>IMED SALUD</v>
          </cell>
        </row>
        <row r="1582">
          <cell r="AQ1582" t="str">
            <v>13024964|99573490|135724323|135724323</v>
          </cell>
          <cell r="AR1582" t="str">
            <v>IMED SALUD</v>
          </cell>
        </row>
        <row r="1583">
          <cell r="AQ1583" t="str">
            <v>13024964|99573490|135724323|135724323</v>
          </cell>
          <cell r="AR1583" t="str">
            <v>IMED SALUD</v>
          </cell>
        </row>
        <row r="1584">
          <cell r="AQ1584" t="str">
            <v>13024964|99573490|135724323|135724323</v>
          </cell>
          <cell r="AR1584" t="str">
            <v>IMED SALUD</v>
          </cell>
        </row>
        <row r="1585">
          <cell r="AQ1585" t="str">
            <v>13024964|99573490|135724323|135724323</v>
          </cell>
          <cell r="AR1585" t="str">
            <v>IMED SALUD</v>
          </cell>
        </row>
        <row r="1586">
          <cell r="AQ1586" t="str">
            <v>13024964|99573490|135724323|135724323</v>
          </cell>
          <cell r="AR1586" t="str">
            <v>IMED SALUD</v>
          </cell>
        </row>
        <row r="1587">
          <cell r="AQ1587" t="str">
            <v>13024964|99573490|135724323|135724323</v>
          </cell>
          <cell r="AR1587" t="str">
            <v>IMED SALUD</v>
          </cell>
        </row>
        <row r="1588">
          <cell r="AQ1588" t="str">
            <v>13024964|99573490|135724323|135724323</v>
          </cell>
          <cell r="AR1588" t="str">
            <v>IMED SALUD</v>
          </cell>
        </row>
        <row r="1589">
          <cell r="AQ1589" t="str">
            <v>13024964|99573490|135724323|65384063</v>
          </cell>
          <cell r="AR1589" t="str">
            <v>GASTO FISICO</v>
          </cell>
        </row>
        <row r="1590">
          <cell r="AQ1590" t="str">
            <v>13024964|99573490|135724323|65384063</v>
          </cell>
          <cell r="AR1590" t="str">
            <v>GASTO FISICO</v>
          </cell>
        </row>
        <row r="1591">
          <cell r="AQ1591" t="str">
            <v>13024964|99573490|135724323|65384063</v>
          </cell>
          <cell r="AR1591" t="str">
            <v>GASTO FISICO</v>
          </cell>
        </row>
        <row r="1592">
          <cell r="AQ1592" t="str">
            <v>13024964|99573490|135724323|65384063</v>
          </cell>
          <cell r="AR1592" t="str">
            <v>GASTO FISICO</v>
          </cell>
        </row>
        <row r="1593">
          <cell r="AQ1593" t="str">
            <v>13024964|99573490|135724323|65384063</v>
          </cell>
          <cell r="AR1593" t="str">
            <v>GASTO FISICO</v>
          </cell>
        </row>
        <row r="1594">
          <cell r="AQ1594" t="str">
            <v>13024964|99573490|135724324|135724324</v>
          </cell>
          <cell r="AR1594" t="str">
            <v>IMED SALUD</v>
          </cell>
        </row>
        <row r="1595">
          <cell r="AQ1595" t="str">
            <v>13024964|99573490|135724324|135724324</v>
          </cell>
          <cell r="AR1595" t="str">
            <v>IMED SALUD</v>
          </cell>
        </row>
        <row r="1596">
          <cell r="AQ1596" t="str">
            <v>13024964|99573490|135724324|135724324</v>
          </cell>
          <cell r="AR1596" t="str">
            <v>IMED SALUD</v>
          </cell>
        </row>
        <row r="1597">
          <cell r="AQ1597" t="str">
            <v>13024964|99573490|135724324|135724324</v>
          </cell>
          <cell r="AR1597" t="str">
            <v>IMED SALUD</v>
          </cell>
        </row>
        <row r="1598">
          <cell r="AQ1598" t="str">
            <v>13024964|99573490|135724324|65384064</v>
          </cell>
          <cell r="AR1598" t="str">
            <v>GASTO FISICO</v>
          </cell>
        </row>
        <row r="1599">
          <cell r="AQ1599" t="str">
            <v>13024964|99573490|135724324|65384064</v>
          </cell>
          <cell r="AR1599" t="str">
            <v>GASTO FISICO</v>
          </cell>
        </row>
        <row r="1600">
          <cell r="AQ1600" t="str">
            <v>13031474|78317440|136715980|136715980</v>
          </cell>
          <cell r="AR1600" t="str">
            <v>IMED SALUD</v>
          </cell>
        </row>
        <row r="1601">
          <cell r="AQ1601" t="str">
            <v>13031474|78317440|136715980|136715980</v>
          </cell>
          <cell r="AR1601" t="str">
            <v>IMED SALUD</v>
          </cell>
        </row>
        <row r="1602">
          <cell r="AQ1602" t="str">
            <v>13031474|78317440|136715980|136715980</v>
          </cell>
          <cell r="AR1602" t="str">
            <v>IMED SALUD</v>
          </cell>
        </row>
        <row r="1603">
          <cell r="AQ1603" t="str">
            <v>13031474|78317440|136715980|136715980</v>
          </cell>
          <cell r="AR1603" t="str">
            <v>IMED SALUD</v>
          </cell>
        </row>
        <row r="1604">
          <cell r="AQ1604" t="str">
            <v>13031474|78317440|136715980|136715980</v>
          </cell>
          <cell r="AR1604" t="str">
            <v>IMED SALUD</v>
          </cell>
        </row>
        <row r="1605">
          <cell r="AQ1605" t="str">
            <v>13031474|78317440|136715980|136715980</v>
          </cell>
          <cell r="AR1605" t="str">
            <v>IMED SALUD</v>
          </cell>
        </row>
        <row r="1606">
          <cell r="AQ1606" t="str">
            <v>13031474|78317440|136715980|65384065</v>
          </cell>
          <cell r="AR1606" t="str">
            <v>GASTO FISICO</v>
          </cell>
        </row>
        <row r="1607">
          <cell r="AQ1607" t="str">
            <v>13031474|78317440|136715980|65384065</v>
          </cell>
          <cell r="AR1607" t="str">
            <v>GASTO FISICO</v>
          </cell>
        </row>
        <row r="1608">
          <cell r="AQ1608" t="str">
            <v>13031474|78317440|136715980|65384065</v>
          </cell>
          <cell r="AR1608" t="str">
            <v>GASTO FISICO</v>
          </cell>
        </row>
        <row r="1609">
          <cell r="AQ1609" t="str">
            <v>13071799|96942400|915786111|915786111</v>
          </cell>
          <cell r="AR1609" t="str">
            <v>IMED SALUD</v>
          </cell>
        </row>
        <row r="1610">
          <cell r="AQ1610" t="str">
            <v>13071799|96942400|915786111|915786111</v>
          </cell>
          <cell r="AR1610" t="str">
            <v>IMED SALUD</v>
          </cell>
        </row>
        <row r="1611">
          <cell r="AQ1611" t="str">
            <v>13071799|96942400|915786111|915786111</v>
          </cell>
          <cell r="AR1611" t="str">
            <v>IMED SALUD</v>
          </cell>
        </row>
        <row r="1612">
          <cell r="AQ1612" t="str">
            <v>13071799|96942400|915786111|915786111</v>
          </cell>
          <cell r="AR1612" t="str">
            <v>IMED SALUD</v>
          </cell>
        </row>
        <row r="1613">
          <cell r="AQ1613" t="str">
            <v>13071799|96942400|915786111|915786111</v>
          </cell>
          <cell r="AR1613" t="str">
            <v>IMED SALUD</v>
          </cell>
        </row>
        <row r="1614">
          <cell r="AQ1614" t="str">
            <v>13071799|96942400|915786111|915786111</v>
          </cell>
          <cell r="AR1614" t="str">
            <v>IMED SALUD</v>
          </cell>
        </row>
        <row r="1615">
          <cell r="AQ1615" t="str">
            <v>13071799|96942400|915786111|915786111</v>
          </cell>
          <cell r="AR1615" t="str">
            <v>IMED SALUD</v>
          </cell>
        </row>
        <row r="1616">
          <cell r="AQ1616" t="str">
            <v>13071799|96942400|915786111|915786111</v>
          </cell>
          <cell r="AR1616" t="str">
            <v>IMED SALUD</v>
          </cell>
        </row>
        <row r="1617">
          <cell r="AQ1617" t="str">
            <v>13071799|96942400|915786111|915786111</v>
          </cell>
          <cell r="AR1617" t="str">
            <v>IMED SALUD</v>
          </cell>
        </row>
        <row r="1618">
          <cell r="AQ1618" t="str">
            <v>13071799|96942400|915786111|915786111</v>
          </cell>
          <cell r="AR1618" t="str">
            <v>IMED SALUD</v>
          </cell>
        </row>
        <row r="1619">
          <cell r="AQ1619" t="str">
            <v>13071799|96942400|915786111|65384067</v>
          </cell>
          <cell r="AR1619" t="str">
            <v>GASTO FISICO</v>
          </cell>
        </row>
        <row r="1620">
          <cell r="AQ1620" t="str">
            <v>13071799|96942400|915786111|65384067</v>
          </cell>
          <cell r="AR1620" t="str">
            <v>GASTO FISICO</v>
          </cell>
        </row>
        <row r="1621">
          <cell r="AQ1621" t="str">
            <v>13071799|96942400|915786111|65384067</v>
          </cell>
          <cell r="AR1621" t="str">
            <v>GASTO FISICO</v>
          </cell>
        </row>
        <row r="1622">
          <cell r="AQ1622" t="str">
            <v>13071799|96942400|915786111|65384067</v>
          </cell>
          <cell r="AR1622" t="str">
            <v>GASTO FISICO</v>
          </cell>
        </row>
        <row r="1623">
          <cell r="AQ1623" t="str">
            <v>13071799|96942400|915786111|65384067</v>
          </cell>
          <cell r="AR1623" t="str">
            <v>GASTO FISICO</v>
          </cell>
        </row>
        <row r="1624">
          <cell r="AQ1624" t="str">
            <v>13071799|96942400|915786112|915786112</v>
          </cell>
          <cell r="AR1624" t="str">
            <v>IMED SALUD</v>
          </cell>
        </row>
        <row r="1625">
          <cell r="AQ1625" t="str">
            <v>13071799|96942400|915786112|915786112</v>
          </cell>
          <cell r="AR1625" t="str">
            <v>IMED SALUD</v>
          </cell>
        </row>
        <row r="1626">
          <cell r="AQ1626" t="str">
            <v>13071799|96942400|915786112|915786112</v>
          </cell>
          <cell r="AR1626" t="str">
            <v>IMED SALUD</v>
          </cell>
        </row>
        <row r="1627">
          <cell r="AQ1627" t="str">
            <v>13071799|96942400|915786112|915786112</v>
          </cell>
          <cell r="AR1627" t="str">
            <v>IMED SALUD</v>
          </cell>
        </row>
        <row r="1628">
          <cell r="AQ1628" t="str">
            <v>13071799|96942400|915786112|915786112</v>
          </cell>
          <cell r="AR1628" t="str">
            <v>IMED SALUD</v>
          </cell>
        </row>
        <row r="1629">
          <cell r="AQ1629" t="str">
            <v>13071799|96942400|915786112|915786112</v>
          </cell>
          <cell r="AR1629" t="str">
            <v>IMED SALUD</v>
          </cell>
        </row>
        <row r="1630">
          <cell r="AQ1630" t="str">
            <v>13071799|96942400|915786112|915786112</v>
          </cell>
          <cell r="AR1630" t="str">
            <v>IMED SALUD</v>
          </cell>
        </row>
        <row r="1631">
          <cell r="AQ1631" t="str">
            <v>13071799|96942400|915786112|915786112</v>
          </cell>
          <cell r="AR1631" t="str">
            <v>IMED SALUD</v>
          </cell>
        </row>
        <row r="1632">
          <cell r="AQ1632" t="str">
            <v>13071799|96942400|915786112|915786112</v>
          </cell>
          <cell r="AR1632" t="str">
            <v>IMED SALUD</v>
          </cell>
        </row>
        <row r="1633">
          <cell r="AQ1633" t="str">
            <v>13071799|96942400|915786112|915786112</v>
          </cell>
          <cell r="AR1633" t="str">
            <v>IMED SALUD</v>
          </cell>
        </row>
        <row r="1634">
          <cell r="AQ1634" t="str">
            <v>13071799|96942400|915786112|65384068</v>
          </cell>
          <cell r="AR1634" t="str">
            <v>GASTO FISICO</v>
          </cell>
        </row>
        <row r="1635">
          <cell r="AQ1635" t="str">
            <v>13071799|96942400|915786112|65384068</v>
          </cell>
          <cell r="AR1635" t="str">
            <v>GASTO FISICO</v>
          </cell>
        </row>
        <row r="1636">
          <cell r="AQ1636" t="str">
            <v>13071799|96942400|915786112|65384068</v>
          </cell>
          <cell r="AR1636" t="str">
            <v>GASTO FISICO</v>
          </cell>
        </row>
        <row r="1637">
          <cell r="AQ1637" t="str">
            <v>13071799|96942400|915786112|65384068</v>
          </cell>
          <cell r="AR1637" t="str">
            <v>GASTO FISICO</v>
          </cell>
        </row>
        <row r="1638">
          <cell r="AQ1638" t="str">
            <v>13071799|96942400|915786112|65384068</v>
          </cell>
          <cell r="AR1638" t="str">
            <v>GASTO FISICO</v>
          </cell>
        </row>
        <row r="1639">
          <cell r="AQ1639" t="str">
            <v>13071799|96942400|915786113|915786113</v>
          </cell>
          <cell r="AR1639" t="str">
            <v>IMED SALUD</v>
          </cell>
        </row>
        <row r="1640">
          <cell r="AQ1640" t="str">
            <v>13071799|96942400|915786113|915786113</v>
          </cell>
          <cell r="AR1640" t="str">
            <v>IMED SALUD</v>
          </cell>
        </row>
        <row r="1641">
          <cell r="AQ1641" t="str">
            <v>13071799|96942400|915786113|915786113</v>
          </cell>
          <cell r="AR1641" t="str">
            <v>IMED SALUD</v>
          </cell>
        </row>
        <row r="1642">
          <cell r="AQ1642" t="str">
            <v>13071799|96942400|915786113|915786113</v>
          </cell>
          <cell r="AR1642" t="str">
            <v>IMED SALUD</v>
          </cell>
        </row>
        <row r="1643">
          <cell r="AQ1643" t="str">
            <v>13071799|96942400|915786113|915786113</v>
          </cell>
          <cell r="AR1643" t="str">
            <v>IMED SALUD</v>
          </cell>
        </row>
        <row r="1644">
          <cell r="AQ1644" t="str">
            <v>13071799|96942400|915786113|915786113</v>
          </cell>
          <cell r="AR1644" t="str">
            <v>IMED SALUD</v>
          </cell>
        </row>
        <row r="1645">
          <cell r="AQ1645" t="str">
            <v>13071799|96942400|915786113|65384069</v>
          </cell>
          <cell r="AR1645" t="str">
            <v>GASTO FISICO</v>
          </cell>
        </row>
        <row r="1646">
          <cell r="AQ1646" t="str">
            <v>13071799|96942400|915786113|65384069</v>
          </cell>
          <cell r="AR1646" t="str">
            <v>GASTO FISICO</v>
          </cell>
        </row>
        <row r="1647">
          <cell r="AQ1647" t="str">
            <v>13071799|96942400|915786113|65384069</v>
          </cell>
          <cell r="AR1647" t="str">
            <v>GASTO FISICO</v>
          </cell>
        </row>
        <row r="1648">
          <cell r="AQ1648" t="str">
            <v>13071799|96942400|921865832|921865832</v>
          </cell>
          <cell r="AR1648" t="str">
            <v>IMED SALUD</v>
          </cell>
        </row>
        <row r="1649">
          <cell r="AQ1649" t="str">
            <v>13071799|96942400|921865832|921865832</v>
          </cell>
          <cell r="AR1649" t="str">
            <v>IMED SALUD</v>
          </cell>
        </row>
        <row r="1650">
          <cell r="AQ1650" t="str">
            <v>13071799|96942400|921865832|921865832</v>
          </cell>
          <cell r="AR1650" t="str">
            <v>IMED SALUD</v>
          </cell>
        </row>
        <row r="1651">
          <cell r="AQ1651" t="str">
            <v>13071799|96942400|921865832|921865832</v>
          </cell>
          <cell r="AR1651" t="str">
            <v>IMED SALUD</v>
          </cell>
        </row>
        <row r="1652">
          <cell r="AQ1652" t="str">
            <v>13071799|96942400|921865832|65384070</v>
          </cell>
          <cell r="AR1652" t="str">
            <v>GASTO FISICO</v>
          </cell>
        </row>
        <row r="1653">
          <cell r="AQ1653" t="str">
            <v>13071799|96942400|921865832|65384070</v>
          </cell>
          <cell r="AR1653" t="str">
            <v>GASTO FISICO</v>
          </cell>
        </row>
        <row r="1654">
          <cell r="AQ1654" t="str">
            <v>13071799|96942400|921942896|921942896</v>
          </cell>
          <cell r="AR1654" t="str">
            <v>IMED SALUD</v>
          </cell>
        </row>
        <row r="1655">
          <cell r="AQ1655" t="str">
            <v>13071799|96942400|921942896|921942896</v>
          </cell>
          <cell r="AR1655" t="str">
            <v>IMED SALUD</v>
          </cell>
        </row>
        <row r="1656">
          <cell r="AQ1656" t="str">
            <v>13071799|96942400|921942896|65384071</v>
          </cell>
          <cell r="AR1656" t="str">
            <v>GASTO FISICO</v>
          </cell>
        </row>
        <row r="1657">
          <cell r="AQ1657" t="str">
            <v>13071799|96942400|921943448|921943448</v>
          </cell>
          <cell r="AR1657" t="str">
            <v>IMED SALUD</v>
          </cell>
        </row>
        <row r="1658">
          <cell r="AQ1658" t="str">
            <v>13071799|96942400|921943448|921943448</v>
          </cell>
          <cell r="AR1658" t="str">
            <v>IMED SALUD</v>
          </cell>
        </row>
        <row r="1659">
          <cell r="AQ1659" t="str">
            <v>13071799|96942400|921943448|65384072</v>
          </cell>
          <cell r="AR1659" t="str">
            <v>GASTO FISICO</v>
          </cell>
        </row>
        <row r="1660">
          <cell r="AQ1660" t="str">
            <v>13202233|77452190|920761283|920761283</v>
          </cell>
          <cell r="AR1660" t="str">
            <v>IMED SALUD</v>
          </cell>
        </row>
        <row r="1661">
          <cell r="AQ1661" t="str">
            <v>13202233|77452190|920761283|920761283</v>
          </cell>
          <cell r="AR1661" t="str">
            <v>IMED SALUD</v>
          </cell>
        </row>
        <row r="1662">
          <cell r="AQ1662" t="str">
            <v>13202233|77452190|920761283|65384086</v>
          </cell>
          <cell r="AR1662" t="str">
            <v>GASTO FISICO</v>
          </cell>
        </row>
        <row r="1663">
          <cell r="AQ1663" t="str">
            <v>13228306|76378831|316930228|22005307</v>
          </cell>
          <cell r="AR1663" t="str">
            <v>GASTO FISICO</v>
          </cell>
        </row>
        <row r="1664">
          <cell r="AQ1664" t="str">
            <v>13228306|76378831|316930228|988762</v>
          </cell>
          <cell r="AR1664" t="str">
            <v>GASTO FISICO</v>
          </cell>
        </row>
        <row r="1665">
          <cell r="AQ1665" t="str">
            <v>13228306|76378831|316930228|65213087</v>
          </cell>
          <cell r="AR1665" t="str">
            <v>GASTO FISICO</v>
          </cell>
        </row>
        <row r="1666">
          <cell r="AQ1666" t="str">
            <v>13228306|96951870|765521912|765521912</v>
          </cell>
          <cell r="AR1666" t="str">
            <v>IMED SALUD</v>
          </cell>
        </row>
        <row r="1667">
          <cell r="AQ1667" t="str">
            <v>13228306|96951870|765521912|765521912</v>
          </cell>
          <cell r="AR1667" t="str">
            <v>IMED SALUD</v>
          </cell>
        </row>
        <row r="1668">
          <cell r="AQ1668" t="str">
            <v>13228306|96951870|765521912|65384087</v>
          </cell>
          <cell r="AR1668" t="str">
            <v>GASTO FISICO</v>
          </cell>
        </row>
        <row r="1669">
          <cell r="AQ1669" t="str">
            <v>13240926|60910000|918805895|918805895</v>
          </cell>
          <cell r="AR1669" t="str">
            <v>IMED SALUD</v>
          </cell>
        </row>
        <row r="1670">
          <cell r="AQ1670" t="str">
            <v>13240926|60910000|918805895|918805895</v>
          </cell>
          <cell r="AR1670" t="str">
            <v>IMED SALUD</v>
          </cell>
        </row>
        <row r="1671">
          <cell r="AQ1671" t="str">
            <v>13240926|60910000|918805895|918805895</v>
          </cell>
          <cell r="AR1671" t="str">
            <v>IMED SALUD</v>
          </cell>
        </row>
        <row r="1672">
          <cell r="AQ1672" t="str">
            <v>13240926|60910000|918805895|918805895</v>
          </cell>
          <cell r="AR1672" t="str">
            <v>IMED SALUD</v>
          </cell>
        </row>
        <row r="1673">
          <cell r="AQ1673" t="str">
            <v>13240926|60910000|918805895|65384088</v>
          </cell>
          <cell r="AR1673" t="str">
            <v>GASTO FISICO</v>
          </cell>
        </row>
        <row r="1674">
          <cell r="AQ1674" t="str">
            <v>13240926|60910000|918805895|65384088</v>
          </cell>
          <cell r="AR1674" t="str">
            <v>GASTO FISICO</v>
          </cell>
        </row>
        <row r="1675">
          <cell r="AQ1675" t="str">
            <v>13240926|96530470|920011856|920011856</v>
          </cell>
          <cell r="AR1675" t="str">
            <v>IMED SALUD</v>
          </cell>
        </row>
        <row r="1676">
          <cell r="AQ1676" t="str">
            <v>13240926|96530470|920011856|920011856</v>
          </cell>
          <cell r="AR1676" t="str">
            <v>IMED SALUD</v>
          </cell>
        </row>
        <row r="1677">
          <cell r="AQ1677" t="str">
            <v>13240926|96530470|920011856|65384089</v>
          </cell>
          <cell r="AR1677" t="str">
            <v>GASTO FISICO</v>
          </cell>
        </row>
        <row r="1678">
          <cell r="AQ1678" t="str">
            <v>13240926|79980070|920023711|920023711</v>
          </cell>
          <cell r="AR1678" t="str">
            <v>IMED SALUD</v>
          </cell>
        </row>
        <row r="1679">
          <cell r="AQ1679" t="str">
            <v>13240926|79980070|920023711|920023711</v>
          </cell>
          <cell r="AR1679" t="str">
            <v>IMED SALUD</v>
          </cell>
        </row>
        <row r="1680">
          <cell r="AQ1680" t="str">
            <v>13240926|79980070|920023711|65384090</v>
          </cell>
          <cell r="AR1680" t="str">
            <v>GASTO FISICO</v>
          </cell>
        </row>
        <row r="1681">
          <cell r="AQ1681" t="str">
            <v>13240926|76098454|920392090|920392090</v>
          </cell>
          <cell r="AR1681" t="str">
            <v>IMED SALUD</v>
          </cell>
        </row>
        <row r="1682">
          <cell r="AQ1682" t="str">
            <v>13240926|76098454|920392090|920392090</v>
          </cell>
          <cell r="AR1682" t="str">
            <v>IMED SALUD</v>
          </cell>
        </row>
        <row r="1683">
          <cell r="AQ1683" t="str">
            <v>13240926|76098454|920392090|65384091</v>
          </cell>
          <cell r="AR1683" t="str">
            <v>GASTO FISICO</v>
          </cell>
        </row>
        <row r="1684">
          <cell r="AQ1684" t="str">
            <v>13240926|76098454|920392482|920392482</v>
          </cell>
          <cell r="AR1684" t="str">
            <v>IMED SALUD</v>
          </cell>
        </row>
        <row r="1685">
          <cell r="AQ1685" t="str">
            <v>13240926|76098454|920392482|920392482</v>
          </cell>
          <cell r="AR1685" t="str">
            <v>IMED SALUD</v>
          </cell>
        </row>
        <row r="1686">
          <cell r="AQ1686" t="str">
            <v>13240926|76098454|920392482|65384092</v>
          </cell>
          <cell r="AR1686" t="str">
            <v>GASTO FISICO</v>
          </cell>
        </row>
        <row r="1687">
          <cell r="AQ1687" t="str">
            <v>13245307|78802190|917339065|917339065</v>
          </cell>
          <cell r="AR1687" t="str">
            <v>IMED SALUD</v>
          </cell>
        </row>
        <row r="1688">
          <cell r="AQ1688" t="str">
            <v>13245307|78802190|917339065|917339065</v>
          </cell>
          <cell r="AR1688" t="str">
            <v>IMED SALUD</v>
          </cell>
        </row>
        <row r="1689">
          <cell r="AQ1689" t="str">
            <v>13245307|78802190|917339065|917339065</v>
          </cell>
          <cell r="AR1689" t="str">
            <v>IMED SALUD</v>
          </cell>
        </row>
        <row r="1690">
          <cell r="AQ1690" t="str">
            <v>13245307|78802190|917339065|917339065</v>
          </cell>
          <cell r="AR1690" t="str">
            <v>IMED SALUD</v>
          </cell>
        </row>
        <row r="1691">
          <cell r="AQ1691" t="str">
            <v>13245307|78802190|917339065|917339065</v>
          </cell>
          <cell r="AR1691" t="str">
            <v>IMED SALUD</v>
          </cell>
        </row>
        <row r="1692">
          <cell r="AQ1692" t="str">
            <v>13245307|78802190|917339065|917339065</v>
          </cell>
          <cell r="AR1692" t="str">
            <v>IMED SALUD</v>
          </cell>
        </row>
        <row r="1693">
          <cell r="AQ1693" t="str">
            <v>13245307|78802190|917339065|917339065</v>
          </cell>
          <cell r="AR1693" t="str">
            <v>IMED SALUD</v>
          </cell>
        </row>
        <row r="1694">
          <cell r="AQ1694" t="str">
            <v>13245307|78802190|917339065|917339065</v>
          </cell>
          <cell r="AR1694" t="str">
            <v>IMED SALUD</v>
          </cell>
        </row>
        <row r="1695">
          <cell r="AQ1695" t="str">
            <v>13245307|78802190|917339065|917339065</v>
          </cell>
          <cell r="AR1695" t="str">
            <v>IMED SALUD</v>
          </cell>
        </row>
        <row r="1696">
          <cell r="AQ1696" t="str">
            <v>13245307|78802190|917339065|917339065</v>
          </cell>
          <cell r="AR1696" t="str">
            <v>IMED SALUD</v>
          </cell>
        </row>
        <row r="1697">
          <cell r="AQ1697" t="str">
            <v>13245307|78802190|917339065|65384094</v>
          </cell>
          <cell r="AR1697" t="str">
            <v>GASTO FISICO</v>
          </cell>
        </row>
        <row r="1698">
          <cell r="AQ1698" t="str">
            <v>13245307|78802190|917339065|65384094</v>
          </cell>
          <cell r="AR1698" t="str">
            <v>GASTO FISICO</v>
          </cell>
        </row>
        <row r="1699">
          <cell r="AQ1699" t="str">
            <v>13245307|78802190|917339065|65384094</v>
          </cell>
          <cell r="AR1699" t="str">
            <v>GASTO FISICO</v>
          </cell>
        </row>
        <row r="1700">
          <cell r="AQ1700" t="str">
            <v>13245307|78802190|917339065|65384094</v>
          </cell>
          <cell r="AR1700" t="str">
            <v>GASTO FISICO</v>
          </cell>
        </row>
        <row r="1701">
          <cell r="AQ1701" t="str">
            <v>13245307|78802190|917339065|65384094</v>
          </cell>
          <cell r="AR1701" t="str">
            <v>GASTO FISICO</v>
          </cell>
        </row>
        <row r="1702">
          <cell r="AQ1702" t="str">
            <v>13245307|78802190|917339066|917339066</v>
          </cell>
          <cell r="AR1702" t="str">
            <v>IMED SALUD</v>
          </cell>
        </row>
        <row r="1703">
          <cell r="AQ1703" t="str">
            <v>13245307|78802190|917339066|917339066</v>
          </cell>
          <cell r="AR1703" t="str">
            <v>IMED SALUD</v>
          </cell>
        </row>
        <row r="1704">
          <cell r="AQ1704" t="str">
            <v>13245307|78802190|917339066|65384095</v>
          </cell>
          <cell r="AR1704" t="str">
            <v>GASTO FISICO</v>
          </cell>
        </row>
        <row r="1705">
          <cell r="AQ1705" t="str">
            <v>13245307|96789430|922175487|922175487</v>
          </cell>
          <cell r="AR1705" t="str">
            <v>IMED SALUD</v>
          </cell>
        </row>
        <row r="1706">
          <cell r="AQ1706" t="str">
            <v>13245307|96789430|922175487|22167500</v>
          </cell>
          <cell r="AR1706" t="str">
            <v>GASTO FISICO</v>
          </cell>
        </row>
        <row r="1707">
          <cell r="AQ1707" t="str">
            <v>13245307|96789430|922175487|922175487</v>
          </cell>
          <cell r="AR1707" t="str">
            <v>IMED SALUD</v>
          </cell>
        </row>
        <row r="1708">
          <cell r="AQ1708" t="str">
            <v>13245307|96789430|922175487|65384093</v>
          </cell>
          <cell r="AR1708" t="str">
            <v>GASTO FISICO</v>
          </cell>
        </row>
        <row r="1709">
          <cell r="AQ1709" t="str">
            <v>13266639|78122820|302735|21965274</v>
          </cell>
          <cell r="AR1709" t="str">
            <v>GASTO FISICO</v>
          </cell>
        </row>
        <row r="1710">
          <cell r="AQ1710" t="str">
            <v>13266639|78122820|302735|21965274</v>
          </cell>
          <cell r="AR1710" t="str">
            <v>GASTO FISICO</v>
          </cell>
        </row>
        <row r="1711">
          <cell r="AQ1711" t="str">
            <v>13266639|78122820|302735|21965274</v>
          </cell>
          <cell r="AR1711" t="str">
            <v>GASTO FISICO</v>
          </cell>
        </row>
        <row r="1712">
          <cell r="AQ1712" t="str">
            <v>13266639|78122820|302735|978331</v>
          </cell>
          <cell r="AR1712" t="str">
            <v>GASTO FISICO</v>
          </cell>
        </row>
        <row r="1713">
          <cell r="AQ1713" t="str">
            <v>13266639|78122820|302735|978331</v>
          </cell>
          <cell r="AR1713" t="str">
            <v>GASTO FISICO</v>
          </cell>
        </row>
        <row r="1714">
          <cell r="AQ1714" t="str">
            <v>13266639|78122820|302735|978331</v>
          </cell>
          <cell r="AR1714" t="str">
            <v>GASTO FISICO</v>
          </cell>
        </row>
        <row r="1715">
          <cell r="AQ1715" t="str">
            <v>13266639|78122820|302735|65213091</v>
          </cell>
          <cell r="AR1715" t="str">
            <v>GASTO FISICO</v>
          </cell>
        </row>
        <row r="1716">
          <cell r="AQ1716" t="str">
            <v>13266639|78122820|302735|65213091</v>
          </cell>
          <cell r="AR1716" t="str">
            <v>GASTO FISICO</v>
          </cell>
        </row>
        <row r="1717">
          <cell r="AQ1717" t="str">
            <v>13266639|76197293|37030|22130372</v>
          </cell>
          <cell r="AR1717" t="str">
            <v>GASTO FISICO</v>
          </cell>
        </row>
        <row r="1718">
          <cell r="AQ1718" t="str">
            <v>13266639|76197293|37030|22130372</v>
          </cell>
          <cell r="AR1718" t="str">
            <v>GASTO FISICO</v>
          </cell>
        </row>
        <row r="1719">
          <cell r="AQ1719" t="str">
            <v>13266639|76197293|37030|22130372</v>
          </cell>
          <cell r="AR1719" t="str">
            <v>GASTO FISICO</v>
          </cell>
        </row>
        <row r="1720">
          <cell r="AQ1720" t="str">
            <v>13266639|76197293|37030|1037879</v>
          </cell>
          <cell r="AR1720" t="str">
            <v>GASTO FISICO</v>
          </cell>
        </row>
        <row r="1721">
          <cell r="AQ1721" t="str">
            <v>13266639|76197293|37030|1037879</v>
          </cell>
          <cell r="AR1721" t="str">
            <v>GASTO FISICO</v>
          </cell>
        </row>
        <row r="1722">
          <cell r="AQ1722" t="str">
            <v>13266639|76197293|37030|1037879</v>
          </cell>
          <cell r="AR1722" t="str">
            <v>GASTO FISICO</v>
          </cell>
        </row>
        <row r="1723">
          <cell r="AQ1723" t="str">
            <v>13266639|76197293|37030|66379952</v>
          </cell>
          <cell r="AR1723" t="str">
            <v>GASTO FISICO</v>
          </cell>
        </row>
        <row r="1724">
          <cell r="AQ1724" t="str">
            <v>13266639|76197293|37030|66379952</v>
          </cell>
          <cell r="AR1724" t="str">
            <v>GASTO FISICO</v>
          </cell>
        </row>
        <row r="1725">
          <cell r="AQ1725" t="str">
            <v>13266639|76197293|37030|66379952</v>
          </cell>
          <cell r="AR1725" t="str">
            <v>GASTO FISICO</v>
          </cell>
        </row>
        <row r="1726">
          <cell r="AQ1726" t="str">
            <v>13281122|96942400|765333067|765333067</v>
          </cell>
          <cell r="AR1726" t="str">
            <v>IMED SALUD</v>
          </cell>
        </row>
        <row r="1727">
          <cell r="AQ1727" t="str">
            <v>13281122|96942400|765333067|765333067</v>
          </cell>
          <cell r="AR1727" t="str">
            <v>IMED SALUD</v>
          </cell>
        </row>
        <row r="1728">
          <cell r="AQ1728" t="str">
            <v>13281122|96942400|765333067|65384107</v>
          </cell>
          <cell r="AR1728" t="str">
            <v>GASTO FISICO</v>
          </cell>
        </row>
        <row r="1729">
          <cell r="AQ1729" t="str">
            <v>13281122|96942400|765623647|765623647</v>
          </cell>
          <cell r="AR1729" t="str">
            <v>IMED SALUD</v>
          </cell>
        </row>
        <row r="1730">
          <cell r="AQ1730" t="str">
            <v>13281122|96942400|765623647|765623647</v>
          </cell>
          <cell r="AR1730" t="str">
            <v>IMED SALUD</v>
          </cell>
        </row>
        <row r="1731">
          <cell r="AQ1731" t="str">
            <v>13281122|96942400|765623647|65384099</v>
          </cell>
          <cell r="AR1731" t="str">
            <v>GASTO FISICO</v>
          </cell>
        </row>
        <row r="1732">
          <cell r="AQ1732" t="str">
            <v>13281122|96942400|765623648|765623648</v>
          </cell>
          <cell r="AR1732" t="str">
            <v>IMED SALUD</v>
          </cell>
        </row>
        <row r="1733">
          <cell r="AQ1733" t="str">
            <v>13281122|96942400|765623648|765623648</v>
          </cell>
          <cell r="AR1733" t="str">
            <v>IMED SALUD</v>
          </cell>
        </row>
        <row r="1734">
          <cell r="AQ1734" t="str">
            <v>13281122|96942400|765623648|65384100</v>
          </cell>
          <cell r="AR1734" t="str">
            <v>GASTO FISICO</v>
          </cell>
        </row>
        <row r="1735">
          <cell r="AQ1735" t="str">
            <v>13281122|96942400|765623726|765623726</v>
          </cell>
          <cell r="AR1735" t="str">
            <v>IMED SALUD</v>
          </cell>
        </row>
        <row r="1736">
          <cell r="AQ1736" t="str">
            <v>13281122|96942400|765623726|765623726</v>
          </cell>
          <cell r="AR1736" t="str">
            <v>IMED SALUD</v>
          </cell>
        </row>
        <row r="1737">
          <cell r="AQ1737" t="str">
            <v>13281122|96942400|765623726|65384101</v>
          </cell>
          <cell r="AR1737" t="str">
            <v>GASTO FISICO</v>
          </cell>
        </row>
        <row r="1738">
          <cell r="AQ1738" t="str">
            <v>13281122|96942400|765700556|765700556</v>
          </cell>
          <cell r="AR1738" t="str">
            <v>IMED SALUD</v>
          </cell>
        </row>
        <row r="1739">
          <cell r="AQ1739" t="str">
            <v>13281122|96942400|765700556|765700556</v>
          </cell>
          <cell r="AR1739" t="str">
            <v>IMED SALUD</v>
          </cell>
        </row>
        <row r="1740">
          <cell r="AQ1740" t="str">
            <v>13281122|96942400|765700556|765700556</v>
          </cell>
          <cell r="AR1740" t="str">
            <v>IMED SALUD</v>
          </cell>
        </row>
        <row r="1741">
          <cell r="AQ1741" t="str">
            <v>13281122|96942400|765700556|765700556</v>
          </cell>
          <cell r="AR1741" t="str">
            <v>IMED SALUD</v>
          </cell>
        </row>
        <row r="1742">
          <cell r="AQ1742" t="str">
            <v>13281122|96942400|765700556|765700556</v>
          </cell>
          <cell r="AR1742" t="str">
            <v>IMED SALUD</v>
          </cell>
        </row>
        <row r="1743">
          <cell r="AQ1743" t="str">
            <v>13281122|96942400|765700556|765700556</v>
          </cell>
          <cell r="AR1743" t="str">
            <v>IMED SALUD</v>
          </cell>
        </row>
        <row r="1744">
          <cell r="AQ1744" t="str">
            <v>13281122|96942400|765700556|765700556</v>
          </cell>
          <cell r="AR1744" t="str">
            <v>IMED SALUD</v>
          </cell>
        </row>
        <row r="1745">
          <cell r="AQ1745" t="str">
            <v>13281122|96942400|765700556|765700556</v>
          </cell>
          <cell r="AR1745" t="str">
            <v>IMED SALUD</v>
          </cell>
        </row>
        <row r="1746">
          <cell r="AQ1746" t="str">
            <v>13281122|96942400|765700556|765700556</v>
          </cell>
          <cell r="AR1746" t="str">
            <v>IMED SALUD</v>
          </cell>
        </row>
        <row r="1747">
          <cell r="AQ1747" t="str">
            <v>13281122|96942400|765700556|765700556</v>
          </cell>
          <cell r="AR1747" t="str">
            <v>IMED SALUD</v>
          </cell>
        </row>
        <row r="1748">
          <cell r="AQ1748" t="str">
            <v>13281122|96942400|765700556|65384102</v>
          </cell>
          <cell r="AR1748" t="str">
            <v>GASTO FISICO</v>
          </cell>
        </row>
        <row r="1749">
          <cell r="AQ1749" t="str">
            <v>13281122|96942400|765700556|65384102</v>
          </cell>
          <cell r="AR1749" t="str">
            <v>GASTO FISICO</v>
          </cell>
        </row>
        <row r="1750">
          <cell r="AQ1750" t="str">
            <v>13281122|96942400|765700556|65384102</v>
          </cell>
          <cell r="AR1750" t="str">
            <v>GASTO FISICO</v>
          </cell>
        </row>
        <row r="1751">
          <cell r="AQ1751" t="str">
            <v>13281122|96942400|765700556|65384102</v>
          </cell>
          <cell r="AR1751" t="str">
            <v>GASTO FISICO</v>
          </cell>
        </row>
        <row r="1752">
          <cell r="AQ1752" t="str">
            <v>13281122|96942400|765700556|65384102</v>
          </cell>
          <cell r="AR1752" t="str">
            <v>GASTO FISICO</v>
          </cell>
        </row>
        <row r="1753">
          <cell r="AQ1753" t="str">
            <v>13281122|96942400|765700557|765700557</v>
          </cell>
          <cell r="AR1753" t="str">
            <v>IMED SALUD</v>
          </cell>
        </row>
        <row r="1754">
          <cell r="AQ1754" t="str">
            <v>13281122|96942400|765700557|765700557</v>
          </cell>
          <cell r="AR1754" t="str">
            <v>IMED SALUD</v>
          </cell>
        </row>
        <row r="1755">
          <cell r="AQ1755" t="str">
            <v>13281122|96942400|765700557|765700557</v>
          </cell>
          <cell r="AR1755" t="str">
            <v>IMED SALUD</v>
          </cell>
        </row>
        <row r="1756">
          <cell r="AQ1756" t="str">
            <v>13281122|96942400|765700557|765700557</v>
          </cell>
          <cell r="AR1756" t="str">
            <v>IMED SALUD</v>
          </cell>
        </row>
        <row r="1757">
          <cell r="AQ1757" t="str">
            <v>13281122|96942400|765700557|765700557</v>
          </cell>
          <cell r="AR1757" t="str">
            <v>IMED SALUD</v>
          </cell>
        </row>
        <row r="1758">
          <cell r="AQ1758" t="str">
            <v>13281122|96942400|765700557|765700557</v>
          </cell>
          <cell r="AR1758" t="str">
            <v>IMED SALUD</v>
          </cell>
        </row>
        <row r="1759">
          <cell r="AQ1759" t="str">
            <v>13281122|96942400|765700557|765700557</v>
          </cell>
          <cell r="AR1759" t="str">
            <v>IMED SALUD</v>
          </cell>
        </row>
        <row r="1760">
          <cell r="AQ1760" t="str">
            <v>13281122|96942400|765700557|765700557</v>
          </cell>
          <cell r="AR1760" t="str">
            <v>IMED SALUD</v>
          </cell>
        </row>
        <row r="1761">
          <cell r="AQ1761" t="str">
            <v>13281122|96942400|765700557|65384103</v>
          </cell>
          <cell r="AR1761" t="str">
            <v>GASTO FISICO</v>
          </cell>
        </row>
        <row r="1762">
          <cell r="AQ1762" t="str">
            <v>13281122|96942400|765700557|65384103</v>
          </cell>
          <cell r="AR1762" t="str">
            <v>GASTO FISICO</v>
          </cell>
        </row>
        <row r="1763">
          <cell r="AQ1763" t="str">
            <v>13281122|96942400|765700557|65384103</v>
          </cell>
          <cell r="AR1763" t="str">
            <v>GASTO FISICO</v>
          </cell>
        </row>
        <row r="1764">
          <cell r="AQ1764" t="str">
            <v>13281122|96942400|765700557|65384103</v>
          </cell>
          <cell r="AR1764" t="str">
            <v>GASTO FISICO</v>
          </cell>
        </row>
        <row r="1765">
          <cell r="AQ1765" t="str">
            <v>13281122|96942400|765700723|765700723</v>
          </cell>
          <cell r="AR1765" t="str">
            <v>IMED SALUD</v>
          </cell>
        </row>
        <row r="1766">
          <cell r="AQ1766" t="str">
            <v>13281122|96942400|765700723|765700723</v>
          </cell>
          <cell r="AR1766" t="str">
            <v>IMED SALUD</v>
          </cell>
        </row>
        <row r="1767">
          <cell r="AQ1767" t="str">
            <v>13281122|96942400|765700723|65384104</v>
          </cell>
          <cell r="AR1767" t="str">
            <v>GASTO FISICO</v>
          </cell>
        </row>
        <row r="1768">
          <cell r="AQ1768" t="str">
            <v>13281122|96942400|765702524|765702524</v>
          </cell>
          <cell r="AR1768" t="str">
            <v>IMED SALUD</v>
          </cell>
        </row>
        <row r="1769">
          <cell r="AQ1769" t="str">
            <v>13281122|96942400|765702524|765702524</v>
          </cell>
          <cell r="AR1769" t="str">
            <v>IMED SALUD</v>
          </cell>
        </row>
        <row r="1770">
          <cell r="AQ1770" t="str">
            <v>13281122|96942400|765702524|65384105</v>
          </cell>
          <cell r="AR1770" t="str">
            <v>GASTO FISICO</v>
          </cell>
        </row>
        <row r="1771">
          <cell r="AQ1771" t="str">
            <v>13281122|96942400|765702557|765702557</v>
          </cell>
          <cell r="AR1771" t="str">
            <v>IMED SALUD</v>
          </cell>
        </row>
        <row r="1772">
          <cell r="AQ1772" t="str">
            <v>13281122|96942400|765702557|765702557</v>
          </cell>
          <cell r="AR1772" t="str">
            <v>IMED SALUD</v>
          </cell>
        </row>
        <row r="1773">
          <cell r="AQ1773" t="str">
            <v>13281122|96942400|765702557|65384106</v>
          </cell>
          <cell r="AR1773" t="str">
            <v>GASTO FISICO</v>
          </cell>
        </row>
        <row r="1774">
          <cell r="AQ1774" t="str">
            <v>13297684|19892445|109|21997781</v>
          </cell>
          <cell r="AR1774" t="str">
            <v>GASTO FISICO</v>
          </cell>
        </row>
        <row r="1775">
          <cell r="AQ1775" t="str">
            <v>13297684|19892445|109|986504</v>
          </cell>
          <cell r="AR1775" t="str">
            <v>GASTO FISICO</v>
          </cell>
        </row>
        <row r="1776">
          <cell r="AQ1776" t="str">
            <v>13297684|19892445|109|65213095</v>
          </cell>
          <cell r="AR1776" t="str">
            <v>GASTO FISICO</v>
          </cell>
        </row>
        <row r="1777">
          <cell r="AQ1777" t="str">
            <v>13297684|19892445|114|21997781</v>
          </cell>
          <cell r="AR1777" t="str">
            <v>GASTO FISICO</v>
          </cell>
        </row>
        <row r="1778">
          <cell r="AQ1778" t="str">
            <v>13297684|19892445|114|986504</v>
          </cell>
          <cell r="AR1778" t="str">
            <v>GASTO FISICO</v>
          </cell>
        </row>
        <row r="1779">
          <cell r="AQ1779" t="str">
            <v>13297684|19892445|114|65213095</v>
          </cell>
          <cell r="AR1779" t="str">
            <v>GASTO FISICO</v>
          </cell>
        </row>
        <row r="1780">
          <cell r="AQ1780" t="str">
            <v>13297684|90753000|135980272|135980272</v>
          </cell>
          <cell r="AR1780" t="str">
            <v>IMED SALUD</v>
          </cell>
        </row>
        <row r="1781">
          <cell r="AQ1781" t="str">
            <v>13297684|90753000|135980272|135980272</v>
          </cell>
          <cell r="AR1781" t="str">
            <v>IMED SALUD</v>
          </cell>
        </row>
        <row r="1782">
          <cell r="AQ1782" t="str">
            <v>13297684|90753000|135980272|135980272</v>
          </cell>
          <cell r="AR1782" t="str">
            <v>IMED SALUD</v>
          </cell>
        </row>
        <row r="1783">
          <cell r="AQ1783" t="str">
            <v>13297684|90753000|135980272|135980272</v>
          </cell>
          <cell r="AR1783" t="str">
            <v>IMED SALUD</v>
          </cell>
        </row>
        <row r="1784">
          <cell r="AQ1784" t="str">
            <v>13297684|90753000|135980272|135980272</v>
          </cell>
          <cell r="AR1784" t="str">
            <v>IMED SALUD</v>
          </cell>
        </row>
        <row r="1785">
          <cell r="AQ1785" t="str">
            <v>13297684|90753000|135980272|135980272</v>
          </cell>
          <cell r="AR1785" t="str">
            <v>IMED SALUD</v>
          </cell>
        </row>
        <row r="1786">
          <cell r="AQ1786" t="str">
            <v>13297684|90753000|135980272|135980272</v>
          </cell>
          <cell r="AR1786" t="str">
            <v>IMED SALUD</v>
          </cell>
        </row>
        <row r="1787">
          <cell r="AQ1787" t="str">
            <v>13297684|90753000|135980272|135980272</v>
          </cell>
          <cell r="AR1787" t="str">
            <v>IMED SALUD</v>
          </cell>
        </row>
        <row r="1788">
          <cell r="AQ1788" t="str">
            <v>13297684|90753000|135980272|135980272</v>
          </cell>
          <cell r="AR1788" t="str">
            <v>IMED SALUD</v>
          </cell>
        </row>
        <row r="1789">
          <cell r="AQ1789" t="str">
            <v>13297684|90753000|135980272|135980272</v>
          </cell>
          <cell r="AR1789" t="str">
            <v>IMED SALUD</v>
          </cell>
        </row>
        <row r="1790">
          <cell r="AQ1790" t="str">
            <v>13297684|90753000|135980272|65384108</v>
          </cell>
          <cell r="AR1790" t="str">
            <v>GASTO FISICO</v>
          </cell>
        </row>
        <row r="1791">
          <cell r="AQ1791" t="str">
            <v>13297684|90753000|135980272|65384108</v>
          </cell>
          <cell r="AR1791" t="str">
            <v>GASTO FISICO</v>
          </cell>
        </row>
        <row r="1792">
          <cell r="AQ1792" t="str">
            <v>13297684|90753000|135980272|65384108</v>
          </cell>
          <cell r="AR1792" t="str">
            <v>GASTO FISICO</v>
          </cell>
        </row>
        <row r="1793">
          <cell r="AQ1793" t="str">
            <v>13297684|90753000|135980272|65384108</v>
          </cell>
          <cell r="AR1793" t="str">
            <v>GASTO FISICO</v>
          </cell>
        </row>
        <row r="1794">
          <cell r="AQ1794" t="str">
            <v>13297684|90753000|135980272|65384108</v>
          </cell>
          <cell r="AR1794" t="str">
            <v>GASTO FISICO</v>
          </cell>
        </row>
        <row r="1795">
          <cell r="AQ1795" t="str">
            <v>13297684|90753000|135980273|135980273</v>
          </cell>
          <cell r="AR1795" t="str">
            <v>IMED SALUD</v>
          </cell>
        </row>
        <row r="1796">
          <cell r="AQ1796" t="str">
            <v>13297684|90753000|135980273|135980273</v>
          </cell>
          <cell r="AR1796" t="str">
            <v>IMED SALUD</v>
          </cell>
        </row>
        <row r="1797">
          <cell r="AQ1797" t="str">
            <v>13297684|90753000|135980273|135980273</v>
          </cell>
          <cell r="AR1797" t="str">
            <v>IMED SALUD</v>
          </cell>
        </row>
        <row r="1798">
          <cell r="AQ1798" t="str">
            <v>13297684|90753000|135980273|135980273</v>
          </cell>
          <cell r="AR1798" t="str">
            <v>IMED SALUD</v>
          </cell>
        </row>
        <row r="1799">
          <cell r="AQ1799" t="str">
            <v>13297684|90753000|135980273|135980273</v>
          </cell>
          <cell r="AR1799" t="str">
            <v>IMED SALUD</v>
          </cell>
        </row>
        <row r="1800">
          <cell r="AQ1800" t="str">
            <v>13297684|90753000|135980273|135980273</v>
          </cell>
          <cell r="AR1800" t="str">
            <v>IMED SALUD</v>
          </cell>
        </row>
        <row r="1801">
          <cell r="AQ1801" t="str">
            <v>13297684|90753000|135980273|135980273</v>
          </cell>
          <cell r="AR1801" t="str">
            <v>IMED SALUD</v>
          </cell>
        </row>
        <row r="1802">
          <cell r="AQ1802" t="str">
            <v>13297684|90753000|135980273|135980273</v>
          </cell>
          <cell r="AR1802" t="str">
            <v>IMED SALUD</v>
          </cell>
        </row>
        <row r="1803">
          <cell r="AQ1803" t="str">
            <v>13297684|90753000|135980273|135980273</v>
          </cell>
          <cell r="AR1803" t="str">
            <v>IMED SALUD</v>
          </cell>
        </row>
        <row r="1804">
          <cell r="AQ1804" t="str">
            <v>13297684|90753000|135980273|135980273</v>
          </cell>
          <cell r="AR1804" t="str">
            <v>IMED SALUD</v>
          </cell>
        </row>
        <row r="1805">
          <cell r="AQ1805" t="str">
            <v>13297684|90753000|135980273|65384109</v>
          </cell>
          <cell r="AR1805" t="str">
            <v>GASTO FISICO</v>
          </cell>
        </row>
        <row r="1806">
          <cell r="AQ1806" t="str">
            <v>13297684|90753000|135980273|65384109</v>
          </cell>
          <cell r="AR1806" t="str">
            <v>GASTO FISICO</v>
          </cell>
        </row>
        <row r="1807">
          <cell r="AQ1807" t="str">
            <v>13297684|90753000|135980273|65384109</v>
          </cell>
          <cell r="AR1807" t="str">
            <v>GASTO FISICO</v>
          </cell>
        </row>
        <row r="1808">
          <cell r="AQ1808" t="str">
            <v>13297684|90753000|135980273|65384109</v>
          </cell>
          <cell r="AR1808" t="str">
            <v>GASTO FISICO</v>
          </cell>
        </row>
        <row r="1809">
          <cell r="AQ1809" t="str">
            <v>13297684|90753000|135980273|65384109</v>
          </cell>
          <cell r="AR1809" t="str">
            <v>GASTO FISICO</v>
          </cell>
        </row>
        <row r="1810">
          <cell r="AQ1810" t="str">
            <v>13297684|90753000|135980274|135980274</v>
          </cell>
          <cell r="AR1810" t="str">
            <v>IMED SALUD</v>
          </cell>
        </row>
        <row r="1811">
          <cell r="AQ1811" t="str">
            <v>13297684|90753000|135980274|135980274</v>
          </cell>
          <cell r="AR1811" t="str">
            <v>IMED SALUD</v>
          </cell>
        </row>
        <row r="1812">
          <cell r="AQ1812" t="str">
            <v>13297684|90753000|135980274|135980274</v>
          </cell>
          <cell r="AR1812" t="str">
            <v>IMED SALUD</v>
          </cell>
        </row>
        <row r="1813">
          <cell r="AQ1813" t="str">
            <v>13297684|90753000|135980274|135980274</v>
          </cell>
          <cell r="AR1813" t="str">
            <v>IMED SALUD</v>
          </cell>
        </row>
        <row r="1814">
          <cell r="AQ1814" t="str">
            <v>13297684|90753000|135980274|135980274</v>
          </cell>
          <cell r="AR1814" t="str">
            <v>IMED SALUD</v>
          </cell>
        </row>
        <row r="1815">
          <cell r="AQ1815" t="str">
            <v>13297684|90753000|135980274|135980274</v>
          </cell>
          <cell r="AR1815" t="str">
            <v>IMED SALUD</v>
          </cell>
        </row>
        <row r="1816">
          <cell r="AQ1816" t="str">
            <v>13297684|90753000|135980274|65384110</v>
          </cell>
          <cell r="AR1816" t="str">
            <v>GASTO FISICO</v>
          </cell>
        </row>
        <row r="1817">
          <cell r="AQ1817" t="str">
            <v>13297684|90753000|135980274|65384110</v>
          </cell>
          <cell r="AR1817" t="str">
            <v>GASTO FISICO</v>
          </cell>
        </row>
        <row r="1818">
          <cell r="AQ1818" t="str">
            <v>13297684|90753000|135980274|65384110</v>
          </cell>
          <cell r="AR1818" t="str">
            <v>GASTO FISICO</v>
          </cell>
        </row>
        <row r="1819">
          <cell r="AQ1819" t="str">
            <v>13470864|76031071|646386485|22019324</v>
          </cell>
          <cell r="AR1819" t="str">
            <v>GASTO FISICO</v>
          </cell>
        </row>
        <row r="1820">
          <cell r="AQ1820" t="str">
            <v>13470864|76031071|646386485|22019324</v>
          </cell>
          <cell r="AR1820" t="str">
            <v>GASTO FISICO</v>
          </cell>
        </row>
        <row r="1821">
          <cell r="AQ1821" t="str">
            <v>13470864|76031071|646386485|22019324</v>
          </cell>
          <cell r="AR1821" t="str">
            <v>GASTO FISICO</v>
          </cell>
        </row>
        <row r="1822">
          <cell r="AQ1822" t="str">
            <v>13470864|76031071|646386485|996851</v>
          </cell>
          <cell r="AR1822" t="str">
            <v>GASTO FISICO</v>
          </cell>
        </row>
        <row r="1823">
          <cell r="AQ1823" t="str">
            <v>13470864|76031071|646386485|996851</v>
          </cell>
          <cell r="AR1823" t="str">
            <v>GASTO FISICO</v>
          </cell>
        </row>
        <row r="1824">
          <cell r="AQ1824" t="str">
            <v>13470864|76031071|646386485|996851</v>
          </cell>
          <cell r="AR1824" t="str">
            <v>GASTO FISICO</v>
          </cell>
        </row>
        <row r="1825">
          <cell r="AQ1825" t="str">
            <v>13470864|76031071|646386485|65384118</v>
          </cell>
          <cell r="AR1825" t="str">
            <v>GASTO FISICO</v>
          </cell>
        </row>
        <row r="1826">
          <cell r="AQ1826" t="str">
            <v>13470864|76031071|646386485|65384118</v>
          </cell>
          <cell r="AR1826" t="str">
            <v>GASTO FISICO</v>
          </cell>
        </row>
        <row r="1827">
          <cell r="AQ1827" t="str">
            <v>13470864|76031071|646386485|65384118</v>
          </cell>
          <cell r="AR1827" t="str">
            <v>GASTO FISICO</v>
          </cell>
        </row>
        <row r="1828">
          <cell r="AQ1828" t="str">
            <v>13470864|93930000|917852890|917852890</v>
          </cell>
          <cell r="AR1828" t="str">
            <v>IMED SALUD</v>
          </cell>
        </row>
        <row r="1829">
          <cell r="AQ1829" t="str">
            <v>13470864|93930000|917852890|917852890</v>
          </cell>
          <cell r="AR1829" t="str">
            <v>IMED SALUD</v>
          </cell>
        </row>
        <row r="1830">
          <cell r="AQ1830" t="str">
            <v>13470864|93930000|917852890|65384122</v>
          </cell>
          <cell r="AR1830" t="str">
            <v>GASTO FISICO</v>
          </cell>
        </row>
        <row r="1831">
          <cell r="AQ1831" t="str">
            <v>13656301|77200240|918601995|918601995</v>
          </cell>
          <cell r="AR1831" t="str">
            <v>IMED SALUD</v>
          </cell>
        </row>
        <row r="1832">
          <cell r="AQ1832" t="str">
            <v>13656301|77200240|918601995|918601995</v>
          </cell>
          <cell r="AR1832" t="str">
            <v>IMED SALUD</v>
          </cell>
        </row>
        <row r="1833">
          <cell r="AQ1833" t="str">
            <v>13656301|77200240|918601995|65384123</v>
          </cell>
          <cell r="AR1833" t="str">
            <v>GASTO FISICO</v>
          </cell>
        </row>
        <row r="1834">
          <cell r="AQ1834" t="str">
            <v>13656301|90753000|919813902|919813902</v>
          </cell>
          <cell r="AR1834" t="str">
            <v>IMED SALUD</v>
          </cell>
        </row>
        <row r="1835">
          <cell r="AQ1835" t="str">
            <v>13656301|90753000|919813902|919813902</v>
          </cell>
          <cell r="AR1835" t="str">
            <v>IMED SALUD</v>
          </cell>
        </row>
        <row r="1836">
          <cell r="AQ1836" t="str">
            <v>13656301|90753000|919813902|919813902</v>
          </cell>
          <cell r="AR1836" t="str">
            <v>IMED SALUD</v>
          </cell>
        </row>
        <row r="1837">
          <cell r="AQ1837" t="str">
            <v>13656301|90753000|919813902|919813902</v>
          </cell>
          <cell r="AR1837" t="str">
            <v>IMED SALUD</v>
          </cell>
        </row>
        <row r="1838">
          <cell r="AQ1838" t="str">
            <v>13656301|90753000|919813902|919813902</v>
          </cell>
          <cell r="AR1838" t="str">
            <v>IMED SALUD</v>
          </cell>
        </row>
        <row r="1839">
          <cell r="AQ1839" t="str">
            <v>13656301|90753000|919813902|919813902</v>
          </cell>
          <cell r="AR1839" t="str">
            <v>IMED SALUD</v>
          </cell>
        </row>
        <row r="1840">
          <cell r="AQ1840" t="str">
            <v>13656301|90753000|919813902|919813902</v>
          </cell>
          <cell r="AR1840" t="str">
            <v>IMED SALUD</v>
          </cell>
        </row>
        <row r="1841">
          <cell r="AQ1841" t="str">
            <v>13656301|90753000|919813902|919813902</v>
          </cell>
          <cell r="AR1841" t="str">
            <v>IMED SALUD</v>
          </cell>
        </row>
        <row r="1842">
          <cell r="AQ1842" t="str">
            <v>13656301|90753000|919813902|919813902</v>
          </cell>
          <cell r="AR1842" t="str">
            <v>IMED SALUD</v>
          </cell>
        </row>
        <row r="1843">
          <cell r="AQ1843" t="str">
            <v>13656301|90753000|919813902|919813902</v>
          </cell>
          <cell r="AR1843" t="str">
            <v>IMED SALUD</v>
          </cell>
        </row>
        <row r="1844">
          <cell r="AQ1844" t="str">
            <v>13656301|90753000|919813902|65384124</v>
          </cell>
          <cell r="AR1844" t="str">
            <v>GASTO FISICO</v>
          </cell>
        </row>
        <row r="1845">
          <cell r="AQ1845" t="str">
            <v>13656301|90753000|919813902|65384124</v>
          </cell>
          <cell r="AR1845" t="str">
            <v>GASTO FISICO</v>
          </cell>
        </row>
        <row r="1846">
          <cell r="AQ1846" t="str">
            <v>13656301|90753000|919813902|65384124</v>
          </cell>
          <cell r="AR1846" t="str">
            <v>GASTO FISICO</v>
          </cell>
        </row>
        <row r="1847">
          <cell r="AQ1847" t="str">
            <v>13656301|90753000|919813902|65384124</v>
          </cell>
          <cell r="AR1847" t="str">
            <v>GASTO FISICO</v>
          </cell>
        </row>
        <row r="1848">
          <cell r="AQ1848" t="str">
            <v>13656301|90753000|919813902|65384124</v>
          </cell>
          <cell r="AR1848" t="str">
            <v>GASTO FISICO</v>
          </cell>
        </row>
        <row r="1849">
          <cell r="AQ1849" t="str">
            <v>13656301|90753000|919813903|919813903</v>
          </cell>
          <cell r="AR1849" t="str">
            <v>IMED SALUD</v>
          </cell>
        </row>
        <row r="1850">
          <cell r="AQ1850" t="str">
            <v>13656301|90753000|919813903|919813903</v>
          </cell>
          <cell r="AR1850" t="str">
            <v>IMED SALUD</v>
          </cell>
        </row>
        <row r="1851">
          <cell r="AQ1851" t="str">
            <v>13656301|90753000|919813903|65384125</v>
          </cell>
          <cell r="AR1851" t="str">
            <v>GASTO FISICO</v>
          </cell>
        </row>
        <row r="1852">
          <cell r="AQ1852" t="str">
            <v>13656301|77200240|919857169|919857169</v>
          </cell>
          <cell r="AR1852" t="str">
            <v>IMED SALUD</v>
          </cell>
        </row>
        <row r="1853">
          <cell r="AQ1853" t="str">
            <v>13656301|77200240|919857169|919857169</v>
          </cell>
          <cell r="AR1853" t="str">
            <v>IMED SALUD</v>
          </cell>
        </row>
        <row r="1854">
          <cell r="AQ1854" t="str">
            <v>13656301|77200240|919857169|65384126</v>
          </cell>
          <cell r="AR1854" t="str">
            <v>GASTO FISICO</v>
          </cell>
        </row>
        <row r="1855">
          <cell r="AQ1855" t="str">
            <v>13656301|77200240|920468213|920468213</v>
          </cell>
          <cell r="AR1855" t="str">
            <v>IMED SALUD</v>
          </cell>
        </row>
        <row r="1856">
          <cell r="AQ1856" t="str">
            <v>13656301|77200240|920468213|920468213</v>
          </cell>
          <cell r="AR1856" t="str">
            <v>IMED SALUD</v>
          </cell>
        </row>
        <row r="1857">
          <cell r="AQ1857" t="str">
            <v>13656301|77200240|920468213|65384127</v>
          </cell>
          <cell r="AR1857" t="str">
            <v>GASTO FISICO</v>
          </cell>
        </row>
        <row r="1858">
          <cell r="AQ1858" t="str">
            <v>13656301|77200240|920468410|920468410</v>
          </cell>
          <cell r="AR1858" t="str">
            <v>IMED SALUD</v>
          </cell>
        </row>
        <row r="1859">
          <cell r="AQ1859" t="str">
            <v>13656301|77200240|920468410|920468410</v>
          </cell>
          <cell r="AR1859" t="str">
            <v>IMED SALUD</v>
          </cell>
        </row>
        <row r="1860">
          <cell r="AQ1860" t="str">
            <v>13656301|77200240|920468410|65384128</v>
          </cell>
          <cell r="AR1860" t="str">
            <v>GASTO FISICO</v>
          </cell>
        </row>
        <row r="1861">
          <cell r="AQ1861" t="str">
            <v>13656301|77200240|920542186|920542186</v>
          </cell>
          <cell r="AR1861" t="str">
            <v>IMED SALUD</v>
          </cell>
        </row>
        <row r="1862">
          <cell r="AQ1862" t="str">
            <v>13656301|77200240|920542186|920542186</v>
          </cell>
          <cell r="AR1862" t="str">
            <v>IMED SALUD</v>
          </cell>
        </row>
        <row r="1863">
          <cell r="AQ1863" t="str">
            <v>13656301|77200240|920542186|920542186</v>
          </cell>
          <cell r="AR1863" t="str">
            <v>IMED SALUD</v>
          </cell>
        </row>
        <row r="1864">
          <cell r="AQ1864" t="str">
            <v>13656301|77200240|920542186|920542186</v>
          </cell>
          <cell r="AR1864" t="str">
            <v>IMED SALUD</v>
          </cell>
        </row>
        <row r="1865">
          <cell r="AQ1865" t="str">
            <v>13656301|77200240|920542186|65384129</v>
          </cell>
          <cell r="AR1865" t="str">
            <v>GASTO FISICO</v>
          </cell>
        </row>
        <row r="1866">
          <cell r="AQ1866" t="str">
            <v>13656301|77200240|920542186|65384129</v>
          </cell>
          <cell r="AR1866" t="str">
            <v>GASTO FISICO</v>
          </cell>
        </row>
        <row r="1867">
          <cell r="AQ1867" t="str">
            <v>13656301|77200240|920562668|920562668</v>
          </cell>
          <cell r="AR1867" t="str">
            <v>IMED SALUD</v>
          </cell>
        </row>
        <row r="1868">
          <cell r="AQ1868" t="str">
            <v>13656301|77200240|920562668|920562668</v>
          </cell>
          <cell r="AR1868" t="str">
            <v>IMED SALUD</v>
          </cell>
        </row>
        <row r="1869">
          <cell r="AQ1869" t="str">
            <v>13656301|77200240|920562668|65384130</v>
          </cell>
          <cell r="AR1869" t="str">
            <v>GASTO FISICO</v>
          </cell>
        </row>
        <row r="1870">
          <cell r="AQ1870" t="str">
            <v>13666280|96942400|370209492|370209492</v>
          </cell>
          <cell r="AR1870" t="str">
            <v>IMED SALUD</v>
          </cell>
        </row>
        <row r="1871">
          <cell r="AQ1871" t="str">
            <v>13666280|96942400|370209492|370209492</v>
          </cell>
          <cell r="AR1871" t="str">
            <v>IMED SALUD</v>
          </cell>
        </row>
        <row r="1872">
          <cell r="AQ1872" t="str">
            <v>13666280|96942400|370209492|65384131</v>
          </cell>
          <cell r="AR1872" t="str">
            <v>GASTO FISICO</v>
          </cell>
        </row>
        <row r="1873">
          <cell r="AQ1873" t="str">
            <v>13686106|78317440|929831458|929831458</v>
          </cell>
          <cell r="AR1873" t="str">
            <v>IMED SALUD</v>
          </cell>
        </row>
        <row r="1874">
          <cell r="AQ1874" t="str">
            <v>13686106|78317440|929831458|929831458</v>
          </cell>
          <cell r="AR1874" t="str">
            <v>IMED SALUD</v>
          </cell>
        </row>
        <row r="1875">
          <cell r="AQ1875" t="str">
            <v>13686106|78317440|929831458|65384133</v>
          </cell>
          <cell r="AR1875" t="str">
            <v>GASTO FISICO</v>
          </cell>
        </row>
        <row r="1876">
          <cell r="AQ1876" t="str">
            <v>13686106|78317440|929877344|929877344</v>
          </cell>
          <cell r="AR1876" t="str">
            <v>IMED SALUD</v>
          </cell>
        </row>
        <row r="1877">
          <cell r="AQ1877" t="str">
            <v>13686106|78317440|929877344|929877344</v>
          </cell>
          <cell r="AR1877" t="str">
            <v>IMED SALUD</v>
          </cell>
        </row>
        <row r="1878">
          <cell r="AQ1878" t="str">
            <v>13686106|78317440|929877344|929877344</v>
          </cell>
          <cell r="AR1878" t="str">
            <v>IMED SALUD</v>
          </cell>
        </row>
        <row r="1879">
          <cell r="AQ1879" t="str">
            <v>13686106|78317440|929877344|929877344</v>
          </cell>
          <cell r="AR1879" t="str">
            <v>IMED SALUD</v>
          </cell>
        </row>
        <row r="1880">
          <cell r="AQ1880" t="str">
            <v>13686106|78317440|929877344|929877344</v>
          </cell>
          <cell r="AR1880" t="str">
            <v>IMED SALUD</v>
          </cell>
        </row>
        <row r="1881">
          <cell r="AQ1881" t="str">
            <v>13686106|78317440|929877344|929877344</v>
          </cell>
          <cell r="AR1881" t="str">
            <v>IMED SALUD</v>
          </cell>
        </row>
        <row r="1882">
          <cell r="AQ1882" t="str">
            <v>13686106|78317440|929877344|65384134</v>
          </cell>
          <cell r="AR1882" t="str">
            <v>GASTO FISICO</v>
          </cell>
        </row>
        <row r="1883">
          <cell r="AQ1883" t="str">
            <v>13686106|78317440|929877344|65384134</v>
          </cell>
          <cell r="AR1883" t="str">
            <v>GASTO FISICO</v>
          </cell>
        </row>
        <row r="1884">
          <cell r="AQ1884" t="str">
            <v>13686106|78317440|929877344|65384134</v>
          </cell>
          <cell r="AR1884" t="str">
            <v>GASTO FISICO</v>
          </cell>
        </row>
        <row r="1885">
          <cell r="AQ1885" t="str">
            <v>13687859|84655500|135928543|135928543</v>
          </cell>
          <cell r="AR1885" t="str">
            <v>IMED SALUD</v>
          </cell>
        </row>
        <row r="1886">
          <cell r="AQ1886" t="str">
            <v>13687859|84655500|135928543|135928543</v>
          </cell>
          <cell r="AR1886" t="str">
            <v>IMED SALUD</v>
          </cell>
        </row>
        <row r="1887">
          <cell r="AQ1887" t="str">
            <v>13687859|84655500|135928543|65384135</v>
          </cell>
          <cell r="AR1887" t="str">
            <v>GASTO FISICO</v>
          </cell>
        </row>
        <row r="1888">
          <cell r="AQ1888" t="str">
            <v>13828290|76436880|135751800|135751800</v>
          </cell>
          <cell r="AR1888" t="str">
            <v>IMED SALUD</v>
          </cell>
        </row>
        <row r="1889">
          <cell r="AQ1889" t="str">
            <v>13828290|76436880|135751800|135751800</v>
          </cell>
          <cell r="AR1889" t="str">
            <v>IMED SALUD</v>
          </cell>
        </row>
        <row r="1890">
          <cell r="AQ1890" t="str">
            <v>13828290|76436880|135751800|65384136</v>
          </cell>
          <cell r="AR1890" t="str">
            <v>GASTO FISICO</v>
          </cell>
        </row>
        <row r="1891">
          <cell r="AQ1891" t="str">
            <v>13830329|96770100|372089295|372089295</v>
          </cell>
          <cell r="AR1891" t="str">
            <v>IMED SALUD</v>
          </cell>
        </row>
        <row r="1892">
          <cell r="AQ1892" t="str">
            <v>13830329|96770100|372089295|372089295</v>
          </cell>
          <cell r="AR1892" t="str">
            <v>IMED SALUD</v>
          </cell>
        </row>
        <row r="1893">
          <cell r="AQ1893" t="str">
            <v>13830329|96770100|372089295|65384140</v>
          </cell>
          <cell r="AR1893" t="str">
            <v>GASTO FISICO</v>
          </cell>
        </row>
        <row r="1894">
          <cell r="AQ1894" t="str">
            <v>13830966|90753000|371968141|371968141</v>
          </cell>
          <cell r="AR1894" t="str">
            <v>IMED SALUD</v>
          </cell>
        </row>
        <row r="1895">
          <cell r="AQ1895" t="str">
            <v>13830966|90753000|371968141|371968141</v>
          </cell>
          <cell r="AR1895" t="str">
            <v>IMED SALUD</v>
          </cell>
        </row>
        <row r="1896">
          <cell r="AQ1896" t="str">
            <v>13830966|90753000|371968141|371968141</v>
          </cell>
          <cell r="AR1896" t="str">
            <v>IMED SALUD</v>
          </cell>
        </row>
        <row r="1897">
          <cell r="AQ1897" t="str">
            <v>13830966|90753000|371968141|371968141</v>
          </cell>
          <cell r="AR1897" t="str">
            <v>IMED SALUD</v>
          </cell>
        </row>
        <row r="1898">
          <cell r="AQ1898" t="str">
            <v>13830966|90753000|371968141|371968141</v>
          </cell>
          <cell r="AR1898" t="str">
            <v>IMED SALUD</v>
          </cell>
        </row>
        <row r="1899">
          <cell r="AQ1899" t="str">
            <v>13830966|90753000|371968141|371968141</v>
          </cell>
          <cell r="AR1899" t="str">
            <v>IMED SALUD</v>
          </cell>
        </row>
        <row r="1900">
          <cell r="AQ1900" t="str">
            <v>13830966|90753000|371968141|65384141</v>
          </cell>
          <cell r="AR1900" t="str">
            <v>GASTO FISICO</v>
          </cell>
        </row>
        <row r="1901">
          <cell r="AQ1901" t="str">
            <v>13830966|90753000|371968141|65384141</v>
          </cell>
          <cell r="AR1901" t="str">
            <v>GASTO FISICO</v>
          </cell>
        </row>
        <row r="1902">
          <cell r="AQ1902" t="str">
            <v>13830966|90753000|371968141|65384141</v>
          </cell>
          <cell r="AR1902" t="str">
            <v>GASTO FISICO</v>
          </cell>
        </row>
        <row r="1903">
          <cell r="AQ1903" t="str">
            <v>13831839|96942400|919780309|919780309</v>
          </cell>
          <cell r="AR1903" t="str">
            <v>IMED SALUD</v>
          </cell>
        </row>
        <row r="1904">
          <cell r="AQ1904" t="str">
            <v>13831839|96942400|919780309|919780309</v>
          </cell>
          <cell r="AR1904" t="str">
            <v>IMED SALUD</v>
          </cell>
        </row>
        <row r="1905">
          <cell r="AQ1905" t="str">
            <v>13831839|96942400|919780309|919780309</v>
          </cell>
          <cell r="AR1905" t="str">
            <v>IMED SALUD</v>
          </cell>
        </row>
        <row r="1906">
          <cell r="AQ1906" t="str">
            <v>13831839|96942400|919780309|919780309</v>
          </cell>
          <cell r="AR1906" t="str">
            <v>IMED SALUD</v>
          </cell>
        </row>
        <row r="1907">
          <cell r="AQ1907" t="str">
            <v>13831839|96942400|919780309|919780309</v>
          </cell>
          <cell r="AR1907" t="str">
            <v>IMED SALUD</v>
          </cell>
        </row>
        <row r="1908">
          <cell r="AQ1908" t="str">
            <v>13831839|96942400|919780309|919780309</v>
          </cell>
          <cell r="AR1908" t="str">
            <v>IMED SALUD</v>
          </cell>
        </row>
        <row r="1909">
          <cell r="AQ1909" t="str">
            <v>13831839|96942400|919780309|919780309</v>
          </cell>
          <cell r="AR1909" t="str">
            <v>IMED SALUD</v>
          </cell>
        </row>
        <row r="1910">
          <cell r="AQ1910" t="str">
            <v>13831839|96942400|919780309|919780309</v>
          </cell>
          <cell r="AR1910" t="str">
            <v>IMED SALUD</v>
          </cell>
        </row>
        <row r="1911">
          <cell r="AQ1911" t="str">
            <v>13831839|96942400|919780309|919780309</v>
          </cell>
          <cell r="AR1911" t="str">
            <v>IMED SALUD</v>
          </cell>
        </row>
        <row r="1912">
          <cell r="AQ1912" t="str">
            <v>13831839|96942400|919780309|919780309</v>
          </cell>
          <cell r="AR1912" t="str">
            <v>IMED SALUD</v>
          </cell>
        </row>
        <row r="1913">
          <cell r="AQ1913" t="str">
            <v>13831839|96942400|919780309|65384142</v>
          </cell>
          <cell r="AR1913" t="str">
            <v>GASTO FISICO</v>
          </cell>
        </row>
        <row r="1914">
          <cell r="AQ1914" t="str">
            <v>13831839|96942400|919780309|65384142</v>
          </cell>
          <cell r="AR1914" t="str">
            <v>GASTO FISICO</v>
          </cell>
        </row>
        <row r="1915">
          <cell r="AQ1915" t="str">
            <v>13831839|96942400|919780309|65384142</v>
          </cell>
          <cell r="AR1915" t="str">
            <v>GASTO FISICO</v>
          </cell>
        </row>
        <row r="1916">
          <cell r="AQ1916" t="str">
            <v>13831839|96942400|919780309|65384142</v>
          </cell>
          <cell r="AR1916" t="str">
            <v>GASTO FISICO</v>
          </cell>
        </row>
        <row r="1917">
          <cell r="AQ1917" t="str">
            <v>13831839|96942400|919780309|65384142</v>
          </cell>
          <cell r="AR1917" t="str">
            <v>GASTO FISICO</v>
          </cell>
        </row>
        <row r="1918">
          <cell r="AQ1918" t="str">
            <v>13831839|96942400|919780310|919780310</v>
          </cell>
          <cell r="AR1918" t="str">
            <v>IMED SALUD</v>
          </cell>
        </row>
        <row r="1919">
          <cell r="AQ1919" t="str">
            <v>13831839|96942400|919780310|919780310</v>
          </cell>
          <cell r="AR1919" t="str">
            <v>IMED SALUD</v>
          </cell>
        </row>
        <row r="1920">
          <cell r="AQ1920" t="str">
            <v>13831839|96942400|919780310|919780310</v>
          </cell>
          <cell r="AR1920" t="str">
            <v>IMED SALUD</v>
          </cell>
        </row>
        <row r="1921">
          <cell r="AQ1921" t="str">
            <v>13831839|96942400|919780310|919780310</v>
          </cell>
          <cell r="AR1921" t="str">
            <v>IMED SALUD</v>
          </cell>
        </row>
        <row r="1922">
          <cell r="AQ1922" t="str">
            <v>13831839|96942400|919780310|919780310</v>
          </cell>
          <cell r="AR1922" t="str">
            <v>IMED SALUD</v>
          </cell>
        </row>
        <row r="1923">
          <cell r="AQ1923" t="str">
            <v>13831839|96942400|919780310|919780310</v>
          </cell>
          <cell r="AR1923" t="str">
            <v>IMED SALUD</v>
          </cell>
        </row>
        <row r="1924">
          <cell r="AQ1924" t="str">
            <v>13831839|96942400|919780310|919780310</v>
          </cell>
          <cell r="AR1924" t="str">
            <v>IMED SALUD</v>
          </cell>
        </row>
        <row r="1925">
          <cell r="AQ1925" t="str">
            <v>13831839|96942400|919780310|919780310</v>
          </cell>
          <cell r="AR1925" t="str">
            <v>IMED SALUD</v>
          </cell>
        </row>
        <row r="1926">
          <cell r="AQ1926" t="str">
            <v>13831839|96942400|919780310|919780310</v>
          </cell>
          <cell r="AR1926" t="str">
            <v>IMED SALUD</v>
          </cell>
        </row>
        <row r="1927">
          <cell r="AQ1927" t="str">
            <v>13831839|96942400|919780310|919780310</v>
          </cell>
          <cell r="AR1927" t="str">
            <v>IMED SALUD</v>
          </cell>
        </row>
        <row r="1928">
          <cell r="AQ1928" t="str">
            <v>13831839|96942400|919780310|65384143</v>
          </cell>
          <cell r="AR1928" t="str">
            <v>GASTO FISICO</v>
          </cell>
        </row>
        <row r="1929">
          <cell r="AQ1929" t="str">
            <v>13831839|96942400|919780310|65384143</v>
          </cell>
          <cell r="AR1929" t="str">
            <v>GASTO FISICO</v>
          </cell>
        </row>
        <row r="1930">
          <cell r="AQ1930" t="str">
            <v>13831839|96942400|919780310|65384143</v>
          </cell>
          <cell r="AR1930" t="str">
            <v>GASTO FISICO</v>
          </cell>
        </row>
        <row r="1931">
          <cell r="AQ1931" t="str">
            <v>13831839|96942400|919780310|65384143</v>
          </cell>
          <cell r="AR1931" t="str">
            <v>GASTO FISICO</v>
          </cell>
        </row>
        <row r="1932">
          <cell r="AQ1932" t="str">
            <v>13831839|96942400|919780310|65384143</v>
          </cell>
          <cell r="AR1932" t="str">
            <v>GASTO FISICO</v>
          </cell>
        </row>
        <row r="1933">
          <cell r="AQ1933" t="str">
            <v>13831839|96942400|919780311|919780311</v>
          </cell>
          <cell r="AR1933" t="str">
            <v>IMED SALUD</v>
          </cell>
        </row>
        <row r="1934">
          <cell r="AQ1934" t="str">
            <v>13831839|96942400|919780311|919780311</v>
          </cell>
          <cell r="AR1934" t="str">
            <v>IMED SALUD</v>
          </cell>
        </row>
        <row r="1935">
          <cell r="AQ1935" t="str">
            <v>13831839|96942400|919780311|919780311</v>
          </cell>
          <cell r="AR1935" t="str">
            <v>IMED SALUD</v>
          </cell>
        </row>
        <row r="1936">
          <cell r="AQ1936" t="str">
            <v>13831839|96942400|919780311|919780311</v>
          </cell>
          <cell r="AR1936" t="str">
            <v>IMED SALUD</v>
          </cell>
        </row>
        <row r="1937">
          <cell r="AQ1937" t="str">
            <v>13831839|96942400|919780311|919780311</v>
          </cell>
          <cell r="AR1937" t="str">
            <v>IMED SALUD</v>
          </cell>
        </row>
        <row r="1938">
          <cell r="AQ1938" t="str">
            <v>13831839|96942400|919780311|919780311</v>
          </cell>
          <cell r="AR1938" t="str">
            <v>IMED SALUD</v>
          </cell>
        </row>
        <row r="1939">
          <cell r="AQ1939" t="str">
            <v>13831839|96942400|919780311|919780311</v>
          </cell>
          <cell r="AR1939" t="str">
            <v>IMED SALUD</v>
          </cell>
        </row>
        <row r="1940">
          <cell r="AQ1940" t="str">
            <v>13831839|96942400|919780311|919780311</v>
          </cell>
          <cell r="AR1940" t="str">
            <v>IMED SALUD</v>
          </cell>
        </row>
        <row r="1941">
          <cell r="AQ1941" t="str">
            <v>13831839|96942400|919780311|919780311</v>
          </cell>
          <cell r="AR1941" t="str">
            <v>IMED SALUD</v>
          </cell>
        </row>
        <row r="1942">
          <cell r="AQ1942" t="str">
            <v>13831839|96942400|919780311|919780311</v>
          </cell>
          <cell r="AR1942" t="str">
            <v>IMED SALUD</v>
          </cell>
        </row>
        <row r="1943">
          <cell r="AQ1943" t="str">
            <v>13831839|96942400|919780311|65384144</v>
          </cell>
          <cell r="AR1943" t="str">
            <v>GASTO FISICO</v>
          </cell>
        </row>
        <row r="1944">
          <cell r="AQ1944" t="str">
            <v>13831839|96942400|919780311|65384144</v>
          </cell>
          <cell r="AR1944" t="str">
            <v>GASTO FISICO</v>
          </cell>
        </row>
        <row r="1945">
          <cell r="AQ1945" t="str">
            <v>13831839|96942400|919780311|65384144</v>
          </cell>
          <cell r="AR1945" t="str">
            <v>GASTO FISICO</v>
          </cell>
        </row>
        <row r="1946">
          <cell r="AQ1946" t="str">
            <v>13831839|96942400|919780311|65384144</v>
          </cell>
          <cell r="AR1946" t="str">
            <v>GASTO FISICO</v>
          </cell>
        </row>
        <row r="1947">
          <cell r="AQ1947" t="str">
            <v>13831839|96942400|919780311|65384144</v>
          </cell>
          <cell r="AR1947" t="str">
            <v>GASTO FISICO</v>
          </cell>
        </row>
        <row r="1948">
          <cell r="AQ1948" t="str">
            <v>13831839|96942400|919780312|919780312</v>
          </cell>
          <cell r="AR1948" t="str">
            <v>IMED SALUD</v>
          </cell>
        </row>
        <row r="1949">
          <cell r="AQ1949" t="str">
            <v>13831839|96942400|919780312|919780312</v>
          </cell>
          <cell r="AR1949" t="str">
            <v>IMED SALUD</v>
          </cell>
        </row>
        <row r="1950">
          <cell r="AQ1950" t="str">
            <v>13831839|96942400|919780312|919780312</v>
          </cell>
          <cell r="AR1950" t="str">
            <v>IMED SALUD</v>
          </cell>
        </row>
        <row r="1951">
          <cell r="AQ1951" t="str">
            <v>13831839|96942400|919780312|919780312</v>
          </cell>
          <cell r="AR1951" t="str">
            <v>IMED SALUD</v>
          </cell>
        </row>
        <row r="1952">
          <cell r="AQ1952" t="str">
            <v>13831839|96942400|919780312|919780312</v>
          </cell>
          <cell r="AR1952" t="str">
            <v>IMED SALUD</v>
          </cell>
        </row>
        <row r="1953">
          <cell r="AQ1953" t="str">
            <v>13831839|96942400|919780312|919780312</v>
          </cell>
          <cell r="AR1953" t="str">
            <v>IMED SALUD</v>
          </cell>
        </row>
        <row r="1954">
          <cell r="AQ1954" t="str">
            <v>13831839|96942400|919780312|919780312</v>
          </cell>
          <cell r="AR1954" t="str">
            <v>IMED SALUD</v>
          </cell>
        </row>
        <row r="1955">
          <cell r="AQ1955" t="str">
            <v>13831839|96942400|919780312|919780312</v>
          </cell>
          <cell r="AR1955" t="str">
            <v>IMED SALUD</v>
          </cell>
        </row>
        <row r="1956">
          <cell r="AQ1956" t="str">
            <v>13831839|96942400|919780312|919780312</v>
          </cell>
          <cell r="AR1956" t="str">
            <v>IMED SALUD</v>
          </cell>
        </row>
        <row r="1957">
          <cell r="AQ1957" t="str">
            <v>13831839|96942400|919780312|919780312</v>
          </cell>
          <cell r="AR1957" t="str">
            <v>IMED SALUD</v>
          </cell>
        </row>
        <row r="1958">
          <cell r="AQ1958" t="str">
            <v>13831839|96942400|919780312|65384145</v>
          </cell>
          <cell r="AR1958" t="str">
            <v>GASTO FISICO</v>
          </cell>
        </row>
        <row r="1959">
          <cell r="AQ1959" t="str">
            <v>13831839|96942400|919780312|65384145</v>
          </cell>
          <cell r="AR1959" t="str">
            <v>GASTO FISICO</v>
          </cell>
        </row>
        <row r="1960">
          <cell r="AQ1960" t="str">
            <v>13831839|96942400|919780312|65384145</v>
          </cell>
          <cell r="AR1960" t="str">
            <v>GASTO FISICO</v>
          </cell>
        </row>
        <row r="1961">
          <cell r="AQ1961" t="str">
            <v>13831839|96942400|919780312|65384145</v>
          </cell>
          <cell r="AR1961" t="str">
            <v>GASTO FISICO</v>
          </cell>
        </row>
        <row r="1962">
          <cell r="AQ1962" t="str">
            <v>13831839|96942400|919780312|65384145</v>
          </cell>
          <cell r="AR1962" t="str">
            <v>GASTO FISICO</v>
          </cell>
        </row>
        <row r="1963">
          <cell r="AQ1963" t="str">
            <v>13831839|96942400|919780313|919780313</v>
          </cell>
          <cell r="AR1963" t="str">
            <v>IMED SALUD</v>
          </cell>
        </row>
        <row r="1964">
          <cell r="AQ1964" t="str">
            <v>13831839|96942400|919780313|919780313</v>
          </cell>
          <cell r="AR1964" t="str">
            <v>IMED SALUD</v>
          </cell>
        </row>
        <row r="1965">
          <cell r="AQ1965" t="str">
            <v>13831839|96942400|919780313|919780313</v>
          </cell>
          <cell r="AR1965" t="str">
            <v>IMED SALUD</v>
          </cell>
        </row>
        <row r="1966">
          <cell r="AQ1966" t="str">
            <v>13831839|96942400|919780313|919780313</v>
          </cell>
          <cell r="AR1966" t="str">
            <v>IMED SALUD</v>
          </cell>
        </row>
        <row r="1967">
          <cell r="AQ1967" t="str">
            <v>13831839|96942400|919780313|65384146</v>
          </cell>
          <cell r="AR1967" t="str">
            <v>GASTO FISICO</v>
          </cell>
        </row>
        <row r="1968">
          <cell r="AQ1968" t="str">
            <v>13831839|96942400|919780313|65384146</v>
          </cell>
          <cell r="AR1968" t="str">
            <v>GASTO FISICO</v>
          </cell>
        </row>
        <row r="1969">
          <cell r="AQ1969" t="str">
            <v>13831839|96942400|919784792|919784792</v>
          </cell>
          <cell r="AR1969" t="str">
            <v>IMED SALUD</v>
          </cell>
        </row>
        <row r="1970">
          <cell r="AQ1970" t="str">
            <v>13831839|96942400|919784792|919784792</v>
          </cell>
          <cell r="AR1970" t="str">
            <v>IMED SALUD</v>
          </cell>
        </row>
        <row r="1971">
          <cell r="AQ1971" t="str">
            <v>13831839|96942400|919784792|65384147</v>
          </cell>
          <cell r="AR1971" t="str">
            <v>GASTO FISICO</v>
          </cell>
        </row>
        <row r="1972">
          <cell r="AQ1972" t="str">
            <v>13831839|96942400|921600310|921600310</v>
          </cell>
          <cell r="AR1972" t="str">
            <v>IMED SALUD</v>
          </cell>
        </row>
        <row r="1973">
          <cell r="AQ1973" t="str">
            <v>13831839|96942400|921600310|921600310</v>
          </cell>
          <cell r="AR1973" t="str">
            <v>IMED SALUD</v>
          </cell>
        </row>
        <row r="1974">
          <cell r="AQ1974" t="str">
            <v>13831839|96942400|921600310|65384148</v>
          </cell>
          <cell r="AR1974" t="str">
            <v>GASTO FISICO</v>
          </cell>
        </row>
        <row r="1975">
          <cell r="AQ1975" t="str">
            <v>13831839|96942400|921608771|921608771</v>
          </cell>
          <cell r="AR1975" t="str">
            <v>IMED SALUD</v>
          </cell>
        </row>
        <row r="1976">
          <cell r="AQ1976" t="str">
            <v>13831839|96942400|921608771|921608771</v>
          </cell>
          <cell r="AR1976" t="str">
            <v>IMED SALUD</v>
          </cell>
        </row>
        <row r="1977">
          <cell r="AQ1977" t="str">
            <v>13831839|96942400|921608771|65384149</v>
          </cell>
          <cell r="AR1977" t="str">
            <v>GASTO FISICO</v>
          </cell>
        </row>
        <row r="1978">
          <cell r="AQ1978" t="str">
            <v>13831839|96942400|921609841|921609841</v>
          </cell>
          <cell r="AR1978" t="str">
            <v>IMED SALUD</v>
          </cell>
        </row>
        <row r="1979">
          <cell r="AQ1979" t="str">
            <v>13831839|96942400|921609841|921609841</v>
          </cell>
          <cell r="AR1979" t="str">
            <v>IMED SALUD</v>
          </cell>
        </row>
        <row r="1980">
          <cell r="AQ1980" t="str">
            <v>13831839|96942400|921609841|65384150</v>
          </cell>
          <cell r="AR1980" t="str">
            <v>GASTO FISICO</v>
          </cell>
        </row>
        <row r="1981">
          <cell r="AQ1981" t="str">
            <v>13924168|96942400|919484279|919484279</v>
          </cell>
          <cell r="AR1981" t="str">
            <v>IMED SALUD</v>
          </cell>
        </row>
        <row r="1982">
          <cell r="AQ1982" t="str">
            <v>13924168|96942400|919484279|919484279</v>
          </cell>
          <cell r="AR1982" t="str">
            <v>IMED SALUD</v>
          </cell>
        </row>
        <row r="1983">
          <cell r="AQ1983" t="str">
            <v>13924168|96942400|919484279|919484279</v>
          </cell>
          <cell r="AR1983" t="str">
            <v>IMED SALUD</v>
          </cell>
        </row>
        <row r="1984">
          <cell r="AQ1984" t="str">
            <v>13924168|96942400|919484279|919484279</v>
          </cell>
          <cell r="AR1984" t="str">
            <v>IMED SALUD</v>
          </cell>
        </row>
        <row r="1985">
          <cell r="AQ1985" t="str">
            <v>13924168|96942400|919484279|919484279</v>
          </cell>
          <cell r="AR1985" t="str">
            <v>IMED SALUD</v>
          </cell>
        </row>
        <row r="1986">
          <cell r="AQ1986" t="str">
            <v>13924168|96942400|919484279|919484279</v>
          </cell>
          <cell r="AR1986" t="str">
            <v>IMED SALUD</v>
          </cell>
        </row>
        <row r="1987">
          <cell r="AQ1987" t="str">
            <v>13924168|96942400|919484279|65384154</v>
          </cell>
          <cell r="AR1987" t="str">
            <v>GASTO FISICO</v>
          </cell>
        </row>
        <row r="1988">
          <cell r="AQ1988" t="str">
            <v>13924168|96942400|919484279|65384154</v>
          </cell>
          <cell r="AR1988" t="str">
            <v>GASTO FISICO</v>
          </cell>
        </row>
        <row r="1989">
          <cell r="AQ1989" t="str">
            <v>13924168|96942400|919484279|65384154</v>
          </cell>
          <cell r="AR1989" t="str">
            <v>GASTO FISICO</v>
          </cell>
        </row>
        <row r="1990">
          <cell r="AQ1990" t="str">
            <v>13924168|96942400|919493119|919493119</v>
          </cell>
          <cell r="AR1990" t="str">
            <v>IMED SALUD</v>
          </cell>
        </row>
        <row r="1991">
          <cell r="AQ1991" t="str">
            <v>13924168|96942400|919493119|919493119</v>
          </cell>
          <cell r="AR1991" t="str">
            <v>IMED SALUD</v>
          </cell>
        </row>
        <row r="1992">
          <cell r="AQ1992" t="str">
            <v>13924168|96942400|919493119|65384155</v>
          </cell>
          <cell r="AR1992" t="str">
            <v>GASTO FISICO</v>
          </cell>
        </row>
        <row r="1993">
          <cell r="AQ1993" t="str">
            <v>13924168|78317440|920183933|920183933</v>
          </cell>
          <cell r="AR1993" t="str">
            <v>IMED SALUD</v>
          </cell>
        </row>
        <row r="1994">
          <cell r="AQ1994" t="str">
            <v>13924168|78317440|920183933|920183933</v>
          </cell>
          <cell r="AR1994" t="str">
            <v>IMED SALUD</v>
          </cell>
        </row>
        <row r="1995">
          <cell r="AQ1995" t="str">
            <v>13924168|78317440|920183933|920183933</v>
          </cell>
          <cell r="AR1995" t="str">
            <v>IMED SALUD</v>
          </cell>
        </row>
        <row r="1996">
          <cell r="AQ1996" t="str">
            <v>13924168|78317440|920183933|920183933</v>
          </cell>
          <cell r="AR1996" t="str">
            <v>IMED SALUD</v>
          </cell>
        </row>
        <row r="1997">
          <cell r="AQ1997" t="str">
            <v>13924168|78317440|920183933|65384156</v>
          </cell>
          <cell r="AR1997" t="str">
            <v>GASTO FISICO</v>
          </cell>
        </row>
        <row r="1998">
          <cell r="AQ1998" t="str">
            <v>13924168|78317440|920183933|65384156</v>
          </cell>
          <cell r="AR1998" t="str">
            <v>GASTO FISICO</v>
          </cell>
        </row>
        <row r="1999">
          <cell r="AQ1999" t="str">
            <v>13924168|96942400|920865376|920865376</v>
          </cell>
          <cell r="AR1999" t="str">
            <v>IMED SALUD</v>
          </cell>
        </row>
        <row r="2000">
          <cell r="AQ2000" t="str">
            <v>13924168|96942400|920865376|920865376</v>
          </cell>
          <cell r="AR2000" t="str">
            <v>IMED SALUD</v>
          </cell>
        </row>
        <row r="2001">
          <cell r="AQ2001" t="str">
            <v>13924168|96942400|920865376|65384157</v>
          </cell>
          <cell r="AR2001" t="str">
            <v>GASTO FISICO</v>
          </cell>
        </row>
        <row r="2002">
          <cell r="AQ2002" t="str">
            <v>13930390|99573490|372297463|372297463</v>
          </cell>
          <cell r="AR2002" t="str">
            <v>IMED SALUD</v>
          </cell>
        </row>
        <row r="2003">
          <cell r="AQ2003" t="str">
            <v>13930390|99573490|372297463|372297463</v>
          </cell>
          <cell r="AR2003" t="str">
            <v>IMED SALUD</v>
          </cell>
        </row>
        <row r="2004">
          <cell r="AQ2004" t="str">
            <v>13930390|99573490|372297463|372297463</v>
          </cell>
          <cell r="AR2004" t="str">
            <v>IMED SALUD</v>
          </cell>
        </row>
        <row r="2005">
          <cell r="AQ2005" t="str">
            <v>13930390|99573490|372297463|372297463</v>
          </cell>
          <cell r="AR2005" t="str">
            <v>IMED SALUD</v>
          </cell>
        </row>
        <row r="2006">
          <cell r="AQ2006" t="str">
            <v>13930390|99573490|372297463|372297463</v>
          </cell>
          <cell r="AR2006" t="str">
            <v>IMED SALUD</v>
          </cell>
        </row>
        <row r="2007">
          <cell r="AQ2007" t="str">
            <v>13930390|99573490|372297463|372297463</v>
          </cell>
          <cell r="AR2007" t="str">
            <v>IMED SALUD</v>
          </cell>
        </row>
        <row r="2008">
          <cell r="AQ2008" t="str">
            <v>13930390|99573490|372297463|372297463</v>
          </cell>
          <cell r="AR2008" t="str">
            <v>IMED SALUD</v>
          </cell>
        </row>
        <row r="2009">
          <cell r="AQ2009" t="str">
            <v>13930390|99573490|372297463|372297463</v>
          </cell>
          <cell r="AR2009" t="str">
            <v>IMED SALUD</v>
          </cell>
        </row>
        <row r="2010">
          <cell r="AQ2010" t="str">
            <v>13930390|99573490|372297463|372297463</v>
          </cell>
          <cell r="AR2010" t="str">
            <v>IMED SALUD</v>
          </cell>
        </row>
        <row r="2011">
          <cell r="AQ2011" t="str">
            <v>13930390|99573490|372297463|372297463</v>
          </cell>
          <cell r="AR2011" t="str">
            <v>IMED SALUD</v>
          </cell>
        </row>
        <row r="2012">
          <cell r="AQ2012" t="str">
            <v>13930390|99573490|372297463|65384158</v>
          </cell>
          <cell r="AR2012" t="str">
            <v>GASTO FISICO</v>
          </cell>
        </row>
        <row r="2013">
          <cell r="AQ2013" t="str">
            <v>13930390|99573490|372297463|65384158</v>
          </cell>
          <cell r="AR2013" t="str">
            <v>GASTO FISICO</v>
          </cell>
        </row>
        <row r="2014">
          <cell r="AQ2014" t="str">
            <v>13930390|99573490|372297463|65384158</v>
          </cell>
          <cell r="AR2014" t="str">
            <v>GASTO FISICO</v>
          </cell>
        </row>
        <row r="2015">
          <cell r="AQ2015" t="str">
            <v>13930390|99573490|372297463|65384158</v>
          </cell>
          <cell r="AR2015" t="str">
            <v>GASTO FISICO</v>
          </cell>
        </row>
        <row r="2016">
          <cell r="AQ2016" t="str">
            <v>13930390|99573490|372297463|65384158</v>
          </cell>
          <cell r="AR2016" t="str">
            <v>GASTO FISICO</v>
          </cell>
        </row>
        <row r="2017">
          <cell r="AQ2017" t="str">
            <v>13930390|99573490|372297464|372297464</v>
          </cell>
          <cell r="AR2017" t="str">
            <v>IMED SALUD</v>
          </cell>
        </row>
        <row r="2018">
          <cell r="AQ2018" t="str">
            <v>13930390|99573490|372297464|372297464</v>
          </cell>
          <cell r="AR2018" t="str">
            <v>IMED SALUD</v>
          </cell>
        </row>
        <row r="2019">
          <cell r="AQ2019" t="str">
            <v>13930390|99573490|372297464|372297464</v>
          </cell>
          <cell r="AR2019" t="str">
            <v>IMED SALUD</v>
          </cell>
        </row>
        <row r="2020">
          <cell r="AQ2020" t="str">
            <v>13930390|99573490|372297464|372297464</v>
          </cell>
          <cell r="AR2020" t="str">
            <v>IMED SALUD</v>
          </cell>
        </row>
        <row r="2021">
          <cell r="AQ2021" t="str">
            <v>13930390|99573490|372297464|372297464</v>
          </cell>
          <cell r="AR2021" t="str">
            <v>IMED SALUD</v>
          </cell>
        </row>
        <row r="2022">
          <cell r="AQ2022" t="str">
            <v>13930390|99573490|372297464|372297464</v>
          </cell>
          <cell r="AR2022" t="str">
            <v>IMED SALUD</v>
          </cell>
        </row>
        <row r="2023">
          <cell r="AQ2023" t="str">
            <v>13930390|99573490|372297464|372297464</v>
          </cell>
          <cell r="AR2023" t="str">
            <v>IMED SALUD</v>
          </cell>
        </row>
        <row r="2024">
          <cell r="AQ2024" t="str">
            <v>13930390|99573490|372297464|372297464</v>
          </cell>
          <cell r="AR2024" t="str">
            <v>IMED SALUD</v>
          </cell>
        </row>
        <row r="2025">
          <cell r="AQ2025" t="str">
            <v>13930390|99573490|372297464|372297464</v>
          </cell>
          <cell r="AR2025" t="str">
            <v>IMED SALUD</v>
          </cell>
        </row>
        <row r="2026">
          <cell r="AQ2026" t="str">
            <v>13930390|99573490|372297464|372297464</v>
          </cell>
          <cell r="AR2026" t="str">
            <v>IMED SALUD</v>
          </cell>
        </row>
        <row r="2027">
          <cell r="AQ2027" t="str">
            <v>13930390|99573490|372297464|65384159</v>
          </cell>
          <cell r="AR2027" t="str">
            <v>GASTO FISICO</v>
          </cell>
        </row>
        <row r="2028">
          <cell r="AQ2028" t="str">
            <v>13930390|99573490|372297464|65384159</v>
          </cell>
          <cell r="AR2028" t="str">
            <v>GASTO FISICO</v>
          </cell>
        </row>
        <row r="2029">
          <cell r="AQ2029" t="str">
            <v>13930390|99573490|372297464|65384159</v>
          </cell>
          <cell r="AR2029" t="str">
            <v>GASTO FISICO</v>
          </cell>
        </row>
        <row r="2030">
          <cell r="AQ2030" t="str">
            <v>13930390|99573490|372297464|65384159</v>
          </cell>
          <cell r="AR2030" t="str">
            <v>GASTO FISICO</v>
          </cell>
        </row>
        <row r="2031">
          <cell r="AQ2031" t="str">
            <v>13930390|99573490|372297464|65384159</v>
          </cell>
          <cell r="AR2031" t="str">
            <v>GASTO FISICO</v>
          </cell>
        </row>
        <row r="2032">
          <cell r="AQ2032" t="str">
            <v>13931711|77274930|921061968|921061968</v>
          </cell>
          <cell r="AR2032" t="str">
            <v>IMED SALUD</v>
          </cell>
        </row>
        <row r="2033">
          <cell r="AQ2033" t="str">
            <v>13931711|77274930|921061968|921061968</v>
          </cell>
          <cell r="AR2033" t="str">
            <v>IMED SALUD</v>
          </cell>
        </row>
        <row r="2034">
          <cell r="AQ2034" t="str">
            <v>13931711|77274930|921061968|921061968</v>
          </cell>
          <cell r="AR2034" t="str">
            <v>IMED SALUD</v>
          </cell>
        </row>
        <row r="2035">
          <cell r="AQ2035" t="str">
            <v>13931711|77274930|921061968|921061968</v>
          </cell>
          <cell r="AR2035" t="str">
            <v>IMED SALUD</v>
          </cell>
        </row>
        <row r="2036">
          <cell r="AQ2036" t="str">
            <v>13931711|77274930|921061968|65384160</v>
          </cell>
          <cell r="AR2036" t="str">
            <v>GASTO FISICO</v>
          </cell>
        </row>
        <row r="2037">
          <cell r="AQ2037" t="str">
            <v>13931711|77274930|921061968|65384160</v>
          </cell>
          <cell r="AR2037" t="str">
            <v>GASTO FISICO</v>
          </cell>
        </row>
        <row r="2038">
          <cell r="AQ2038" t="str">
            <v>13937515|96898980|917037886|917037886</v>
          </cell>
          <cell r="AR2038" t="str">
            <v>IMED SALUD</v>
          </cell>
        </row>
        <row r="2039">
          <cell r="AQ2039" t="str">
            <v>13937515|96898980|917037886|917037886</v>
          </cell>
          <cell r="AR2039" t="str">
            <v>IMED SALUD</v>
          </cell>
        </row>
        <row r="2040">
          <cell r="AQ2040" t="str">
            <v>13937515|96898980|917037886|917037886</v>
          </cell>
          <cell r="AR2040" t="str">
            <v>IMED SALUD</v>
          </cell>
        </row>
        <row r="2041">
          <cell r="AQ2041" t="str">
            <v>13937515|96898980|917037886|917037886</v>
          </cell>
          <cell r="AR2041" t="str">
            <v>IMED SALUD</v>
          </cell>
        </row>
        <row r="2042">
          <cell r="AQ2042" t="str">
            <v>13937515|96898980|917037886|917037886</v>
          </cell>
          <cell r="AR2042" t="str">
            <v>IMED SALUD</v>
          </cell>
        </row>
        <row r="2043">
          <cell r="AQ2043" t="str">
            <v>13937515|96898980|917037886|917037886</v>
          </cell>
          <cell r="AR2043" t="str">
            <v>IMED SALUD</v>
          </cell>
        </row>
        <row r="2044">
          <cell r="AQ2044" t="str">
            <v>13937515|96898980|917037886|65384161</v>
          </cell>
          <cell r="AR2044" t="str">
            <v>GASTO FISICO</v>
          </cell>
        </row>
        <row r="2045">
          <cell r="AQ2045" t="str">
            <v>13937515|96898980|917037886|65384161</v>
          </cell>
          <cell r="AR2045" t="str">
            <v>GASTO FISICO</v>
          </cell>
        </row>
        <row r="2046">
          <cell r="AQ2046" t="str">
            <v>13937515|96898980|917037886|65384161</v>
          </cell>
          <cell r="AR2046" t="str">
            <v>GASTO FISICO</v>
          </cell>
        </row>
        <row r="2047">
          <cell r="AQ2047" t="str">
            <v>13937515|76696200|917037890|917037890</v>
          </cell>
          <cell r="AR2047" t="str">
            <v>IMED SALUD</v>
          </cell>
        </row>
        <row r="2048">
          <cell r="AQ2048" t="str">
            <v>13937515|76696200|917037890|917037890</v>
          </cell>
          <cell r="AR2048" t="str">
            <v>IMED SALUD</v>
          </cell>
        </row>
        <row r="2049">
          <cell r="AQ2049" t="str">
            <v>13937515|76696200|917037890|65384162</v>
          </cell>
          <cell r="AR2049" t="str">
            <v>GASTO FISICO</v>
          </cell>
        </row>
        <row r="2050">
          <cell r="AQ2050" t="str">
            <v>13937515|99540210|919078976|919078976</v>
          </cell>
          <cell r="AR2050" t="str">
            <v>IMED SALUD</v>
          </cell>
        </row>
        <row r="2051">
          <cell r="AQ2051" t="str">
            <v>13937515|99540210|919078976|919078976</v>
          </cell>
          <cell r="AR2051" t="str">
            <v>IMED SALUD</v>
          </cell>
        </row>
        <row r="2052">
          <cell r="AQ2052" t="str">
            <v>13937515|99540210|919078976|65384163</v>
          </cell>
          <cell r="AR2052" t="str">
            <v>GASTO FISICO</v>
          </cell>
        </row>
        <row r="2053">
          <cell r="AQ2053" t="str">
            <v>13937515|76696200|919194831|919194831</v>
          </cell>
          <cell r="AR2053" t="str">
            <v>IMED SALUD</v>
          </cell>
        </row>
        <row r="2054">
          <cell r="AQ2054" t="str">
            <v>13937515|76696200|919194831|919194831</v>
          </cell>
          <cell r="AR2054" t="str">
            <v>IMED SALUD</v>
          </cell>
        </row>
        <row r="2055">
          <cell r="AQ2055" t="str">
            <v>13937515|76696200|919194831|919194831</v>
          </cell>
          <cell r="AR2055" t="str">
            <v>IMED SALUD</v>
          </cell>
        </row>
        <row r="2056">
          <cell r="AQ2056" t="str">
            <v>13937515|76696200|919194831|919194831</v>
          </cell>
          <cell r="AR2056" t="str">
            <v>IMED SALUD</v>
          </cell>
        </row>
        <row r="2057">
          <cell r="AQ2057" t="str">
            <v>13937515|76696200|919194831|65384164</v>
          </cell>
          <cell r="AR2057" t="str">
            <v>GASTO FISICO</v>
          </cell>
        </row>
        <row r="2058">
          <cell r="AQ2058" t="str">
            <v>13937515|76696200|919194831|65384164</v>
          </cell>
          <cell r="AR2058" t="str">
            <v>GASTO FISICO</v>
          </cell>
        </row>
        <row r="2059">
          <cell r="AQ2059" t="str">
            <v>13937515|76696200|919253655|919253655</v>
          </cell>
          <cell r="AR2059" t="str">
            <v>IMED SALUD</v>
          </cell>
        </row>
        <row r="2060">
          <cell r="AQ2060" t="str">
            <v>13937515|76696200|919253655|919253655</v>
          </cell>
          <cell r="AR2060" t="str">
            <v>IMED SALUD</v>
          </cell>
        </row>
        <row r="2061">
          <cell r="AQ2061" t="str">
            <v>13937515|76696200|919253655|65384165</v>
          </cell>
          <cell r="AR2061" t="str">
            <v>GASTO FISICO</v>
          </cell>
        </row>
        <row r="2062">
          <cell r="AQ2062" t="str">
            <v>13937747|77200240|371703947|371703947</v>
          </cell>
          <cell r="AR2062" t="str">
            <v>IMED SALUD</v>
          </cell>
        </row>
        <row r="2063">
          <cell r="AQ2063" t="str">
            <v>13937747|77200240|371703947|371703947</v>
          </cell>
          <cell r="AR2063" t="str">
            <v>IMED SALUD</v>
          </cell>
        </row>
        <row r="2064">
          <cell r="AQ2064" t="str">
            <v>13937747|77200240|371703947|371703947</v>
          </cell>
          <cell r="AR2064" t="str">
            <v>IMED SALUD</v>
          </cell>
        </row>
        <row r="2065">
          <cell r="AQ2065" t="str">
            <v>13937747|77200240|371703947|371703947</v>
          </cell>
          <cell r="AR2065" t="str">
            <v>IMED SALUD</v>
          </cell>
        </row>
        <row r="2066">
          <cell r="AQ2066" t="str">
            <v>13937747|77200240|371703947|371703947</v>
          </cell>
          <cell r="AR2066" t="str">
            <v>IMED SALUD</v>
          </cell>
        </row>
        <row r="2067">
          <cell r="AQ2067" t="str">
            <v>13937747|77200240|371703947|371703947</v>
          </cell>
          <cell r="AR2067" t="str">
            <v>IMED SALUD</v>
          </cell>
        </row>
        <row r="2068">
          <cell r="AQ2068" t="str">
            <v>13937747|77200240|371703947|371703947</v>
          </cell>
          <cell r="AR2068" t="str">
            <v>IMED SALUD</v>
          </cell>
        </row>
        <row r="2069">
          <cell r="AQ2069" t="str">
            <v>13937747|77200240|371703947|371703947</v>
          </cell>
          <cell r="AR2069" t="str">
            <v>IMED SALUD</v>
          </cell>
        </row>
        <row r="2070">
          <cell r="AQ2070" t="str">
            <v>13937747|77200240|371703947|65384168</v>
          </cell>
          <cell r="AR2070" t="str">
            <v>GASTO FISICO</v>
          </cell>
        </row>
        <row r="2071">
          <cell r="AQ2071" t="str">
            <v>13937747|77200240|371703947|65384168</v>
          </cell>
          <cell r="AR2071" t="str">
            <v>GASTO FISICO</v>
          </cell>
        </row>
        <row r="2072">
          <cell r="AQ2072" t="str">
            <v>13937747|77200240|371703947|65384168</v>
          </cell>
          <cell r="AR2072" t="str">
            <v>GASTO FISICO</v>
          </cell>
        </row>
        <row r="2073">
          <cell r="AQ2073" t="str">
            <v>13937747|77200240|371703947|65384168</v>
          </cell>
          <cell r="AR2073" t="str">
            <v>GASTO FISICO</v>
          </cell>
        </row>
        <row r="2074">
          <cell r="AQ2074" t="str">
            <v>13937747|90753000|371712442|371712442</v>
          </cell>
          <cell r="AR2074" t="str">
            <v>IMED SALUD</v>
          </cell>
        </row>
        <row r="2075">
          <cell r="AQ2075" t="str">
            <v>13937747|90753000|371712442|371712442</v>
          </cell>
          <cell r="AR2075" t="str">
            <v>IMED SALUD</v>
          </cell>
        </row>
        <row r="2076">
          <cell r="AQ2076" t="str">
            <v>13937747|90753000|371712442|371712442</v>
          </cell>
          <cell r="AR2076" t="str">
            <v>IMED SALUD</v>
          </cell>
        </row>
        <row r="2077">
          <cell r="AQ2077" t="str">
            <v>13937747|90753000|371712442|371712442</v>
          </cell>
          <cell r="AR2077" t="str">
            <v>IMED SALUD</v>
          </cell>
        </row>
        <row r="2078">
          <cell r="AQ2078" t="str">
            <v>13937747|90753000|371712442|371712442</v>
          </cell>
          <cell r="AR2078" t="str">
            <v>IMED SALUD</v>
          </cell>
        </row>
        <row r="2079">
          <cell r="AQ2079" t="str">
            <v>13937747|90753000|371712442|371712442</v>
          </cell>
          <cell r="AR2079" t="str">
            <v>IMED SALUD</v>
          </cell>
        </row>
        <row r="2080">
          <cell r="AQ2080" t="str">
            <v>13937747|90753000|371712442|371712442</v>
          </cell>
          <cell r="AR2080" t="str">
            <v>IMED SALUD</v>
          </cell>
        </row>
        <row r="2081">
          <cell r="AQ2081" t="str">
            <v>13937747|90753000|371712442|371712442</v>
          </cell>
          <cell r="AR2081" t="str">
            <v>IMED SALUD</v>
          </cell>
        </row>
        <row r="2082">
          <cell r="AQ2082" t="str">
            <v>13937747|90753000|371712442|371712442</v>
          </cell>
          <cell r="AR2082" t="str">
            <v>IMED SALUD</v>
          </cell>
        </row>
        <row r="2083">
          <cell r="AQ2083" t="str">
            <v>13937747|90753000|371712442|371712442</v>
          </cell>
          <cell r="AR2083" t="str">
            <v>IMED SALUD</v>
          </cell>
        </row>
        <row r="2084">
          <cell r="AQ2084" t="str">
            <v>13937747|90753000|371712442|65384169</v>
          </cell>
          <cell r="AR2084" t="str">
            <v>GASTO FISICO</v>
          </cell>
        </row>
        <row r="2085">
          <cell r="AQ2085" t="str">
            <v>13937747|90753000|371712442|65384169</v>
          </cell>
          <cell r="AR2085" t="str">
            <v>GASTO FISICO</v>
          </cell>
        </row>
        <row r="2086">
          <cell r="AQ2086" t="str">
            <v>13937747|90753000|371712442|65384169</v>
          </cell>
          <cell r="AR2086" t="str">
            <v>GASTO FISICO</v>
          </cell>
        </row>
        <row r="2087">
          <cell r="AQ2087" t="str">
            <v>13937747|90753000|371712442|65384169</v>
          </cell>
          <cell r="AR2087" t="str">
            <v>GASTO FISICO</v>
          </cell>
        </row>
        <row r="2088">
          <cell r="AQ2088" t="str">
            <v>13937747|90753000|371712442|65384169</v>
          </cell>
          <cell r="AR2088" t="str">
            <v>GASTO FISICO</v>
          </cell>
        </row>
        <row r="2089">
          <cell r="AQ2089" t="str">
            <v>13937747|90753000|371712443|371712443</v>
          </cell>
          <cell r="AR2089" t="str">
            <v>IMED SALUD</v>
          </cell>
        </row>
        <row r="2090">
          <cell r="AQ2090" t="str">
            <v>13937747|90753000|371712443|371712443</v>
          </cell>
          <cell r="AR2090" t="str">
            <v>IMED SALUD</v>
          </cell>
        </row>
        <row r="2091">
          <cell r="AQ2091" t="str">
            <v>13937747|90753000|371712443|371712443</v>
          </cell>
          <cell r="AR2091" t="str">
            <v>IMED SALUD</v>
          </cell>
        </row>
        <row r="2092">
          <cell r="AQ2092" t="str">
            <v>13937747|90753000|371712443|371712443</v>
          </cell>
          <cell r="AR2092" t="str">
            <v>IMED SALUD</v>
          </cell>
        </row>
        <row r="2093">
          <cell r="AQ2093" t="str">
            <v>13937747|90753000|371712443|371712443</v>
          </cell>
          <cell r="AR2093" t="str">
            <v>IMED SALUD</v>
          </cell>
        </row>
        <row r="2094">
          <cell r="AQ2094" t="str">
            <v>13937747|90753000|371712443|371712443</v>
          </cell>
          <cell r="AR2094" t="str">
            <v>IMED SALUD</v>
          </cell>
        </row>
        <row r="2095">
          <cell r="AQ2095" t="str">
            <v>13937747|90753000|371712443|371712443</v>
          </cell>
          <cell r="AR2095" t="str">
            <v>IMED SALUD</v>
          </cell>
        </row>
        <row r="2096">
          <cell r="AQ2096" t="str">
            <v>13937747|90753000|371712443|371712443</v>
          </cell>
          <cell r="AR2096" t="str">
            <v>IMED SALUD</v>
          </cell>
        </row>
        <row r="2097">
          <cell r="AQ2097" t="str">
            <v>13937747|90753000|371712443|371712443</v>
          </cell>
          <cell r="AR2097" t="str">
            <v>IMED SALUD</v>
          </cell>
        </row>
        <row r="2098">
          <cell r="AQ2098" t="str">
            <v>13937747|90753000|371712443|371712443</v>
          </cell>
          <cell r="AR2098" t="str">
            <v>IMED SALUD</v>
          </cell>
        </row>
        <row r="2099">
          <cell r="AQ2099" t="str">
            <v>13937747|90753000|371712443|65384170</v>
          </cell>
          <cell r="AR2099" t="str">
            <v>GASTO FISICO</v>
          </cell>
        </row>
        <row r="2100">
          <cell r="AQ2100" t="str">
            <v>13937747|90753000|371712443|65384170</v>
          </cell>
          <cell r="AR2100" t="str">
            <v>GASTO FISICO</v>
          </cell>
        </row>
        <row r="2101">
          <cell r="AQ2101" t="str">
            <v>13937747|90753000|371712443|65384170</v>
          </cell>
          <cell r="AR2101" t="str">
            <v>GASTO FISICO</v>
          </cell>
        </row>
        <row r="2102">
          <cell r="AQ2102" t="str">
            <v>13937747|90753000|371712443|65384170</v>
          </cell>
          <cell r="AR2102" t="str">
            <v>GASTO FISICO</v>
          </cell>
        </row>
        <row r="2103">
          <cell r="AQ2103" t="str">
            <v>13937747|90753000|371712443|65384170</v>
          </cell>
          <cell r="AR2103" t="str">
            <v>GASTO FISICO</v>
          </cell>
        </row>
        <row r="2104">
          <cell r="AQ2104" t="str">
            <v>13937747|77200240|371716469|371716469</v>
          </cell>
          <cell r="AR2104" t="str">
            <v>IMED SALUD</v>
          </cell>
        </row>
        <row r="2105">
          <cell r="AQ2105" t="str">
            <v>13937747|77200240|371716469|371716469</v>
          </cell>
          <cell r="AR2105" t="str">
            <v>IMED SALUD</v>
          </cell>
        </row>
        <row r="2106">
          <cell r="AQ2106" t="str">
            <v>13937747|77200240|371716469|65384171</v>
          </cell>
          <cell r="AR2106" t="str">
            <v>GASTO FISICO</v>
          </cell>
        </row>
        <row r="2107">
          <cell r="AQ2107" t="str">
            <v>13939234|96923250|136325334|136325334</v>
          </cell>
          <cell r="AR2107" t="str">
            <v>IMED SALUD</v>
          </cell>
        </row>
        <row r="2108">
          <cell r="AQ2108" t="str">
            <v>13939234|96923250|136325334|136325334</v>
          </cell>
          <cell r="AR2108" t="str">
            <v>IMED SALUD</v>
          </cell>
        </row>
        <row r="2109">
          <cell r="AQ2109" t="str">
            <v>13939234|96923250|136325334|65384173</v>
          </cell>
          <cell r="AR2109" t="str">
            <v>GASTO FISICO</v>
          </cell>
        </row>
        <row r="2110">
          <cell r="AQ2110" t="str">
            <v>13939234|96923250|136325400|136325400</v>
          </cell>
          <cell r="AR2110" t="str">
            <v>IMED SALUD</v>
          </cell>
        </row>
        <row r="2111">
          <cell r="AQ2111" t="str">
            <v>13939234|96923250|136325400|136325400</v>
          </cell>
          <cell r="AR2111" t="str">
            <v>IMED SALUD</v>
          </cell>
        </row>
        <row r="2112">
          <cell r="AQ2112" t="str">
            <v>13939234|96923250|136325400|65384174</v>
          </cell>
          <cell r="AR2112" t="str">
            <v>GASTO FISICO</v>
          </cell>
        </row>
        <row r="2113">
          <cell r="AQ2113" t="str">
            <v>13963498|78317440|135917350|135917350</v>
          </cell>
          <cell r="AR2113" t="str">
            <v>IMED SALUD</v>
          </cell>
        </row>
        <row r="2114">
          <cell r="AQ2114" t="str">
            <v>13963498|78317440|135917350|135917350</v>
          </cell>
          <cell r="AR2114" t="str">
            <v>IMED SALUD</v>
          </cell>
        </row>
        <row r="2115">
          <cell r="AQ2115" t="str">
            <v>13963498|78317440|135917350|65384175</v>
          </cell>
          <cell r="AR2115" t="str">
            <v>GASTO FISICO</v>
          </cell>
        </row>
        <row r="2116">
          <cell r="AQ2116" t="str">
            <v>13963498|78317440|136459699|136459699</v>
          </cell>
          <cell r="AR2116" t="str">
            <v>IMED SALUD</v>
          </cell>
        </row>
        <row r="2117">
          <cell r="AQ2117" t="str">
            <v>13963498|78317440|136459699|136459699</v>
          </cell>
          <cell r="AR2117" t="str">
            <v>IMED SALUD</v>
          </cell>
        </row>
        <row r="2118">
          <cell r="AQ2118" t="str">
            <v>13963498|78317440|136459699|65384176</v>
          </cell>
          <cell r="AR2118" t="str">
            <v>GASTO FISICO</v>
          </cell>
        </row>
        <row r="2119">
          <cell r="AQ2119" t="str">
            <v>13963498|99573490|136642076|136642076</v>
          </cell>
          <cell r="AR2119" t="str">
            <v>IMED SALUD</v>
          </cell>
        </row>
        <row r="2120">
          <cell r="AQ2120" t="str">
            <v>13963498|99573490|136642076|136642076</v>
          </cell>
          <cell r="AR2120" t="str">
            <v>IMED SALUD</v>
          </cell>
        </row>
        <row r="2121">
          <cell r="AQ2121" t="str">
            <v>13963498|99573490|136642076|136642076</v>
          </cell>
          <cell r="AR2121" t="str">
            <v>IMED SALUD</v>
          </cell>
        </row>
        <row r="2122">
          <cell r="AQ2122" t="str">
            <v>13963498|99573490|136642076|136642076</v>
          </cell>
          <cell r="AR2122" t="str">
            <v>IMED SALUD</v>
          </cell>
        </row>
        <row r="2123">
          <cell r="AQ2123" t="str">
            <v>13963498|99573490|136642076|136642076</v>
          </cell>
          <cell r="AR2123" t="str">
            <v>IMED SALUD</v>
          </cell>
        </row>
        <row r="2124">
          <cell r="AQ2124" t="str">
            <v>13963498|99573490|136642076|136642076</v>
          </cell>
          <cell r="AR2124" t="str">
            <v>IMED SALUD</v>
          </cell>
        </row>
        <row r="2125">
          <cell r="AQ2125" t="str">
            <v>13963498|99573490|136642076|136642076</v>
          </cell>
          <cell r="AR2125" t="str">
            <v>IMED SALUD</v>
          </cell>
        </row>
        <row r="2126">
          <cell r="AQ2126" t="str">
            <v>13963498|99573490|136642076|136642076</v>
          </cell>
          <cell r="AR2126" t="str">
            <v>IMED SALUD</v>
          </cell>
        </row>
        <row r="2127">
          <cell r="AQ2127" t="str">
            <v>13963498|99573490|136642076|65384177</v>
          </cell>
          <cell r="AR2127" t="str">
            <v>GASTO FISICO</v>
          </cell>
        </row>
        <row r="2128">
          <cell r="AQ2128" t="str">
            <v>13963498|99573490|136642076|65384177</v>
          </cell>
          <cell r="AR2128" t="str">
            <v>GASTO FISICO</v>
          </cell>
        </row>
        <row r="2129">
          <cell r="AQ2129" t="str">
            <v>13963498|99573490|136642076|65384177</v>
          </cell>
          <cell r="AR2129" t="str">
            <v>GASTO FISICO</v>
          </cell>
        </row>
        <row r="2130">
          <cell r="AQ2130" t="str">
            <v>13963498|99573490|136642076|65384177</v>
          </cell>
          <cell r="AR2130" t="str">
            <v>GASTO FISICO</v>
          </cell>
        </row>
        <row r="2131">
          <cell r="AQ2131" t="str">
            <v>13983202|76055963|135828912|135828912</v>
          </cell>
          <cell r="AR2131" t="str">
            <v>IMED SALUD</v>
          </cell>
        </row>
        <row r="2132">
          <cell r="AQ2132" t="str">
            <v>13983202|76055963|135828912|135828912</v>
          </cell>
          <cell r="AR2132" t="str">
            <v>IMED SALUD</v>
          </cell>
        </row>
        <row r="2133">
          <cell r="AQ2133" t="str">
            <v>13983202|76055963|135828912|135828912</v>
          </cell>
          <cell r="AR2133" t="str">
            <v>IMED SALUD</v>
          </cell>
        </row>
        <row r="2134">
          <cell r="AQ2134" t="str">
            <v>13983202|76055963|135828912|135828912</v>
          </cell>
          <cell r="AR2134" t="str">
            <v>IMED SALUD</v>
          </cell>
        </row>
        <row r="2135">
          <cell r="AQ2135" t="str">
            <v>13983202|76055963|135828912|65384178</v>
          </cell>
          <cell r="AR2135" t="str">
            <v>GASTO FISICO</v>
          </cell>
        </row>
        <row r="2136">
          <cell r="AQ2136" t="str">
            <v>13983202|76055963|135828912|65384178</v>
          </cell>
          <cell r="AR2136" t="str">
            <v>GASTO FISICO</v>
          </cell>
        </row>
        <row r="2137">
          <cell r="AQ2137" t="str">
            <v>13983202|76055963|135873138|135873138</v>
          </cell>
          <cell r="AR2137" t="str">
            <v>IMED SALUD</v>
          </cell>
        </row>
        <row r="2138">
          <cell r="AQ2138" t="str">
            <v>13983202|76055963|135873138|135873138</v>
          </cell>
          <cell r="AR2138" t="str">
            <v>IMED SALUD</v>
          </cell>
        </row>
        <row r="2139">
          <cell r="AQ2139" t="str">
            <v>13983202|76055963|135873138|65384182</v>
          </cell>
          <cell r="AR2139" t="str">
            <v>GASTO FISICO</v>
          </cell>
        </row>
        <row r="2140">
          <cell r="AQ2140" t="str">
            <v>13983202|76055963|136324038|136324038</v>
          </cell>
          <cell r="AR2140" t="str">
            <v>IMED SALUD</v>
          </cell>
        </row>
        <row r="2141">
          <cell r="AQ2141" t="str">
            <v>13983202|76055963|136324038|136324038</v>
          </cell>
          <cell r="AR2141" t="str">
            <v>IMED SALUD</v>
          </cell>
        </row>
        <row r="2142">
          <cell r="AQ2142" t="str">
            <v>13983202|76055963|136324038|136324038</v>
          </cell>
          <cell r="AR2142" t="str">
            <v>IMED SALUD</v>
          </cell>
        </row>
        <row r="2143">
          <cell r="AQ2143" t="str">
            <v>13983202|76055963|136324038|136324038</v>
          </cell>
          <cell r="AR2143" t="str">
            <v>IMED SALUD</v>
          </cell>
        </row>
        <row r="2144">
          <cell r="AQ2144" t="str">
            <v>13983202|76055963|136324038|65384179</v>
          </cell>
          <cell r="AR2144" t="str">
            <v>GASTO FISICO</v>
          </cell>
        </row>
        <row r="2145">
          <cell r="AQ2145" t="str">
            <v>13983202|76055963|136324038|65384179</v>
          </cell>
          <cell r="AR2145" t="str">
            <v>GASTO FISICO</v>
          </cell>
        </row>
        <row r="2146">
          <cell r="AQ2146" t="str">
            <v>13999930|96986050|2346167|22001644</v>
          </cell>
          <cell r="AR2146" t="str">
            <v>GASTO FISICO</v>
          </cell>
        </row>
        <row r="2147">
          <cell r="AQ2147" t="str">
            <v>13999930|96986050|2346167|22001644</v>
          </cell>
          <cell r="AR2147" t="str">
            <v>GASTO FISICO</v>
          </cell>
        </row>
        <row r="2148">
          <cell r="AQ2148" t="str">
            <v>13999930|96986050|2346167|22001644</v>
          </cell>
          <cell r="AR2148" t="str">
            <v>GASTO FISICO</v>
          </cell>
        </row>
        <row r="2149">
          <cell r="AQ2149" t="str">
            <v>13999930|96986050|2346167|22008346</v>
          </cell>
          <cell r="AR2149" t="str">
            <v>GASTO FISICO</v>
          </cell>
        </row>
        <row r="2150">
          <cell r="AQ2150" t="str">
            <v>13999930|96986050|2346167|987158</v>
          </cell>
          <cell r="AR2150" t="str">
            <v>GASTO FISICO</v>
          </cell>
        </row>
        <row r="2151">
          <cell r="AQ2151" t="str">
            <v>13999930|96986050|2346167|987158</v>
          </cell>
          <cell r="AR2151" t="str">
            <v>GASTO FISICO</v>
          </cell>
        </row>
        <row r="2152">
          <cell r="AQ2152" t="str">
            <v>13999930|96986050|2346167|65213121</v>
          </cell>
          <cell r="AR2152" t="str">
            <v>GASTO FISICO</v>
          </cell>
        </row>
        <row r="2153">
          <cell r="AQ2153" t="str">
            <v>13999930|96986050|95801737|95801737</v>
          </cell>
          <cell r="AR2153" t="str">
            <v>IMED SALUD</v>
          </cell>
        </row>
        <row r="2154">
          <cell r="AQ2154" t="str">
            <v>13999930|96986050|95801737|95801737</v>
          </cell>
          <cell r="AR2154" t="str">
            <v>IMED SALUD</v>
          </cell>
        </row>
        <row r="2155">
          <cell r="AQ2155" t="str">
            <v>13999930|96986050|95801737|95801737</v>
          </cell>
          <cell r="AR2155" t="str">
            <v>IMED SALUD</v>
          </cell>
        </row>
        <row r="2156">
          <cell r="AQ2156" t="str">
            <v>13999930|96986050|95801737|95801737</v>
          </cell>
          <cell r="AR2156" t="str">
            <v>IMED SALUD</v>
          </cell>
        </row>
        <row r="2157">
          <cell r="AQ2157" t="str">
            <v>13999930|96986050|95801737|95801737</v>
          </cell>
          <cell r="AR2157" t="str">
            <v>IMED SALUD</v>
          </cell>
        </row>
        <row r="2158">
          <cell r="AQ2158" t="str">
            <v>13999930|96986050|95801737|95801737</v>
          </cell>
          <cell r="AR2158" t="str">
            <v>IMED SALUD</v>
          </cell>
        </row>
        <row r="2159">
          <cell r="AQ2159" t="str">
            <v>13999930|96986050|95801737|95801737</v>
          </cell>
          <cell r="AR2159" t="str">
            <v>IMED SALUD</v>
          </cell>
        </row>
        <row r="2160">
          <cell r="AQ2160" t="str">
            <v>13999930|96986050|95801737|95801737</v>
          </cell>
          <cell r="AR2160" t="str">
            <v>IMED SALUD</v>
          </cell>
        </row>
        <row r="2161">
          <cell r="AQ2161" t="str">
            <v>13999930|96986050|95801737|95801737</v>
          </cell>
          <cell r="AR2161" t="str">
            <v>IMED SALUD</v>
          </cell>
        </row>
        <row r="2162">
          <cell r="AQ2162" t="str">
            <v>13999930|96986050|95801737|95801737</v>
          </cell>
          <cell r="AR2162" t="str">
            <v>IMED SALUD</v>
          </cell>
        </row>
        <row r="2163">
          <cell r="AQ2163" t="str">
            <v>13999930|96986050|95801737|65384183</v>
          </cell>
          <cell r="AR2163" t="str">
            <v>GASTO FISICO</v>
          </cell>
        </row>
        <row r="2164">
          <cell r="AQ2164" t="str">
            <v>13999930|96986050|95801737|65384183</v>
          </cell>
          <cell r="AR2164" t="str">
            <v>GASTO FISICO</v>
          </cell>
        </row>
        <row r="2165">
          <cell r="AQ2165" t="str">
            <v>13999930|96986050|95801737|65384183</v>
          </cell>
          <cell r="AR2165" t="str">
            <v>GASTO FISICO</v>
          </cell>
        </row>
        <row r="2166">
          <cell r="AQ2166" t="str">
            <v>13999930|96986050|95801737|65384183</v>
          </cell>
          <cell r="AR2166" t="str">
            <v>GASTO FISICO</v>
          </cell>
        </row>
        <row r="2167">
          <cell r="AQ2167" t="str">
            <v>13999930|96986050|95801737|65384183</v>
          </cell>
          <cell r="AR2167" t="str">
            <v>GASTO FISICO</v>
          </cell>
        </row>
        <row r="2168">
          <cell r="AQ2168" t="str">
            <v>13999930|96986050|95801738|95801738</v>
          </cell>
          <cell r="AR2168" t="str">
            <v>IMED SALUD</v>
          </cell>
        </row>
        <row r="2169">
          <cell r="AQ2169" t="str">
            <v>13999930|96986050|95801738|95801738</v>
          </cell>
          <cell r="AR2169" t="str">
            <v>IMED SALUD</v>
          </cell>
        </row>
        <row r="2170">
          <cell r="AQ2170" t="str">
            <v>13999930|96986050|95801738|95801738</v>
          </cell>
          <cell r="AR2170" t="str">
            <v>IMED SALUD</v>
          </cell>
        </row>
        <row r="2171">
          <cell r="AQ2171" t="str">
            <v>13999930|96986050|95801738|95801738</v>
          </cell>
          <cell r="AR2171" t="str">
            <v>IMED SALUD</v>
          </cell>
        </row>
        <row r="2172">
          <cell r="AQ2172" t="str">
            <v>13999930|96986050|95801738|95801738</v>
          </cell>
          <cell r="AR2172" t="str">
            <v>IMED SALUD</v>
          </cell>
        </row>
        <row r="2173">
          <cell r="AQ2173" t="str">
            <v>13999930|96986050|95801738|95801738</v>
          </cell>
          <cell r="AR2173" t="str">
            <v>IMED SALUD</v>
          </cell>
        </row>
        <row r="2174">
          <cell r="AQ2174" t="str">
            <v>13999930|96986050|95801738|95801738</v>
          </cell>
          <cell r="AR2174" t="str">
            <v>IMED SALUD</v>
          </cell>
        </row>
        <row r="2175">
          <cell r="AQ2175" t="str">
            <v>13999930|96986050|95801738|95801738</v>
          </cell>
          <cell r="AR2175" t="str">
            <v>IMED SALUD</v>
          </cell>
        </row>
        <row r="2176">
          <cell r="AQ2176" t="str">
            <v>13999930|96986050|95801738|95801738</v>
          </cell>
          <cell r="AR2176" t="str">
            <v>IMED SALUD</v>
          </cell>
        </row>
        <row r="2177">
          <cell r="AQ2177" t="str">
            <v>13999930|96986050|95801738|95801738</v>
          </cell>
          <cell r="AR2177" t="str">
            <v>IMED SALUD</v>
          </cell>
        </row>
        <row r="2178">
          <cell r="AQ2178" t="str">
            <v>13999930|96986050|95801738|65384184</v>
          </cell>
          <cell r="AR2178" t="str">
            <v>GASTO FISICO</v>
          </cell>
        </row>
        <row r="2179">
          <cell r="AQ2179" t="str">
            <v>13999930|96986050|95801738|65384184</v>
          </cell>
          <cell r="AR2179" t="str">
            <v>GASTO FISICO</v>
          </cell>
        </row>
        <row r="2180">
          <cell r="AQ2180" t="str">
            <v>13999930|96986050|95801738|65384184</v>
          </cell>
          <cell r="AR2180" t="str">
            <v>GASTO FISICO</v>
          </cell>
        </row>
        <row r="2181">
          <cell r="AQ2181" t="str">
            <v>13999930|96986050|95801738|65384184</v>
          </cell>
          <cell r="AR2181" t="str">
            <v>GASTO FISICO</v>
          </cell>
        </row>
        <row r="2182">
          <cell r="AQ2182" t="str">
            <v>13999930|96986050|95801738|65384184</v>
          </cell>
          <cell r="AR2182" t="str">
            <v>GASTO FISICO</v>
          </cell>
        </row>
        <row r="2183">
          <cell r="AQ2183" t="str">
            <v>13999930|76098454|95864083|95864083</v>
          </cell>
          <cell r="AR2183" t="str">
            <v>IMED SALUD</v>
          </cell>
        </row>
        <row r="2184">
          <cell r="AQ2184" t="str">
            <v>13999930|76098454|95864083|95864083</v>
          </cell>
          <cell r="AR2184" t="str">
            <v>IMED SALUD</v>
          </cell>
        </row>
        <row r="2185">
          <cell r="AQ2185" t="str">
            <v>13999930|76098454|95864083|65384185</v>
          </cell>
          <cell r="AR2185" t="str">
            <v>GASTO FISICO</v>
          </cell>
        </row>
        <row r="2186">
          <cell r="AQ2186" t="str">
            <v>13999930|96631140|95874683|95874683</v>
          </cell>
          <cell r="AR2186" t="str">
            <v>IMED SALUD</v>
          </cell>
        </row>
        <row r="2187">
          <cell r="AQ2187" t="str">
            <v>13999930|96631140|95874683|95874683</v>
          </cell>
          <cell r="AR2187" t="str">
            <v>IMED SALUD</v>
          </cell>
        </row>
        <row r="2188">
          <cell r="AQ2188" t="str">
            <v>13999930|96631140|95874683|65384186</v>
          </cell>
          <cell r="AR2188" t="str">
            <v>GASTO FISICO</v>
          </cell>
        </row>
        <row r="2189">
          <cell r="AQ2189" t="str">
            <v>14011130|76098454|136770400|136770400</v>
          </cell>
          <cell r="AR2189" t="str">
            <v>IMED SALUD</v>
          </cell>
        </row>
        <row r="2190">
          <cell r="AQ2190" t="str">
            <v>14011130|76098454|136770400|136770400</v>
          </cell>
          <cell r="AR2190" t="str">
            <v>IMED SALUD</v>
          </cell>
        </row>
        <row r="2191">
          <cell r="AQ2191" t="str">
            <v>14011130|76098454|136770400|65384192</v>
          </cell>
          <cell r="AR2191" t="str">
            <v>GASTO FISICO</v>
          </cell>
        </row>
        <row r="2192">
          <cell r="AQ2192" t="str">
            <v>14011130|77270020|136828730|136828730</v>
          </cell>
          <cell r="AR2192" t="str">
            <v>IMED SALUD</v>
          </cell>
        </row>
        <row r="2193">
          <cell r="AQ2193" t="str">
            <v>14011130|77270020|136828730|136828730</v>
          </cell>
          <cell r="AR2193" t="str">
            <v>IMED SALUD</v>
          </cell>
        </row>
        <row r="2194">
          <cell r="AQ2194" t="str">
            <v>14011130|77270020|136828730|65384187</v>
          </cell>
          <cell r="AR2194" t="str">
            <v>GASTO FISICO</v>
          </cell>
        </row>
        <row r="2195">
          <cell r="AQ2195" t="str">
            <v>14011130|99573490|921574375|921574375</v>
          </cell>
          <cell r="AR2195" t="str">
            <v>IMED SALUD</v>
          </cell>
        </row>
        <row r="2196">
          <cell r="AQ2196" t="str">
            <v>14011130|99573490|921574375|921574375</v>
          </cell>
          <cell r="AR2196" t="str">
            <v>IMED SALUD</v>
          </cell>
        </row>
        <row r="2197">
          <cell r="AQ2197" t="str">
            <v>14011130|99573490|921574375|921574375</v>
          </cell>
          <cell r="AR2197" t="str">
            <v>IMED SALUD</v>
          </cell>
        </row>
        <row r="2198">
          <cell r="AQ2198" t="str">
            <v>14011130|99573490|921574375|921574375</v>
          </cell>
          <cell r="AR2198" t="str">
            <v>IMED SALUD</v>
          </cell>
        </row>
        <row r="2199">
          <cell r="AQ2199" t="str">
            <v>14011130|99573490|921574375|921574375</v>
          </cell>
          <cell r="AR2199" t="str">
            <v>IMED SALUD</v>
          </cell>
        </row>
        <row r="2200">
          <cell r="AQ2200" t="str">
            <v>14011130|99573490|921574375|921574375</v>
          </cell>
          <cell r="AR2200" t="str">
            <v>IMED SALUD</v>
          </cell>
        </row>
        <row r="2201">
          <cell r="AQ2201" t="str">
            <v>14011130|99573490|921574375|921574375</v>
          </cell>
          <cell r="AR2201" t="str">
            <v>IMED SALUD</v>
          </cell>
        </row>
        <row r="2202">
          <cell r="AQ2202" t="str">
            <v>14011130|99573490|921574375|921574375</v>
          </cell>
          <cell r="AR2202" t="str">
            <v>IMED SALUD</v>
          </cell>
        </row>
        <row r="2203">
          <cell r="AQ2203" t="str">
            <v>14011130|99573490|921574375|921574375</v>
          </cell>
          <cell r="AR2203" t="str">
            <v>IMED SALUD</v>
          </cell>
        </row>
        <row r="2204">
          <cell r="AQ2204" t="str">
            <v>14011130|99573490|921574375|921574375</v>
          </cell>
          <cell r="AR2204" t="str">
            <v>IMED SALUD</v>
          </cell>
        </row>
        <row r="2205">
          <cell r="AQ2205" t="str">
            <v>14011130|99573490|921574375|65384188</v>
          </cell>
          <cell r="AR2205" t="str">
            <v>GASTO FISICO</v>
          </cell>
        </row>
        <row r="2206">
          <cell r="AQ2206" t="str">
            <v>14011130|99573490|921574375|65384188</v>
          </cell>
          <cell r="AR2206" t="str">
            <v>GASTO FISICO</v>
          </cell>
        </row>
        <row r="2207">
          <cell r="AQ2207" t="str">
            <v>14011130|99573490|921574375|65384188</v>
          </cell>
          <cell r="AR2207" t="str">
            <v>GASTO FISICO</v>
          </cell>
        </row>
        <row r="2208">
          <cell r="AQ2208" t="str">
            <v>14011130|99573490|921574375|65384188</v>
          </cell>
          <cell r="AR2208" t="str">
            <v>GASTO FISICO</v>
          </cell>
        </row>
        <row r="2209">
          <cell r="AQ2209" t="str">
            <v>14011130|99573490|921574375|65384188</v>
          </cell>
          <cell r="AR2209" t="str">
            <v>GASTO FISICO</v>
          </cell>
        </row>
        <row r="2210">
          <cell r="AQ2210" t="str">
            <v>14011130|99573490|921574376|921574376</v>
          </cell>
          <cell r="AR2210" t="str">
            <v>IMED SALUD</v>
          </cell>
        </row>
        <row r="2211">
          <cell r="AQ2211" t="str">
            <v>14011130|99573490|921574376|921574376</v>
          </cell>
          <cell r="AR2211" t="str">
            <v>IMED SALUD</v>
          </cell>
        </row>
        <row r="2212">
          <cell r="AQ2212" t="str">
            <v>14011130|99573490|921574376|921574376</v>
          </cell>
          <cell r="AR2212" t="str">
            <v>IMED SALUD</v>
          </cell>
        </row>
        <row r="2213">
          <cell r="AQ2213" t="str">
            <v>14011130|99573490|921574376|921574376</v>
          </cell>
          <cell r="AR2213" t="str">
            <v>IMED SALUD</v>
          </cell>
        </row>
        <row r="2214">
          <cell r="AQ2214" t="str">
            <v>14011130|99573490|921574376|921574376</v>
          </cell>
          <cell r="AR2214" t="str">
            <v>IMED SALUD</v>
          </cell>
        </row>
        <row r="2215">
          <cell r="AQ2215" t="str">
            <v>14011130|99573490|921574376|921574376</v>
          </cell>
          <cell r="AR2215" t="str">
            <v>IMED SALUD</v>
          </cell>
        </row>
        <row r="2216">
          <cell r="AQ2216" t="str">
            <v>14011130|99573490|921574376|921574376</v>
          </cell>
          <cell r="AR2216" t="str">
            <v>IMED SALUD</v>
          </cell>
        </row>
        <row r="2217">
          <cell r="AQ2217" t="str">
            <v>14011130|99573490|921574376|921574376</v>
          </cell>
          <cell r="AR2217" t="str">
            <v>IMED SALUD</v>
          </cell>
        </row>
        <row r="2218">
          <cell r="AQ2218" t="str">
            <v>14011130|99573490|921574376|921574376</v>
          </cell>
          <cell r="AR2218" t="str">
            <v>IMED SALUD</v>
          </cell>
        </row>
        <row r="2219">
          <cell r="AQ2219" t="str">
            <v>14011130|99573490|921574376|921574376</v>
          </cell>
          <cell r="AR2219" t="str">
            <v>IMED SALUD</v>
          </cell>
        </row>
        <row r="2220">
          <cell r="AQ2220" t="str">
            <v>14011130|99573490|921574376|65384189</v>
          </cell>
          <cell r="AR2220" t="str">
            <v>GASTO FISICO</v>
          </cell>
        </row>
        <row r="2221">
          <cell r="AQ2221" t="str">
            <v>14011130|99573490|921574376|65384189</v>
          </cell>
          <cell r="AR2221" t="str">
            <v>GASTO FISICO</v>
          </cell>
        </row>
        <row r="2222">
          <cell r="AQ2222" t="str">
            <v>14011130|99573490|921574376|65384189</v>
          </cell>
          <cell r="AR2222" t="str">
            <v>GASTO FISICO</v>
          </cell>
        </row>
        <row r="2223">
          <cell r="AQ2223" t="str">
            <v>14011130|99573490|921574376|65384189</v>
          </cell>
          <cell r="AR2223" t="str">
            <v>GASTO FISICO</v>
          </cell>
        </row>
        <row r="2224">
          <cell r="AQ2224" t="str">
            <v>14011130|99573490|921574376|65384189</v>
          </cell>
          <cell r="AR2224" t="str">
            <v>GASTO FISICO</v>
          </cell>
        </row>
        <row r="2225">
          <cell r="AQ2225" t="str">
            <v>14011130|99573490|921574377|921574377</v>
          </cell>
          <cell r="AR2225" t="str">
            <v>IMED SALUD</v>
          </cell>
        </row>
        <row r="2226">
          <cell r="AQ2226" t="str">
            <v>14011130|99573490|921574377|921574377</v>
          </cell>
          <cell r="AR2226" t="str">
            <v>IMED SALUD</v>
          </cell>
        </row>
        <row r="2227">
          <cell r="AQ2227" t="str">
            <v>14011130|99573490|921574377|921574377</v>
          </cell>
          <cell r="AR2227" t="str">
            <v>IMED SALUD</v>
          </cell>
        </row>
        <row r="2228">
          <cell r="AQ2228" t="str">
            <v>14011130|99573490|921574377|921574377</v>
          </cell>
          <cell r="AR2228" t="str">
            <v>IMED SALUD</v>
          </cell>
        </row>
        <row r="2229">
          <cell r="AQ2229" t="str">
            <v>14011130|99573490|921574377|921574377</v>
          </cell>
          <cell r="AR2229" t="str">
            <v>IMED SALUD</v>
          </cell>
        </row>
        <row r="2230">
          <cell r="AQ2230" t="str">
            <v>14011130|99573490|921574377|921574377</v>
          </cell>
          <cell r="AR2230" t="str">
            <v>IMED SALUD</v>
          </cell>
        </row>
        <row r="2231">
          <cell r="AQ2231" t="str">
            <v>14011130|99573490|921574377|921574377</v>
          </cell>
          <cell r="AR2231" t="str">
            <v>IMED SALUD</v>
          </cell>
        </row>
        <row r="2232">
          <cell r="AQ2232" t="str">
            <v>14011130|99573490|921574377|921574377</v>
          </cell>
          <cell r="AR2232" t="str">
            <v>IMED SALUD</v>
          </cell>
        </row>
        <row r="2233">
          <cell r="AQ2233" t="str">
            <v>14011130|99573490|921574377|921574377</v>
          </cell>
          <cell r="AR2233" t="str">
            <v>IMED SALUD</v>
          </cell>
        </row>
        <row r="2234">
          <cell r="AQ2234" t="str">
            <v>14011130|99573490|921574377|921574377</v>
          </cell>
          <cell r="AR2234" t="str">
            <v>IMED SALUD</v>
          </cell>
        </row>
        <row r="2235">
          <cell r="AQ2235" t="str">
            <v>14011130|99573490|921574377|65384190</v>
          </cell>
          <cell r="AR2235" t="str">
            <v>GASTO FISICO</v>
          </cell>
        </row>
        <row r="2236">
          <cell r="AQ2236" t="str">
            <v>14011130|99573490|921574377|65384190</v>
          </cell>
          <cell r="AR2236" t="str">
            <v>GASTO FISICO</v>
          </cell>
        </row>
        <row r="2237">
          <cell r="AQ2237" t="str">
            <v>14011130|99573490|921574377|65384190</v>
          </cell>
          <cell r="AR2237" t="str">
            <v>GASTO FISICO</v>
          </cell>
        </row>
        <row r="2238">
          <cell r="AQ2238" t="str">
            <v>14011130|99573490|921574377|65384190</v>
          </cell>
          <cell r="AR2238" t="str">
            <v>GASTO FISICO</v>
          </cell>
        </row>
        <row r="2239">
          <cell r="AQ2239" t="str">
            <v>14011130|99573490|921574377|65384190</v>
          </cell>
          <cell r="AR2239" t="str">
            <v>GASTO FISICO</v>
          </cell>
        </row>
        <row r="2240">
          <cell r="AQ2240" t="str">
            <v>14011130|99573490|921574378|921574378</v>
          </cell>
          <cell r="AR2240" t="str">
            <v>IMED SALUD</v>
          </cell>
        </row>
        <row r="2241">
          <cell r="AQ2241" t="str">
            <v>14011130|99573490|921574378|921574378</v>
          </cell>
          <cell r="AR2241" t="str">
            <v>IMED SALUD</v>
          </cell>
        </row>
        <row r="2242">
          <cell r="AQ2242" t="str">
            <v>14011130|99573490|921574378|921574378</v>
          </cell>
          <cell r="AR2242" t="str">
            <v>IMED SALUD</v>
          </cell>
        </row>
        <row r="2243">
          <cell r="AQ2243" t="str">
            <v>14011130|99573490|921574378|921574378</v>
          </cell>
          <cell r="AR2243" t="str">
            <v>IMED SALUD</v>
          </cell>
        </row>
        <row r="2244">
          <cell r="AQ2244" t="str">
            <v>14011130|99573490|921574378|65384191</v>
          </cell>
          <cell r="AR2244" t="str">
            <v>GASTO FISICO</v>
          </cell>
        </row>
        <row r="2245">
          <cell r="AQ2245" t="str">
            <v>14011130|99573490|921574378|65384191</v>
          </cell>
          <cell r="AR2245" t="str">
            <v>GASTO FISICO</v>
          </cell>
        </row>
        <row r="2246">
          <cell r="AQ2246" t="str">
            <v>14012986|96770100|970932|970932</v>
          </cell>
          <cell r="AR2246" t="str">
            <v>IMED SALUD</v>
          </cell>
        </row>
        <row r="2247">
          <cell r="AQ2247" t="str">
            <v>14012986|96770100|970932|970932</v>
          </cell>
          <cell r="AR2247" t="str">
            <v>IMED SALUD</v>
          </cell>
        </row>
        <row r="2248">
          <cell r="AQ2248" t="str">
            <v>14012986|96770100|970932|970932</v>
          </cell>
          <cell r="AR2248" t="str">
            <v>IMED SALUD</v>
          </cell>
        </row>
        <row r="2249">
          <cell r="AQ2249" t="str">
            <v>14012986|96770100|970932|970932</v>
          </cell>
          <cell r="AR2249" t="str">
            <v>IMED SALUD</v>
          </cell>
        </row>
        <row r="2250">
          <cell r="AQ2250" t="str">
            <v>14012986|96770100|970932|970932</v>
          </cell>
          <cell r="AR2250" t="str">
            <v>IMED SALUD</v>
          </cell>
        </row>
        <row r="2251">
          <cell r="AQ2251" t="str">
            <v>14012986|96770100|970932|970932</v>
          </cell>
          <cell r="AR2251" t="str">
            <v>IMED SALUD</v>
          </cell>
        </row>
        <row r="2252">
          <cell r="AQ2252" t="str">
            <v>14012986|96770100|970932|970932</v>
          </cell>
          <cell r="AR2252" t="str">
            <v>IMED SALUD</v>
          </cell>
        </row>
        <row r="2253">
          <cell r="AQ2253" t="str">
            <v>14012986|96770100|970932|970932</v>
          </cell>
          <cell r="AR2253" t="str">
            <v>IMED SALUD</v>
          </cell>
        </row>
        <row r="2254">
          <cell r="AQ2254" t="str">
            <v>14012986|96770100|970932|65384193</v>
          </cell>
          <cell r="AR2254" t="str">
            <v>GASTO FISICO</v>
          </cell>
        </row>
        <row r="2255">
          <cell r="AQ2255" t="str">
            <v>14012986|96770100|970932|65384193</v>
          </cell>
          <cell r="AR2255" t="str">
            <v>GASTO FISICO</v>
          </cell>
        </row>
        <row r="2256">
          <cell r="AQ2256" t="str">
            <v>14012986|96770100|970932|65384193</v>
          </cell>
          <cell r="AR2256" t="str">
            <v>GASTO FISICO</v>
          </cell>
        </row>
        <row r="2257">
          <cell r="AQ2257" t="str">
            <v>14012986|96770100|970932|65384193</v>
          </cell>
          <cell r="AR2257" t="str">
            <v>GASTO FISICO</v>
          </cell>
        </row>
        <row r="2258">
          <cell r="AQ2258" t="str">
            <v>14012986|96770100|970933|970933</v>
          </cell>
          <cell r="AR2258" t="str">
            <v>IMED SALUD</v>
          </cell>
        </row>
        <row r="2259">
          <cell r="AQ2259" t="str">
            <v>14012986|96770100|970933|970933</v>
          </cell>
          <cell r="AR2259" t="str">
            <v>IMED SALUD</v>
          </cell>
        </row>
        <row r="2260">
          <cell r="AQ2260" t="str">
            <v>14012986|96770100|970933|970933</v>
          </cell>
          <cell r="AR2260" t="str">
            <v>IMED SALUD</v>
          </cell>
        </row>
        <row r="2261">
          <cell r="AQ2261" t="str">
            <v>14012986|96770100|970933|970933</v>
          </cell>
          <cell r="AR2261" t="str">
            <v>IMED SALUD</v>
          </cell>
        </row>
        <row r="2262">
          <cell r="AQ2262" t="str">
            <v>14012986|96770100|970933|970933</v>
          </cell>
          <cell r="AR2262" t="str">
            <v>IMED SALUD</v>
          </cell>
        </row>
        <row r="2263">
          <cell r="AQ2263" t="str">
            <v>14012986|96770100|970933|970933</v>
          </cell>
          <cell r="AR2263" t="str">
            <v>IMED SALUD</v>
          </cell>
        </row>
        <row r="2264">
          <cell r="AQ2264" t="str">
            <v>14012986|96770100|970933|970933</v>
          </cell>
          <cell r="AR2264" t="str">
            <v>IMED SALUD</v>
          </cell>
        </row>
        <row r="2265">
          <cell r="AQ2265" t="str">
            <v>14012986|96770100|970933|970933</v>
          </cell>
          <cell r="AR2265" t="str">
            <v>IMED SALUD</v>
          </cell>
        </row>
        <row r="2266">
          <cell r="AQ2266" t="str">
            <v>14012986|96770100|970933|970933</v>
          </cell>
          <cell r="AR2266" t="str">
            <v>IMED SALUD</v>
          </cell>
        </row>
        <row r="2267">
          <cell r="AQ2267" t="str">
            <v>14012986|96770100|970933|970933</v>
          </cell>
          <cell r="AR2267" t="str">
            <v>IMED SALUD</v>
          </cell>
        </row>
        <row r="2268">
          <cell r="AQ2268" t="str">
            <v>14012986|96770100|970933|65384194</v>
          </cell>
          <cell r="AR2268" t="str">
            <v>GASTO FISICO</v>
          </cell>
        </row>
        <row r="2269">
          <cell r="AQ2269" t="str">
            <v>14012986|96770100|970933|65384194</v>
          </cell>
          <cell r="AR2269" t="str">
            <v>GASTO FISICO</v>
          </cell>
        </row>
        <row r="2270">
          <cell r="AQ2270" t="str">
            <v>14012986|96770100|970933|65384194</v>
          </cell>
          <cell r="AR2270" t="str">
            <v>GASTO FISICO</v>
          </cell>
        </row>
        <row r="2271">
          <cell r="AQ2271" t="str">
            <v>14012986|96770100|970933|65384194</v>
          </cell>
          <cell r="AR2271" t="str">
            <v>GASTO FISICO</v>
          </cell>
        </row>
        <row r="2272">
          <cell r="AQ2272" t="str">
            <v>14012986|96770100|970933|65384194</v>
          </cell>
          <cell r="AR2272" t="str">
            <v>GASTO FISICO</v>
          </cell>
        </row>
        <row r="2273">
          <cell r="AQ2273" t="str">
            <v>14012986|76436880|971121|971121</v>
          </cell>
          <cell r="AR2273" t="str">
            <v>IMED SALUD</v>
          </cell>
        </row>
        <row r="2274">
          <cell r="AQ2274" t="str">
            <v>14012986|76436880|971121|971121</v>
          </cell>
          <cell r="AR2274" t="str">
            <v>IMED SALUD</v>
          </cell>
        </row>
        <row r="2275">
          <cell r="AQ2275" t="str">
            <v>14012986|76436880|971121|65384195</v>
          </cell>
          <cell r="AR2275" t="str">
            <v>GASTO FISICO</v>
          </cell>
        </row>
        <row r="2276">
          <cell r="AQ2276" t="str">
            <v>14012986|76436880|983507|983507</v>
          </cell>
          <cell r="AR2276" t="str">
            <v>IMED SALUD</v>
          </cell>
        </row>
        <row r="2277">
          <cell r="AQ2277" t="str">
            <v>14012986|76436880|983507|983507</v>
          </cell>
          <cell r="AR2277" t="str">
            <v>IMED SALUD</v>
          </cell>
        </row>
        <row r="2278">
          <cell r="AQ2278" t="str">
            <v>14012986|76436880|983507|983507</v>
          </cell>
          <cell r="AR2278" t="str">
            <v>IMED SALUD</v>
          </cell>
        </row>
        <row r="2279">
          <cell r="AQ2279" t="str">
            <v>14012986|76436880|983507|983507</v>
          </cell>
          <cell r="AR2279" t="str">
            <v>IMED SALUD</v>
          </cell>
        </row>
        <row r="2280">
          <cell r="AQ2280" t="str">
            <v>14012986|76436880|983507|65384196</v>
          </cell>
          <cell r="AR2280" t="str">
            <v>GASTO FISICO</v>
          </cell>
        </row>
        <row r="2281">
          <cell r="AQ2281" t="str">
            <v>14012986|76436880|983507|65384196</v>
          </cell>
          <cell r="AR2281" t="str">
            <v>GASTO FISICO</v>
          </cell>
        </row>
        <row r="2282">
          <cell r="AQ2282" t="str">
            <v>14036485|76436880|370851838|370851838</v>
          </cell>
          <cell r="AR2282" t="str">
            <v>IMED SALUD</v>
          </cell>
        </row>
        <row r="2283">
          <cell r="AQ2283" t="str">
            <v>14036485|76436880|370851838|370851838</v>
          </cell>
          <cell r="AR2283" t="str">
            <v>IMED SALUD</v>
          </cell>
        </row>
        <row r="2284">
          <cell r="AQ2284" t="str">
            <v>14036485|76436880|370851838|370851838</v>
          </cell>
          <cell r="AR2284" t="str">
            <v>IMED SALUD</v>
          </cell>
        </row>
        <row r="2285">
          <cell r="AQ2285" t="str">
            <v>14036485|76436880|370851838|370851838</v>
          </cell>
          <cell r="AR2285" t="str">
            <v>IMED SALUD</v>
          </cell>
        </row>
        <row r="2286">
          <cell r="AQ2286" t="str">
            <v>14036485|76436880|370851838|65384200</v>
          </cell>
          <cell r="AR2286" t="str">
            <v>GASTO FISICO</v>
          </cell>
        </row>
        <row r="2287">
          <cell r="AQ2287" t="str">
            <v>14036485|76436880|370851838|65384200</v>
          </cell>
          <cell r="AR2287" t="str">
            <v>GASTO FISICO</v>
          </cell>
        </row>
        <row r="2288">
          <cell r="AQ2288" t="str">
            <v>14036485|76436880|930077967|930077967</v>
          </cell>
          <cell r="AR2288" t="str">
            <v>IMED SALUD</v>
          </cell>
        </row>
        <row r="2289">
          <cell r="AQ2289" t="str">
            <v>14036485|76436880|930077967|930077967</v>
          </cell>
          <cell r="AR2289" t="str">
            <v>IMED SALUD</v>
          </cell>
        </row>
        <row r="2290">
          <cell r="AQ2290" t="str">
            <v>14036485|76436880|930077967|65384201</v>
          </cell>
          <cell r="AR2290" t="str">
            <v>GASTO FISICO</v>
          </cell>
        </row>
        <row r="2291">
          <cell r="AQ2291" t="str">
            <v>14036485|96770100|930077968|930077968</v>
          </cell>
          <cell r="AR2291" t="str">
            <v>IMED SALUD</v>
          </cell>
        </row>
        <row r="2292">
          <cell r="AQ2292" t="str">
            <v>14036485|96770100|930077968|930077968</v>
          </cell>
          <cell r="AR2292" t="str">
            <v>IMED SALUD</v>
          </cell>
        </row>
        <row r="2293">
          <cell r="AQ2293" t="str">
            <v>14036485|96770100|930077968|65384202</v>
          </cell>
          <cell r="AR2293" t="str">
            <v>GASTO FISICO</v>
          </cell>
        </row>
        <row r="2294">
          <cell r="AQ2294" t="str">
            <v>14118544|76436880|988248|988248</v>
          </cell>
          <cell r="AR2294" t="str">
            <v>IMED SALUD</v>
          </cell>
        </row>
        <row r="2295">
          <cell r="AQ2295" t="str">
            <v>14118544|76436880|988248|988248</v>
          </cell>
          <cell r="AR2295" t="str">
            <v>IMED SALUD</v>
          </cell>
        </row>
        <row r="2296">
          <cell r="AQ2296" t="str">
            <v>14118544|76436880|988248|65384204</v>
          </cell>
          <cell r="AR2296" t="str">
            <v>GASTO FISICO</v>
          </cell>
        </row>
        <row r="2297">
          <cell r="AQ2297" t="str">
            <v>14118544|76436880|988309|988309</v>
          </cell>
          <cell r="AR2297" t="str">
            <v>IMED SALUD</v>
          </cell>
        </row>
        <row r="2298">
          <cell r="AQ2298" t="str">
            <v>14118544|76436880|988309|988309</v>
          </cell>
          <cell r="AR2298" t="str">
            <v>IMED SALUD</v>
          </cell>
        </row>
        <row r="2299">
          <cell r="AQ2299" t="str">
            <v>14118544|76436880|988309|988309</v>
          </cell>
          <cell r="AR2299" t="str">
            <v>IMED SALUD</v>
          </cell>
        </row>
        <row r="2300">
          <cell r="AQ2300" t="str">
            <v>14118544|76436880|988309|988309</v>
          </cell>
          <cell r="AR2300" t="str">
            <v>IMED SALUD</v>
          </cell>
        </row>
        <row r="2301">
          <cell r="AQ2301" t="str">
            <v>14118544|76436880|988309|988309</v>
          </cell>
          <cell r="AR2301" t="str">
            <v>IMED SALUD</v>
          </cell>
        </row>
        <row r="2302">
          <cell r="AQ2302" t="str">
            <v>14118544|76436880|988309|988309</v>
          </cell>
          <cell r="AR2302" t="str">
            <v>IMED SALUD</v>
          </cell>
        </row>
        <row r="2303">
          <cell r="AQ2303" t="str">
            <v>14118544|76436880|988309|65384205</v>
          </cell>
          <cell r="AR2303" t="str">
            <v>GASTO FISICO</v>
          </cell>
        </row>
        <row r="2304">
          <cell r="AQ2304" t="str">
            <v>14118544|76436880|988309|65384205</v>
          </cell>
          <cell r="AR2304" t="str">
            <v>GASTO FISICO</v>
          </cell>
        </row>
        <row r="2305">
          <cell r="AQ2305" t="str">
            <v>14118544|76436880|988309|65384205</v>
          </cell>
          <cell r="AR2305" t="str">
            <v>GASTO FISICO</v>
          </cell>
        </row>
        <row r="2306">
          <cell r="AQ2306" t="str">
            <v>14119217|78040520|765740255|765740255</v>
          </cell>
          <cell r="AR2306" t="str">
            <v>IMED SALUD</v>
          </cell>
        </row>
        <row r="2307">
          <cell r="AQ2307" t="str">
            <v>14119217|78040520|765740255|765740255</v>
          </cell>
          <cell r="AR2307" t="str">
            <v>IMED SALUD</v>
          </cell>
        </row>
        <row r="2308">
          <cell r="AQ2308" t="str">
            <v>14119217|78040520|765740255|65384206</v>
          </cell>
          <cell r="AR2308" t="str">
            <v>GASTO FISICO</v>
          </cell>
        </row>
        <row r="2309">
          <cell r="AQ2309" t="str">
            <v>14157190|96942400|916357934|916357934</v>
          </cell>
          <cell r="AR2309" t="str">
            <v>IMED SALUD</v>
          </cell>
        </row>
        <row r="2310">
          <cell r="AQ2310" t="str">
            <v>14157190|96942400|916357934|916357934</v>
          </cell>
          <cell r="AR2310" t="str">
            <v>IMED SALUD</v>
          </cell>
        </row>
        <row r="2311">
          <cell r="AQ2311" t="str">
            <v>14157190|96942400|916357934|65384207</v>
          </cell>
          <cell r="AR2311" t="str">
            <v>GASTO FISICO</v>
          </cell>
        </row>
        <row r="2312">
          <cell r="AQ2312" t="str">
            <v>14157190|77774340|916587328|916587328</v>
          </cell>
          <cell r="AR2312" t="str">
            <v>IMED SALUD</v>
          </cell>
        </row>
        <row r="2313">
          <cell r="AQ2313" t="str">
            <v>14157190|77774340|916587328|916587328</v>
          </cell>
          <cell r="AR2313" t="str">
            <v>IMED SALUD</v>
          </cell>
        </row>
        <row r="2314">
          <cell r="AQ2314" t="str">
            <v>14157190|77774340|916587328|916587328</v>
          </cell>
          <cell r="AR2314" t="str">
            <v>IMED SALUD</v>
          </cell>
        </row>
        <row r="2315">
          <cell r="AQ2315" t="str">
            <v>14157190|77774340|916587328|916587328</v>
          </cell>
          <cell r="AR2315" t="str">
            <v>IMED SALUD</v>
          </cell>
        </row>
        <row r="2316">
          <cell r="AQ2316" t="str">
            <v>14157190|77774340|916587328|916587328</v>
          </cell>
          <cell r="AR2316" t="str">
            <v>IMED SALUD</v>
          </cell>
        </row>
        <row r="2317">
          <cell r="AQ2317" t="str">
            <v>14157190|77774340|916587328|916587328</v>
          </cell>
          <cell r="AR2317" t="str">
            <v>IMED SALUD</v>
          </cell>
        </row>
        <row r="2318">
          <cell r="AQ2318" t="str">
            <v>14157190|77774340|916587328|65384208</v>
          </cell>
          <cell r="AR2318" t="str">
            <v>GASTO FISICO</v>
          </cell>
        </row>
        <row r="2319">
          <cell r="AQ2319" t="str">
            <v>14157190|77774340|916587328|65384208</v>
          </cell>
          <cell r="AR2319" t="str">
            <v>GASTO FISICO</v>
          </cell>
        </row>
        <row r="2320">
          <cell r="AQ2320" t="str">
            <v>14157190|77774340|916587328|65384208</v>
          </cell>
          <cell r="AR2320" t="str">
            <v>GASTO FISICO</v>
          </cell>
        </row>
        <row r="2321">
          <cell r="AQ2321" t="str">
            <v>14157190|76098454|916902146|916902146</v>
          </cell>
          <cell r="AR2321" t="str">
            <v>IMED SALUD</v>
          </cell>
        </row>
        <row r="2322">
          <cell r="AQ2322" t="str">
            <v>14157190|76098454|916902146|916902146</v>
          </cell>
          <cell r="AR2322" t="str">
            <v>IMED SALUD</v>
          </cell>
        </row>
        <row r="2323">
          <cell r="AQ2323" t="str">
            <v>14157190|76098454|916902146|65384209</v>
          </cell>
          <cell r="AR2323" t="str">
            <v>GASTO FISICO</v>
          </cell>
        </row>
        <row r="2324">
          <cell r="AQ2324" t="str">
            <v>14157190|96942400|918557671|918557671</v>
          </cell>
          <cell r="AR2324" t="str">
            <v>IMED SALUD</v>
          </cell>
        </row>
        <row r="2325">
          <cell r="AQ2325" t="str">
            <v>14157190|96942400|918557671|918557671</v>
          </cell>
          <cell r="AR2325" t="str">
            <v>IMED SALUD</v>
          </cell>
        </row>
        <row r="2326">
          <cell r="AQ2326" t="str">
            <v>14157190|96942400|918557671|65384210</v>
          </cell>
          <cell r="AR2326" t="str">
            <v>GASTO FISICO</v>
          </cell>
        </row>
        <row r="2327">
          <cell r="AQ2327" t="str">
            <v>14166339|78317440|765594152|765594152</v>
          </cell>
          <cell r="AR2327" t="str">
            <v>IMED SALUD</v>
          </cell>
        </row>
        <row r="2328">
          <cell r="AQ2328" t="str">
            <v>14166339|78317440|765594152|765594152</v>
          </cell>
          <cell r="AR2328" t="str">
            <v>IMED SALUD</v>
          </cell>
        </row>
        <row r="2329">
          <cell r="AQ2329" t="str">
            <v>14166339|78317440|765594152|65384211</v>
          </cell>
          <cell r="AR2329" t="str">
            <v>GASTO FISICO</v>
          </cell>
        </row>
        <row r="2330">
          <cell r="AQ2330" t="str">
            <v>14259765|76098454|929837903|929837903</v>
          </cell>
          <cell r="AR2330" t="str">
            <v>IMED SALUD</v>
          </cell>
        </row>
        <row r="2331">
          <cell r="AQ2331" t="str">
            <v>14259765|76098454|929837903|929837903</v>
          </cell>
          <cell r="AR2331" t="str">
            <v>IMED SALUD</v>
          </cell>
        </row>
        <row r="2332">
          <cell r="AQ2332" t="str">
            <v>14259765|76098454|929837903|929837903</v>
          </cell>
          <cell r="AR2332" t="str">
            <v>IMED SALUD</v>
          </cell>
        </row>
        <row r="2333">
          <cell r="AQ2333" t="str">
            <v>14259765|76098454|929837903|929837903</v>
          </cell>
          <cell r="AR2333" t="str">
            <v>IMED SALUD</v>
          </cell>
        </row>
        <row r="2334">
          <cell r="AQ2334" t="str">
            <v>14259765|76098454|929837903|65384215</v>
          </cell>
          <cell r="AR2334" t="str">
            <v>GASTO FISICO</v>
          </cell>
        </row>
        <row r="2335">
          <cell r="AQ2335" t="str">
            <v>14259765|76098454|929837903|65384215</v>
          </cell>
          <cell r="AR2335" t="str">
            <v>GASTO FISICO</v>
          </cell>
        </row>
        <row r="2336">
          <cell r="AQ2336" t="str">
            <v>14259765|96986050|929903282|929903282</v>
          </cell>
          <cell r="AR2336" t="str">
            <v>IMED SALUD</v>
          </cell>
        </row>
        <row r="2337">
          <cell r="AQ2337" t="str">
            <v>14259765|96986050|929903282|929903282</v>
          </cell>
          <cell r="AR2337" t="str">
            <v>IMED SALUD</v>
          </cell>
        </row>
        <row r="2338">
          <cell r="AQ2338" t="str">
            <v>14259765|96986050|929903282|929903282</v>
          </cell>
          <cell r="AR2338" t="str">
            <v>IMED SALUD</v>
          </cell>
        </row>
        <row r="2339">
          <cell r="AQ2339" t="str">
            <v>14259765|96986050|929903282|929903282</v>
          </cell>
          <cell r="AR2339" t="str">
            <v>IMED SALUD</v>
          </cell>
        </row>
        <row r="2340">
          <cell r="AQ2340" t="str">
            <v>14259765|96986050|929903282|929903282</v>
          </cell>
          <cell r="AR2340" t="str">
            <v>IMED SALUD</v>
          </cell>
        </row>
        <row r="2341">
          <cell r="AQ2341" t="str">
            <v>14259765|96986050|929903282|929903282</v>
          </cell>
          <cell r="AR2341" t="str">
            <v>IMED SALUD</v>
          </cell>
        </row>
        <row r="2342">
          <cell r="AQ2342" t="str">
            <v>14259765|96986050|929903282|929903282</v>
          </cell>
          <cell r="AR2342" t="str">
            <v>IMED SALUD</v>
          </cell>
        </row>
        <row r="2343">
          <cell r="AQ2343" t="str">
            <v>14259765|96986050|929903282|929903282</v>
          </cell>
          <cell r="AR2343" t="str">
            <v>IMED SALUD</v>
          </cell>
        </row>
        <row r="2344">
          <cell r="AQ2344" t="str">
            <v>14259765|96986050|929903282|65384216</v>
          </cell>
          <cell r="AR2344" t="str">
            <v>GASTO FISICO</v>
          </cell>
        </row>
        <row r="2345">
          <cell r="AQ2345" t="str">
            <v>14259765|96986050|929903282|65384216</v>
          </cell>
          <cell r="AR2345" t="str">
            <v>GASTO FISICO</v>
          </cell>
        </row>
        <row r="2346">
          <cell r="AQ2346" t="str">
            <v>14259765|96986050|929903282|65384216</v>
          </cell>
          <cell r="AR2346" t="str">
            <v>GASTO FISICO</v>
          </cell>
        </row>
        <row r="2347">
          <cell r="AQ2347" t="str">
            <v>14259765|96986050|929903283|929903283</v>
          </cell>
          <cell r="AR2347" t="str">
            <v>IMED SALUD</v>
          </cell>
        </row>
        <row r="2348">
          <cell r="AQ2348" t="str">
            <v>14259765|96986050|929903283|929903283</v>
          </cell>
          <cell r="AR2348" t="str">
            <v>IMED SALUD</v>
          </cell>
        </row>
        <row r="2349">
          <cell r="AQ2349" t="str">
            <v>14259765|96986050|929903283|929903283</v>
          </cell>
          <cell r="AR2349" t="str">
            <v>IMED SALUD</v>
          </cell>
        </row>
        <row r="2350">
          <cell r="AQ2350" t="str">
            <v>14259765|96986050|929903283|929903283</v>
          </cell>
          <cell r="AR2350" t="str">
            <v>IMED SALUD</v>
          </cell>
        </row>
        <row r="2351">
          <cell r="AQ2351" t="str">
            <v>14259765|96986050|929903283|929903283</v>
          </cell>
          <cell r="AR2351" t="str">
            <v>IMED SALUD</v>
          </cell>
        </row>
        <row r="2352">
          <cell r="AQ2352" t="str">
            <v>14259765|96986050|929903283|929903283</v>
          </cell>
          <cell r="AR2352" t="str">
            <v>IMED SALUD</v>
          </cell>
        </row>
        <row r="2353">
          <cell r="AQ2353" t="str">
            <v>14259765|96986050|929903283|929903283</v>
          </cell>
          <cell r="AR2353" t="str">
            <v>IMED SALUD</v>
          </cell>
        </row>
        <row r="2354">
          <cell r="AQ2354" t="str">
            <v>14259765|96986050|929903283|929903283</v>
          </cell>
          <cell r="AR2354" t="str">
            <v>IMED SALUD</v>
          </cell>
        </row>
        <row r="2355">
          <cell r="AQ2355" t="str">
            <v>14259765|96986050|929903283|929903283</v>
          </cell>
          <cell r="AR2355" t="str">
            <v>IMED SALUD</v>
          </cell>
        </row>
        <row r="2356">
          <cell r="AQ2356" t="str">
            <v>14259765|96986050|929903283|929903283</v>
          </cell>
          <cell r="AR2356" t="str">
            <v>IMED SALUD</v>
          </cell>
        </row>
        <row r="2357">
          <cell r="AQ2357" t="str">
            <v>14259765|96986050|929903283|65384217</v>
          </cell>
          <cell r="AR2357" t="str">
            <v>GASTO FISICO</v>
          </cell>
        </row>
        <row r="2358">
          <cell r="AQ2358" t="str">
            <v>14259765|96986050|929903283|65384217</v>
          </cell>
          <cell r="AR2358" t="str">
            <v>GASTO FISICO</v>
          </cell>
        </row>
        <row r="2359">
          <cell r="AQ2359" t="str">
            <v>14259765|96986050|929903283|65384217</v>
          </cell>
          <cell r="AR2359" t="str">
            <v>GASTO FISICO</v>
          </cell>
        </row>
        <row r="2360">
          <cell r="AQ2360" t="str">
            <v>14259765|96986050|929903283|65384217</v>
          </cell>
          <cell r="AR2360" t="str">
            <v>GASTO FISICO</v>
          </cell>
        </row>
        <row r="2361">
          <cell r="AQ2361" t="str">
            <v>14259765|96986050|930195072|930195072</v>
          </cell>
          <cell r="AR2361" t="str">
            <v>IMED SALUD</v>
          </cell>
        </row>
        <row r="2362">
          <cell r="AQ2362" t="str">
            <v>14259765|96986050|930195072|930195072</v>
          </cell>
          <cell r="AR2362" t="str">
            <v>IMED SALUD</v>
          </cell>
        </row>
        <row r="2363">
          <cell r="AQ2363" t="str">
            <v>14259765|96986050|930195072|930195072</v>
          </cell>
          <cell r="AR2363" t="str">
            <v>IMED SALUD</v>
          </cell>
        </row>
        <row r="2364">
          <cell r="AQ2364" t="str">
            <v>14259765|96986050|930195072|930195072</v>
          </cell>
          <cell r="AR2364" t="str">
            <v>IMED SALUD</v>
          </cell>
        </row>
        <row r="2365">
          <cell r="AQ2365" t="str">
            <v>14259765|96986050|930195072|930195072</v>
          </cell>
          <cell r="AR2365" t="str">
            <v>IMED SALUD</v>
          </cell>
        </row>
        <row r="2366">
          <cell r="AQ2366" t="str">
            <v>14259765|96986050|930195072|930195072</v>
          </cell>
          <cell r="AR2366" t="str">
            <v>IMED SALUD</v>
          </cell>
        </row>
        <row r="2367">
          <cell r="AQ2367" t="str">
            <v>14259765|96986050|930195072|930195072</v>
          </cell>
          <cell r="AR2367" t="str">
            <v>IMED SALUD</v>
          </cell>
        </row>
        <row r="2368">
          <cell r="AQ2368" t="str">
            <v>14259765|96986050|930195072|930195072</v>
          </cell>
          <cell r="AR2368" t="str">
            <v>IMED SALUD</v>
          </cell>
        </row>
        <row r="2369">
          <cell r="AQ2369" t="str">
            <v>14259765|96986050|930195072|930195072</v>
          </cell>
          <cell r="AR2369" t="str">
            <v>IMED SALUD</v>
          </cell>
        </row>
        <row r="2370">
          <cell r="AQ2370" t="str">
            <v>14259765|96986050|930195072|930195072</v>
          </cell>
          <cell r="AR2370" t="str">
            <v>IMED SALUD</v>
          </cell>
        </row>
        <row r="2371">
          <cell r="AQ2371" t="str">
            <v>14259765|96986050|930195072|65384218</v>
          </cell>
          <cell r="AR2371" t="str">
            <v>GASTO FISICO</v>
          </cell>
        </row>
        <row r="2372">
          <cell r="AQ2372" t="str">
            <v>14259765|96986050|930195073|930195073</v>
          </cell>
          <cell r="AR2372" t="str">
            <v>IMED SALUD</v>
          </cell>
        </row>
        <row r="2373">
          <cell r="AQ2373" t="str">
            <v>14259765|96986050|930195073|930195073</v>
          </cell>
          <cell r="AR2373" t="str">
            <v>IMED SALUD</v>
          </cell>
        </row>
        <row r="2374">
          <cell r="AQ2374" t="str">
            <v>14259765|96986050|930195073|930195073</v>
          </cell>
          <cell r="AR2374" t="str">
            <v>IMED SALUD</v>
          </cell>
        </row>
        <row r="2375">
          <cell r="AQ2375" t="str">
            <v>14259765|96986050|930195073|930195073</v>
          </cell>
          <cell r="AR2375" t="str">
            <v>IMED SALUD</v>
          </cell>
        </row>
        <row r="2376">
          <cell r="AQ2376" t="str">
            <v>14259765|96986050|930195073|930195073</v>
          </cell>
          <cell r="AR2376" t="str">
            <v>IMED SALUD</v>
          </cell>
        </row>
        <row r="2377">
          <cell r="AQ2377" t="str">
            <v>14259765|96986050|930195073|930195073</v>
          </cell>
          <cell r="AR2377" t="str">
            <v>IMED SALUD</v>
          </cell>
        </row>
        <row r="2378">
          <cell r="AQ2378" t="str">
            <v>14259765|96986050|930195073|930195073</v>
          </cell>
          <cell r="AR2378" t="str">
            <v>IMED SALUD</v>
          </cell>
        </row>
        <row r="2379">
          <cell r="AQ2379" t="str">
            <v>14259765|96986050|930195073|930195073</v>
          </cell>
          <cell r="AR2379" t="str">
            <v>IMED SALUD</v>
          </cell>
        </row>
        <row r="2380">
          <cell r="AQ2380" t="str">
            <v>14259765|96986050|930195073|930195073</v>
          </cell>
          <cell r="AR2380" t="str">
            <v>IMED SALUD</v>
          </cell>
        </row>
        <row r="2381">
          <cell r="AQ2381" t="str">
            <v>14259765|96986050|930195073|930195073</v>
          </cell>
          <cell r="AR2381" t="str">
            <v>IMED SALUD</v>
          </cell>
        </row>
        <row r="2382">
          <cell r="AQ2382" t="str">
            <v>14259765|96986050|930195073|65384219</v>
          </cell>
          <cell r="AR2382" t="str">
            <v>GASTO FISICO</v>
          </cell>
        </row>
        <row r="2383">
          <cell r="AQ2383" t="str">
            <v>14259765|96986050|930195073|65384219</v>
          </cell>
          <cell r="AR2383" t="str">
            <v>GASTO FISICO</v>
          </cell>
        </row>
        <row r="2384">
          <cell r="AQ2384" t="str">
            <v>14259765|96986050|930195073|65384219</v>
          </cell>
          <cell r="AR2384" t="str">
            <v>GASTO FISICO</v>
          </cell>
        </row>
        <row r="2385">
          <cell r="AQ2385" t="str">
            <v>14259765|96986050|930195073|65384219</v>
          </cell>
          <cell r="AR2385" t="str">
            <v>GASTO FISICO</v>
          </cell>
        </row>
        <row r="2386">
          <cell r="AQ2386" t="str">
            <v>14259765|96986050|930195074|930195074</v>
          </cell>
          <cell r="AR2386" t="str">
            <v>IMED SALUD</v>
          </cell>
        </row>
        <row r="2387">
          <cell r="AQ2387" t="str">
            <v>14259765|96986050|930195074|930195074</v>
          </cell>
          <cell r="AR2387" t="str">
            <v>IMED SALUD</v>
          </cell>
        </row>
        <row r="2388">
          <cell r="AQ2388" t="str">
            <v>14259765|96986050|930195074|930195074</v>
          </cell>
          <cell r="AR2388" t="str">
            <v>IMED SALUD</v>
          </cell>
        </row>
        <row r="2389">
          <cell r="AQ2389" t="str">
            <v>14259765|96986050|930195074|930195074</v>
          </cell>
          <cell r="AR2389" t="str">
            <v>IMED SALUD</v>
          </cell>
        </row>
        <row r="2390">
          <cell r="AQ2390" t="str">
            <v>14259765|96986050|930195074|930195074</v>
          </cell>
          <cell r="AR2390" t="str">
            <v>IMED SALUD</v>
          </cell>
        </row>
        <row r="2391">
          <cell r="AQ2391" t="str">
            <v>14259765|96986050|930195074|930195074</v>
          </cell>
          <cell r="AR2391" t="str">
            <v>IMED SALUD</v>
          </cell>
        </row>
        <row r="2392">
          <cell r="AQ2392" t="str">
            <v>14259765|96986050|930195074|930195074</v>
          </cell>
          <cell r="AR2392" t="str">
            <v>IMED SALUD</v>
          </cell>
        </row>
        <row r="2393">
          <cell r="AQ2393" t="str">
            <v>14259765|96986050|930195074|930195074</v>
          </cell>
          <cell r="AR2393" t="str">
            <v>IMED SALUD</v>
          </cell>
        </row>
        <row r="2394">
          <cell r="AQ2394" t="str">
            <v>14259765|96986050|930195074|930195074</v>
          </cell>
          <cell r="AR2394" t="str">
            <v>IMED SALUD</v>
          </cell>
        </row>
        <row r="2395">
          <cell r="AQ2395" t="str">
            <v>14259765|96986050|930195074|930195074</v>
          </cell>
          <cell r="AR2395" t="str">
            <v>IMED SALUD</v>
          </cell>
        </row>
        <row r="2396">
          <cell r="AQ2396" t="str">
            <v>14259765|96986050|930195074|65384220</v>
          </cell>
          <cell r="AR2396" t="str">
            <v>GASTO FISICO</v>
          </cell>
        </row>
        <row r="2397">
          <cell r="AQ2397" t="str">
            <v>14259765|96986050|930195074|65384220</v>
          </cell>
          <cell r="AR2397" t="str">
            <v>GASTO FISICO</v>
          </cell>
        </row>
        <row r="2398">
          <cell r="AQ2398" t="str">
            <v>14259765|96986050|930195074|65384220</v>
          </cell>
          <cell r="AR2398" t="str">
            <v>GASTO FISICO</v>
          </cell>
        </row>
        <row r="2399">
          <cell r="AQ2399" t="str">
            <v>14259765|96986050|930195074|65384220</v>
          </cell>
          <cell r="AR2399" t="str">
            <v>GASTO FISICO</v>
          </cell>
        </row>
        <row r="2400">
          <cell r="AQ2400" t="str">
            <v>14266557|78918290|929708684|929708684</v>
          </cell>
          <cell r="AR2400" t="str">
            <v>IMED SALUD</v>
          </cell>
        </row>
        <row r="2401">
          <cell r="AQ2401" t="str">
            <v>14266557|78918290|929708684|929708684</v>
          </cell>
          <cell r="AR2401" t="str">
            <v>IMED SALUD</v>
          </cell>
        </row>
        <row r="2402">
          <cell r="AQ2402" t="str">
            <v>14266557|78918290|929708684|65384221</v>
          </cell>
          <cell r="AR2402" t="str">
            <v>GASTO FISICO</v>
          </cell>
        </row>
        <row r="2403">
          <cell r="AQ2403" t="str">
            <v>14266557|78918290|929708685|929708685</v>
          </cell>
          <cell r="AR2403" t="str">
            <v>IMED SALUD</v>
          </cell>
        </row>
        <row r="2404">
          <cell r="AQ2404" t="str">
            <v>14266557|78918290|929708685|929708685</v>
          </cell>
          <cell r="AR2404" t="str">
            <v>IMED SALUD</v>
          </cell>
        </row>
        <row r="2405">
          <cell r="AQ2405" t="str">
            <v>14266557|78918290|929708685|929708685</v>
          </cell>
          <cell r="AR2405" t="str">
            <v>IMED SALUD</v>
          </cell>
        </row>
        <row r="2406">
          <cell r="AQ2406" t="str">
            <v>14266557|78918290|929708685|929708685</v>
          </cell>
          <cell r="AR2406" t="str">
            <v>IMED SALUD</v>
          </cell>
        </row>
        <row r="2407">
          <cell r="AQ2407" t="str">
            <v>14266557|78918290|929708685|929708685</v>
          </cell>
          <cell r="AR2407" t="str">
            <v>IMED SALUD</v>
          </cell>
        </row>
        <row r="2408">
          <cell r="AQ2408" t="str">
            <v>14266557|78918290|929708685|929708685</v>
          </cell>
          <cell r="AR2408" t="str">
            <v>IMED SALUD</v>
          </cell>
        </row>
        <row r="2409">
          <cell r="AQ2409" t="str">
            <v>14266557|78918290|929708685|929708685</v>
          </cell>
          <cell r="AR2409" t="str">
            <v>IMED SALUD</v>
          </cell>
        </row>
        <row r="2410">
          <cell r="AQ2410" t="str">
            <v>14266557|78918290|929708685|929708685</v>
          </cell>
          <cell r="AR2410" t="str">
            <v>IMED SALUD</v>
          </cell>
        </row>
        <row r="2411">
          <cell r="AQ2411" t="str">
            <v>14266557|78918290|929708685|929708685</v>
          </cell>
          <cell r="AR2411" t="str">
            <v>IMED SALUD</v>
          </cell>
        </row>
        <row r="2412">
          <cell r="AQ2412" t="str">
            <v>14266557|78918290|929708685|929708685</v>
          </cell>
          <cell r="AR2412" t="str">
            <v>IMED SALUD</v>
          </cell>
        </row>
        <row r="2413">
          <cell r="AQ2413" t="str">
            <v>14266557|78918290|929708685|65384222</v>
          </cell>
          <cell r="AR2413" t="str">
            <v>GASTO FISICO</v>
          </cell>
        </row>
        <row r="2414">
          <cell r="AQ2414" t="str">
            <v>14266557|78918290|929708685|65384222</v>
          </cell>
          <cell r="AR2414" t="str">
            <v>GASTO FISICO</v>
          </cell>
        </row>
        <row r="2415">
          <cell r="AQ2415" t="str">
            <v>14266557|78918290|929708685|65384222</v>
          </cell>
          <cell r="AR2415" t="str">
            <v>GASTO FISICO</v>
          </cell>
        </row>
        <row r="2416">
          <cell r="AQ2416" t="str">
            <v>14266557|78918290|929708685|65384222</v>
          </cell>
          <cell r="AR2416" t="str">
            <v>GASTO FISICO</v>
          </cell>
        </row>
        <row r="2417">
          <cell r="AQ2417" t="str">
            <v>14266557|78918290|929708685|65384222</v>
          </cell>
          <cell r="AR2417" t="str">
            <v>GASTO FISICO</v>
          </cell>
        </row>
        <row r="2418">
          <cell r="AQ2418" t="str">
            <v>14266557|78918290|929708686|929708686</v>
          </cell>
          <cell r="AR2418" t="str">
            <v>IMED SALUD</v>
          </cell>
        </row>
        <row r="2419">
          <cell r="AQ2419" t="str">
            <v>14266557|78918290|929708686|929708686</v>
          </cell>
          <cell r="AR2419" t="str">
            <v>IMED SALUD</v>
          </cell>
        </row>
        <row r="2420">
          <cell r="AQ2420" t="str">
            <v>14266557|78918290|929708686|929708686</v>
          </cell>
          <cell r="AR2420" t="str">
            <v>IMED SALUD</v>
          </cell>
        </row>
        <row r="2421">
          <cell r="AQ2421" t="str">
            <v>14266557|78918290|929708686|929708686</v>
          </cell>
          <cell r="AR2421" t="str">
            <v>IMED SALUD</v>
          </cell>
        </row>
        <row r="2422">
          <cell r="AQ2422" t="str">
            <v>14266557|78918290|929708686|929708686</v>
          </cell>
          <cell r="AR2422" t="str">
            <v>IMED SALUD</v>
          </cell>
        </row>
        <row r="2423">
          <cell r="AQ2423" t="str">
            <v>14266557|78918290|929708686|929708686</v>
          </cell>
          <cell r="AR2423" t="str">
            <v>IMED SALUD</v>
          </cell>
        </row>
        <row r="2424">
          <cell r="AQ2424" t="str">
            <v>14266557|78918290|929708686|929708686</v>
          </cell>
          <cell r="AR2424" t="str">
            <v>IMED SALUD</v>
          </cell>
        </row>
        <row r="2425">
          <cell r="AQ2425" t="str">
            <v>14266557|78918290|929708686|929708686</v>
          </cell>
          <cell r="AR2425" t="str">
            <v>IMED SALUD</v>
          </cell>
        </row>
        <row r="2426">
          <cell r="AQ2426" t="str">
            <v>14266557|78918290|929708686|929708686</v>
          </cell>
          <cell r="AR2426" t="str">
            <v>IMED SALUD</v>
          </cell>
        </row>
        <row r="2427">
          <cell r="AQ2427" t="str">
            <v>14266557|78918290|929708686|929708686</v>
          </cell>
          <cell r="AR2427" t="str">
            <v>IMED SALUD</v>
          </cell>
        </row>
        <row r="2428">
          <cell r="AQ2428" t="str">
            <v>14266557|78918290|929708686|65384223</v>
          </cell>
          <cell r="AR2428" t="str">
            <v>GASTO FISICO</v>
          </cell>
        </row>
        <row r="2429">
          <cell r="AQ2429" t="str">
            <v>14266557|78918290|929708686|65384223</v>
          </cell>
          <cell r="AR2429" t="str">
            <v>GASTO FISICO</v>
          </cell>
        </row>
        <row r="2430">
          <cell r="AQ2430" t="str">
            <v>14266557|78918290|929708686|65384223</v>
          </cell>
          <cell r="AR2430" t="str">
            <v>GASTO FISICO</v>
          </cell>
        </row>
        <row r="2431">
          <cell r="AQ2431" t="str">
            <v>14266557|78918290|929708686|65384223</v>
          </cell>
          <cell r="AR2431" t="str">
            <v>GASTO FISICO</v>
          </cell>
        </row>
        <row r="2432">
          <cell r="AQ2432" t="str">
            <v>14266557|78918290|929708686|65384223</v>
          </cell>
          <cell r="AR2432" t="str">
            <v>GASTO FISICO</v>
          </cell>
        </row>
        <row r="2433">
          <cell r="AQ2433" t="str">
            <v>14324544|76021365|765321783|765321783</v>
          </cell>
          <cell r="AR2433" t="str">
            <v>IMED SALUD</v>
          </cell>
        </row>
        <row r="2434">
          <cell r="AQ2434" t="str">
            <v>14324544|76021365|765321783|765321783</v>
          </cell>
          <cell r="AR2434" t="str">
            <v>IMED SALUD</v>
          </cell>
        </row>
        <row r="2435">
          <cell r="AQ2435" t="str">
            <v>14324544|76021365|765321783|765321783</v>
          </cell>
          <cell r="AR2435" t="str">
            <v>IMED SALUD</v>
          </cell>
        </row>
        <row r="2436">
          <cell r="AQ2436" t="str">
            <v>14324544|76021365|765321783|765321783</v>
          </cell>
          <cell r="AR2436" t="str">
            <v>IMED SALUD</v>
          </cell>
        </row>
        <row r="2437">
          <cell r="AQ2437" t="str">
            <v>14324544|76021365|765321783|765321783</v>
          </cell>
          <cell r="AR2437" t="str">
            <v>IMED SALUD</v>
          </cell>
        </row>
        <row r="2438">
          <cell r="AQ2438" t="str">
            <v>14324544|76021365|765321783|765321783</v>
          </cell>
          <cell r="AR2438" t="str">
            <v>IMED SALUD</v>
          </cell>
        </row>
        <row r="2439">
          <cell r="AQ2439" t="str">
            <v>14324544|76021365|765321783|765321783</v>
          </cell>
          <cell r="AR2439" t="str">
            <v>IMED SALUD</v>
          </cell>
        </row>
        <row r="2440">
          <cell r="AQ2440" t="str">
            <v>14324544|76021365|765321783|765321783</v>
          </cell>
          <cell r="AR2440" t="str">
            <v>IMED SALUD</v>
          </cell>
        </row>
        <row r="2441">
          <cell r="AQ2441" t="str">
            <v>14324544|76021365|765321783|765321783</v>
          </cell>
          <cell r="AR2441" t="str">
            <v>IMED SALUD</v>
          </cell>
        </row>
        <row r="2442">
          <cell r="AQ2442" t="str">
            <v>14324544|76021365|765321783|765321783</v>
          </cell>
          <cell r="AR2442" t="str">
            <v>IMED SALUD</v>
          </cell>
        </row>
        <row r="2443">
          <cell r="AQ2443" t="str">
            <v>14324544|76021365|765321783|65384224</v>
          </cell>
          <cell r="AR2443" t="str">
            <v>GASTO FISICO</v>
          </cell>
        </row>
        <row r="2444">
          <cell r="AQ2444" t="str">
            <v>14324544|76021365|765321783|65384224</v>
          </cell>
          <cell r="AR2444" t="str">
            <v>GASTO FISICO</v>
          </cell>
        </row>
        <row r="2445">
          <cell r="AQ2445" t="str">
            <v>14324544|76021365|765321783|65384224</v>
          </cell>
          <cell r="AR2445" t="str">
            <v>GASTO FISICO</v>
          </cell>
        </row>
        <row r="2446">
          <cell r="AQ2446" t="str">
            <v>14324544|76021365|765321783|65384224</v>
          </cell>
          <cell r="AR2446" t="str">
            <v>GASTO FISICO</v>
          </cell>
        </row>
        <row r="2447">
          <cell r="AQ2447" t="str">
            <v>14324544|76021365|765321783|65384224</v>
          </cell>
          <cell r="AR2447" t="str">
            <v>GASTO FISICO</v>
          </cell>
        </row>
        <row r="2448">
          <cell r="AQ2448" t="str">
            <v>14324544|76021365|765321784|765321784</v>
          </cell>
          <cell r="AR2448" t="str">
            <v>IMED SALUD</v>
          </cell>
        </row>
        <row r="2449">
          <cell r="AQ2449" t="str">
            <v>14324544|76021365|765321784|765321784</v>
          </cell>
          <cell r="AR2449" t="str">
            <v>IMED SALUD</v>
          </cell>
        </row>
        <row r="2450">
          <cell r="AQ2450" t="str">
            <v>14324544|76021365|765321784|765321784</v>
          </cell>
          <cell r="AR2450" t="str">
            <v>IMED SALUD</v>
          </cell>
        </row>
        <row r="2451">
          <cell r="AQ2451" t="str">
            <v>14324544|76021365|765321784|765321784</v>
          </cell>
          <cell r="AR2451" t="str">
            <v>IMED SALUD</v>
          </cell>
        </row>
        <row r="2452">
          <cell r="AQ2452" t="str">
            <v>14324544|76021365|765321784|765321784</v>
          </cell>
          <cell r="AR2452" t="str">
            <v>IMED SALUD</v>
          </cell>
        </row>
        <row r="2453">
          <cell r="AQ2453" t="str">
            <v>14324544|76021365|765321784|765321784</v>
          </cell>
          <cell r="AR2453" t="str">
            <v>IMED SALUD</v>
          </cell>
        </row>
        <row r="2454">
          <cell r="AQ2454" t="str">
            <v>14324544|76021365|765321784|765321784</v>
          </cell>
          <cell r="AR2454" t="str">
            <v>IMED SALUD</v>
          </cell>
        </row>
        <row r="2455">
          <cell r="AQ2455" t="str">
            <v>14324544|76021365|765321784|765321784</v>
          </cell>
          <cell r="AR2455" t="str">
            <v>IMED SALUD</v>
          </cell>
        </row>
        <row r="2456">
          <cell r="AQ2456" t="str">
            <v>14324544|76021365|765321784|765321784</v>
          </cell>
          <cell r="AR2456" t="str">
            <v>IMED SALUD</v>
          </cell>
        </row>
        <row r="2457">
          <cell r="AQ2457" t="str">
            <v>14324544|76021365|765321784|765321784</v>
          </cell>
          <cell r="AR2457" t="str">
            <v>IMED SALUD</v>
          </cell>
        </row>
        <row r="2458">
          <cell r="AQ2458" t="str">
            <v>14324544|76021365|765321784|65384225</v>
          </cell>
          <cell r="AR2458" t="str">
            <v>GASTO FISICO</v>
          </cell>
        </row>
        <row r="2459">
          <cell r="AQ2459" t="str">
            <v>14324544|76021365|765321784|65384225</v>
          </cell>
          <cell r="AR2459" t="str">
            <v>GASTO FISICO</v>
          </cell>
        </row>
        <row r="2460">
          <cell r="AQ2460" t="str">
            <v>14324544|76021365|765321784|65384225</v>
          </cell>
          <cell r="AR2460" t="str">
            <v>GASTO FISICO</v>
          </cell>
        </row>
        <row r="2461">
          <cell r="AQ2461" t="str">
            <v>14324544|76021365|765321784|65384225</v>
          </cell>
          <cell r="AR2461" t="str">
            <v>GASTO FISICO</v>
          </cell>
        </row>
        <row r="2462">
          <cell r="AQ2462" t="str">
            <v>14324544|76021365|765321784|65384225</v>
          </cell>
          <cell r="AR2462" t="str">
            <v>GASTO FISICO</v>
          </cell>
        </row>
        <row r="2463">
          <cell r="AQ2463" t="str">
            <v>14364605|96942400|921288911|921288911</v>
          </cell>
          <cell r="AR2463" t="str">
            <v>IMED SALUD</v>
          </cell>
        </row>
        <row r="2464">
          <cell r="AQ2464" t="str">
            <v>14364605|96942400|921288911|921288911</v>
          </cell>
          <cell r="AR2464" t="str">
            <v>IMED SALUD</v>
          </cell>
        </row>
        <row r="2465">
          <cell r="AQ2465" t="str">
            <v>14364605|96942400|921288911|65384227</v>
          </cell>
          <cell r="AR2465" t="str">
            <v>GASTO FISICO</v>
          </cell>
        </row>
        <row r="2466">
          <cell r="AQ2466" t="str">
            <v>14364605|96942400|921290096|921290096</v>
          </cell>
          <cell r="AR2466" t="str">
            <v>IMED SALUD</v>
          </cell>
        </row>
        <row r="2467">
          <cell r="AQ2467" t="str">
            <v>14364605|96942400|921290096|921290096</v>
          </cell>
          <cell r="AR2467" t="str">
            <v>IMED SALUD</v>
          </cell>
        </row>
        <row r="2468">
          <cell r="AQ2468" t="str">
            <v>14364605|96942400|921290096|65384228</v>
          </cell>
          <cell r="AR2468" t="str">
            <v>GASTO FISICO</v>
          </cell>
        </row>
        <row r="2469">
          <cell r="AQ2469" t="str">
            <v>14364605|96942400|921290192|921290192</v>
          </cell>
          <cell r="AR2469" t="str">
            <v>IMED SALUD</v>
          </cell>
        </row>
        <row r="2470">
          <cell r="AQ2470" t="str">
            <v>14364605|96942400|921290192|921290192</v>
          </cell>
          <cell r="AR2470" t="str">
            <v>IMED SALUD</v>
          </cell>
        </row>
        <row r="2471">
          <cell r="AQ2471" t="str">
            <v>14364605|96942400|921290192|65384229</v>
          </cell>
          <cell r="AR2471" t="str">
            <v>GASTO FISICO</v>
          </cell>
        </row>
        <row r="2472">
          <cell r="AQ2472" t="str">
            <v>14364605|96942400|921351426|921351426</v>
          </cell>
          <cell r="AR2472" t="str">
            <v>IMED SALUD</v>
          </cell>
        </row>
        <row r="2473">
          <cell r="AQ2473" t="str">
            <v>14364605|96942400|921351426|921351426</v>
          </cell>
          <cell r="AR2473" t="str">
            <v>IMED SALUD</v>
          </cell>
        </row>
        <row r="2474">
          <cell r="AQ2474" t="str">
            <v>14364605|96942400|921351426|921351426</v>
          </cell>
          <cell r="AR2474" t="str">
            <v>IMED SALUD</v>
          </cell>
        </row>
        <row r="2475">
          <cell r="AQ2475" t="str">
            <v>14364605|96942400|921351426|921351426</v>
          </cell>
          <cell r="AR2475" t="str">
            <v>IMED SALUD</v>
          </cell>
        </row>
        <row r="2476">
          <cell r="AQ2476" t="str">
            <v>14364605|96942400|921351426|921351426</v>
          </cell>
          <cell r="AR2476" t="str">
            <v>IMED SALUD</v>
          </cell>
        </row>
        <row r="2477">
          <cell r="AQ2477" t="str">
            <v>14364605|96942400|921351426|921351426</v>
          </cell>
          <cell r="AR2477" t="str">
            <v>IMED SALUD</v>
          </cell>
        </row>
        <row r="2478">
          <cell r="AQ2478" t="str">
            <v>14364605|96942400|921351426|921351426</v>
          </cell>
          <cell r="AR2478" t="str">
            <v>IMED SALUD</v>
          </cell>
        </row>
        <row r="2479">
          <cell r="AQ2479" t="str">
            <v>14364605|96942400|921351426|921351426</v>
          </cell>
          <cell r="AR2479" t="str">
            <v>IMED SALUD</v>
          </cell>
        </row>
        <row r="2480">
          <cell r="AQ2480" t="str">
            <v>14364605|96942400|921351426|921351426</v>
          </cell>
          <cell r="AR2480" t="str">
            <v>IMED SALUD</v>
          </cell>
        </row>
        <row r="2481">
          <cell r="AQ2481" t="str">
            <v>14364605|96942400|921351426|921351426</v>
          </cell>
          <cell r="AR2481" t="str">
            <v>IMED SALUD</v>
          </cell>
        </row>
        <row r="2482">
          <cell r="AQ2482" t="str">
            <v>14364605|96942400|921351426|65384230</v>
          </cell>
          <cell r="AR2482" t="str">
            <v>GASTO FISICO</v>
          </cell>
        </row>
        <row r="2483">
          <cell r="AQ2483" t="str">
            <v>14364605|96942400|921351426|65384230</v>
          </cell>
          <cell r="AR2483" t="str">
            <v>GASTO FISICO</v>
          </cell>
        </row>
        <row r="2484">
          <cell r="AQ2484" t="str">
            <v>14364605|96942400|921351426|65384230</v>
          </cell>
          <cell r="AR2484" t="str">
            <v>GASTO FISICO</v>
          </cell>
        </row>
        <row r="2485">
          <cell r="AQ2485" t="str">
            <v>14364605|96942400|921351426|65384230</v>
          </cell>
          <cell r="AR2485" t="str">
            <v>GASTO FISICO</v>
          </cell>
        </row>
        <row r="2486">
          <cell r="AQ2486" t="str">
            <v>14364605|96942400|921351426|65384230</v>
          </cell>
          <cell r="AR2486" t="str">
            <v>GASTO FISICO</v>
          </cell>
        </row>
        <row r="2487">
          <cell r="AQ2487" t="str">
            <v>14364605|96942400|921351427|921351427</v>
          </cell>
          <cell r="AR2487" t="str">
            <v>IMED SALUD</v>
          </cell>
        </row>
        <row r="2488">
          <cell r="AQ2488" t="str">
            <v>14364605|96942400|921351427|921351427</v>
          </cell>
          <cell r="AR2488" t="str">
            <v>IMED SALUD</v>
          </cell>
        </row>
        <row r="2489">
          <cell r="AQ2489" t="str">
            <v>14364605|96942400|921351427|921351427</v>
          </cell>
          <cell r="AR2489" t="str">
            <v>IMED SALUD</v>
          </cell>
        </row>
        <row r="2490">
          <cell r="AQ2490" t="str">
            <v>14364605|96942400|921351427|921351427</v>
          </cell>
          <cell r="AR2490" t="str">
            <v>IMED SALUD</v>
          </cell>
        </row>
        <row r="2491">
          <cell r="AQ2491" t="str">
            <v>14364605|96942400|921351427|921351427</v>
          </cell>
          <cell r="AR2491" t="str">
            <v>IMED SALUD</v>
          </cell>
        </row>
        <row r="2492">
          <cell r="AQ2492" t="str">
            <v>14364605|96942400|921351427|921351427</v>
          </cell>
          <cell r="AR2492" t="str">
            <v>IMED SALUD</v>
          </cell>
        </row>
        <row r="2493">
          <cell r="AQ2493" t="str">
            <v>14364605|96942400|921351427|65384231</v>
          </cell>
          <cell r="AR2493" t="str">
            <v>GASTO FISICO</v>
          </cell>
        </row>
        <row r="2494">
          <cell r="AQ2494" t="str">
            <v>14364605|96942400|921351427|65384231</v>
          </cell>
          <cell r="AR2494" t="str">
            <v>GASTO FISICO</v>
          </cell>
        </row>
        <row r="2495">
          <cell r="AQ2495" t="str">
            <v>14364605|96942400|921351427|65384231</v>
          </cell>
          <cell r="AR2495" t="str">
            <v>GASTO FISICO</v>
          </cell>
        </row>
        <row r="2496">
          <cell r="AQ2496" t="str">
            <v>14364605|96942400|921351583|921351583</v>
          </cell>
          <cell r="AR2496" t="str">
            <v>IMED SALUD</v>
          </cell>
        </row>
        <row r="2497">
          <cell r="AQ2497" t="str">
            <v>14364605|96942400|921351583|921351583</v>
          </cell>
          <cell r="AR2497" t="str">
            <v>IMED SALUD</v>
          </cell>
        </row>
        <row r="2498">
          <cell r="AQ2498" t="str">
            <v>14364605|96942400|921351583|921351583</v>
          </cell>
          <cell r="AR2498" t="str">
            <v>IMED SALUD</v>
          </cell>
        </row>
        <row r="2499">
          <cell r="AQ2499" t="str">
            <v>14364605|96942400|921351583|921351583</v>
          </cell>
          <cell r="AR2499" t="str">
            <v>IMED SALUD</v>
          </cell>
        </row>
        <row r="2500">
          <cell r="AQ2500" t="str">
            <v>14364605|96942400|921351583|921351583</v>
          </cell>
          <cell r="AR2500" t="str">
            <v>IMED SALUD</v>
          </cell>
        </row>
        <row r="2501">
          <cell r="AQ2501" t="str">
            <v>14364605|96942400|921351583|921351583</v>
          </cell>
          <cell r="AR2501" t="str">
            <v>IMED SALUD</v>
          </cell>
        </row>
        <row r="2502">
          <cell r="AQ2502" t="str">
            <v>14364605|96942400|921351583|921351583</v>
          </cell>
          <cell r="AR2502" t="str">
            <v>IMED SALUD</v>
          </cell>
        </row>
        <row r="2503">
          <cell r="AQ2503" t="str">
            <v>14364605|96942400|921351583|921351583</v>
          </cell>
          <cell r="AR2503" t="str">
            <v>IMED SALUD</v>
          </cell>
        </row>
        <row r="2504">
          <cell r="AQ2504" t="str">
            <v>14364605|96942400|921351583|921351583</v>
          </cell>
          <cell r="AR2504" t="str">
            <v>IMED SALUD</v>
          </cell>
        </row>
        <row r="2505">
          <cell r="AQ2505" t="str">
            <v>14364605|96942400|921351583|921351583</v>
          </cell>
          <cell r="AR2505" t="str">
            <v>IMED SALUD</v>
          </cell>
        </row>
        <row r="2506">
          <cell r="AQ2506" t="str">
            <v>14364605|96942400|921351583|65384232</v>
          </cell>
          <cell r="AR2506" t="str">
            <v>GASTO FISICO</v>
          </cell>
        </row>
        <row r="2507">
          <cell r="AQ2507" t="str">
            <v>14364605|96942400|921351583|65384232</v>
          </cell>
          <cell r="AR2507" t="str">
            <v>GASTO FISICO</v>
          </cell>
        </row>
        <row r="2508">
          <cell r="AQ2508" t="str">
            <v>14364605|96942400|921351583|65384232</v>
          </cell>
          <cell r="AR2508" t="str">
            <v>GASTO FISICO</v>
          </cell>
        </row>
        <row r="2509">
          <cell r="AQ2509" t="str">
            <v>14364605|96942400|921351583|65384232</v>
          </cell>
          <cell r="AR2509" t="str">
            <v>GASTO FISICO</v>
          </cell>
        </row>
        <row r="2510">
          <cell r="AQ2510" t="str">
            <v>14364605|96942400|921351583|65384232</v>
          </cell>
          <cell r="AR2510" t="str">
            <v>GASTO FISICO</v>
          </cell>
        </row>
        <row r="2511">
          <cell r="AQ2511" t="str">
            <v>14364605|96986050|921767687|921767687</v>
          </cell>
          <cell r="AR2511" t="str">
            <v>IMED SALUD</v>
          </cell>
        </row>
        <row r="2512">
          <cell r="AQ2512" t="str">
            <v>14364605|96986050|921767687|921767687</v>
          </cell>
          <cell r="AR2512" t="str">
            <v>IMED SALUD</v>
          </cell>
        </row>
        <row r="2513">
          <cell r="AQ2513" t="str">
            <v>14364605|96986050|921767687|921767687</v>
          </cell>
          <cell r="AR2513" t="str">
            <v>IMED SALUD</v>
          </cell>
        </row>
        <row r="2514">
          <cell r="AQ2514" t="str">
            <v>14364605|96986050|921767687|921767687</v>
          </cell>
          <cell r="AR2514" t="str">
            <v>IMED SALUD</v>
          </cell>
        </row>
        <row r="2515">
          <cell r="AQ2515" t="str">
            <v>14364605|96986050|921767687|921767687</v>
          </cell>
          <cell r="AR2515" t="str">
            <v>IMED SALUD</v>
          </cell>
        </row>
        <row r="2516">
          <cell r="AQ2516" t="str">
            <v>14364605|96986050|921767687|921767687</v>
          </cell>
          <cell r="AR2516" t="str">
            <v>IMED SALUD</v>
          </cell>
        </row>
        <row r="2517">
          <cell r="AQ2517" t="str">
            <v>14364605|96986050|921767687|921767687</v>
          </cell>
          <cell r="AR2517" t="str">
            <v>IMED SALUD</v>
          </cell>
        </row>
        <row r="2518">
          <cell r="AQ2518" t="str">
            <v>14364605|96986050|921767687|921767687</v>
          </cell>
          <cell r="AR2518" t="str">
            <v>IMED SALUD</v>
          </cell>
        </row>
        <row r="2519">
          <cell r="AQ2519" t="str">
            <v>14364605|96986050|921767687|921767687</v>
          </cell>
          <cell r="AR2519" t="str">
            <v>IMED SALUD</v>
          </cell>
        </row>
        <row r="2520">
          <cell r="AQ2520" t="str">
            <v>14364605|96986050|921767687|921767687</v>
          </cell>
          <cell r="AR2520" t="str">
            <v>IMED SALUD</v>
          </cell>
        </row>
        <row r="2521">
          <cell r="AQ2521" t="str">
            <v>14364605|96986050|921767687|65384233</v>
          </cell>
          <cell r="AR2521" t="str">
            <v>GASTO FISICO</v>
          </cell>
        </row>
        <row r="2522">
          <cell r="AQ2522" t="str">
            <v>14364605|96986050|921767687|65384233</v>
          </cell>
          <cell r="AR2522" t="str">
            <v>GASTO FISICO</v>
          </cell>
        </row>
        <row r="2523">
          <cell r="AQ2523" t="str">
            <v>14364605|96986050|921767687|65384233</v>
          </cell>
          <cell r="AR2523" t="str">
            <v>GASTO FISICO</v>
          </cell>
        </row>
        <row r="2524">
          <cell r="AQ2524" t="str">
            <v>14364605|96986050|921767687|65384233</v>
          </cell>
          <cell r="AR2524" t="str">
            <v>GASTO FISICO</v>
          </cell>
        </row>
        <row r="2525">
          <cell r="AQ2525" t="str">
            <v>14364605|96986050|921767687|65384233</v>
          </cell>
          <cell r="AR2525" t="str">
            <v>GASTO FISICO</v>
          </cell>
        </row>
        <row r="2526">
          <cell r="AQ2526" t="str">
            <v>14364605|96986050|921767942|921767942</v>
          </cell>
          <cell r="AR2526" t="str">
            <v>IMED SALUD</v>
          </cell>
        </row>
        <row r="2527">
          <cell r="AQ2527" t="str">
            <v>14364605|96986050|921767942|921767942</v>
          </cell>
          <cell r="AR2527" t="str">
            <v>IMED SALUD</v>
          </cell>
        </row>
        <row r="2528">
          <cell r="AQ2528" t="str">
            <v>14364605|96986050|921767942|65384234</v>
          </cell>
          <cell r="AR2528" t="str">
            <v>GASTO FISICO</v>
          </cell>
        </row>
        <row r="2529">
          <cell r="AQ2529" t="str">
            <v>14458519|96986050|930063306|930063306</v>
          </cell>
          <cell r="AR2529" t="str">
            <v>IMED SALUD</v>
          </cell>
        </row>
        <row r="2530">
          <cell r="AQ2530" t="str">
            <v>14458519|96986050|930063306|930063306</v>
          </cell>
          <cell r="AR2530" t="str">
            <v>IMED SALUD</v>
          </cell>
        </row>
        <row r="2531">
          <cell r="AQ2531" t="str">
            <v>14458519|96986050|930063306|930063306</v>
          </cell>
          <cell r="AR2531" t="str">
            <v>IMED SALUD</v>
          </cell>
        </row>
        <row r="2532">
          <cell r="AQ2532" t="str">
            <v>14458519|96986050|930063306|930063306</v>
          </cell>
          <cell r="AR2532" t="str">
            <v>IMED SALUD</v>
          </cell>
        </row>
        <row r="2533">
          <cell r="AQ2533" t="str">
            <v>14458519|96986050|930063306|65384236</v>
          </cell>
          <cell r="AR2533" t="str">
            <v>GASTO FISICO</v>
          </cell>
        </row>
        <row r="2534">
          <cell r="AQ2534" t="str">
            <v>14458519|96986050|930063306|65384236</v>
          </cell>
          <cell r="AR2534" t="str">
            <v>GASTO FISICO</v>
          </cell>
        </row>
        <row r="2535">
          <cell r="AQ2535" t="str">
            <v>14458519|76098454|930145743|930145743</v>
          </cell>
          <cell r="AR2535" t="str">
            <v>IMED SALUD</v>
          </cell>
        </row>
        <row r="2536">
          <cell r="AQ2536" t="str">
            <v>14458519|76098454|930145743|930145743</v>
          </cell>
          <cell r="AR2536" t="str">
            <v>IMED SALUD</v>
          </cell>
        </row>
        <row r="2537">
          <cell r="AQ2537" t="str">
            <v>14458519|76098454|930145743|65384237</v>
          </cell>
          <cell r="AR2537" t="str">
            <v>GASTO FISICO</v>
          </cell>
        </row>
        <row r="2538">
          <cell r="AQ2538" t="str">
            <v>14502516|77200240|95681647|95681647</v>
          </cell>
          <cell r="AR2538" t="str">
            <v>IMED SALUD</v>
          </cell>
        </row>
        <row r="2539">
          <cell r="AQ2539" t="str">
            <v>14502516|77200240|95681647|95681647</v>
          </cell>
          <cell r="AR2539" t="str">
            <v>IMED SALUD</v>
          </cell>
        </row>
        <row r="2540">
          <cell r="AQ2540" t="str">
            <v>14502516|77200240|95681647|95681647</v>
          </cell>
          <cell r="AR2540" t="str">
            <v>IMED SALUD</v>
          </cell>
        </row>
        <row r="2541">
          <cell r="AQ2541" t="str">
            <v>14502516|77200240|95681647|95681647</v>
          </cell>
          <cell r="AR2541" t="str">
            <v>IMED SALUD</v>
          </cell>
        </row>
        <row r="2542">
          <cell r="AQ2542" t="str">
            <v>14502516|77200240|95681647|65384238</v>
          </cell>
          <cell r="AR2542" t="str">
            <v>GASTO FISICO</v>
          </cell>
        </row>
        <row r="2543">
          <cell r="AQ2543" t="str">
            <v>14502516|77200240|95681647|65384238</v>
          </cell>
          <cell r="AR2543" t="str">
            <v>GASTO FISICO</v>
          </cell>
        </row>
        <row r="2544">
          <cell r="AQ2544" t="str">
            <v>14502516|77200240|95697351|95697351</v>
          </cell>
          <cell r="AR2544" t="str">
            <v>IMED SALUD</v>
          </cell>
        </row>
        <row r="2545">
          <cell r="AQ2545" t="str">
            <v>14502516|77200240|95697351|95697351</v>
          </cell>
          <cell r="AR2545" t="str">
            <v>IMED SALUD</v>
          </cell>
        </row>
        <row r="2546">
          <cell r="AQ2546" t="str">
            <v>14502516|77200240|95697351|65384239</v>
          </cell>
          <cell r="AR2546" t="str">
            <v>GASTO FISICO</v>
          </cell>
        </row>
        <row r="2547">
          <cell r="AQ2547" t="str">
            <v>14502516|96617350|95735527|95735527</v>
          </cell>
          <cell r="AR2547" t="str">
            <v>IMED SALUD</v>
          </cell>
        </row>
        <row r="2548">
          <cell r="AQ2548" t="str">
            <v>14502516|96617350|95735527|95735527</v>
          </cell>
          <cell r="AR2548" t="str">
            <v>IMED SALUD</v>
          </cell>
        </row>
        <row r="2549">
          <cell r="AQ2549" t="str">
            <v>14502516|96617350|95735527|95735527</v>
          </cell>
          <cell r="AR2549" t="str">
            <v>IMED SALUD</v>
          </cell>
        </row>
        <row r="2550">
          <cell r="AQ2550" t="str">
            <v>14502516|96617350|95735527|95735527</v>
          </cell>
          <cell r="AR2550" t="str">
            <v>IMED SALUD</v>
          </cell>
        </row>
        <row r="2551">
          <cell r="AQ2551" t="str">
            <v>14502516|96617350|95735527|95735527</v>
          </cell>
          <cell r="AR2551" t="str">
            <v>IMED SALUD</v>
          </cell>
        </row>
        <row r="2552">
          <cell r="AQ2552" t="str">
            <v>14502516|96617350|95735527|95735527</v>
          </cell>
          <cell r="AR2552" t="str">
            <v>IMED SALUD</v>
          </cell>
        </row>
        <row r="2553">
          <cell r="AQ2553" t="str">
            <v>14502516|96617350|95735527|95735527</v>
          </cell>
          <cell r="AR2553" t="str">
            <v>IMED SALUD</v>
          </cell>
        </row>
        <row r="2554">
          <cell r="AQ2554" t="str">
            <v>14502516|96617350|95735527|95735527</v>
          </cell>
          <cell r="AR2554" t="str">
            <v>IMED SALUD</v>
          </cell>
        </row>
        <row r="2555">
          <cell r="AQ2555" t="str">
            <v>14502516|96617350|95735527|95735527</v>
          </cell>
          <cell r="AR2555" t="str">
            <v>IMED SALUD</v>
          </cell>
        </row>
        <row r="2556">
          <cell r="AQ2556" t="str">
            <v>14502516|96617350|95735527|95735527</v>
          </cell>
          <cell r="AR2556" t="str">
            <v>IMED SALUD</v>
          </cell>
        </row>
        <row r="2557">
          <cell r="AQ2557" t="str">
            <v>14502516|96617350|95735527|65384240</v>
          </cell>
          <cell r="AR2557" t="str">
            <v>GASTO FISICO</v>
          </cell>
        </row>
        <row r="2558">
          <cell r="AQ2558" t="str">
            <v>14502516|96617350|95735527|65384240</v>
          </cell>
          <cell r="AR2558" t="str">
            <v>GASTO FISICO</v>
          </cell>
        </row>
        <row r="2559">
          <cell r="AQ2559" t="str">
            <v>14502516|96617350|95735527|65384240</v>
          </cell>
          <cell r="AR2559" t="str">
            <v>GASTO FISICO</v>
          </cell>
        </row>
        <row r="2560">
          <cell r="AQ2560" t="str">
            <v>14502516|96617350|95735527|65384240</v>
          </cell>
          <cell r="AR2560" t="str">
            <v>GASTO FISICO</v>
          </cell>
        </row>
        <row r="2561">
          <cell r="AQ2561" t="str">
            <v>14502516|96617350|95735527|65384240</v>
          </cell>
          <cell r="AR2561" t="str">
            <v>GASTO FISICO</v>
          </cell>
        </row>
        <row r="2562">
          <cell r="AQ2562" t="str">
            <v>14502516|96617350|95735528|95735528</v>
          </cell>
          <cell r="AR2562" t="str">
            <v>IMED SALUD</v>
          </cell>
        </row>
        <row r="2563">
          <cell r="AQ2563" t="str">
            <v>14502516|96617350|95735528|95735528</v>
          </cell>
          <cell r="AR2563" t="str">
            <v>IMED SALUD</v>
          </cell>
        </row>
        <row r="2564">
          <cell r="AQ2564" t="str">
            <v>14502516|96617350|95735528|95735528</v>
          </cell>
          <cell r="AR2564" t="str">
            <v>IMED SALUD</v>
          </cell>
        </row>
        <row r="2565">
          <cell r="AQ2565" t="str">
            <v>14502516|96617350|95735528|95735528</v>
          </cell>
          <cell r="AR2565" t="str">
            <v>IMED SALUD</v>
          </cell>
        </row>
        <row r="2566">
          <cell r="AQ2566" t="str">
            <v>14502516|96617350|95735528|95735528</v>
          </cell>
          <cell r="AR2566" t="str">
            <v>IMED SALUD</v>
          </cell>
        </row>
        <row r="2567">
          <cell r="AQ2567" t="str">
            <v>14502516|96617350|95735528|95735528</v>
          </cell>
          <cell r="AR2567" t="str">
            <v>IMED SALUD</v>
          </cell>
        </row>
        <row r="2568">
          <cell r="AQ2568" t="str">
            <v>14502516|96617350|95735528|95735528</v>
          </cell>
          <cell r="AR2568" t="str">
            <v>IMED SALUD</v>
          </cell>
        </row>
        <row r="2569">
          <cell r="AQ2569" t="str">
            <v>14502516|96617350|95735528|95735528</v>
          </cell>
          <cell r="AR2569" t="str">
            <v>IMED SALUD</v>
          </cell>
        </row>
        <row r="2570">
          <cell r="AQ2570" t="str">
            <v>14502516|96617350|95735528|95735528</v>
          </cell>
          <cell r="AR2570" t="str">
            <v>IMED SALUD</v>
          </cell>
        </row>
        <row r="2571">
          <cell r="AQ2571" t="str">
            <v>14502516|96617350|95735528|95735528</v>
          </cell>
          <cell r="AR2571" t="str">
            <v>IMED SALUD</v>
          </cell>
        </row>
        <row r="2572">
          <cell r="AQ2572" t="str">
            <v>14502516|96617350|95735528|65384241</v>
          </cell>
          <cell r="AR2572" t="str">
            <v>GASTO FISICO</v>
          </cell>
        </row>
        <row r="2573">
          <cell r="AQ2573" t="str">
            <v>14502516|96617350|95735528|65384241</v>
          </cell>
          <cell r="AR2573" t="str">
            <v>GASTO FISICO</v>
          </cell>
        </row>
        <row r="2574">
          <cell r="AQ2574" t="str">
            <v>14502516|96617350|95735528|65384241</v>
          </cell>
          <cell r="AR2574" t="str">
            <v>GASTO FISICO</v>
          </cell>
        </row>
        <row r="2575">
          <cell r="AQ2575" t="str">
            <v>14502516|96617350|95735528|65384241</v>
          </cell>
          <cell r="AR2575" t="str">
            <v>GASTO FISICO</v>
          </cell>
        </row>
        <row r="2576">
          <cell r="AQ2576" t="str">
            <v>14502516|96617350|95735528|65384241</v>
          </cell>
          <cell r="AR2576" t="str">
            <v>GASTO FISICO</v>
          </cell>
        </row>
        <row r="2577">
          <cell r="AQ2577" t="str">
            <v>14502516|96617350|95735529|95735529</v>
          </cell>
          <cell r="AR2577" t="str">
            <v>IMED SALUD</v>
          </cell>
        </row>
        <row r="2578">
          <cell r="AQ2578" t="str">
            <v>14502516|96617350|95735529|95735529</v>
          </cell>
          <cell r="AR2578" t="str">
            <v>IMED SALUD</v>
          </cell>
        </row>
        <row r="2579">
          <cell r="AQ2579" t="str">
            <v>14502516|96617350|95735529|95735529</v>
          </cell>
          <cell r="AR2579" t="str">
            <v>IMED SALUD</v>
          </cell>
        </row>
        <row r="2580">
          <cell r="AQ2580" t="str">
            <v>14502516|96617350|95735529|95735529</v>
          </cell>
          <cell r="AR2580" t="str">
            <v>IMED SALUD</v>
          </cell>
        </row>
        <row r="2581">
          <cell r="AQ2581" t="str">
            <v>14502516|96617350|95735529|95735529</v>
          </cell>
          <cell r="AR2581" t="str">
            <v>IMED SALUD</v>
          </cell>
        </row>
        <row r="2582">
          <cell r="AQ2582" t="str">
            <v>14502516|96617350|95735529|95735529</v>
          </cell>
          <cell r="AR2582" t="str">
            <v>IMED SALUD</v>
          </cell>
        </row>
        <row r="2583">
          <cell r="AQ2583" t="str">
            <v>14502516|96617350|95735529|95735529</v>
          </cell>
          <cell r="AR2583" t="str">
            <v>IMED SALUD</v>
          </cell>
        </row>
        <row r="2584">
          <cell r="AQ2584" t="str">
            <v>14502516|96617350|95735529|95735529</v>
          </cell>
          <cell r="AR2584" t="str">
            <v>IMED SALUD</v>
          </cell>
        </row>
        <row r="2585">
          <cell r="AQ2585" t="str">
            <v>14502516|96617350|95735529|65384242</v>
          </cell>
          <cell r="AR2585" t="str">
            <v>GASTO FISICO</v>
          </cell>
        </row>
        <row r="2586">
          <cell r="AQ2586" t="str">
            <v>14502516|96617350|95735529|65384242</v>
          </cell>
          <cell r="AR2586" t="str">
            <v>GASTO FISICO</v>
          </cell>
        </row>
        <row r="2587">
          <cell r="AQ2587" t="str">
            <v>14502516|96617350|95735529|65384242</v>
          </cell>
          <cell r="AR2587" t="str">
            <v>GASTO FISICO</v>
          </cell>
        </row>
        <row r="2588">
          <cell r="AQ2588" t="str">
            <v>14502516|96617350|95735529|65384242</v>
          </cell>
          <cell r="AR2588" t="str">
            <v>GASTO FISICO</v>
          </cell>
        </row>
        <row r="2589">
          <cell r="AQ2589" t="str">
            <v>14502516|96631140|95959962|95959962</v>
          </cell>
          <cell r="AR2589" t="str">
            <v>IMED SALUD</v>
          </cell>
        </row>
        <row r="2590">
          <cell r="AQ2590" t="str">
            <v>14502516|96631140|95959962|95959962</v>
          </cell>
          <cell r="AR2590" t="str">
            <v>IMED SALUD</v>
          </cell>
        </row>
        <row r="2591">
          <cell r="AQ2591" t="str">
            <v>14502516|96631140|95959962|65384243</v>
          </cell>
          <cell r="AR2591" t="str">
            <v>GASTO FISICO</v>
          </cell>
        </row>
        <row r="2592">
          <cell r="AQ2592" t="str">
            <v>14551107|96942400|371387072|371387072</v>
          </cell>
          <cell r="AR2592" t="str">
            <v>IMED SALUD</v>
          </cell>
        </row>
        <row r="2593">
          <cell r="AQ2593" t="str">
            <v>14551107|96942400|371387072|371387072</v>
          </cell>
          <cell r="AR2593" t="str">
            <v>IMED SALUD</v>
          </cell>
        </row>
        <row r="2594">
          <cell r="AQ2594" t="str">
            <v>14551107|96942400|371387072|371387072</v>
          </cell>
          <cell r="AR2594" t="str">
            <v>IMED SALUD</v>
          </cell>
        </row>
        <row r="2595">
          <cell r="AQ2595" t="str">
            <v>14551107|96942400|371387072|371387072</v>
          </cell>
          <cell r="AR2595" t="str">
            <v>IMED SALUD</v>
          </cell>
        </row>
        <row r="2596">
          <cell r="AQ2596" t="str">
            <v>14551107|96942400|371387072|371387072</v>
          </cell>
          <cell r="AR2596" t="str">
            <v>IMED SALUD</v>
          </cell>
        </row>
        <row r="2597">
          <cell r="AQ2597" t="str">
            <v>14551107|96942400|371387072|371387072</v>
          </cell>
          <cell r="AR2597" t="str">
            <v>IMED SALUD</v>
          </cell>
        </row>
        <row r="2598">
          <cell r="AQ2598" t="str">
            <v>14551107|96942400|371387072|65384244</v>
          </cell>
          <cell r="AR2598" t="str">
            <v>GASTO FISICO</v>
          </cell>
        </row>
        <row r="2599">
          <cell r="AQ2599" t="str">
            <v>14551107|96942400|371387072|65384244</v>
          </cell>
          <cell r="AR2599" t="str">
            <v>GASTO FISICO</v>
          </cell>
        </row>
        <row r="2600">
          <cell r="AQ2600" t="str">
            <v>14551107|96942400|371387072|65384244</v>
          </cell>
          <cell r="AR2600" t="str">
            <v>GASTO FISICO</v>
          </cell>
        </row>
        <row r="2601">
          <cell r="AQ2601" t="str">
            <v>14551107|96942400|372345391|372345391</v>
          </cell>
          <cell r="AR2601" t="str">
            <v>IMED SALUD</v>
          </cell>
        </row>
        <row r="2602">
          <cell r="AQ2602" t="str">
            <v>14551107|96942400|372345391|372345391</v>
          </cell>
          <cell r="AR2602" t="str">
            <v>IMED SALUD</v>
          </cell>
        </row>
        <row r="2603">
          <cell r="AQ2603" t="str">
            <v>14551107|96942400|372345391|65384245</v>
          </cell>
          <cell r="AR2603" t="str">
            <v>GASTO FISICO</v>
          </cell>
        </row>
        <row r="2604">
          <cell r="AQ2604" t="str">
            <v>14591267|77786070|921354738|921354738</v>
          </cell>
          <cell r="AR2604" t="str">
            <v>IMED SALUD</v>
          </cell>
        </row>
        <row r="2605">
          <cell r="AQ2605" t="str">
            <v>14591267|77786070|921354738|921354738</v>
          </cell>
          <cell r="AR2605" t="str">
            <v>IMED SALUD</v>
          </cell>
        </row>
        <row r="2606">
          <cell r="AQ2606" t="str">
            <v>14591267|77786070|921354738|65384246</v>
          </cell>
          <cell r="AR2606" t="str">
            <v>GASTO FISICO</v>
          </cell>
        </row>
        <row r="2607">
          <cell r="AQ2607" t="str">
            <v>14591267|77026140|921354787|921354787</v>
          </cell>
          <cell r="AR2607" t="str">
            <v>IMED SALUD</v>
          </cell>
        </row>
        <row r="2608">
          <cell r="AQ2608" t="str">
            <v>14591267|77026140|921354787|921354787</v>
          </cell>
          <cell r="AR2608" t="str">
            <v>IMED SALUD</v>
          </cell>
        </row>
        <row r="2609">
          <cell r="AQ2609" t="str">
            <v>14591267|77026140|921354787|65384247</v>
          </cell>
          <cell r="AR2609" t="str">
            <v>GASTO FISICO</v>
          </cell>
        </row>
        <row r="2610">
          <cell r="AQ2610" t="str">
            <v>14591267|77786070|921356600|921356600</v>
          </cell>
          <cell r="AR2610" t="str">
            <v>IMED SALUD</v>
          </cell>
        </row>
        <row r="2611">
          <cell r="AQ2611" t="str">
            <v>14591267|77786070|921356600|921356600</v>
          </cell>
          <cell r="AR2611" t="str">
            <v>IMED SALUD</v>
          </cell>
        </row>
        <row r="2612">
          <cell r="AQ2612" t="str">
            <v>14591267|77786070|921356600|921356600</v>
          </cell>
          <cell r="AR2612" t="str">
            <v>IMED SALUD</v>
          </cell>
        </row>
        <row r="2613">
          <cell r="AQ2613" t="str">
            <v>14591267|77786070|921356600|921356600</v>
          </cell>
          <cell r="AR2613" t="str">
            <v>IMED SALUD</v>
          </cell>
        </row>
        <row r="2614">
          <cell r="AQ2614" t="str">
            <v>14591267|77786070|921356600|921356600</v>
          </cell>
          <cell r="AR2614" t="str">
            <v>IMED SALUD</v>
          </cell>
        </row>
        <row r="2615">
          <cell r="AQ2615" t="str">
            <v>14591267|77786070|921356600|921356600</v>
          </cell>
          <cell r="AR2615" t="str">
            <v>IMED SALUD</v>
          </cell>
        </row>
        <row r="2616">
          <cell r="AQ2616" t="str">
            <v>14591267|77786070|921356600|921356600</v>
          </cell>
          <cell r="AR2616" t="str">
            <v>IMED SALUD</v>
          </cell>
        </row>
        <row r="2617">
          <cell r="AQ2617" t="str">
            <v>14591267|77786070|921356600|921356600</v>
          </cell>
          <cell r="AR2617" t="str">
            <v>IMED SALUD</v>
          </cell>
        </row>
        <row r="2618">
          <cell r="AQ2618" t="str">
            <v>14591267|77786070|921356600|921356600</v>
          </cell>
          <cell r="AR2618" t="str">
            <v>IMED SALUD</v>
          </cell>
        </row>
        <row r="2619">
          <cell r="AQ2619" t="str">
            <v>14591267|77786070|921356600|921356600</v>
          </cell>
          <cell r="AR2619" t="str">
            <v>IMED SALUD</v>
          </cell>
        </row>
        <row r="2620">
          <cell r="AQ2620" t="str">
            <v>14591267|77786070|921356600|65384248</v>
          </cell>
          <cell r="AR2620" t="str">
            <v>GASTO FISICO</v>
          </cell>
        </row>
        <row r="2621">
          <cell r="AQ2621" t="str">
            <v>14591267|77786070|921356600|65384248</v>
          </cell>
          <cell r="AR2621" t="str">
            <v>GASTO FISICO</v>
          </cell>
        </row>
        <row r="2622">
          <cell r="AQ2622" t="str">
            <v>14591267|77786070|921356600|65384248</v>
          </cell>
          <cell r="AR2622" t="str">
            <v>GASTO FISICO</v>
          </cell>
        </row>
        <row r="2623">
          <cell r="AQ2623" t="str">
            <v>14591267|77786070|921356600|65384248</v>
          </cell>
          <cell r="AR2623" t="str">
            <v>GASTO FISICO</v>
          </cell>
        </row>
        <row r="2624">
          <cell r="AQ2624" t="str">
            <v>14591267|77786070|921356600|65384248</v>
          </cell>
          <cell r="AR2624" t="str">
            <v>GASTO FISICO</v>
          </cell>
        </row>
        <row r="2625">
          <cell r="AQ2625" t="str">
            <v>14591267|77786070|921356601|921356601</v>
          </cell>
          <cell r="AR2625" t="str">
            <v>IMED SALUD</v>
          </cell>
        </row>
        <row r="2626">
          <cell r="AQ2626" t="str">
            <v>14591267|77786070|921356601|921356601</v>
          </cell>
          <cell r="AR2626" t="str">
            <v>IMED SALUD</v>
          </cell>
        </row>
        <row r="2627">
          <cell r="AQ2627" t="str">
            <v>14591267|77786070|921356601|921356601</v>
          </cell>
          <cell r="AR2627" t="str">
            <v>IMED SALUD</v>
          </cell>
        </row>
        <row r="2628">
          <cell r="AQ2628" t="str">
            <v>14591267|77786070|921356601|921356601</v>
          </cell>
          <cell r="AR2628" t="str">
            <v>IMED SALUD</v>
          </cell>
        </row>
        <row r="2629">
          <cell r="AQ2629" t="str">
            <v>14591267|77786070|921356601|921356601</v>
          </cell>
          <cell r="AR2629" t="str">
            <v>IMED SALUD</v>
          </cell>
        </row>
        <row r="2630">
          <cell r="AQ2630" t="str">
            <v>14591267|77786070|921356601|921356601</v>
          </cell>
          <cell r="AR2630" t="str">
            <v>IMED SALUD</v>
          </cell>
        </row>
        <row r="2631">
          <cell r="AQ2631" t="str">
            <v>14591267|77786070|921356601|921356601</v>
          </cell>
          <cell r="AR2631" t="str">
            <v>IMED SALUD</v>
          </cell>
        </row>
        <row r="2632">
          <cell r="AQ2632" t="str">
            <v>14591267|77786070|921356601|921356601</v>
          </cell>
          <cell r="AR2632" t="str">
            <v>IMED SALUD</v>
          </cell>
        </row>
        <row r="2633">
          <cell r="AQ2633" t="str">
            <v>14591267|77786070|921356601|65384249</v>
          </cell>
          <cell r="AR2633" t="str">
            <v>GASTO FISICO</v>
          </cell>
        </row>
        <row r="2634">
          <cell r="AQ2634" t="str">
            <v>14591267|77786070|921356601|65384249</v>
          </cell>
          <cell r="AR2634" t="str">
            <v>GASTO FISICO</v>
          </cell>
        </row>
        <row r="2635">
          <cell r="AQ2635" t="str">
            <v>14591267|77786070|921356601|65384249</v>
          </cell>
          <cell r="AR2635" t="str">
            <v>GASTO FISICO</v>
          </cell>
        </row>
        <row r="2636">
          <cell r="AQ2636" t="str">
            <v>14591267|77786070|921356601|65384249</v>
          </cell>
          <cell r="AR2636" t="str">
            <v>GASTO FISICO</v>
          </cell>
        </row>
        <row r="2637">
          <cell r="AQ2637" t="str">
            <v>14720057|71614000|372183136|372183136</v>
          </cell>
          <cell r="AR2637" t="str">
            <v>IMED SALUD</v>
          </cell>
        </row>
        <row r="2638">
          <cell r="AQ2638" t="str">
            <v>14720057|71614000|372183136|372183136</v>
          </cell>
          <cell r="AR2638" t="str">
            <v>IMED SALUD</v>
          </cell>
        </row>
        <row r="2639">
          <cell r="AQ2639" t="str">
            <v>14720057|71614000|372183136|372183136</v>
          </cell>
          <cell r="AR2639" t="str">
            <v>IMED SALUD</v>
          </cell>
        </row>
        <row r="2640">
          <cell r="AQ2640" t="str">
            <v>14720057|71614000|372183136|372183136</v>
          </cell>
          <cell r="AR2640" t="str">
            <v>IMED SALUD</v>
          </cell>
        </row>
        <row r="2641">
          <cell r="AQ2641" t="str">
            <v>14720057|71614000|372183136|372183136</v>
          </cell>
          <cell r="AR2641" t="str">
            <v>IMED SALUD</v>
          </cell>
        </row>
        <row r="2642">
          <cell r="AQ2642" t="str">
            <v>14720057|71614000|372183136|372183136</v>
          </cell>
          <cell r="AR2642" t="str">
            <v>IMED SALUD</v>
          </cell>
        </row>
        <row r="2643">
          <cell r="AQ2643" t="str">
            <v>14720057|71614000|372183136|372183136</v>
          </cell>
          <cell r="AR2643" t="str">
            <v>IMED SALUD</v>
          </cell>
        </row>
        <row r="2644">
          <cell r="AQ2644" t="str">
            <v>14720057|71614000|372183136|372183136</v>
          </cell>
          <cell r="AR2644" t="str">
            <v>IMED SALUD</v>
          </cell>
        </row>
        <row r="2645">
          <cell r="AQ2645" t="str">
            <v>14720057|71614000|372183136|372183136</v>
          </cell>
          <cell r="AR2645" t="str">
            <v>IMED SALUD</v>
          </cell>
        </row>
        <row r="2646">
          <cell r="AQ2646" t="str">
            <v>14720057|71614000|372183136|372183136</v>
          </cell>
          <cell r="AR2646" t="str">
            <v>IMED SALUD</v>
          </cell>
        </row>
        <row r="2647">
          <cell r="AQ2647" t="str">
            <v>14720057|71614000|372183136|65384250</v>
          </cell>
          <cell r="AR2647" t="str">
            <v>GASTO FISICO</v>
          </cell>
        </row>
        <row r="2648">
          <cell r="AQ2648" t="str">
            <v>14720057|71614000|372183136|65384250</v>
          </cell>
          <cell r="AR2648" t="str">
            <v>GASTO FISICO</v>
          </cell>
        </row>
        <row r="2649">
          <cell r="AQ2649" t="str">
            <v>14720057|71614000|372183136|65384250</v>
          </cell>
          <cell r="AR2649" t="str">
            <v>GASTO FISICO</v>
          </cell>
        </row>
        <row r="2650">
          <cell r="AQ2650" t="str">
            <v>14720057|71614000|372183136|65384250</v>
          </cell>
          <cell r="AR2650" t="str">
            <v>GASTO FISICO</v>
          </cell>
        </row>
        <row r="2651">
          <cell r="AQ2651" t="str">
            <v>14720057|71614000|372183136|65384250</v>
          </cell>
          <cell r="AR2651" t="str">
            <v>GASTO FISICO</v>
          </cell>
        </row>
        <row r="2652">
          <cell r="AQ2652" t="str">
            <v>14733348|99573490|765628452|765628452</v>
          </cell>
          <cell r="AR2652" t="str">
            <v>IMED SALUD</v>
          </cell>
        </row>
        <row r="2653">
          <cell r="AQ2653" t="str">
            <v>14733348|99573490|765628452|765628452</v>
          </cell>
          <cell r="AR2653" t="str">
            <v>IMED SALUD</v>
          </cell>
        </row>
        <row r="2654">
          <cell r="AQ2654" t="str">
            <v>14733348|99573490|765628452|765628452</v>
          </cell>
          <cell r="AR2654" t="str">
            <v>IMED SALUD</v>
          </cell>
        </row>
        <row r="2655">
          <cell r="AQ2655" t="str">
            <v>14733348|99573490|765628452|765628452</v>
          </cell>
          <cell r="AR2655" t="str">
            <v>IMED SALUD</v>
          </cell>
        </row>
        <row r="2656">
          <cell r="AQ2656" t="str">
            <v>14733348|99573490|765628452|765628452</v>
          </cell>
          <cell r="AR2656" t="str">
            <v>IMED SALUD</v>
          </cell>
        </row>
        <row r="2657">
          <cell r="AQ2657" t="str">
            <v>14733348|99573490|765628452|765628452</v>
          </cell>
          <cell r="AR2657" t="str">
            <v>IMED SALUD</v>
          </cell>
        </row>
        <row r="2658">
          <cell r="AQ2658" t="str">
            <v>14733348|99573490|765628452|65384252</v>
          </cell>
          <cell r="AR2658" t="str">
            <v>GASTO FISICO</v>
          </cell>
        </row>
        <row r="2659">
          <cell r="AQ2659" t="str">
            <v>14733348|99573490|765628452|65384252</v>
          </cell>
          <cell r="AR2659" t="str">
            <v>GASTO FISICO</v>
          </cell>
        </row>
        <row r="2660">
          <cell r="AQ2660" t="str">
            <v>14733348|99573490|765628452|65384252</v>
          </cell>
          <cell r="AR2660" t="str">
            <v>GASTO FISICO</v>
          </cell>
        </row>
        <row r="2661">
          <cell r="AQ2661" t="str">
            <v>14733348|76098454|765679642|765679642</v>
          </cell>
          <cell r="AR2661" t="str">
            <v>IMED SALUD</v>
          </cell>
        </row>
        <row r="2662">
          <cell r="AQ2662" t="str">
            <v>14733348|76098454|765679642|765679642</v>
          </cell>
          <cell r="AR2662" t="str">
            <v>IMED SALUD</v>
          </cell>
        </row>
        <row r="2663">
          <cell r="AQ2663" t="str">
            <v>14733348|76098454|765679642|65384251</v>
          </cell>
          <cell r="AR2663" t="str">
            <v>GASTO FISICO</v>
          </cell>
        </row>
        <row r="2664">
          <cell r="AQ2664" t="str">
            <v>15106738|77270020|136770464|136770464</v>
          </cell>
          <cell r="AR2664" t="str">
            <v>IMED SALUD</v>
          </cell>
        </row>
        <row r="2665">
          <cell r="AQ2665" t="str">
            <v>15106738|77270020|136770464|136770464</v>
          </cell>
          <cell r="AR2665" t="str">
            <v>IMED SALUD</v>
          </cell>
        </row>
        <row r="2666">
          <cell r="AQ2666" t="str">
            <v>15106738|77270020|136770464|65384253</v>
          </cell>
          <cell r="AR2666" t="str">
            <v>GASTO FISICO</v>
          </cell>
        </row>
        <row r="2667">
          <cell r="AQ2667" t="str">
            <v>15119595|77452190|920890030|920890030</v>
          </cell>
          <cell r="AR2667" t="str">
            <v>IMED SALUD</v>
          </cell>
        </row>
        <row r="2668">
          <cell r="AQ2668" t="str">
            <v>15119595|77452190|920890030|920890030</v>
          </cell>
          <cell r="AR2668" t="str">
            <v>IMED SALUD</v>
          </cell>
        </row>
        <row r="2669">
          <cell r="AQ2669" t="str">
            <v>15119595|77452190|920890030|920890030</v>
          </cell>
          <cell r="AR2669" t="str">
            <v>IMED SALUD</v>
          </cell>
        </row>
        <row r="2670">
          <cell r="AQ2670" t="str">
            <v>15119595|77452190|920890030|920890030</v>
          </cell>
          <cell r="AR2670" t="str">
            <v>IMED SALUD</v>
          </cell>
        </row>
        <row r="2671">
          <cell r="AQ2671" t="str">
            <v>15119595|77452190|920890030|65384254</v>
          </cell>
          <cell r="AR2671" t="str">
            <v>GASTO FISICO</v>
          </cell>
        </row>
        <row r="2672">
          <cell r="AQ2672" t="str">
            <v>15119595|77452190|920890030|65384254</v>
          </cell>
          <cell r="AR2672" t="str">
            <v>GASTO FISICO</v>
          </cell>
        </row>
        <row r="2673">
          <cell r="AQ2673" t="str">
            <v>15154446|76098454|918831887|918831887</v>
          </cell>
          <cell r="AR2673" t="str">
            <v>IMED SALUD</v>
          </cell>
        </row>
        <row r="2674">
          <cell r="AQ2674" t="str">
            <v>15154446|76098454|918831887|918831887</v>
          </cell>
          <cell r="AR2674" t="str">
            <v>IMED SALUD</v>
          </cell>
        </row>
        <row r="2675">
          <cell r="AQ2675" t="str">
            <v>15154446|76098454|918831887|65384255</v>
          </cell>
          <cell r="AR2675" t="str">
            <v>GASTO FISICO</v>
          </cell>
        </row>
        <row r="2676">
          <cell r="AQ2676" t="str">
            <v>15178550|76434593|765047882|765047882</v>
          </cell>
          <cell r="AR2676" t="str">
            <v>IMED SALUD</v>
          </cell>
        </row>
        <row r="2677">
          <cell r="AQ2677" t="str">
            <v>15178550|76434593|765047882|765047882</v>
          </cell>
          <cell r="AR2677" t="str">
            <v>IMED SALUD</v>
          </cell>
        </row>
        <row r="2678">
          <cell r="AQ2678" t="str">
            <v>15178550|76434593|765047882|65384256</v>
          </cell>
          <cell r="AR2678" t="str">
            <v>GASTO FISICO</v>
          </cell>
        </row>
        <row r="2679">
          <cell r="AQ2679" t="str">
            <v>15178550|76434593|765162139|765162139</v>
          </cell>
          <cell r="AR2679" t="str">
            <v>IMED SALUD</v>
          </cell>
        </row>
        <row r="2680">
          <cell r="AQ2680" t="str">
            <v>15178550|76434593|765162139|765162139</v>
          </cell>
          <cell r="AR2680" t="str">
            <v>IMED SALUD</v>
          </cell>
        </row>
        <row r="2681">
          <cell r="AQ2681" t="str">
            <v>15178550|76434593|765162139|65384257</v>
          </cell>
          <cell r="AR2681" t="str">
            <v>GASTO FISICO</v>
          </cell>
        </row>
        <row r="2682">
          <cell r="AQ2682" t="str">
            <v>15178550|76434593|765162140|765162140</v>
          </cell>
          <cell r="AR2682" t="str">
            <v>IMED SALUD</v>
          </cell>
        </row>
        <row r="2683">
          <cell r="AQ2683" t="str">
            <v>15178550|76434593|765162140|765162140</v>
          </cell>
          <cell r="AR2683" t="str">
            <v>IMED SALUD</v>
          </cell>
        </row>
        <row r="2684">
          <cell r="AQ2684" t="str">
            <v>15178550|76434593|765162140|65384258</v>
          </cell>
          <cell r="AR2684" t="str">
            <v>GASTO FISICO</v>
          </cell>
        </row>
        <row r="2685">
          <cell r="AQ2685" t="str">
            <v>15178550|96606750|765162172|765162172</v>
          </cell>
          <cell r="AR2685" t="str">
            <v>IMED SALUD</v>
          </cell>
        </row>
        <row r="2686">
          <cell r="AQ2686" t="str">
            <v>15178550|96606750|765162172|765162172</v>
          </cell>
          <cell r="AR2686" t="str">
            <v>IMED SALUD</v>
          </cell>
        </row>
        <row r="2687">
          <cell r="AQ2687" t="str">
            <v>15178550|96606750|765162172|765162172</v>
          </cell>
          <cell r="AR2687" t="str">
            <v>IMED SALUD</v>
          </cell>
        </row>
        <row r="2688">
          <cell r="AQ2688" t="str">
            <v>15178550|96606750|765162172|765162172</v>
          </cell>
          <cell r="AR2688" t="str">
            <v>IMED SALUD</v>
          </cell>
        </row>
        <row r="2689">
          <cell r="AQ2689" t="str">
            <v>15178550|96606750|765162172|765162172</v>
          </cell>
          <cell r="AR2689" t="str">
            <v>IMED SALUD</v>
          </cell>
        </row>
        <row r="2690">
          <cell r="AQ2690" t="str">
            <v>15178550|96606750|765162172|765162172</v>
          </cell>
          <cell r="AR2690" t="str">
            <v>IMED SALUD</v>
          </cell>
        </row>
        <row r="2691">
          <cell r="AQ2691" t="str">
            <v>15178550|96606750|765162172|765162172</v>
          </cell>
          <cell r="AR2691" t="str">
            <v>IMED SALUD</v>
          </cell>
        </row>
        <row r="2692">
          <cell r="AQ2692" t="str">
            <v>15178550|96606750|765162172|765162172</v>
          </cell>
          <cell r="AR2692" t="str">
            <v>IMED SALUD</v>
          </cell>
        </row>
        <row r="2693">
          <cell r="AQ2693" t="str">
            <v>15178550|96606750|765162172|765162172</v>
          </cell>
          <cell r="AR2693" t="str">
            <v>IMED SALUD</v>
          </cell>
        </row>
        <row r="2694">
          <cell r="AQ2694" t="str">
            <v>15178550|96606750|765162172|765162172</v>
          </cell>
          <cell r="AR2694" t="str">
            <v>IMED SALUD</v>
          </cell>
        </row>
        <row r="2695">
          <cell r="AQ2695" t="str">
            <v>15178550|96606750|765162172|65384259</v>
          </cell>
          <cell r="AR2695" t="str">
            <v>GASTO FISICO</v>
          </cell>
        </row>
        <row r="2696">
          <cell r="AQ2696" t="str">
            <v>15178550|96606750|765162172|65384259</v>
          </cell>
          <cell r="AR2696" t="str">
            <v>GASTO FISICO</v>
          </cell>
        </row>
        <row r="2697">
          <cell r="AQ2697" t="str">
            <v>15178550|96606750|765162172|65384259</v>
          </cell>
          <cell r="AR2697" t="str">
            <v>GASTO FISICO</v>
          </cell>
        </row>
        <row r="2698">
          <cell r="AQ2698" t="str">
            <v>15178550|96606750|765162172|65384259</v>
          </cell>
          <cell r="AR2698" t="str">
            <v>GASTO FISICO</v>
          </cell>
        </row>
        <row r="2699">
          <cell r="AQ2699" t="str">
            <v>15178550|76434593|765207318|765207318</v>
          </cell>
          <cell r="AR2699" t="str">
            <v>IMED SALUD</v>
          </cell>
        </row>
        <row r="2700">
          <cell r="AQ2700" t="str">
            <v>15178550|76434593|765207318|765207318</v>
          </cell>
          <cell r="AR2700" t="str">
            <v>IMED SALUD</v>
          </cell>
        </row>
        <row r="2701">
          <cell r="AQ2701" t="str">
            <v>15178550|76434593|765207318|65384260</v>
          </cell>
          <cell r="AR2701" t="str">
            <v>GASTO FISICO</v>
          </cell>
        </row>
        <row r="2702">
          <cell r="AQ2702" t="str">
            <v>15178550|96606750|765610137|765610137</v>
          </cell>
          <cell r="AR2702" t="str">
            <v>IMED SALUD</v>
          </cell>
        </row>
        <row r="2703">
          <cell r="AQ2703" t="str">
            <v>15178550|96606750|765610137|765610137</v>
          </cell>
          <cell r="AR2703" t="str">
            <v>IMED SALUD</v>
          </cell>
        </row>
        <row r="2704">
          <cell r="AQ2704" t="str">
            <v>15178550|96606750|765610137|65384261</v>
          </cell>
          <cell r="AR2704" t="str">
            <v>GASTO FISICO</v>
          </cell>
        </row>
        <row r="2705">
          <cell r="AQ2705" t="str">
            <v>15276164|88611600|919726400|919726400</v>
          </cell>
          <cell r="AR2705" t="str">
            <v>IMED SALUD</v>
          </cell>
        </row>
        <row r="2706">
          <cell r="AQ2706" t="str">
            <v>15276164|88611600|919726400|919726400</v>
          </cell>
          <cell r="AR2706" t="str">
            <v>IMED SALUD</v>
          </cell>
        </row>
        <row r="2707">
          <cell r="AQ2707" t="str">
            <v>15276164|88611600|919726400|919726400</v>
          </cell>
          <cell r="AR2707" t="str">
            <v>IMED SALUD</v>
          </cell>
        </row>
        <row r="2708">
          <cell r="AQ2708" t="str">
            <v>15276164|88611600|919726400|919726400</v>
          </cell>
          <cell r="AR2708" t="str">
            <v>IMED SALUD</v>
          </cell>
        </row>
        <row r="2709">
          <cell r="AQ2709" t="str">
            <v>15276164|88611600|919726400|65384262</v>
          </cell>
          <cell r="AR2709" t="str">
            <v>GASTO FISICO</v>
          </cell>
        </row>
        <row r="2710">
          <cell r="AQ2710" t="str">
            <v>15276164|88611600|919726400|65384262</v>
          </cell>
          <cell r="AR2710" t="str">
            <v>GASTO FISICO</v>
          </cell>
        </row>
        <row r="2711">
          <cell r="AQ2711" t="str">
            <v>15276164|15591056|98|21997911</v>
          </cell>
          <cell r="AR2711" t="str">
            <v>GASTO FISICO</v>
          </cell>
        </row>
        <row r="2712">
          <cell r="AQ2712" t="str">
            <v>15276164|15591056|98|986476</v>
          </cell>
          <cell r="AR2712" t="str">
            <v>GASTO FISICO</v>
          </cell>
        </row>
        <row r="2713">
          <cell r="AQ2713" t="str">
            <v>15276164|15591056|98|65423813</v>
          </cell>
          <cell r="AR2713" t="str">
            <v>GASTO FISICO</v>
          </cell>
        </row>
        <row r="2714">
          <cell r="AQ2714" t="str">
            <v>15297793|96942400|916816585|916816585</v>
          </cell>
          <cell r="AR2714" t="str">
            <v>IMED SALUD</v>
          </cell>
        </row>
        <row r="2715">
          <cell r="AQ2715" t="str">
            <v>15297793|96942400|916816585|916816585</v>
          </cell>
          <cell r="AR2715" t="str">
            <v>IMED SALUD</v>
          </cell>
        </row>
        <row r="2716">
          <cell r="AQ2716" t="str">
            <v>15297793|96942400|916816585|65384264</v>
          </cell>
          <cell r="AR2716" t="str">
            <v>GASTO FISICO</v>
          </cell>
        </row>
        <row r="2717">
          <cell r="AQ2717" t="str">
            <v>15308884|78040520|919558912|919558912</v>
          </cell>
          <cell r="AR2717" t="str">
            <v>IMED SALUD</v>
          </cell>
        </row>
        <row r="2718">
          <cell r="AQ2718" t="str">
            <v>15308884|78040520|919558912|919558912</v>
          </cell>
          <cell r="AR2718" t="str">
            <v>IMED SALUD</v>
          </cell>
        </row>
        <row r="2719">
          <cell r="AQ2719" t="str">
            <v>15308884|78040520|919558912|919558912</v>
          </cell>
          <cell r="AR2719" t="str">
            <v>IMED SALUD</v>
          </cell>
        </row>
        <row r="2720">
          <cell r="AQ2720" t="str">
            <v>15308884|78040520|919558912|919558912</v>
          </cell>
          <cell r="AR2720" t="str">
            <v>IMED SALUD</v>
          </cell>
        </row>
        <row r="2721">
          <cell r="AQ2721" t="str">
            <v>15308884|78040520|919558912|65384265</v>
          </cell>
          <cell r="AR2721" t="str">
            <v>GASTO FISICO</v>
          </cell>
        </row>
        <row r="2722">
          <cell r="AQ2722" t="str">
            <v>15308884|78040520|919558912|65384265</v>
          </cell>
          <cell r="AR2722" t="str">
            <v>GASTO FISICO</v>
          </cell>
        </row>
        <row r="2723">
          <cell r="AQ2723" t="str">
            <v>15308884|76853020|919860206|919860206</v>
          </cell>
          <cell r="AR2723" t="str">
            <v>IMED SALUD</v>
          </cell>
        </row>
        <row r="2724">
          <cell r="AQ2724" t="str">
            <v>15308884|76853020|919860206|919860206</v>
          </cell>
          <cell r="AR2724" t="str">
            <v>IMED SALUD</v>
          </cell>
        </row>
        <row r="2725">
          <cell r="AQ2725" t="str">
            <v>15308884|76853020|919860206|65384266</v>
          </cell>
          <cell r="AR2725" t="str">
            <v>GASTO FISICO</v>
          </cell>
        </row>
        <row r="2726">
          <cell r="AQ2726" t="str">
            <v>15315135|89807200|1549594590|22010614</v>
          </cell>
          <cell r="AR2726" t="str">
            <v>GASTO FISICO</v>
          </cell>
        </row>
        <row r="2727">
          <cell r="AQ2727" t="str">
            <v>15315135|89807200|1549594590|991394</v>
          </cell>
          <cell r="AR2727" t="str">
            <v>GASTO FISICO</v>
          </cell>
        </row>
        <row r="2728">
          <cell r="AQ2728" t="str">
            <v>15315135|89807200|1549594590|65213161</v>
          </cell>
          <cell r="AR2728" t="str">
            <v>GASTO FISICO</v>
          </cell>
        </row>
        <row r="2729">
          <cell r="AQ2729" t="str">
            <v>15321086|76098454|929988910|929988910</v>
          </cell>
          <cell r="AR2729" t="str">
            <v>IMED SALUD</v>
          </cell>
        </row>
        <row r="2730">
          <cell r="AQ2730" t="str">
            <v>15321086|76098454|929988910|929988910</v>
          </cell>
          <cell r="AR2730" t="str">
            <v>IMED SALUD</v>
          </cell>
        </row>
        <row r="2731">
          <cell r="AQ2731" t="str">
            <v>15321086|76098454|929988910|65384268</v>
          </cell>
          <cell r="AR2731" t="str">
            <v>GASTO FISICO</v>
          </cell>
        </row>
        <row r="2732">
          <cell r="AQ2732" t="str">
            <v>15321086|96986050|929989722|929989722</v>
          </cell>
          <cell r="AR2732" t="str">
            <v>IMED SALUD</v>
          </cell>
        </row>
        <row r="2733">
          <cell r="AQ2733" t="str">
            <v>15321086|96986050|929989722|929989722</v>
          </cell>
          <cell r="AR2733" t="str">
            <v>IMED SALUD</v>
          </cell>
        </row>
        <row r="2734">
          <cell r="AQ2734" t="str">
            <v>15321086|96986050|929989722|929989722</v>
          </cell>
          <cell r="AR2734" t="str">
            <v>IMED SALUD</v>
          </cell>
        </row>
        <row r="2735">
          <cell r="AQ2735" t="str">
            <v>15321086|96986050|929989722|929989722</v>
          </cell>
          <cell r="AR2735" t="str">
            <v>IMED SALUD</v>
          </cell>
        </row>
        <row r="2736">
          <cell r="AQ2736" t="str">
            <v>15321086|96986050|929989722|929989722</v>
          </cell>
          <cell r="AR2736" t="str">
            <v>IMED SALUD</v>
          </cell>
        </row>
        <row r="2737">
          <cell r="AQ2737" t="str">
            <v>15321086|96986050|929989722|929989722</v>
          </cell>
          <cell r="AR2737" t="str">
            <v>IMED SALUD</v>
          </cell>
        </row>
        <row r="2738">
          <cell r="AQ2738" t="str">
            <v>15321086|96986050|929989722|929989722</v>
          </cell>
          <cell r="AR2738" t="str">
            <v>IMED SALUD</v>
          </cell>
        </row>
        <row r="2739">
          <cell r="AQ2739" t="str">
            <v>15321086|96986050|929989722|929989722</v>
          </cell>
          <cell r="AR2739" t="str">
            <v>IMED SALUD</v>
          </cell>
        </row>
        <row r="2740">
          <cell r="AQ2740" t="str">
            <v>15321086|96986050|929989722|929989722</v>
          </cell>
          <cell r="AR2740" t="str">
            <v>IMED SALUD</v>
          </cell>
        </row>
        <row r="2741">
          <cell r="AQ2741" t="str">
            <v>15321086|96986050|929989722|929989722</v>
          </cell>
          <cell r="AR2741" t="str">
            <v>IMED SALUD</v>
          </cell>
        </row>
        <row r="2742">
          <cell r="AQ2742" t="str">
            <v>15321086|96986050|929989722|65384269</v>
          </cell>
          <cell r="AR2742" t="str">
            <v>GASTO FISICO</v>
          </cell>
        </row>
        <row r="2743">
          <cell r="AQ2743" t="str">
            <v>15321086|96986050|929989722|65384269</v>
          </cell>
          <cell r="AR2743" t="str">
            <v>GASTO FISICO</v>
          </cell>
        </row>
        <row r="2744">
          <cell r="AQ2744" t="str">
            <v>15321086|96986050|929989722|65384269</v>
          </cell>
          <cell r="AR2744" t="str">
            <v>GASTO FISICO</v>
          </cell>
        </row>
        <row r="2745">
          <cell r="AQ2745" t="str">
            <v>15321086|96986050|929989722|65384269</v>
          </cell>
          <cell r="AR2745" t="str">
            <v>GASTO FISICO</v>
          </cell>
        </row>
        <row r="2746">
          <cell r="AQ2746" t="str">
            <v>15321086|96986050|929989722|65384269</v>
          </cell>
          <cell r="AR2746" t="str">
            <v>GASTO FISICO</v>
          </cell>
        </row>
        <row r="2747">
          <cell r="AQ2747" t="str">
            <v>15321086|96986050|930053705|930053705</v>
          </cell>
          <cell r="AR2747" t="str">
            <v>IMED SALUD</v>
          </cell>
        </row>
        <row r="2748">
          <cell r="AQ2748" t="str">
            <v>15321086|96986050|930053705|930053705</v>
          </cell>
          <cell r="AR2748" t="str">
            <v>IMED SALUD</v>
          </cell>
        </row>
        <row r="2749">
          <cell r="AQ2749" t="str">
            <v>15321086|96986050|930053705|65384270</v>
          </cell>
          <cell r="AR2749" t="str">
            <v>GASTO FISICO</v>
          </cell>
        </row>
        <row r="2750">
          <cell r="AQ2750" t="str">
            <v>15344033|96530470|370193109|370193109</v>
          </cell>
          <cell r="AR2750" t="str">
            <v>IMED SALUD</v>
          </cell>
        </row>
        <row r="2751">
          <cell r="AQ2751" t="str">
            <v>15344033|96530470|370193109|370193109</v>
          </cell>
          <cell r="AR2751" t="str">
            <v>IMED SALUD</v>
          </cell>
        </row>
        <row r="2752">
          <cell r="AQ2752" t="str">
            <v>15344033|96530470|370193109|370193109</v>
          </cell>
          <cell r="AR2752" t="str">
            <v>IMED SALUD</v>
          </cell>
        </row>
        <row r="2753">
          <cell r="AQ2753" t="str">
            <v>15344033|96530470|370193109|370193109</v>
          </cell>
          <cell r="AR2753" t="str">
            <v>IMED SALUD</v>
          </cell>
        </row>
        <row r="2754">
          <cell r="AQ2754" t="str">
            <v>15344033|96530470|370193109|370193109</v>
          </cell>
          <cell r="AR2754" t="str">
            <v>IMED SALUD</v>
          </cell>
        </row>
        <row r="2755">
          <cell r="AQ2755" t="str">
            <v>15344033|96530470|370193109|370193109</v>
          </cell>
          <cell r="AR2755" t="str">
            <v>IMED SALUD</v>
          </cell>
        </row>
        <row r="2756">
          <cell r="AQ2756" t="str">
            <v>15344033|96530470|370193109|370193109</v>
          </cell>
          <cell r="AR2756" t="str">
            <v>IMED SALUD</v>
          </cell>
        </row>
        <row r="2757">
          <cell r="AQ2757" t="str">
            <v>15344033|96530470|370193109|370193109</v>
          </cell>
          <cell r="AR2757" t="str">
            <v>IMED SALUD</v>
          </cell>
        </row>
        <row r="2758">
          <cell r="AQ2758" t="str">
            <v>15344033|96530470|370193109|65384272</v>
          </cell>
          <cell r="AR2758" t="str">
            <v>GASTO FISICO</v>
          </cell>
        </row>
        <row r="2759">
          <cell r="AQ2759" t="str">
            <v>15344033|96530470|370193109|65384272</v>
          </cell>
          <cell r="AR2759" t="str">
            <v>GASTO FISICO</v>
          </cell>
        </row>
        <row r="2760">
          <cell r="AQ2760" t="str">
            <v>15344033|96530470|370193109|65384272</v>
          </cell>
          <cell r="AR2760" t="str">
            <v>GASTO FISICO</v>
          </cell>
        </row>
        <row r="2761">
          <cell r="AQ2761" t="str">
            <v>15344033|96530470|370193109|65384272</v>
          </cell>
          <cell r="AR2761" t="str">
            <v>GASTO FISICO</v>
          </cell>
        </row>
        <row r="2762">
          <cell r="AQ2762" t="str">
            <v>15344033|96530470|371132439|371132439</v>
          </cell>
          <cell r="AR2762" t="str">
            <v>IMED SALUD</v>
          </cell>
        </row>
        <row r="2763">
          <cell r="AQ2763" t="str">
            <v>15344033|96530470|371132439|371132439</v>
          </cell>
          <cell r="AR2763" t="str">
            <v>IMED SALUD</v>
          </cell>
        </row>
        <row r="2764">
          <cell r="AQ2764" t="str">
            <v>15344033|96530470|371132439|65384273</v>
          </cell>
          <cell r="AR2764" t="str">
            <v>GASTO FISICO</v>
          </cell>
        </row>
        <row r="2765">
          <cell r="AQ2765" t="str">
            <v>15344033|99540210|372023435|372023435</v>
          </cell>
          <cell r="AR2765" t="str">
            <v>IMED SALUD</v>
          </cell>
        </row>
        <row r="2766">
          <cell r="AQ2766" t="str">
            <v>15344033|99540210|372023435|372023435</v>
          </cell>
          <cell r="AR2766" t="str">
            <v>IMED SALUD</v>
          </cell>
        </row>
        <row r="2767">
          <cell r="AQ2767" t="str">
            <v>15344033|99540210|372023435|65384275</v>
          </cell>
          <cell r="AR2767" t="str">
            <v>GASTO FISICO</v>
          </cell>
        </row>
        <row r="2768">
          <cell r="AQ2768" t="str">
            <v>15344033|99540210|372023521|372023521</v>
          </cell>
          <cell r="AR2768" t="str">
            <v>IMED SALUD</v>
          </cell>
        </row>
        <row r="2769">
          <cell r="AQ2769" t="str">
            <v>15344033|99540210|372023521|372023521</v>
          </cell>
          <cell r="AR2769" t="str">
            <v>IMED SALUD</v>
          </cell>
        </row>
        <row r="2770">
          <cell r="AQ2770" t="str">
            <v>15344033|99540210|372023521|65384276</v>
          </cell>
          <cell r="AR2770" t="str">
            <v>GASTO FISICO</v>
          </cell>
        </row>
        <row r="2771">
          <cell r="AQ2771" t="str">
            <v>15344033|96530470|372239897|372239897</v>
          </cell>
          <cell r="AR2771" t="str">
            <v>IMED SALUD</v>
          </cell>
        </row>
        <row r="2772">
          <cell r="AQ2772" t="str">
            <v>15344033|96530470|372239897|372239897</v>
          </cell>
          <cell r="AR2772" t="str">
            <v>IMED SALUD</v>
          </cell>
        </row>
        <row r="2773">
          <cell r="AQ2773" t="str">
            <v>15344033|96530470|372239897|65384274</v>
          </cell>
          <cell r="AR2773" t="str">
            <v>GASTO FISICO</v>
          </cell>
        </row>
        <row r="2774">
          <cell r="AQ2774" t="str">
            <v>15348500|13103870|1337|22142748</v>
          </cell>
          <cell r="AR2774" t="str">
            <v>GASTO FISICO</v>
          </cell>
        </row>
        <row r="2775">
          <cell r="AQ2775" t="str">
            <v>15348500|13103870|1337|1036616</v>
          </cell>
          <cell r="AR2775" t="str">
            <v>GASTO FISICO</v>
          </cell>
        </row>
        <row r="2776">
          <cell r="AQ2776" t="str">
            <v>15348500|13103870|1337|66380936</v>
          </cell>
          <cell r="AR2776" t="str">
            <v>GASTO FISICO</v>
          </cell>
        </row>
        <row r="2777">
          <cell r="AQ2777" t="str">
            <v>15348500|13103870|1347|22142748</v>
          </cell>
          <cell r="AR2777" t="str">
            <v>GASTO FISICO</v>
          </cell>
        </row>
        <row r="2778">
          <cell r="AQ2778" t="str">
            <v>15348500|13103870|1347|1036616</v>
          </cell>
          <cell r="AR2778" t="str">
            <v>GASTO FISICO</v>
          </cell>
        </row>
        <row r="2779">
          <cell r="AQ2779" t="str">
            <v>15348500|13103870|1347|66380936</v>
          </cell>
          <cell r="AR2779" t="str">
            <v>GASTO FISICO</v>
          </cell>
        </row>
        <row r="2780">
          <cell r="AQ2780" t="str">
            <v>15348500|76031071|652723725|21990627</v>
          </cell>
          <cell r="AR2780" t="str">
            <v>GASTO FISICO</v>
          </cell>
        </row>
        <row r="2781">
          <cell r="AQ2781" t="str">
            <v>15348500|76031071|652723725|22034641</v>
          </cell>
          <cell r="AR2781" t="str">
            <v>GASTO FISICO</v>
          </cell>
        </row>
        <row r="2782">
          <cell r="AQ2782" t="str">
            <v>15348500|76031071|652723725|991993</v>
          </cell>
          <cell r="AR2782" t="str">
            <v>GASTO FISICO</v>
          </cell>
        </row>
        <row r="2783">
          <cell r="AQ2783" t="str">
            <v>15348500|76031071|652723725|65213168</v>
          </cell>
          <cell r="AR2783" t="str">
            <v>GASTO FISICO</v>
          </cell>
        </row>
        <row r="2784">
          <cell r="AQ2784" t="str">
            <v>15375295|93930000|370766655|370766655</v>
          </cell>
          <cell r="AR2784" t="str">
            <v>IMED SALUD</v>
          </cell>
        </row>
        <row r="2785">
          <cell r="AQ2785" t="str">
            <v>15375295|93930000|370766655|370766655</v>
          </cell>
          <cell r="AR2785" t="str">
            <v>IMED SALUD</v>
          </cell>
        </row>
        <row r="2786">
          <cell r="AQ2786" t="str">
            <v>15375295|93930000|370766655|370766655</v>
          </cell>
          <cell r="AR2786" t="str">
            <v>IMED SALUD</v>
          </cell>
        </row>
        <row r="2787">
          <cell r="AQ2787" t="str">
            <v>15375295|93930000|370766655|370766655</v>
          </cell>
          <cell r="AR2787" t="str">
            <v>IMED SALUD</v>
          </cell>
        </row>
        <row r="2788">
          <cell r="AQ2788" t="str">
            <v>15375295|93930000|370766655|65384277</v>
          </cell>
          <cell r="AR2788" t="str">
            <v>GASTO FISICO</v>
          </cell>
        </row>
        <row r="2789">
          <cell r="AQ2789" t="str">
            <v>15375295|93930000|370766655|65384277</v>
          </cell>
          <cell r="AR2789" t="str">
            <v>GASTO FISICO</v>
          </cell>
        </row>
        <row r="2790">
          <cell r="AQ2790" t="str">
            <v>15400638|77418913|53923|22142894</v>
          </cell>
          <cell r="AR2790" t="str">
            <v>GASTO FISICO</v>
          </cell>
        </row>
        <row r="2791">
          <cell r="AQ2791" t="str">
            <v>15400638|77418913|53923|22142894</v>
          </cell>
          <cell r="AR2791" t="str">
            <v>GASTO FISICO</v>
          </cell>
        </row>
        <row r="2792">
          <cell r="AQ2792" t="str">
            <v>15400638|77418913|53923|1034254</v>
          </cell>
          <cell r="AR2792" t="str">
            <v>GASTO FISICO</v>
          </cell>
        </row>
        <row r="2793">
          <cell r="AQ2793" t="str">
            <v>15400638|77418913|53923|1034254</v>
          </cell>
          <cell r="AR2793" t="str">
            <v>GASTO FISICO</v>
          </cell>
        </row>
        <row r="2794">
          <cell r="AQ2794" t="str">
            <v>15400638|77418913|53923|66380940</v>
          </cell>
          <cell r="AR2794" t="str">
            <v>GASTO FISICO</v>
          </cell>
        </row>
        <row r="2795">
          <cell r="AQ2795" t="str">
            <v>15400638|77418913|53923|66380940</v>
          </cell>
          <cell r="AR2795" t="str">
            <v>GASTO FISICO</v>
          </cell>
        </row>
        <row r="2796">
          <cell r="AQ2796" t="str">
            <v>15400638|96942400|920840611|920840611</v>
          </cell>
          <cell r="AR2796" t="str">
            <v>IMED SALUD</v>
          </cell>
        </row>
        <row r="2797">
          <cell r="AQ2797" t="str">
            <v>15400638|96942400|920840611|920840611</v>
          </cell>
          <cell r="AR2797" t="str">
            <v>IMED SALUD</v>
          </cell>
        </row>
        <row r="2798">
          <cell r="AQ2798" t="str">
            <v>15400638|96942400|920840611|920840611</v>
          </cell>
          <cell r="AR2798" t="str">
            <v>IMED SALUD</v>
          </cell>
        </row>
        <row r="2799">
          <cell r="AQ2799" t="str">
            <v>15400638|96942400|920840611|920840611</v>
          </cell>
          <cell r="AR2799" t="str">
            <v>IMED SALUD</v>
          </cell>
        </row>
        <row r="2800">
          <cell r="AQ2800" t="str">
            <v>15400638|96942400|920840611|920840611</v>
          </cell>
          <cell r="AR2800" t="str">
            <v>IMED SALUD</v>
          </cell>
        </row>
        <row r="2801">
          <cell r="AQ2801" t="str">
            <v>15400638|96942400|920840611|920840611</v>
          </cell>
          <cell r="AR2801" t="str">
            <v>IMED SALUD</v>
          </cell>
        </row>
        <row r="2802">
          <cell r="AQ2802" t="str">
            <v>15400638|96942400|920840611|920840611</v>
          </cell>
          <cell r="AR2802" t="str">
            <v>IMED SALUD</v>
          </cell>
        </row>
        <row r="2803">
          <cell r="AQ2803" t="str">
            <v>15400638|96942400|920840611|920840611</v>
          </cell>
          <cell r="AR2803" t="str">
            <v>IMED SALUD</v>
          </cell>
        </row>
        <row r="2804">
          <cell r="AQ2804" t="str">
            <v>15400638|96942400|920840611|920840611</v>
          </cell>
          <cell r="AR2804" t="str">
            <v>IMED SALUD</v>
          </cell>
        </row>
        <row r="2805">
          <cell r="AQ2805" t="str">
            <v>15400638|96942400|920840611|920840611</v>
          </cell>
          <cell r="AR2805" t="str">
            <v>IMED SALUD</v>
          </cell>
        </row>
        <row r="2806">
          <cell r="AQ2806" t="str">
            <v>15400638|96942400|920840611|65384278</v>
          </cell>
          <cell r="AR2806" t="str">
            <v>GASTO FISICO</v>
          </cell>
        </row>
        <row r="2807">
          <cell r="AQ2807" t="str">
            <v>15400638|96942400|920840611|65384278</v>
          </cell>
          <cell r="AR2807" t="str">
            <v>GASTO FISICO</v>
          </cell>
        </row>
        <row r="2808">
          <cell r="AQ2808" t="str">
            <v>15400638|96942400|920840611|65384278</v>
          </cell>
          <cell r="AR2808" t="str">
            <v>GASTO FISICO</v>
          </cell>
        </row>
        <row r="2809">
          <cell r="AQ2809" t="str">
            <v>15400638|96942400|920840611|65384278</v>
          </cell>
          <cell r="AR2809" t="str">
            <v>GASTO FISICO</v>
          </cell>
        </row>
        <row r="2810">
          <cell r="AQ2810" t="str">
            <v>15400638|96942400|920840611|65384278</v>
          </cell>
          <cell r="AR2810" t="str">
            <v>GASTO FISICO</v>
          </cell>
        </row>
        <row r="2811">
          <cell r="AQ2811" t="str">
            <v>15400638|96942400|920840612|920840612</v>
          </cell>
          <cell r="AR2811" t="str">
            <v>IMED SALUD</v>
          </cell>
        </row>
        <row r="2812">
          <cell r="AQ2812" t="str">
            <v>15400638|96942400|920840612|920840612</v>
          </cell>
          <cell r="AR2812" t="str">
            <v>IMED SALUD</v>
          </cell>
        </row>
        <row r="2813">
          <cell r="AQ2813" t="str">
            <v>15400638|96942400|920840612|920840612</v>
          </cell>
          <cell r="AR2813" t="str">
            <v>IMED SALUD</v>
          </cell>
        </row>
        <row r="2814">
          <cell r="AQ2814" t="str">
            <v>15400638|96942400|920840612|920840612</v>
          </cell>
          <cell r="AR2814" t="str">
            <v>IMED SALUD</v>
          </cell>
        </row>
        <row r="2815">
          <cell r="AQ2815" t="str">
            <v>15400638|96942400|920840612|920840612</v>
          </cell>
          <cell r="AR2815" t="str">
            <v>IMED SALUD</v>
          </cell>
        </row>
        <row r="2816">
          <cell r="AQ2816" t="str">
            <v>15400638|96942400|920840612|920840612</v>
          </cell>
          <cell r="AR2816" t="str">
            <v>IMED SALUD</v>
          </cell>
        </row>
        <row r="2817">
          <cell r="AQ2817" t="str">
            <v>15400638|96942400|920840612|920840612</v>
          </cell>
          <cell r="AR2817" t="str">
            <v>IMED SALUD</v>
          </cell>
        </row>
        <row r="2818">
          <cell r="AQ2818" t="str">
            <v>15400638|96942400|920840612|920840612</v>
          </cell>
          <cell r="AR2818" t="str">
            <v>IMED SALUD</v>
          </cell>
        </row>
        <row r="2819">
          <cell r="AQ2819" t="str">
            <v>15400638|96942400|920840612|920840612</v>
          </cell>
          <cell r="AR2819" t="str">
            <v>IMED SALUD</v>
          </cell>
        </row>
        <row r="2820">
          <cell r="AQ2820" t="str">
            <v>15400638|96942400|920840612|920840612</v>
          </cell>
          <cell r="AR2820" t="str">
            <v>IMED SALUD</v>
          </cell>
        </row>
        <row r="2821">
          <cell r="AQ2821" t="str">
            <v>15400638|96942400|920840612|65384279</v>
          </cell>
          <cell r="AR2821" t="str">
            <v>GASTO FISICO</v>
          </cell>
        </row>
        <row r="2822">
          <cell r="AQ2822" t="str">
            <v>15400638|96942400|920840612|65384279</v>
          </cell>
          <cell r="AR2822" t="str">
            <v>GASTO FISICO</v>
          </cell>
        </row>
        <row r="2823">
          <cell r="AQ2823" t="str">
            <v>15400638|96942400|920840612|65384279</v>
          </cell>
          <cell r="AR2823" t="str">
            <v>GASTO FISICO</v>
          </cell>
        </row>
        <row r="2824">
          <cell r="AQ2824" t="str">
            <v>15400638|96942400|920840612|65384279</v>
          </cell>
          <cell r="AR2824" t="str">
            <v>GASTO FISICO</v>
          </cell>
        </row>
        <row r="2825">
          <cell r="AQ2825" t="str">
            <v>15400638|96942400|920840612|65384279</v>
          </cell>
          <cell r="AR2825" t="str">
            <v>GASTO FISICO</v>
          </cell>
        </row>
        <row r="2826">
          <cell r="AQ2826" t="str">
            <v>15400638|96942400|920840613|920840613</v>
          </cell>
          <cell r="AR2826" t="str">
            <v>IMED SALUD</v>
          </cell>
        </row>
        <row r="2827">
          <cell r="AQ2827" t="str">
            <v>15400638|96942400|920840613|920840613</v>
          </cell>
          <cell r="AR2827" t="str">
            <v>IMED SALUD</v>
          </cell>
        </row>
        <row r="2828">
          <cell r="AQ2828" t="str">
            <v>15400638|96942400|920840613|920840613</v>
          </cell>
          <cell r="AR2828" t="str">
            <v>IMED SALUD</v>
          </cell>
        </row>
        <row r="2829">
          <cell r="AQ2829" t="str">
            <v>15400638|96942400|920840613|920840613</v>
          </cell>
          <cell r="AR2829" t="str">
            <v>IMED SALUD</v>
          </cell>
        </row>
        <row r="2830">
          <cell r="AQ2830" t="str">
            <v>15400638|96942400|920840613|920840613</v>
          </cell>
          <cell r="AR2830" t="str">
            <v>IMED SALUD</v>
          </cell>
        </row>
        <row r="2831">
          <cell r="AQ2831" t="str">
            <v>15400638|96942400|920840613|920840613</v>
          </cell>
          <cell r="AR2831" t="str">
            <v>IMED SALUD</v>
          </cell>
        </row>
        <row r="2832">
          <cell r="AQ2832" t="str">
            <v>15400638|96942400|920840613|920840613</v>
          </cell>
          <cell r="AR2832" t="str">
            <v>IMED SALUD</v>
          </cell>
        </row>
        <row r="2833">
          <cell r="AQ2833" t="str">
            <v>15400638|96942400|920840613|920840613</v>
          </cell>
          <cell r="AR2833" t="str">
            <v>IMED SALUD</v>
          </cell>
        </row>
        <row r="2834">
          <cell r="AQ2834" t="str">
            <v>15400638|96942400|920840613|65384280</v>
          </cell>
          <cell r="AR2834" t="str">
            <v>GASTO FISICO</v>
          </cell>
        </row>
        <row r="2835">
          <cell r="AQ2835" t="str">
            <v>15400638|96942400|920840613|65384280</v>
          </cell>
          <cell r="AR2835" t="str">
            <v>GASTO FISICO</v>
          </cell>
        </row>
        <row r="2836">
          <cell r="AQ2836" t="str">
            <v>15400638|96942400|920840613|65384280</v>
          </cell>
          <cell r="AR2836" t="str">
            <v>GASTO FISICO</v>
          </cell>
        </row>
        <row r="2837">
          <cell r="AQ2837" t="str">
            <v>15400638|96942400|920840613|65384280</v>
          </cell>
          <cell r="AR2837" t="str">
            <v>GASTO FISICO</v>
          </cell>
        </row>
        <row r="2838">
          <cell r="AQ2838" t="str">
            <v>15400638|96942400|920841344|920841344</v>
          </cell>
          <cell r="AR2838" t="str">
            <v>IMED SALUD</v>
          </cell>
        </row>
        <row r="2839">
          <cell r="AQ2839" t="str">
            <v>15400638|96942400|920841344|920841344</v>
          </cell>
          <cell r="AR2839" t="str">
            <v>IMED SALUD</v>
          </cell>
        </row>
        <row r="2840">
          <cell r="AQ2840" t="str">
            <v>15400638|96942400|920841344|65384281</v>
          </cell>
          <cell r="AR2840" t="str">
            <v>GASTO FISICO</v>
          </cell>
        </row>
        <row r="2841">
          <cell r="AQ2841" t="str">
            <v>15400638|96942400|920853257|920853257</v>
          </cell>
          <cell r="AR2841" t="str">
            <v>IMED SALUD</v>
          </cell>
        </row>
        <row r="2842">
          <cell r="AQ2842" t="str">
            <v>15400638|96942400|920853257|920853257</v>
          </cell>
          <cell r="AR2842" t="str">
            <v>IMED SALUD</v>
          </cell>
        </row>
        <row r="2843">
          <cell r="AQ2843" t="str">
            <v>15400638|96942400|920853257|65384282</v>
          </cell>
          <cell r="AR2843" t="str">
            <v>GASTO FISICO</v>
          </cell>
        </row>
        <row r="2844">
          <cell r="AQ2844" t="str">
            <v>15467680|92051000|920296774|920296774</v>
          </cell>
          <cell r="AR2844" t="str">
            <v>IMED SALUD</v>
          </cell>
        </row>
        <row r="2845">
          <cell r="AQ2845" t="str">
            <v>15467680|92051000|920296774|920296774</v>
          </cell>
          <cell r="AR2845" t="str">
            <v>IMED SALUD</v>
          </cell>
        </row>
        <row r="2846">
          <cell r="AQ2846" t="str">
            <v>15467680|92051000|920296774|920296774</v>
          </cell>
          <cell r="AR2846" t="str">
            <v>IMED SALUD</v>
          </cell>
        </row>
        <row r="2847">
          <cell r="AQ2847" t="str">
            <v>15467680|92051000|920296774|920296774</v>
          </cell>
          <cell r="AR2847" t="str">
            <v>IMED SALUD</v>
          </cell>
        </row>
        <row r="2848">
          <cell r="AQ2848" t="str">
            <v>15467680|92051000|920296774|65384283</v>
          </cell>
          <cell r="AR2848" t="str">
            <v>GASTO FISICO</v>
          </cell>
        </row>
        <row r="2849">
          <cell r="AQ2849" t="str">
            <v>15467680|92051000|920296774|65384283</v>
          </cell>
          <cell r="AR2849" t="str">
            <v>GASTO FISICO</v>
          </cell>
        </row>
        <row r="2850">
          <cell r="AQ2850" t="str">
            <v>15467680|92051000|921692056|921692056</v>
          </cell>
          <cell r="AR2850" t="str">
            <v>IMED SALUD</v>
          </cell>
        </row>
        <row r="2851">
          <cell r="AQ2851" t="str">
            <v>15467680|92051000|921692056|921692056</v>
          </cell>
          <cell r="AR2851" t="str">
            <v>IMED SALUD</v>
          </cell>
        </row>
        <row r="2852">
          <cell r="AQ2852" t="str">
            <v>15467680|92051000|921692056|65384284</v>
          </cell>
          <cell r="AR2852" t="str">
            <v>GASTO FISICO</v>
          </cell>
        </row>
        <row r="2853">
          <cell r="AQ2853" t="str">
            <v>15503930|96942400|9582203|21981366</v>
          </cell>
          <cell r="AR2853" t="str">
            <v>GASTO FISICO</v>
          </cell>
        </row>
        <row r="2854">
          <cell r="AQ2854" t="str">
            <v>15503930|96942400|9582203|21975636</v>
          </cell>
          <cell r="AR2854" t="str">
            <v>GASTO FISICO</v>
          </cell>
        </row>
        <row r="2855">
          <cell r="AQ2855" t="str">
            <v>15503930|96942400|9582203|982260</v>
          </cell>
          <cell r="AR2855" t="str">
            <v>GASTO FISICO</v>
          </cell>
        </row>
        <row r="2856">
          <cell r="AQ2856" t="str">
            <v>15503930|96942400|9582203|65213174</v>
          </cell>
          <cell r="AR2856" t="str">
            <v>GASTO FISICO</v>
          </cell>
        </row>
        <row r="2857">
          <cell r="AQ2857" t="str">
            <v>15503930|96942400|9582203|65213175</v>
          </cell>
          <cell r="AR2857" t="str">
            <v>GASTO FISICO</v>
          </cell>
        </row>
        <row r="2858">
          <cell r="AQ2858" t="str">
            <v>15506883|76110886|95697388|95697388</v>
          </cell>
          <cell r="AR2858" t="str">
            <v>IMED SALUD</v>
          </cell>
        </row>
        <row r="2859">
          <cell r="AQ2859" t="str">
            <v>15506883|76110886|95697388|95697388</v>
          </cell>
          <cell r="AR2859" t="str">
            <v>IMED SALUD</v>
          </cell>
        </row>
        <row r="2860">
          <cell r="AQ2860" t="str">
            <v>15506883|76110886|95697388|65384289</v>
          </cell>
          <cell r="AR2860" t="str">
            <v>GASTO FISICO</v>
          </cell>
        </row>
        <row r="2861">
          <cell r="AQ2861" t="str">
            <v>15510748|89807200|1535985481|21997758</v>
          </cell>
          <cell r="AR2861" t="str">
            <v>GASTO FISICO</v>
          </cell>
        </row>
        <row r="2862">
          <cell r="AQ2862" t="str">
            <v>15510748|89807200|1535985481|984403</v>
          </cell>
          <cell r="AR2862" t="str">
            <v>GASTO FISICO</v>
          </cell>
        </row>
        <row r="2863">
          <cell r="AQ2863" t="str">
            <v>15510748|89807200|1535985481|65213178</v>
          </cell>
          <cell r="AR2863" t="str">
            <v>GASTO FISICO</v>
          </cell>
        </row>
        <row r="2864">
          <cell r="AQ2864" t="str">
            <v>15510748|96530470|371198062|371198062</v>
          </cell>
          <cell r="AR2864" t="str">
            <v>IMED SALUD</v>
          </cell>
        </row>
        <row r="2865">
          <cell r="AQ2865" t="str">
            <v>15510748|96530470|371198062|371198062</v>
          </cell>
          <cell r="AR2865" t="str">
            <v>IMED SALUD</v>
          </cell>
        </row>
        <row r="2866">
          <cell r="AQ2866" t="str">
            <v>15510748|96530470|371198062|371198062</v>
          </cell>
          <cell r="AR2866" t="str">
            <v>IMED SALUD</v>
          </cell>
        </row>
        <row r="2867">
          <cell r="AQ2867" t="str">
            <v>15510748|96530470|371198062|371198062</v>
          </cell>
          <cell r="AR2867" t="str">
            <v>IMED SALUD</v>
          </cell>
        </row>
        <row r="2868">
          <cell r="AQ2868" t="str">
            <v>15510748|96530470|371198062|371198062</v>
          </cell>
          <cell r="AR2868" t="str">
            <v>IMED SALUD</v>
          </cell>
        </row>
        <row r="2869">
          <cell r="AQ2869" t="str">
            <v>15510748|96530470|371198062|371198062</v>
          </cell>
          <cell r="AR2869" t="str">
            <v>IMED SALUD</v>
          </cell>
        </row>
        <row r="2870">
          <cell r="AQ2870" t="str">
            <v>15510748|96530470|371198062|371198062</v>
          </cell>
          <cell r="AR2870" t="str">
            <v>IMED SALUD</v>
          </cell>
        </row>
        <row r="2871">
          <cell r="AQ2871" t="str">
            <v>15510748|96530470|371198062|371198062</v>
          </cell>
          <cell r="AR2871" t="str">
            <v>IMED SALUD</v>
          </cell>
        </row>
        <row r="2872">
          <cell r="AQ2872" t="str">
            <v>15510748|96530470|371198062|65384298</v>
          </cell>
          <cell r="AR2872" t="str">
            <v>GASTO FISICO</v>
          </cell>
        </row>
        <row r="2873">
          <cell r="AQ2873" t="str">
            <v>15510748|96530470|371198062|65384298</v>
          </cell>
          <cell r="AR2873" t="str">
            <v>GASTO FISICO</v>
          </cell>
        </row>
        <row r="2874">
          <cell r="AQ2874" t="str">
            <v>15510748|96530470|371198062|65384298</v>
          </cell>
          <cell r="AR2874" t="str">
            <v>GASTO FISICO</v>
          </cell>
        </row>
        <row r="2875">
          <cell r="AQ2875" t="str">
            <v>15510748|96530470|371198062|65384298</v>
          </cell>
          <cell r="AR2875" t="str">
            <v>GASTO FISICO</v>
          </cell>
        </row>
        <row r="2876">
          <cell r="AQ2876" t="str">
            <v>15510748|79980070|371260185|371260185</v>
          </cell>
          <cell r="AR2876" t="str">
            <v>IMED SALUD</v>
          </cell>
        </row>
        <row r="2877">
          <cell r="AQ2877" t="str">
            <v>15510748|79980070|371260185|371260185</v>
          </cell>
          <cell r="AR2877" t="str">
            <v>IMED SALUD</v>
          </cell>
        </row>
        <row r="2878">
          <cell r="AQ2878" t="str">
            <v>15510748|79980070|371260185|65384299</v>
          </cell>
          <cell r="AR2878" t="str">
            <v>GASTO FISICO</v>
          </cell>
        </row>
        <row r="2879">
          <cell r="AQ2879" t="str">
            <v>15510748|96986050|371395787|371395787</v>
          </cell>
          <cell r="AR2879" t="str">
            <v>IMED SALUD</v>
          </cell>
        </row>
        <row r="2880">
          <cell r="AQ2880" t="str">
            <v>15510748|96986050|371395787|371395787</v>
          </cell>
          <cell r="AR2880" t="str">
            <v>IMED SALUD</v>
          </cell>
        </row>
        <row r="2881">
          <cell r="AQ2881" t="str">
            <v>15510748|96986050|371395787|371395787</v>
          </cell>
          <cell r="AR2881" t="str">
            <v>IMED SALUD</v>
          </cell>
        </row>
        <row r="2882">
          <cell r="AQ2882" t="str">
            <v>15510748|96986050|371395787|371395787</v>
          </cell>
          <cell r="AR2882" t="str">
            <v>IMED SALUD</v>
          </cell>
        </row>
        <row r="2883">
          <cell r="AQ2883" t="str">
            <v>15510748|96986050|371395787|371395787</v>
          </cell>
          <cell r="AR2883" t="str">
            <v>IMED SALUD</v>
          </cell>
        </row>
        <row r="2884">
          <cell r="AQ2884" t="str">
            <v>15510748|96986050|371395787|371395787</v>
          </cell>
          <cell r="AR2884" t="str">
            <v>IMED SALUD</v>
          </cell>
        </row>
        <row r="2885">
          <cell r="AQ2885" t="str">
            <v>15510748|96986050|371395787|371395787</v>
          </cell>
          <cell r="AR2885" t="str">
            <v>IMED SALUD</v>
          </cell>
        </row>
        <row r="2886">
          <cell r="AQ2886" t="str">
            <v>15510748|96986050|371395787|371395787</v>
          </cell>
          <cell r="AR2886" t="str">
            <v>IMED SALUD</v>
          </cell>
        </row>
        <row r="2887">
          <cell r="AQ2887" t="str">
            <v>15510748|96986050|371395787|371395787</v>
          </cell>
          <cell r="AR2887" t="str">
            <v>IMED SALUD</v>
          </cell>
        </row>
        <row r="2888">
          <cell r="AQ2888" t="str">
            <v>15510748|96986050|371395787|371395787</v>
          </cell>
          <cell r="AR2888" t="str">
            <v>IMED SALUD</v>
          </cell>
        </row>
        <row r="2889">
          <cell r="AQ2889" t="str">
            <v>15510748|96986050|371395787|65384290</v>
          </cell>
          <cell r="AR2889" t="str">
            <v>GASTO FISICO</v>
          </cell>
        </row>
        <row r="2890">
          <cell r="AQ2890" t="str">
            <v>15510748|96986050|371395787|65384290</v>
          </cell>
          <cell r="AR2890" t="str">
            <v>GASTO FISICO</v>
          </cell>
        </row>
        <row r="2891">
          <cell r="AQ2891" t="str">
            <v>15510748|96986050|371395787|65384290</v>
          </cell>
          <cell r="AR2891" t="str">
            <v>GASTO FISICO</v>
          </cell>
        </row>
        <row r="2892">
          <cell r="AQ2892" t="str">
            <v>15510748|96986050|371395787|65384290</v>
          </cell>
          <cell r="AR2892" t="str">
            <v>GASTO FISICO</v>
          </cell>
        </row>
        <row r="2893">
          <cell r="AQ2893" t="str">
            <v>15510748|96986050|371395788|371395788</v>
          </cell>
          <cell r="AR2893" t="str">
            <v>IMED SALUD</v>
          </cell>
        </row>
        <row r="2894">
          <cell r="AQ2894" t="str">
            <v>15510748|96986050|371395788|371395788</v>
          </cell>
          <cell r="AR2894" t="str">
            <v>IMED SALUD</v>
          </cell>
        </row>
        <row r="2895">
          <cell r="AQ2895" t="str">
            <v>15510748|96986050|371395788|371395788</v>
          </cell>
          <cell r="AR2895" t="str">
            <v>IMED SALUD</v>
          </cell>
        </row>
        <row r="2896">
          <cell r="AQ2896" t="str">
            <v>15510748|96986050|371395788|371395788</v>
          </cell>
          <cell r="AR2896" t="str">
            <v>IMED SALUD</v>
          </cell>
        </row>
        <row r="2897">
          <cell r="AQ2897" t="str">
            <v>15510748|96986050|371395788|371395788</v>
          </cell>
          <cell r="AR2897" t="str">
            <v>IMED SALUD</v>
          </cell>
        </row>
        <row r="2898">
          <cell r="AQ2898" t="str">
            <v>15510748|96986050|371395788|371395788</v>
          </cell>
          <cell r="AR2898" t="str">
            <v>IMED SALUD</v>
          </cell>
        </row>
        <row r="2899">
          <cell r="AQ2899" t="str">
            <v>15510748|96986050|371395788|371395788</v>
          </cell>
          <cell r="AR2899" t="str">
            <v>IMED SALUD</v>
          </cell>
        </row>
        <row r="2900">
          <cell r="AQ2900" t="str">
            <v>15510748|96986050|371395788|371395788</v>
          </cell>
          <cell r="AR2900" t="str">
            <v>IMED SALUD</v>
          </cell>
        </row>
        <row r="2901">
          <cell r="AQ2901" t="str">
            <v>15510748|96986050|371395788|371395788</v>
          </cell>
          <cell r="AR2901" t="str">
            <v>IMED SALUD</v>
          </cell>
        </row>
        <row r="2902">
          <cell r="AQ2902" t="str">
            <v>15510748|96986050|371395788|371395788</v>
          </cell>
          <cell r="AR2902" t="str">
            <v>IMED SALUD</v>
          </cell>
        </row>
        <row r="2903">
          <cell r="AQ2903" t="str">
            <v>15510748|96986050|371395788|65384291</v>
          </cell>
          <cell r="AR2903" t="str">
            <v>GASTO FISICO</v>
          </cell>
        </row>
        <row r="2904">
          <cell r="AQ2904" t="str">
            <v>15510748|96986050|371395788|65384291</v>
          </cell>
          <cell r="AR2904" t="str">
            <v>GASTO FISICO</v>
          </cell>
        </row>
        <row r="2905">
          <cell r="AQ2905" t="str">
            <v>15510748|96986050|371395788|65384291</v>
          </cell>
          <cell r="AR2905" t="str">
            <v>GASTO FISICO</v>
          </cell>
        </row>
        <row r="2906">
          <cell r="AQ2906" t="str">
            <v>15510748|96986050|371395788|65384291</v>
          </cell>
          <cell r="AR2906" t="str">
            <v>GASTO FISICO</v>
          </cell>
        </row>
        <row r="2907">
          <cell r="AQ2907" t="str">
            <v>15510748|96986050|371395788|65384291</v>
          </cell>
          <cell r="AR2907" t="str">
            <v>GASTO FISICO</v>
          </cell>
        </row>
        <row r="2908">
          <cell r="AQ2908" t="str">
            <v>15510748|96986050|371395789|371395789</v>
          </cell>
          <cell r="AR2908" t="str">
            <v>IMED SALUD</v>
          </cell>
        </row>
        <row r="2909">
          <cell r="AQ2909" t="str">
            <v>15510748|96986050|371395789|371395789</v>
          </cell>
          <cell r="AR2909" t="str">
            <v>IMED SALUD</v>
          </cell>
        </row>
        <row r="2910">
          <cell r="AQ2910" t="str">
            <v>15510748|96986050|371395789|371395789</v>
          </cell>
          <cell r="AR2910" t="str">
            <v>IMED SALUD</v>
          </cell>
        </row>
        <row r="2911">
          <cell r="AQ2911" t="str">
            <v>15510748|96986050|371395789|371395789</v>
          </cell>
          <cell r="AR2911" t="str">
            <v>IMED SALUD</v>
          </cell>
        </row>
        <row r="2912">
          <cell r="AQ2912" t="str">
            <v>15510748|96986050|371395789|371395789</v>
          </cell>
          <cell r="AR2912" t="str">
            <v>IMED SALUD</v>
          </cell>
        </row>
        <row r="2913">
          <cell r="AQ2913" t="str">
            <v>15510748|96986050|371395789|371395789</v>
          </cell>
          <cell r="AR2913" t="str">
            <v>IMED SALUD</v>
          </cell>
        </row>
        <row r="2914">
          <cell r="AQ2914" t="str">
            <v>15510748|96986050|371395789|371395789</v>
          </cell>
          <cell r="AR2914" t="str">
            <v>IMED SALUD</v>
          </cell>
        </row>
        <row r="2915">
          <cell r="AQ2915" t="str">
            <v>15510748|96986050|371395789|371395789</v>
          </cell>
          <cell r="AR2915" t="str">
            <v>IMED SALUD</v>
          </cell>
        </row>
        <row r="2916">
          <cell r="AQ2916" t="str">
            <v>15510748|96986050|371395789|371395789</v>
          </cell>
          <cell r="AR2916" t="str">
            <v>IMED SALUD</v>
          </cell>
        </row>
        <row r="2917">
          <cell r="AQ2917" t="str">
            <v>15510748|96986050|371395789|371395789</v>
          </cell>
          <cell r="AR2917" t="str">
            <v>IMED SALUD</v>
          </cell>
        </row>
        <row r="2918">
          <cell r="AQ2918" t="str">
            <v>15510748|96986050|371395789|65384292</v>
          </cell>
          <cell r="AR2918" t="str">
            <v>GASTO FISICO</v>
          </cell>
        </row>
        <row r="2919">
          <cell r="AQ2919" t="str">
            <v>15510748|96986050|371395789|65384292</v>
          </cell>
          <cell r="AR2919" t="str">
            <v>GASTO FISICO</v>
          </cell>
        </row>
        <row r="2920">
          <cell r="AQ2920" t="str">
            <v>15510748|96986050|371395789|65384292</v>
          </cell>
          <cell r="AR2920" t="str">
            <v>GASTO FISICO</v>
          </cell>
        </row>
        <row r="2921">
          <cell r="AQ2921" t="str">
            <v>15510748|96986050|371395789|65384292</v>
          </cell>
          <cell r="AR2921" t="str">
            <v>GASTO FISICO</v>
          </cell>
        </row>
        <row r="2922">
          <cell r="AQ2922" t="str">
            <v>15510748|96986050|371395789|65384292</v>
          </cell>
          <cell r="AR2922" t="str">
            <v>GASTO FISICO</v>
          </cell>
        </row>
        <row r="2923">
          <cell r="AQ2923" t="str">
            <v>15510748|96986050|371395790|371395790</v>
          </cell>
          <cell r="AR2923" t="str">
            <v>IMED SALUD</v>
          </cell>
        </row>
        <row r="2924">
          <cell r="AQ2924" t="str">
            <v>15510748|96986050|371395790|371395790</v>
          </cell>
          <cell r="AR2924" t="str">
            <v>IMED SALUD</v>
          </cell>
        </row>
        <row r="2925">
          <cell r="AQ2925" t="str">
            <v>15510748|96986050|371395790|371395790</v>
          </cell>
          <cell r="AR2925" t="str">
            <v>IMED SALUD</v>
          </cell>
        </row>
        <row r="2926">
          <cell r="AQ2926" t="str">
            <v>15510748|96986050|371395790|371395790</v>
          </cell>
          <cell r="AR2926" t="str">
            <v>IMED SALUD</v>
          </cell>
        </row>
        <row r="2927">
          <cell r="AQ2927" t="str">
            <v>15510748|96986050|371395790|65384293</v>
          </cell>
          <cell r="AR2927" t="str">
            <v>GASTO FISICO</v>
          </cell>
        </row>
        <row r="2928">
          <cell r="AQ2928" t="str">
            <v>15510748|96986050|371395790|65384293</v>
          </cell>
          <cell r="AR2928" t="str">
            <v>GASTO FISICO</v>
          </cell>
        </row>
        <row r="2929">
          <cell r="AQ2929" t="str">
            <v>15510748|76098454|371403225|371403225</v>
          </cell>
          <cell r="AR2929" t="str">
            <v>IMED SALUD</v>
          </cell>
        </row>
        <row r="2930">
          <cell r="AQ2930" t="str">
            <v>15510748|76098454|371403225|371403225</v>
          </cell>
          <cell r="AR2930" t="str">
            <v>IMED SALUD</v>
          </cell>
        </row>
        <row r="2931">
          <cell r="AQ2931" t="str">
            <v>15510748|76098454|371403225|65384294</v>
          </cell>
          <cell r="AR2931" t="str">
            <v>GASTO FISICO</v>
          </cell>
        </row>
        <row r="2932">
          <cell r="AQ2932" t="str">
            <v>15510748|76098454|371548026|371548026</v>
          </cell>
          <cell r="AR2932" t="str">
            <v>IMED SALUD</v>
          </cell>
        </row>
        <row r="2933">
          <cell r="AQ2933" t="str">
            <v>15510748|76098454|371548026|371548026</v>
          </cell>
          <cell r="AR2933" t="str">
            <v>IMED SALUD</v>
          </cell>
        </row>
        <row r="2934">
          <cell r="AQ2934" t="str">
            <v>15510748|76098454|371548026|65384295</v>
          </cell>
          <cell r="AR2934" t="str">
            <v>GASTO FISICO</v>
          </cell>
        </row>
        <row r="2935">
          <cell r="AQ2935" t="str">
            <v>15510748|76098454|371641962|371641962</v>
          </cell>
          <cell r="AR2935" t="str">
            <v>IMED SALUD</v>
          </cell>
        </row>
        <row r="2936">
          <cell r="AQ2936" t="str">
            <v>15510748|76098454|371641962|371641962</v>
          </cell>
          <cell r="AR2936" t="str">
            <v>IMED SALUD</v>
          </cell>
        </row>
        <row r="2937">
          <cell r="AQ2937" t="str">
            <v>15510748|76098454|371641962|65384296</v>
          </cell>
          <cell r="AR2937" t="str">
            <v>GASTO FISICO</v>
          </cell>
        </row>
        <row r="2938">
          <cell r="AQ2938" t="str">
            <v>15510748|76098454|371641988|371641988</v>
          </cell>
          <cell r="AR2938" t="str">
            <v>IMED SALUD</v>
          </cell>
        </row>
        <row r="2939">
          <cell r="AQ2939" t="str">
            <v>15510748|76098454|371641988|371641988</v>
          </cell>
          <cell r="AR2939" t="str">
            <v>IMED SALUD</v>
          </cell>
        </row>
        <row r="2940">
          <cell r="AQ2940" t="str">
            <v>15510748|76098454|371641988|65384297</v>
          </cell>
          <cell r="AR2940" t="str">
            <v>GASTO FISICO</v>
          </cell>
        </row>
        <row r="2941">
          <cell r="AQ2941" t="str">
            <v>15510748|76031071|644990610|21960341</v>
          </cell>
          <cell r="AR2941" t="str">
            <v>GASTO FISICO</v>
          </cell>
        </row>
        <row r="2942">
          <cell r="AQ2942" t="str">
            <v>15510748|76031071|644990610|21960341</v>
          </cell>
          <cell r="AR2942" t="str">
            <v>GASTO FISICO</v>
          </cell>
        </row>
        <row r="2943">
          <cell r="AQ2943" t="str">
            <v>15510748|76031071|644990610|21960341</v>
          </cell>
          <cell r="AR2943" t="str">
            <v>GASTO FISICO</v>
          </cell>
        </row>
        <row r="2944">
          <cell r="AQ2944" t="str">
            <v>15510748|76031071|644990610|21991359</v>
          </cell>
          <cell r="AR2944" t="str">
            <v>GASTO FISICO</v>
          </cell>
        </row>
        <row r="2945">
          <cell r="AQ2945" t="str">
            <v>15510748|76031071|644990610|21991359</v>
          </cell>
          <cell r="AR2945" t="str">
            <v>GASTO FISICO</v>
          </cell>
        </row>
        <row r="2946">
          <cell r="AQ2946" t="str">
            <v>15510748|76031071|644990610|980996</v>
          </cell>
          <cell r="AR2946" t="str">
            <v>GASTO FISICO</v>
          </cell>
        </row>
        <row r="2947">
          <cell r="AQ2947" t="str">
            <v>15510748|76031071|644990610|980996</v>
          </cell>
          <cell r="AR2947" t="str">
            <v>GASTO FISICO</v>
          </cell>
        </row>
        <row r="2948">
          <cell r="AQ2948" t="str">
            <v>15510748|76031071|644990610|993289</v>
          </cell>
          <cell r="AR2948" t="str">
            <v>GASTO FISICO</v>
          </cell>
        </row>
        <row r="2949">
          <cell r="AQ2949" t="str">
            <v>15510748|76031071|644990610|993289</v>
          </cell>
          <cell r="AR2949" t="str">
            <v>GASTO FISICO</v>
          </cell>
        </row>
        <row r="2950">
          <cell r="AQ2950" t="str">
            <v>15510748|76031071|644990610|65213177</v>
          </cell>
          <cell r="AR2950" t="str">
            <v>GASTO FISICO</v>
          </cell>
        </row>
        <row r="2951">
          <cell r="AQ2951" t="str">
            <v>15510748|76031071|644990610|65213177</v>
          </cell>
          <cell r="AR2951" t="str">
            <v>GASTO FISICO</v>
          </cell>
        </row>
        <row r="2952">
          <cell r="AQ2952" t="str">
            <v>15510748|76031071|644990610|65213177</v>
          </cell>
          <cell r="AR2952" t="str">
            <v>GASTO FISICO</v>
          </cell>
        </row>
        <row r="2953">
          <cell r="AQ2953" t="str">
            <v>15535730|76098454|929877482|929877482</v>
          </cell>
          <cell r="AR2953" t="str">
            <v>IMED SALUD</v>
          </cell>
        </row>
        <row r="2954">
          <cell r="AQ2954" t="str">
            <v>15535730|76098454|929877482|929877482</v>
          </cell>
          <cell r="AR2954" t="str">
            <v>IMED SALUD</v>
          </cell>
        </row>
        <row r="2955">
          <cell r="AQ2955" t="str">
            <v>15535730|76098454|929877482|65384302</v>
          </cell>
          <cell r="AR2955" t="str">
            <v>GASTO FISICO</v>
          </cell>
        </row>
        <row r="2956">
          <cell r="AQ2956" t="str">
            <v>15535730|76098454|929908323|929908323</v>
          </cell>
          <cell r="AR2956" t="str">
            <v>IMED SALUD</v>
          </cell>
        </row>
        <row r="2957">
          <cell r="AQ2957" t="str">
            <v>15535730|76098454|929908323|929908323</v>
          </cell>
          <cell r="AR2957" t="str">
            <v>IMED SALUD</v>
          </cell>
        </row>
        <row r="2958">
          <cell r="AQ2958" t="str">
            <v>15535730|76098454|929908323|65384303</v>
          </cell>
          <cell r="AR2958" t="str">
            <v>GASTO FISICO</v>
          </cell>
        </row>
        <row r="2959">
          <cell r="AQ2959" t="str">
            <v>15535730|76098454|929919604|929919604</v>
          </cell>
          <cell r="AR2959" t="str">
            <v>IMED SALUD</v>
          </cell>
        </row>
        <row r="2960">
          <cell r="AQ2960" t="str">
            <v>15535730|76098454|929919604|929919604</v>
          </cell>
          <cell r="AR2960" t="str">
            <v>IMED SALUD</v>
          </cell>
        </row>
        <row r="2961">
          <cell r="AQ2961" t="str">
            <v>15535730|76098454|929919604|65384304</v>
          </cell>
          <cell r="AR2961" t="str">
            <v>GASTO FISICO</v>
          </cell>
        </row>
        <row r="2962">
          <cell r="AQ2962" t="str">
            <v>15535730|76098454|929919616|929919616</v>
          </cell>
          <cell r="AR2962" t="str">
            <v>IMED SALUD</v>
          </cell>
        </row>
        <row r="2963">
          <cell r="AQ2963" t="str">
            <v>15535730|76098454|929919616|929919616</v>
          </cell>
          <cell r="AR2963" t="str">
            <v>IMED SALUD</v>
          </cell>
        </row>
        <row r="2964">
          <cell r="AQ2964" t="str">
            <v>15535730|76098454|929919616|65384305</v>
          </cell>
          <cell r="AR2964" t="str">
            <v>GASTO FISICO</v>
          </cell>
        </row>
        <row r="2965">
          <cell r="AQ2965" t="str">
            <v>15537243|96942400|371577111|371577111</v>
          </cell>
          <cell r="AR2965" t="str">
            <v>IMED SALUD</v>
          </cell>
        </row>
        <row r="2966">
          <cell r="AQ2966" t="str">
            <v>15537243|96942400|371577111|371577111</v>
          </cell>
          <cell r="AR2966" t="str">
            <v>IMED SALUD</v>
          </cell>
        </row>
        <row r="2967">
          <cell r="AQ2967" t="str">
            <v>15537243|96942400|371577111|371577111</v>
          </cell>
          <cell r="AR2967" t="str">
            <v>IMED SALUD</v>
          </cell>
        </row>
        <row r="2968">
          <cell r="AQ2968" t="str">
            <v>15537243|96942400|371577111|371577111</v>
          </cell>
          <cell r="AR2968" t="str">
            <v>IMED SALUD</v>
          </cell>
        </row>
        <row r="2969">
          <cell r="AQ2969" t="str">
            <v>15537243|96942400|371577111|371577111</v>
          </cell>
          <cell r="AR2969" t="str">
            <v>IMED SALUD</v>
          </cell>
        </row>
        <row r="2970">
          <cell r="AQ2970" t="str">
            <v>15537243|96942400|371577111|371577111</v>
          </cell>
          <cell r="AR2970" t="str">
            <v>IMED SALUD</v>
          </cell>
        </row>
        <row r="2971">
          <cell r="AQ2971" t="str">
            <v>15537243|96942400|371577111|371577111</v>
          </cell>
          <cell r="AR2971" t="str">
            <v>IMED SALUD</v>
          </cell>
        </row>
        <row r="2972">
          <cell r="AQ2972" t="str">
            <v>15537243|96942400|371577111|371577111</v>
          </cell>
          <cell r="AR2972" t="str">
            <v>IMED SALUD</v>
          </cell>
        </row>
        <row r="2973">
          <cell r="AQ2973" t="str">
            <v>15537243|96942400|371577111|371577111</v>
          </cell>
          <cell r="AR2973" t="str">
            <v>IMED SALUD</v>
          </cell>
        </row>
        <row r="2974">
          <cell r="AQ2974" t="str">
            <v>15537243|96942400|371577111|371577111</v>
          </cell>
          <cell r="AR2974" t="str">
            <v>IMED SALUD</v>
          </cell>
        </row>
        <row r="2975">
          <cell r="AQ2975" t="str">
            <v>15537243|96942400|371577111|65384306</v>
          </cell>
          <cell r="AR2975" t="str">
            <v>GASTO FISICO</v>
          </cell>
        </row>
        <row r="2976">
          <cell r="AQ2976" t="str">
            <v>15537243|96942400|371577111|65384306</v>
          </cell>
          <cell r="AR2976" t="str">
            <v>GASTO FISICO</v>
          </cell>
        </row>
        <row r="2977">
          <cell r="AQ2977" t="str">
            <v>15537243|96942400|371577111|65384306</v>
          </cell>
          <cell r="AR2977" t="str">
            <v>GASTO FISICO</v>
          </cell>
        </row>
        <row r="2978">
          <cell r="AQ2978" t="str">
            <v>15537243|96942400|371577111|65384306</v>
          </cell>
          <cell r="AR2978" t="str">
            <v>GASTO FISICO</v>
          </cell>
        </row>
        <row r="2979">
          <cell r="AQ2979" t="str">
            <v>15537243|96942400|371577111|65384306</v>
          </cell>
          <cell r="AR2979" t="str">
            <v>GASTO FISICO</v>
          </cell>
        </row>
        <row r="2980">
          <cell r="AQ2980" t="str">
            <v>15537243|96942400|371577112|371577112</v>
          </cell>
          <cell r="AR2980" t="str">
            <v>IMED SALUD</v>
          </cell>
        </row>
        <row r="2981">
          <cell r="AQ2981" t="str">
            <v>15537243|96942400|371577112|371577112</v>
          </cell>
          <cell r="AR2981" t="str">
            <v>IMED SALUD</v>
          </cell>
        </row>
        <row r="2982">
          <cell r="AQ2982" t="str">
            <v>15537243|96942400|371577112|371577112</v>
          </cell>
          <cell r="AR2982" t="str">
            <v>IMED SALUD</v>
          </cell>
        </row>
        <row r="2983">
          <cell r="AQ2983" t="str">
            <v>15537243|96942400|371577112|371577112</v>
          </cell>
          <cell r="AR2983" t="str">
            <v>IMED SALUD</v>
          </cell>
        </row>
        <row r="2984">
          <cell r="AQ2984" t="str">
            <v>15537243|96942400|371577112|371577112</v>
          </cell>
          <cell r="AR2984" t="str">
            <v>IMED SALUD</v>
          </cell>
        </row>
        <row r="2985">
          <cell r="AQ2985" t="str">
            <v>15537243|96942400|371577112|371577112</v>
          </cell>
          <cell r="AR2985" t="str">
            <v>IMED SALUD</v>
          </cell>
        </row>
        <row r="2986">
          <cell r="AQ2986" t="str">
            <v>15537243|96942400|371577112|371577112</v>
          </cell>
          <cell r="AR2986" t="str">
            <v>IMED SALUD</v>
          </cell>
        </row>
        <row r="2987">
          <cell r="AQ2987" t="str">
            <v>15537243|96942400|371577112|371577112</v>
          </cell>
          <cell r="AR2987" t="str">
            <v>IMED SALUD</v>
          </cell>
        </row>
        <row r="2988">
          <cell r="AQ2988" t="str">
            <v>15537243|96942400|371577112|371577112</v>
          </cell>
          <cell r="AR2988" t="str">
            <v>IMED SALUD</v>
          </cell>
        </row>
        <row r="2989">
          <cell r="AQ2989" t="str">
            <v>15537243|96942400|371577112|371577112</v>
          </cell>
          <cell r="AR2989" t="str">
            <v>IMED SALUD</v>
          </cell>
        </row>
        <row r="2990">
          <cell r="AQ2990" t="str">
            <v>15537243|96942400|371577112|65384307</v>
          </cell>
          <cell r="AR2990" t="str">
            <v>GASTO FISICO</v>
          </cell>
        </row>
        <row r="2991">
          <cell r="AQ2991" t="str">
            <v>15537243|96942400|371577112|65384307</v>
          </cell>
          <cell r="AR2991" t="str">
            <v>GASTO FISICO</v>
          </cell>
        </row>
        <row r="2992">
          <cell r="AQ2992" t="str">
            <v>15537243|96942400|371577112|65384307</v>
          </cell>
          <cell r="AR2992" t="str">
            <v>GASTO FISICO</v>
          </cell>
        </row>
        <row r="2993">
          <cell r="AQ2993" t="str">
            <v>15537243|96942400|371577112|65384307</v>
          </cell>
          <cell r="AR2993" t="str">
            <v>GASTO FISICO</v>
          </cell>
        </row>
        <row r="2994">
          <cell r="AQ2994" t="str">
            <v>15537243|96942400|371577112|65384307</v>
          </cell>
          <cell r="AR2994" t="str">
            <v>GASTO FISICO</v>
          </cell>
        </row>
        <row r="2995">
          <cell r="AQ2995" t="str">
            <v>15537243|96942400|371577113|371577113</v>
          </cell>
          <cell r="AR2995" t="str">
            <v>IMED SALUD</v>
          </cell>
        </row>
        <row r="2996">
          <cell r="AQ2996" t="str">
            <v>15537243|96942400|371577113|371577113</v>
          </cell>
          <cell r="AR2996" t="str">
            <v>IMED SALUD</v>
          </cell>
        </row>
        <row r="2997">
          <cell r="AQ2997" t="str">
            <v>15537243|96942400|371577113|371577113</v>
          </cell>
          <cell r="AR2997" t="str">
            <v>IMED SALUD</v>
          </cell>
        </row>
        <row r="2998">
          <cell r="AQ2998" t="str">
            <v>15537243|96942400|371577113|371577113</v>
          </cell>
          <cell r="AR2998" t="str">
            <v>IMED SALUD</v>
          </cell>
        </row>
        <row r="2999">
          <cell r="AQ2999" t="str">
            <v>15537243|96942400|371577113|371577113</v>
          </cell>
          <cell r="AR2999" t="str">
            <v>IMED SALUD</v>
          </cell>
        </row>
        <row r="3000">
          <cell r="AQ3000" t="str">
            <v>15537243|96942400|371577113|371577113</v>
          </cell>
          <cell r="AR3000" t="str">
            <v>IMED SALUD</v>
          </cell>
        </row>
        <row r="3001">
          <cell r="AQ3001" t="str">
            <v>15537243|96942400|371577113|371577113</v>
          </cell>
          <cell r="AR3001" t="str">
            <v>IMED SALUD</v>
          </cell>
        </row>
        <row r="3002">
          <cell r="AQ3002" t="str">
            <v>15537243|96942400|371577113|371577113</v>
          </cell>
          <cell r="AR3002" t="str">
            <v>IMED SALUD</v>
          </cell>
        </row>
        <row r="3003">
          <cell r="AQ3003" t="str">
            <v>15537243|96942400|371577113|65384308</v>
          </cell>
          <cell r="AR3003" t="str">
            <v>GASTO FISICO</v>
          </cell>
        </row>
        <row r="3004">
          <cell r="AQ3004" t="str">
            <v>15537243|96942400|371577113|65384308</v>
          </cell>
          <cell r="AR3004" t="str">
            <v>GASTO FISICO</v>
          </cell>
        </row>
        <row r="3005">
          <cell r="AQ3005" t="str">
            <v>15537243|96942400|371577113|65384308</v>
          </cell>
          <cell r="AR3005" t="str">
            <v>GASTO FISICO</v>
          </cell>
        </row>
        <row r="3006">
          <cell r="AQ3006" t="str">
            <v>15537243|96942400|371577113|65384308</v>
          </cell>
          <cell r="AR3006" t="str">
            <v>GASTO FISICO</v>
          </cell>
        </row>
        <row r="3007">
          <cell r="AQ3007" t="str">
            <v>15537243|96942400|371577222|371577222</v>
          </cell>
          <cell r="AR3007" t="str">
            <v>IMED SALUD</v>
          </cell>
        </row>
        <row r="3008">
          <cell r="AQ3008" t="str">
            <v>15537243|96942400|371577222|371577222</v>
          </cell>
          <cell r="AR3008" t="str">
            <v>IMED SALUD</v>
          </cell>
        </row>
        <row r="3009">
          <cell r="AQ3009" t="str">
            <v>15537243|96942400|371577222|371577222</v>
          </cell>
          <cell r="AR3009" t="str">
            <v>IMED SALUD</v>
          </cell>
        </row>
        <row r="3010">
          <cell r="AQ3010" t="str">
            <v>15537243|96942400|371577222|371577222</v>
          </cell>
          <cell r="AR3010" t="str">
            <v>IMED SALUD</v>
          </cell>
        </row>
        <row r="3011">
          <cell r="AQ3011" t="str">
            <v>15537243|96942400|371577222|65384309</v>
          </cell>
          <cell r="AR3011" t="str">
            <v>GASTO FISICO</v>
          </cell>
        </row>
        <row r="3012">
          <cell r="AQ3012" t="str">
            <v>15537243|96942400|371577222|65384309</v>
          </cell>
          <cell r="AR3012" t="str">
            <v>GASTO FISICO</v>
          </cell>
        </row>
        <row r="3013">
          <cell r="AQ3013" t="str">
            <v>15537243|96942400|371577523|371577523</v>
          </cell>
          <cell r="AR3013" t="str">
            <v>IMED SALUD</v>
          </cell>
        </row>
        <row r="3014">
          <cell r="AQ3014" t="str">
            <v>15537243|96942400|371577523|371577523</v>
          </cell>
          <cell r="AR3014" t="str">
            <v>IMED SALUD</v>
          </cell>
        </row>
        <row r="3015">
          <cell r="AQ3015" t="str">
            <v>15537243|96942400|371577523|65384310</v>
          </cell>
          <cell r="AR3015" t="str">
            <v>GASTO FISICO</v>
          </cell>
        </row>
        <row r="3016">
          <cell r="AQ3016" t="str">
            <v>15537243|96942400|371581188|371581188</v>
          </cell>
          <cell r="AR3016" t="str">
            <v>IMED SALUD</v>
          </cell>
        </row>
        <row r="3017">
          <cell r="AQ3017" t="str">
            <v>15537243|96942400|371581188|371581188</v>
          </cell>
          <cell r="AR3017" t="str">
            <v>IMED SALUD</v>
          </cell>
        </row>
        <row r="3018">
          <cell r="AQ3018" t="str">
            <v>15537243|96942400|371581188|371581188</v>
          </cell>
          <cell r="AR3018" t="str">
            <v>IMED SALUD</v>
          </cell>
        </row>
        <row r="3019">
          <cell r="AQ3019" t="str">
            <v>15537243|96942400|371581188|371581188</v>
          </cell>
          <cell r="AR3019" t="str">
            <v>IMED SALUD</v>
          </cell>
        </row>
        <row r="3020">
          <cell r="AQ3020" t="str">
            <v>15537243|96942400|371581188|371581188</v>
          </cell>
          <cell r="AR3020" t="str">
            <v>IMED SALUD</v>
          </cell>
        </row>
        <row r="3021">
          <cell r="AQ3021" t="str">
            <v>15537243|96942400|371581188|371581188</v>
          </cell>
          <cell r="AR3021" t="str">
            <v>IMED SALUD</v>
          </cell>
        </row>
        <row r="3022">
          <cell r="AQ3022" t="str">
            <v>15537243|96942400|371581188|65384311</v>
          </cell>
          <cell r="AR3022" t="str">
            <v>GASTO FISICO</v>
          </cell>
        </row>
        <row r="3023">
          <cell r="AQ3023" t="str">
            <v>15537243|96942400|371581188|65384311</v>
          </cell>
          <cell r="AR3023" t="str">
            <v>GASTO FISICO</v>
          </cell>
        </row>
        <row r="3024">
          <cell r="AQ3024" t="str">
            <v>15537243|96942400|371581188|65384311</v>
          </cell>
          <cell r="AR3024" t="str">
            <v>GASTO FISICO</v>
          </cell>
        </row>
        <row r="3025">
          <cell r="AQ3025" t="str">
            <v>15537243|96942400|371583394|371583394</v>
          </cell>
          <cell r="AR3025" t="str">
            <v>IMED SALUD</v>
          </cell>
        </row>
        <row r="3026">
          <cell r="AQ3026" t="str">
            <v>15537243|96942400|371583394|371583394</v>
          </cell>
          <cell r="AR3026" t="str">
            <v>IMED SALUD</v>
          </cell>
        </row>
        <row r="3027">
          <cell r="AQ3027" t="str">
            <v>15537243|96942400|371583394|65384312</v>
          </cell>
          <cell r="AR3027" t="str">
            <v>GASTO FISICO</v>
          </cell>
        </row>
        <row r="3028">
          <cell r="AQ3028" t="str">
            <v>15537243|96942400|371584825|371584825</v>
          </cell>
          <cell r="AR3028" t="str">
            <v>IMED SALUD</v>
          </cell>
        </row>
        <row r="3029">
          <cell r="AQ3029" t="str">
            <v>15537243|96942400|371584825|371584825</v>
          </cell>
          <cell r="AR3029" t="str">
            <v>IMED SALUD</v>
          </cell>
        </row>
        <row r="3030">
          <cell r="AQ3030" t="str">
            <v>15537243|96942400|371584825|65384313</v>
          </cell>
          <cell r="AR3030" t="str">
            <v>GASTO FISICO</v>
          </cell>
        </row>
        <row r="3031">
          <cell r="AQ3031" t="str">
            <v>15537243|96942400|371587620|371587620</v>
          </cell>
          <cell r="AR3031" t="str">
            <v>IMED SALUD</v>
          </cell>
        </row>
        <row r="3032">
          <cell r="AQ3032" t="str">
            <v>15537243|96942400|371587620|371587620</v>
          </cell>
          <cell r="AR3032" t="str">
            <v>IMED SALUD</v>
          </cell>
        </row>
        <row r="3033">
          <cell r="AQ3033" t="str">
            <v>15537243|96942400|371587620|65384314</v>
          </cell>
          <cell r="AR3033" t="str">
            <v>GASTO FISICO</v>
          </cell>
        </row>
        <row r="3034">
          <cell r="AQ3034" t="str">
            <v>15543105|96942400|915289335|915289335</v>
          </cell>
          <cell r="AR3034" t="str">
            <v>IMED SALUD</v>
          </cell>
        </row>
        <row r="3035">
          <cell r="AQ3035" t="str">
            <v>15543105|96942400|915289335|915289335</v>
          </cell>
          <cell r="AR3035" t="str">
            <v>IMED SALUD</v>
          </cell>
        </row>
        <row r="3036">
          <cell r="AQ3036" t="str">
            <v>15543105|96942400|915289335|915289335</v>
          </cell>
          <cell r="AR3036" t="str">
            <v>IMED SALUD</v>
          </cell>
        </row>
        <row r="3037">
          <cell r="AQ3037" t="str">
            <v>15543105|96942400|915289335|915289335</v>
          </cell>
          <cell r="AR3037" t="str">
            <v>IMED SALUD</v>
          </cell>
        </row>
        <row r="3038">
          <cell r="AQ3038" t="str">
            <v>15543105|96942400|915289335|915289335</v>
          </cell>
          <cell r="AR3038" t="str">
            <v>IMED SALUD</v>
          </cell>
        </row>
        <row r="3039">
          <cell r="AQ3039" t="str">
            <v>15543105|96942400|915289335|915289335</v>
          </cell>
          <cell r="AR3039" t="str">
            <v>IMED SALUD</v>
          </cell>
        </row>
        <row r="3040">
          <cell r="AQ3040" t="str">
            <v>15543105|96942400|915289335|65384315</v>
          </cell>
          <cell r="AR3040" t="str">
            <v>GASTO FISICO</v>
          </cell>
        </row>
        <row r="3041">
          <cell r="AQ3041" t="str">
            <v>15543105|96942400|915289335|65384315</v>
          </cell>
          <cell r="AR3041" t="str">
            <v>GASTO FISICO</v>
          </cell>
        </row>
        <row r="3042">
          <cell r="AQ3042" t="str">
            <v>15543105|96942400|915289335|65384315</v>
          </cell>
          <cell r="AR3042" t="str">
            <v>GASTO FISICO</v>
          </cell>
        </row>
        <row r="3043">
          <cell r="AQ3043" t="str">
            <v>15543105|76425459|921335288|921335288</v>
          </cell>
          <cell r="AR3043" t="str">
            <v>IMED SALUD</v>
          </cell>
        </row>
        <row r="3044">
          <cell r="AQ3044" t="str">
            <v>15543105|76425459|921335288|921335288</v>
          </cell>
          <cell r="AR3044" t="str">
            <v>IMED SALUD</v>
          </cell>
        </row>
        <row r="3045">
          <cell r="AQ3045" t="str">
            <v>15543105|76425459|921335288|65384317</v>
          </cell>
          <cell r="AR3045" t="str">
            <v>GASTO FISICO</v>
          </cell>
        </row>
        <row r="3046">
          <cell r="AQ3046" t="str">
            <v>15543105|76766044|921418566|921418566</v>
          </cell>
          <cell r="AR3046" t="str">
            <v>IMED SALUD</v>
          </cell>
        </row>
        <row r="3047">
          <cell r="AQ3047" t="str">
            <v>15543105|76766044|921418566|921418566</v>
          </cell>
          <cell r="AR3047" t="str">
            <v>IMED SALUD</v>
          </cell>
        </row>
        <row r="3048">
          <cell r="AQ3048" t="str">
            <v>15543105|76766044|921418566|921418566</v>
          </cell>
          <cell r="AR3048" t="str">
            <v>IMED SALUD</v>
          </cell>
        </row>
        <row r="3049">
          <cell r="AQ3049" t="str">
            <v>15543105|76766044|921418566|921418566</v>
          </cell>
          <cell r="AR3049" t="str">
            <v>IMED SALUD</v>
          </cell>
        </row>
        <row r="3050">
          <cell r="AQ3050" t="str">
            <v>15543105|76766044|921418566|921418566</v>
          </cell>
          <cell r="AR3050" t="str">
            <v>IMED SALUD</v>
          </cell>
        </row>
        <row r="3051">
          <cell r="AQ3051" t="str">
            <v>15543105|76766044|921418566|921418566</v>
          </cell>
          <cell r="AR3051" t="str">
            <v>IMED SALUD</v>
          </cell>
        </row>
        <row r="3052">
          <cell r="AQ3052" t="str">
            <v>15543105|76766044|921418566|921418566</v>
          </cell>
          <cell r="AR3052" t="str">
            <v>IMED SALUD</v>
          </cell>
        </row>
        <row r="3053">
          <cell r="AQ3053" t="str">
            <v>15543105|76766044|921418566|921418566</v>
          </cell>
          <cell r="AR3053" t="str">
            <v>IMED SALUD</v>
          </cell>
        </row>
        <row r="3054">
          <cell r="AQ3054" t="str">
            <v>15543105|76766044|921418566|921418566</v>
          </cell>
          <cell r="AR3054" t="str">
            <v>IMED SALUD</v>
          </cell>
        </row>
        <row r="3055">
          <cell r="AQ3055" t="str">
            <v>15543105|76766044|921418566|921418566</v>
          </cell>
          <cell r="AR3055" t="str">
            <v>IMED SALUD</v>
          </cell>
        </row>
        <row r="3056">
          <cell r="AQ3056" t="str">
            <v>15543105|76766044|921418566|65384318</v>
          </cell>
          <cell r="AR3056" t="str">
            <v>GASTO FISICO</v>
          </cell>
        </row>
        <row r="3057">
          <cell r="AQ3057" t="str">
            <v>15543105|76766044|921418566|65384318</v>
          </cell>
          <cell r="AR3057" t="str">
            <v>GASTO FISICO</v>
          </cell>
        </row>
        <row r="3058">
          <cell r="AQ3058" t="str">
            <v>15543105|76766044|921418566|65384318</v>
          </cell>
          <cell r="AR3058" t="str">
            <v>GASTO FISICO</v>
          </cell>
        </row>
        <row r="3059">
          <cell r="AQ3059" t="str">
            <v>15543105|76766044|921418566|65384318</v>
          </cell>
          <cell r="AR3059" t="str">
            <v>GASTO FISICO</v>
          </cell>
        </row>
        <row r="3060">
          <cell r="AQ3060" t="str">
            <v>15543105|76766044|921418566|65384318</v>
          </cell>
          <cell r="AR3060" t="str">
            <v>GASTO FISICO</v>
          </cell>
        </row>
        <row r="3061">
          <cell r="AQ3061" t="str">
            <v>15543105|76766044|921418567|921418567</v>
          </cell>
          <cell r="AR3061" t="str">
            <v>IMED SALUD</v>
          </cell>
        </row>
        <row r="3062">
          <cell r="AQ3062" t="str">
            <v>15543105|76766044|921418567|921418567</v>
          </cell>
          <cell r="AR3062" t="str">
            <v>IMED SALUD</v>
          </cell>
        </row>
        <row r="3063">
          <cell r="AQ3063" t="str">
            <v>15543105|76766044|921418567|921418567</v>
          </cell>
          <cell r="AR3063" t="str">
            <v>IMED SALUD</v>
          </cell>
        </row>
        <row r="3064">
          <cell r="AQ3064" t="str">
            <v>15543105|76766044|921418567|921418567</v>
          </cell>
          <cell r="AR3064" t="str">
            <v>IMED SALUD</v>
          </cell>
        </row>
        <row r="3065">
          <cell r="AQ3065" t="str">
            <v>15543105|76766044|921418567|921418567</v>
          </cell>
          <cell r="AR3065" t="str">
            <v>IMED SALUD</v>
          </cell>
        </row>
        <row r="3066">
          <cell r="AQ3066" t="str">
            <v>15543105|76766044|921418567|921418567</v>
          </cell>
          <cell r="AR3066" t="str">
            <v>IMED SALUD</v>
          </cell>
        </row>
        <row r="3067">
          <cell r="AQ3067" t="str">
            <v>15543105|76766044|921418567|921418567</v>
          </cell>
          <cell r="AR3067" t="str">
            <v>IMED SALUD</v>
          </cell>
        </row>
        <row r="3068">
          <cell r="AQ3068" t="str">
            <v>15543105|76766044|921418567|921418567</v>
          </cell>
          <cell r="AR3068" t="str">
            <v>IMED SALUD</v>
          </cell>
        </row>
        <row r="3069">
          <cell r="AQ3069" t="str">
            <v>15543105|76766044|921418567|921418567</v>
          </cell>
          <cell r="AR3069" t="str">
            <v>IMED SALUD</v>
          </cell>
        </row>
        <row r="3070">
          <cell r="AQ3070" t="str">
            <v>15543105|76766044|921418567|921418567</v>
          </cell>
          <cell r="AR3070" t="str">
            <v>IMED SALUD</v>
          </cell>
        </row>
        <row r="3071">
          <cell r="AQ3071" t="str">
            <v>15543105|76766044|921418567|65384319</v>
          </cell>
          <cell r="AR3071" t="str">
            <v>GASTO FISICO</v>
          </cell>
        </row>
        <row r="3072">
          <cell r="AQ3072" t="str">
            <v>15543105|76766044|921418567|65384319</v>
          </cell>
          <cell r="AR3072" t="str">
            <v>GASTO FISICO</v>
          </cell>
        </row>
        <row r="3073">
          <cell r="AQ3073" t="str">
            <v>15543105|76766044|921418567|65384319</v>
          </cell>
          <cell r="AR3073" t="str">
            <v>GASTO FISICO</v>
          </cell>
        </row>
        <row r="3074">
          <cell r="AQ3074" t="str">
            <v>15543105|76766044|921418567|65384319</v>
          </cell>
          <cell r="AR3074" t="str">
            <v>GASTO FISICO</v>
          </cell>
        </row>
        <row r="3075">
          <cell r="AQ3075" t="str">
            <v>15543105|76766044|921418567|65384319</v>
          </cell>
          <cell r="AR3075" t="str">
            <v>GASTO FISICO</v>
          </cell>
        </row>
        <row r="3076">
          <cell r="AQ3076" t="str">
            <v>15543105|76766044|921418568|921418568</v>
          </cell>
          <cell r="AR3076" t="str">
            <v>IMED SALUD</v>
          </cell>
        </row>
        <row r="3077">
          <cell r="AQ3077" t="str">
            <v>15543105|76766044|921418568|921418568</v>
          </cell>
          <cell r="AR3077" t="str">
            <v>IMED SALUD</v>
          </cell>
        </row>
        <row r="3078">
          <cell r="AQ3078" t="str">
            <v>15543105|76766044|921418568|921418568</v>
          </cell>
          <cell r="AR3078" t="str">
            <v>IMED SALUD</v>
          </cell>
        </row>
        <row r="3079">
          <cell r="AQ3079" t="str">
            <v>15543105|76766044|921418568|921418568</v>
          </cell>
          <cell r="AR3079" t="str">
            <v>IMED SALUD</v>
          </cell>
        </row>
        <row r="3080">
          <cell r="AQ3080" t="str">
            <v>15543105|76766044|921418568|921418568</v>
          </cell>
          <cell r="AR3080" t="str">
            <v>IMED SALUD</v>
          </cell>
        </row>
        <row r="3081">
          <cell r="AQ3081" t="str">
            <v>15543105|76766044|921418568|921418568</v>
          </cell>
          <cell r="AR3081" t="str">
            <v>IMED SALUD</v>
          </cell>
        </row>
        <row r="3082">
          <cell r="AQ3082" t="str">
            <v>15543105|76766044|921418568|921418568</v>
          </cell>
          <cell r="AR3082" t="str">
            <v>IMED SALUD</v>
          </cell>
        </row>
        <row r="3083">
          <cell r="AQ3083" t="str">
            <v>15543105|76766044|921418568|921418568</v>
          </cell>
          <cell r="AR3083" t="str">
            <v>IMED SALUD</v>
          </cell>
        </row>
        <row r="3084">
          <cell r="AQ3084" t="str">
            <v>15543105|76766044|921418568|921418568</v>
          </cell>
          <cell r="AR3084" t="str">
            <v>IMED SALUD</v>
          </cell>
        </row>
        <row r="3085">
          <cell r="AQ3085" t="str">
            <v>15543105|76766044|921418568|921418568</v>
          </cell>
          <cell r="AR3085" t="str">
            <v>IMED SALUD</v>
          </cell>
        </row>
        <row r="3086">
          <cell r="AQ3086" t="str">
            <v>15543105|76766044|921418568|65384320</v>
          </cell>
          <cell r="AR3086" t="str">
            <v>GASTO FISICO</v>
          </cell>
        </row>
        <row r="3087">
          <cell r="AQ3087" t="str">
            <v>15543105|76766044|921418568|65384320</v>
          </cell>
          <cell r="AR3087" t="str">
            <v>GASTO FISICO</v>
          </cell>
        </row>
        <row r="3088">
          <cell r="AQ3088" t="str">
            <v>15543105|76766044|921418568|65384320</v>
          </cell>
          <cell r="AR3088" t="str">
            <v>GASTO FISICO</v>
          </cell>
        </row>
        <row r="3089">
          <cell r="AQ3089" t="str">
            <v>15543105|76766044|921418568|65384320</v>
          </cell>
          <cell r="AR3089" t="str">
            <v>GASTO FISICO</v>
          </cell>
        </row>
        <row r="3090">
          <cell r="AQ3090" t="str">
            <v>15543105|76766044|921418568|65384320</v>
          </cell>
          <cell r="AR3090" t="str">
            <v>GASTO FISICO</v>
          </cell>
        </row>
        <row r="3091">
          <cell r="AQ3091" t="str">
            <v>15549922|96942400|915488785|915488785</v>
          </cell>
          <cell r="AR3091" t="str">
            <v>IMED SALUD</v>
          </cell>
        </row>
        <row r="3092">
          <cell r="AQ3092" t="str">
            <v>15549922|96942400|915488785|915488785</v>
          </cell>
          <cell r="AR3092" t="str">
            <v>IMED SALUD</v>
          </cell>
        </row>
        <row r="3093">
          <cell r="AQ3093" t="str">
            <v>15549922|96942400|915488785|65384321</v>
          </cell>
          <cell r="AR3093" t="str">
            <v>GASTO FISICO</v>
          </cell>
        </row>
        <row r="3094">
          <cell r="AQ3094" t="str">
            <v>15549922|96942400|917872730|917872730</v>
          </cell>
          <cell r="AR3094" t="str">
            <v>IMED SALUD</v>
          </cell>
        </row>
        <row r="3095">
          <cell r="AQ3095" t="str">
            <v>15549922|96942400|917872730|917872730</v>
          </cell>
          <cell r="AR3095" t="str">
            <v>IMED SALUD</v>
          </cell>
        </row>
        <row r="3096">
          <cell r="AQ3096" t="str">
            <v>15549922|96942400|917872730|917872730</v>
          </cell>
          <cell r="AR3096" t="str">
            <v>IMED SALUD</v>
          </cell>
        </row>
        <row r="3097">
          <cell r="AQ3097" t="str">
            <v>15549922|96942400|917872730|917872730</v>
          </cell>
          <cell r="AR3097" t="str">
            <v>IMED SALUD</v>
          </cell>
        </row>
        <row r="3098">
          <cell r="AQ3098" t="str">
            <v>15549922|96942400|917872730|917872730</v>
          </cell>
          <cell r="AR3098" t="str">
            <v>IMED SALUD</v>
          </cell>
        </row>
        <row r="3099">
          <cell r="AQ3099" t="str">
            <v>15549922|96942400|917872730|917872730</v>
          </cell>
          <cell r="AR3099" t="str">
            <v>IMED SALUD</v>
          </cell>
        </row>
        <row r="3100">
          <cell r="AQ3100" t="str">
            <v>15549922|96942400|917872730|65384322</v>
          </cell>
          <cell r="AR3100" t="str">
            <v>GASTO FISICO</v>
          </cell>
        </row>
        <row r="3101">
          <cell r="AQ3101" t="str">
            <v>15549922|96942400|917872730|65384322</v>
          </cell>
          <cell r="AR3101" t="str">
            <v>GASTO FISICO</v>
          </cell>
        </row>
        <row r="3102">
          <cell r="AQ3102" t="str">
            <v>15549922|96942400|917872730|65384322</v>
          </cell>
          <cell r="AR3102" t="str">
            <v>GASTO FISICO</v>
          </cell>
        </row>
        <row r="3103">
          <cell r="AQ3103" t="str">
            <v>15552230|76567582|917178577|917178577</v>
          </cell>
          <cell r="AR3103" t="str">
            <v>IMED SALUD</v>
          </cell>
        </row>
        <row r="3104">
          <cell r="AQ3104" t="str">
            <v>15552230|76567582|917178577|917178577</v>
          </cell>
          <cell r="AR3104" t="str">
            <v>IMED SALUD</v>
          </cell>
        </row>
        <row r="3105">
          <cell r="AQ3105" t="str">
            <v>15552230|76567582|917178577|65384323</v>
          </cell>
          <cell r="AR3105" t="str">
            <v>GASTO FISICO</v>
          </cell>
        </row>
        <row r="3106">
          <cell r="AQ3106" t="str">
            <v>15552230|96942400|918432271|918432271</v>
          </cell>
          <cell r="AR3106" t="str">
            <v>IMED SALUD</v>
          </cell>
        </row>
        <row r="3107">
          <cell r="AQ3107" t="str">
            <v>15552230|96942400|918432271|918432271</v>
          </cell>
          <cell r="AR3107" t="str">
            <v>IMED SALUD</v>
          </cell>
        </row>
        <row r="3108">
          <cell r="AQ3108" t="str">
            <v>15552230|96942400|918432271|65384324</v>
          </cell>
          <cell r="AR3108" t="str">
            <v>GASTO FISICO</v>
          </cell>
        </row>
        <row r="3109">
          <cell r="AQ3109" t="str">
            <v>15583792|96986050|915412522|915412522</v>
          </cell>
          <cell r="AR3109" t="str">
            <v>IMED SALUD</v>
          </cell>
        </row>
        <row r="3110">
          <cell r="AQ3110" t="str">
            <v>15583792|96986050|915412522|915412522</v>
          </cell>
          <cell r="AR3110" t="str">
            <v>IMED SALUD</v>
          </cell>
        </row>
        <row r="3111">
          <cell r="AQ3111" t="str">
            <v>15583792|96986050|915412522|915412522</v>
          </cell>
          <cell r="AR3111" t="str">
            <v>IMED SALUD</v>
          </cell>
        </row>
        <row r="3112">
          <cell r="AQ3112" t="str">
            <v>15583792|96986050|915412522|915412522</v>
          </cell>
          <cell r="AR3112" t="str">
            <v>IMED SALUD</v>
          </cell>
        </row>
        <row r="3113">
          <cell r="AQ3113" t="str">
            <v>15583792|96986050|915412522|915412522</v>
          </cell>
          <cell r="AR3113" t="str">
            <v>IMED SALUD</v>
          </cell>
        </row>
        <row r="3114">
          <cell r="AQ3114" t="str">
            <v>15583792|96986050|915412522|915412522</v>
          </cell>
          <cell r="AR3114" t="str">
            <v>IMED SALUD</v>
          </cell>
        </row>
        <row r="3115">
          <cell r="AQ3115" t="str">
            <v>15583792|96986050|915412522|915412522</v>
          </cell>
          <cell r="AR3115" t="str">
            <v>IMED SALUD</v>
          </cell>
        </row>
        <row r="3116">
          <cell r="AQ3116" t="str">
            <v>15583792|96986050|915412522|915412522</v>
          </cell>
          <cell r="AR3116" t="str">
            <v>IMED SALUD</v>
          </cell>
        </row>
        <row r="3117">
          <cell r="AQ3117" t="str">
            <v>15583792|96986050|915412522|915412522</v>
          </cell>
          <cell r="AR3117" t="str">
            <v>IMED SALUD</v>
          </cell>
        </row>
        <row r="3118">
          <cell r="AQ3118" t="str">
            <v>15583792|96986050|915412522|915412522</v>
          </cell>
          <cell r="AR3118" t="str">
            <v>IMED SALUD</v>
          </cell>
        </row>
        <row r="3119">
          <cell r="AQ3119" t="str">
            <v>15583792|96986050|915412522|65384325</v>
          </cell>
          <cell r="AR3119" t="str">
            <v>GASTO FISICO</v>
          </cell>
        </row>
        <row r="3120">
          <cell r="AQ3120" t="str">
            <v>15583792|96986050|915412522|65384325</v>
          </cell>
          <cell r="AR3120" t="str">
            <v>GASTO FISICO</v>
          </cell>
        </row>
        <row r="3121">
          <cell r="AQ3121" t="str">
            <v>15583792|96986050|915412522|65384325</v>
          </cell>
          <cell r="AR3121" t="str">
            <v>GASTO FISICO</v>
          </cell>
        </row>
        <row r="3122">
          <cell r="AQ3122" t="str">
            <v>15583792|96986050|915412522|65384325</v>
          </cell>
          <cell r="AR3122" t="str">
            <v>GASTO FISICO</v>
          </cell>
        </row>
        <row r="3123">
          <cell r="AQ3123" t="str">
            <v>15583792|96986050|915412522|65384325</v>
          </cell>
          <cell r="AR3123" t="str">
            <v>GASTO FISICO</v>
          </cell>
        </row>
        <row r="3124">
          <cell r="AQ3124" t="str">
            <v>15583792|96986050|915412523|915412523</v>
          </cell>
          <cell r="AR3124" t="str">
            <v>IMED SALUD</v>
          </cell>
        </row>
        <row r="3125">
          <cell r="AQ3125" t="str">
            <v>15583792|96986050|915412523|915412523</v>
          </cell>
          <cell r="AR3125" t="str">
            <v>IMED SALUD</v>
          </cell>
        </row>
        <row r="3126">
          <cell r="AQ3126" t="str">
            <v>15583792|96986050|915412523|915412523</v>
          </cell>
          <cell r="AR3126" t="str">
            <v>IMED SALUD</v>
          </cell>
        </row>
        <row r="3127">
          <cell r="AQ3127" t="str">
            <v>15583792|96986050|915412523|915412523</v>
          </cell>
          <cell r="AR3127" t="str">
            <v>IMED SALUD</v>
          </cell>
        </row>
        <row r="3128">
          <cell r="AQ3128" t="str">
            <v>15583792|96986050|915412523|915412523</v>
          </cell>
          <cell r="AR3128" t="str">
            <v>IMED SALUD</v>
          </cell>
        </row>
        <row r="3129">
          <cell r="AQ3129" t="str">
            <v>15583792|96986050|915412523|915412523</v>
          </cell>
          <cell r="AR3129" t="str">
            <v>IMED SALUD</v>
          </cell>
        </row>
        <row r="3130">
          <cell r="AQ3130" t="str">
            <v>15583792|96986050|915412523|915412523</v>
          </cell>
          <cell r="AR3130" t="str">
            <v>IMED SALUD</v>
          </cell>
        </row>
        <row r="3131">
          <cell r="AQ3131" t="str">
            <v>15583792|96986050|915412523|915412523</v>
          </cell>
          <cell r="AR3131" t="str">
            <v>IMED SALUD</v>
          </cell>
        </row>
        <row r="3132">
          <cell r="AQ3132" t="str">
            <v>15583792|96986050|915412523|915412523</v>
          </cell>
          <cell r="AR3132" t="str">
            <v>IMED SALUD</v>
          </cell>
        </row>
        <row r="3133">
          <cell r="AQ3133" t="str">
            <v>15583792|96986050|915412523|915412523</v>
          </cell>
          <cell r="AR3133" t="str">
            <v>IMED SALUD</v>
          </cell>
        </row>
        <row r="3134">
          <cell r="AQ3134" t="str">
            <v>15583792|96986050|915412523|65384326</v>
          </cell>
          <cell r="AR3134" t="str">
            <v>GASTO FISICO</v>
          </cell>
        </row>
        <row r="3135">
          <cell r="AQ3135" t="str">
            <v>15583792|96986050|915412523|65384326</v>
          </cell>
          <cell r="AR3135" t="str">
            <v>GASTO FISICO</v>
          </cell>
        </row>
        <row r="3136">
          <cell r="AQ3136" t="str">
            <v>15583792|96986050|915412523|65384326</v>
          </cell>
          <cell r="AR3136" t="str">
            <v>GASTO FISICO</v>
          </cell>
        </row>
        <row r="3137">
          <cell r="AQ3137" t="str">
            <v>15583792|96986050|915412523|65384326</v>
          </cell>
          <cell r="AR3137" t="str">
            <v>GASTO FISICO</v>
          </cell>
        </row>
        <row r="3138">
          <cell r="AQ3138" t="str">
            <v>15583792|96986050|915412523|65384326</v>
          </cell>
          <cell r="AR3138" t="str">
            <v>GASTO FISICO</v>
          </cell>
        </row>
        <row r="3139">
          <cell r="AQ3139" t="str">
            <v>15583792|96986050|915412524|915412524</v>
          </cell>
          <cell r="AR3139" t="str">
            <v>IMED SALUD</v>
          </cell>
        </row>
        <row r="3140">
          <cell r="AQ3140" t="str">
            <v>15583792|96986050|915412524|915412524</v>
          </cell>
          <cell r="AR3140" t="str">
            <v>IMED SALUD</v>
          </cell>
        </row>
        <row r="3141">
          <cell r="AQ3141" t="str">
            <v>15583792|96986050|915412524|915412524</v>
          </cell>
          <cell r="AR3141" t="str">
            <v>IMED SALUD</v>
          </cell>
        </row>
        <row r="3142">
          <cell r="AQ3142" t="str">
            <v>15583792|96986050|915412524|915412524</v>
          </cell>
          <cell r="AR3142" t="str">
            <v>IMED SALUD</v>
          </cell>
        </row>
        <row r="3143">
          <cell r="AQ3143" t="str">
            <v>15583792|96986050|915412524|915412524</v>
          </cell>
          <cell r="AR3143" t="str">
            <v>IMED SALUD</v>
          </cell>
        </row>
        <row r="3144">
          <cell r="AQ3144" t="str">
            <v>15583792|96986050|915412524|915412524</v>
          </cell>
          <cell r="AR3144" t="str">
            <v>IMED SALUD</v>
          </cell>
        </row>
        <row r="3145">
          <cell r="AQ3145" t="str">
            <v>15583792|96986050|915412524|915412524</v>
          </cell>
          <cell r="AR3145" t="str">
            <v>IMED SALUD</v>
          </cell>
        </row>
        <row r="3146">
          <cell r="AQ3146" t="str">
            <v>15583792|96986050|915412524|915412524</v>
          </cell>
          <cell r="AR3146" t="str">
            <v>IMED SALUD</v>
          </cell>
        </row>
        <row r="3147">
          <cell r="AQ3147" t="str">
            <v>15583792|96986050|915412524|65384327</v>
          </cell>
          <cell r="AR3147" t="str">
            <v>GASTO FISICO</v>
          </cell>
        </row>
        <row r="3148">
          <cell r="AQ3148" t="str">
            <v>15583792|96986050|915412524|65384327</v>
          </cell>
          <cell r="AR3148" t="str">
            <v>GASTO FISICO</v>
          </cell>
        </row>
        <row r="3149">
          <cell r="AQ3149" t="str">
            <v>15583792|96986050|915412524|65384327</v>
          </cell>
          <cell r="AR3149" t="str">
            <v>GASTO FISICO</v>
          </cell>
        </row>
        <row r="3150">
          <cell r="AQ3150" t="str">
            <v>15583792|96986050|915412524|65384327</v>
          </cell>
          <cell r="AR3150" t="str">
            <v>GASTO FISICO</v>
          </cell>
        </row>
        <row r="3151">
          <cell r="AQ3151" t="str">
            <v>15622250|99573490|765110287|765110287</v>
          </cell>
          <cell r="AR3151" t="str">
            <v>IMED SALUD</v>
          </cell>
        </row>
        <row r="3152">
          <cell r="AQ3152" t="str">
            <v>15622250|99573490|765110287|765110287</v>
          </cell>
          <cell r="AR3152" t="str">
            <v>IMED SALUD</v>
          </cell>
        </row>
        <row r="3153">
          <cell r="AQ3153" t="str">
            <v>15622250|99573490|765110287|765110287</v>
          </cell>
          <cell r="AR3153" t="str">
            <v>IMED SALUD</v>
          </cell>
        </row>
        <row r="3154">
          <cell r="AQ3154" t="str">
            <v>15622250|99573490|765110287|765110287</v>
          </cell>
          <cell r="AR3154" t="str">
            <v>IMED SALUD</v>
          </cell>
        </row>
        <row r="3155">
          <cell r="AQ3155" t="str">
            <v>15622250|99573490|765110287|765110287</v>
          </cell>
          <cell r="AR3155" t="str">
            <v>IMED SALUD</v>
          </cell>
        </row>
        <row r="3156">
          <cell r="AQ3156" t="str">
            <v>15622250|99573490|765110287|765110287</v>
          </cell>
          <cell r="AR3156" t="str">
            <v>IMED SALUD</v>
          </cell>
        </row>
        <row r="3157">
          <cell r="AQ3157" t="str">
            <v>15622250|99573490|765110287|765110287</v>
          </cell>
          <cell r="AR3157" t="str">
            <v>IMED SALUD</v>
          </cell>
        </row>
        <row r="3158">
          <cell r="AQ3158" t="str">
            <v>15622250|99573490|765110287|765110287</v>
          </cell>
          <cell r="AR3158" t="str">
            <v>IMED SALUD</v>
          </cell>
        </row>
        <row r="3159">
          <cell r="AQ3159" t="str">
            <v>15622250|99573490|765110287|765110287</v>
          </cell>
          <cell r="AR3159" t="str">
            <v>IMED SALUD</v>
          </cell>
        </row>
        <row r="3160">
          <cell r="AQ3160" t="str">
            <v>15622250|99573490|765110287|765110287</v>
          </cell>
          <cell r="AR3160" t="str">
            <v>IMED SALUD</v>
          </cell>
        </row>
        <row r="3161">
          <cell r="AQ3161" t="str">
            <v>15622250|99573490|765110287|65384328</v>
          </cell>
          <cell r="AR3161" t="str">
            <v>GASTO FISICO</v>
          </cell>
        </row>
        <row r="3162">
          <cell r="AQ3162" t="str">
            <v>15622250|99573490|765110287|65384328</v>
          </cell>
          <cell r="AR3162" t="str">
            <v>GASTO FISICO</v>
          </cell>
        </row>
        <row r="3163">
          <cell r="AQ3163" t="str">
            <v>15622250|99573490|765110287|65384328</v>
          </cell>
          <cell r="AR3163" t="str">
            <v>GASTO FISICO</v>
          </cell>
        </row>
        <row r="3164">
          <cell r="AQ3164" t="str">
            <v>15622250|99573490|765110287|65384328</v>
          </cell>
          <cell r="AR3164" t="str">
            <v>GASTO FISICO</v>
          </cell>
        </row>
        <row r="3165">
          <cell r="AQ3165" t="str">
            <v>15622250|99573490|765110287|65384328</v>
          </cell>
          <cell r="AR3165" t="str">
            <v>GASTO FISICO</v>
          </cell>
        </row>
        <row r="3166">
          <cell r="AQ3166" t="str">
            <v>15622250|99573490|765110288|765110288</v>
          </cell>
          <cell r="AR3166" t="str">
            <v>IMED SALUD</v>
          </cell>
        </row>
        <row r="3167">
          <cell r="AQ3167" t="str">
            <v>15622250|99573490|765110288|765110288</v>
          </cell>
          <cell r="AR3167" t="str">
            <v>IMED SALUD</v>
          </cell>
        </row>
        <row r="3168">
          <cell r="AQ3168" t="str">
            <v>15622250|99573490|765110288|765110288</v>
          </cell>
          <cell r="AR3168" t="str">
            <v>IMED SALUD</v>
          </cell>
        </row>
        <row r="3169">
          <cell r="AQ3169" t="str">
            <v>15622250|99573490|765110288|765110288</v>
          </cell>
          <cell r="AR3169" t="str">
            <v>IMED SALUD</v>
          </cell>
        </row>
        <row r="3170">
          <cell r="AQ3170" t="str">
            <v>15622250|99573490|765110288|765110288</v>
          </cell>
          <cell r="AR3170" t="str">
            <v>IMED SALUD</v>
          </cell>
        </row>
        <row r="3171">
          <cell r="AQ3171" t="str">
            <v>15622250|99573490|765110288|765110288</v>
          </cell>
          <cell r="AR3171" t="str">
            <v>IMED SALUD</v>
          </cell>
        </row>
        <row r="3172">
          <cell r="AQ3172" t="str">
            <v>15622250|99573490|765110288|765110288</v>
          </cell>
          <cell r="AR3172" t="str">
            <v>IMED SALUD</v>
          </cell>
        </row>
        <row r="3173">
          <cell r="AQ3173" t="str">
            <v>15622250|99573490|765110288|765110288</v>
          </cell>
          <cell r="AR3173" t="str">
            <v>IMED SALUD</v>
          </cell>
        </row>
        <row r="3174">
          <cell r="AQ3174" t="str">
            <v>15622250|99573490|765110288|765110288</v>
          </cell>
          <cell r="AR3174" t="str">
            <v>IMED SALUD</v>
          </cell>
        </row>
        <row r="3175">
          <cell r="AQ3175" t="str">
            <v>15622250|99573490|765110288|765110288</v>
          </cell>
          <cell r="AR3175" t="str">
            <v>IMED SALUD</v>
          </cell>
        </row>
        <row r="3176">
          <cell r="AQ3176" t="str">
            <v>15622250|99573490|765110288|65384329</v>
          </cell>
          <cell r="AR3176" t="str">
            <v>GASTO FISICO</v>
          </cell>
        </row>
        <row r="3177">
          <cell r="AQ3177" t="str">
            <v>15622250|99573490|765110288|65384329</v>
          </cell>
          <cell r="AR3177" t="str">
            <v>GASTO FISICO</v>
          </cell>
        </row>
        <row r="3178">
          <cell r="AQ3178" t="str">
            <v>15622250|99573490|765110288|65384329</v>
          </cell>
          <cell r="AR3178" t="str">
            <v>GASTO FISICO</v>
          </cell>
        </row>
        <row r="3179">
          <cell r="AQ3179" t="str">
            <v>15622250|99573490|765110288|65384329</v>
          </cell>
          <cell r="AR3179" t="str">
            <v>GASTO FISICO</v>
          </cell>
        </row>
        <row r="3180">
          <cell r="AQ3180" t="str">
            <v>15622250|99573490|765110288|65384329</v>
          </cell>
          <cell r="AR3180" t="str">
            <v>GASTO FISICO</v>
          </cell>
        </row>
        <row r="3181">
          <cell r="AQ3181" t="str">
            <v>15622250|99573490|765110289|765110289</v>
          </cell>
          <cell r="AR3181" t="str">
            <v>IMED SALUD</v>
          </cell>
        </row>
        <row r="3182">
          <cell r="AQ3182" t="str">
            <v>15622250|99573490|765110289|765110289</v>
          </cell>
          <cell r="AR3182" t="str">
            <v>IMED SALUD</v>
          </cell>
        </row>
        <row r="3183">
          <cell r="AQ3183" t="str">
            <v>15622250|99573490|765110289|765110289</v>
          </cell>
          <cell r="AR3183" t="str">
            <v>IMED SALUD</v>
          </cell>
        </row>
        <row r="3184">
          <cell r="AQ3184" t="str">
            <v>15622250|99573490|765110289|765110289</v>
          </cell>
          <cell r="AR3184" t="str">
            <v>IMED SALUD</v>
          </cell>
        </row>
        <row r="3185">
          <cell r="AQ3185" t="str">
            <v>15622250|99573490|765110289|765110289</v>
          </cell>
          <cell r="AR3185" t="str">
            <v>IMED SALUD</v>
          </cell>
        </row>
        <row r="3186">
          <cell r="AQ3186" t="str">
            <v>15622250|99573490|765110289|765110289</v>
          </cell>
          <cell r="AR3186" t="str">
            <v>IMED SALUD</v>
          </cell>
        </row>
        <row r="3187">
          <cell r="AQ3187" t="str">
            <v>15622250|99573490|765110289|765110289</v>
          </cell>
          <cell r="AR3187" t="str">
            <v>IMED SALUD</v>
          </cell>
        </row>
        <row r="3188">
          <cell r="AQ3188" t="str">
            <v>15622250|99573490|765110289|765110289</v>
          </cell>
          <cell r="AR3188" t="str">
            <v>IMED SALUD</v>
          </cell>
        </row>
        <row r="3189">
          <cell r="AQ3189" t="str">
            <v>15622250|99573490|765110289|765110289</v>
          </cell>
          <cell r="AR3189" t="str">
            <v>IMED SALUD</v>
          </cell>
        </row>
        <row r="3190">
          <cell r="AQ3190" t="str">
            <v>15622250|99573490|765110289|765110289</v>
          </cell>
          <cell r="AR3190" t="str">
            <v>IMED SALUD</v>
          </cell>
        </row>
        <row r="3191">
          <cell r="AQ3191" t="str">
            <v>15622250|99573490|765110289|65384330</v>
          </cell>
          <cell r="AR3191" t="str">
            <v>GASTO FISICO</v>
          </cell>
        </row>
        <row r="3192">
          <cell r="AQ3192" t="str">
            <v>15622250|99573490|765110289|65384330</v>
          </cell>
          <cell r="AR3192" t="str">
            <v>GASTO FISICO</v>
          </cell>
        </row>
        <row r="3193">
          <cell r="AQ3193" t="str">
            <v>15622250|99573490|765110289|65384330</v>
          </cell>
          <cell r="AR3193" t="str">
            <v>GASTO FISICO</v>
          </cell>
        </row>
        <row r="3194">
          <cell r="AQ3194" t="str">
            <v>15622250|99573490|765110289|65384330</v>
          </cell>
          <cell r="AR3194" t="str">
            <v>GASTO FISICO</v>
          </cell>
        </row>
        <row r="3195">
          <cell r="AQ3195" t="str">
            <v>15622250|99573490|765110289|65384330</v>
          </cell>
          <cell r="AR3195" t="str">
            <v>GASTO FISICO</v>
          </cell>
        </row>
        <row r="3196">
          <cell r="AQ3196" t="str">
            <v>15622250|99573490|765110290|765110290</v>
          </cell>
          <cell r="AR3196" t="str">
            <v>IMED SALUD</v>
          </cell>
        </row>
        <row r="3197">
          <cell r="AQ3197" t="str">
            <v>15622250|99573490|765110290|765110290</v>
          </cell>
          <cell r="AR3197" t="str">
            <v>IMED SALUD</v>
          </cell>
        </row>
        <row r="3198">
          <cell r="AQ3198" t="str">
            <v>15622250|99573490|765110290|765110290</v>
          </cell>
          <cell r="AR3198" t="str">
            <v>IMED SALUD</v>
          </cell>
        </row>
        <row r="3199">
          <cell r="AQ3199" t="str">
            <v>15622250|99573490|765110290|765110290</v>
          </cell>
          <cell r="AR3199" t="str">
            <v>IMED SALUD</v>
          </cell>
        </row>
        <row r="3200">
          <cell r="AQ3200" t="str">
            <v>15622250|99573490|765110290|765110290</v>
          </cell>
          <cell r="AR3200" t="str">
            <v>IMED SALUD</v>
          </cell>
        </row>
        <row r="3201">
          <cell r="AQ3201" t="str">
            <v>15622250|99573490|765110290|765110290</v>
          </cell>
          <cell r="AR3201" t="str">
            <v>IMED SALUD</v>
          </cell>
        </row>
        <row r="3202">
          <cell r="AQ3202" t="str">
            <v>15622250|99573490|765110290|765110290</v>
          </cell>
          <cell r="AR3202" t="str">
            <v>IMED SALUD</v>
          </cell>
        </row>
        <row r="3203">
          <cell r="AQ3203" t="str">
            <v>15622250|99573490|765110290|765110290</v>
          </cell>
          <cell r="AR3203" t="str">
            <v>IMED SALUD</v>
          </cell>
        </row>
        <row r="3204">
          <cell r="AQ3204" t="str">
            <v>15622250|99573490|765110290|65384331</v>
          </cell>
          <cell r="AR3204" t="str">
            <v>GASTO FISICO</v>
          </cell>
        </row>
        <row r="3205">
          <cell r="AQ3205" t="str">
            <v>15622250|99573490|765110290|65384331</v>
          </cell>
          <cell r="AR3205" t="str">
            <v>GASTO FISICO</v>
          </cell>
        </row>
        <row r="3206">
          <cell r="AQ3206" t="str">
            <v>15622250|99573490|765110290|65384331</v>
          </cell>
          <cell r="AR3206" t="str">
            <v>GASTO FISICO</v>
          </cell>
        </row>
        <row r="3207">
          <cell r="AQ3207" t="str">
            <v>15622250|99573490|765110290|65384331</v>
          </cell>
          <cell r="AR3207" t="str">
            <v>GASTO FISICO</v>
          </cell>
        </row>
        <row r="3208">
          <cell r="AQ3208" t="str">
            <v>15622250|99573490|765110341|765110341</v>
          </cell>
          <cell r="AR3208" t="str">
            <v>IMED SALUD</v>
          </cell>
        </row>
        <row r="3209">
          <cell r="AQ3209" t="str">
            <v>15622250|99573490|765110341|765110341</v>
          </cell>
          <cell r="AR3209" t="str">
            <v>IMED SALUD</v>
          </cell>
        </row>
        <row r="3210">
          <cell r="AQ3210" t="str">
            <v>15622250|99573490|765110341|765110341</v>
          </cell>
          <cell r="AR3210" t="str">
            <v>IMED SALUD</v>
          </cell>
        </row>
        <row r="3211">
          <cell r="AQ3211" t="str">
            <v>15622250|99573490|765110341|765110341</v>
          </cell>
          <cell r="AR3211" t="str">
            <v>IMED SALUD</v>
          </cell>
        </row>
        <row r="3212">
          <cell r="AQ3212" t="str">
            <v>15622250|99573490|765110341|765110341</v>
          </cell>
          <cell r="AR3212" t="str">
            <v>IMED SALUD</v>
          </cell>
        </row>
        <row r="3213">
          <cell r="AQ3213" t="str">
            <v>15622250|99573490|765110341|765110341</v>
          </cell>
          <cell r="AR3213" t="str">
            <v>IMED SALUD</v>
          </cell>
        </row>
        <row r="3214">
          <cell r="AQ3214" t="str">
            <v>15622250|99573490|765110341|765110341</v>
          </cell>
          <cell r="AR3214" t="str">
            <v>IMED SALUD</v>
          </cell>
        </row>
        <row r="3215">
          <cell r="AQ3215" t="str">
            <v>15622250|99573490|765110341|765110341</v>
          </cell>
          <cell r="AR3215" t="str">
            <v>IMED SALUD</v>
          </cell>
        </row>
        <row r="3216">
          <cell r="AQ3216" t="str">
            <v>15622250|99573490|765110341|65384332</v>
          </cell>
          <cell r="AR3216" t="str">
            <v>GASTO FISICO</v>
          </cell>
        </row>
        <row r="3217">
          <cell r="AQ3217" t="str">
            <v>15622250|99573490|765110341|65384332</v>
          </cell>
          <cell r="AR3217" t="str">
            <v>GASTO FISICO</v>
          </cell>
        </row>
        <row r="3218">
          <cell r="AQ3218" t="str">
            <v>15622250|99573490|765110341|65384332</v>
          </cell>
          <cell r="AR3218" t="str">
            <v>GASTO FISICO</v>
          </cell>
        </row>
        <row r="3219">
          <cell r="AQ3219" t="str">
            <v>15622250|99573490|765110341|65384332</v>
          </cell>
          <cell r="AR3219" t="str">
            <v>GASTO FISICO</v>
          </cell>
        </row>
        <row r="3220">
          <cell r="AQ3220" t="str">
            <v>15622250|99573490|765121743|765121743</v>
          </cell>
          <cell r="AR3220" t="str">
            <v>IMED SALUD</v>
          </cell>
        </row>
        <row r="3221">
          <cell r="AQ3221" t="str">
            <v>15622250|99573490|765121743|765121743</v>
          </cell>
          <cell r="AR3221" t="str">
            <v>IMED SALUD</v>
          </cell>
        </row>
        <row r="3222">
          <cell r="AQ3222" t="str">
            <v>15622250|99573490|765121743|65384333</v>
          </cell>
          <cell r="AR3222" t="str">
            <v>GASTO FISICO</v>
          </cell>
        </row>
        <row r="3223">
          <cell r="AQ3223" t="str">
            <v>15622250|76025494|765583778|765583778</v>
          </cell>
          <cell r="AR3223" t="str">
            <v>IMED SALUD</v>
          </cell>
        </row>
        <row r="3224">
          <cell r="AQ3224" t="str">
            <v>15622250|76025494|765583778|22048879</v>
          </cell>
          <cell r="AR3224" t="str">
            <v>GASTO FISICO</v>
          </cell>
        </row>
        <row r="3225">
          <cell r="AQ3225" t="str">
            <v>15622250|76025494|765583778|765583778</v>
          </cell>
          <cell r="AR3225" t="str">
            <v>IMED SALUD</v>
          </cell>
        </row>
        <row r="3226">
          <cell r="AQ3226" t="str">
            <v>15622250|76025494|765583778|65384334</v>
          </cell>
          <cell r="AR3226" t="str">
            <v>GASTO FISICO</v>
          </cell>
        </row>
        <row r="3227">
          <cell r="AQ3227" t="str">
            <v>15640021|71614000|929868992|929868992</v>
          </cell>
          <cell r="AR3227" t="str">
            <v>IMED SALUD</v>
          </cell>
        </row>
        <row r="3228">
          <cell r="AQ3228" t="str">
            <v>15640021|71614000|929868992|929868992</v>
          </cell>
          <cell r="AR3228" t="str">
            <v>IMED SALUD</v>
          </cell>
        </row>
        <row r="3229">
          <cell r="AQ3229" t="str">
            <v>15640021|71614000|929868992|65384335</v>
          </cell>
          <cell r="AR3229" t="str">
            <v>GASTO FISICO</v>
          </cell>
        </row>
        <row r="3230">
          <cell r="AQ3230" t="str">
            <v>15733515|78918290|921935629|921935629</v>
          </cell>
          <cell r="AR3230" t="str">
            <v>IMED SALUD</v>
          </cell>
        </row>
        <row r="3231">
          <cell r="AQ3231" t="str">
            <v>15733515|78918290|921935629|921935629</v>
          </cell>
          <cell r="AR3231" t="str">
            <v>IMED SALUD</v>
          </cell>
        </row>
        <row r="3232">
          <cell r="AQ3232" t="str">
            <v>15733515|78918290|921935629|921935629</v>
          </cell>
          <cell r="AR3232" t="str">
            <v>IMED SALUD</v>
          </cell>
        </row>
        <row r="3233">
          <cell r="AQ3233" t="str">
            <v>15733515|78918290|921935629|921935629</v>
          </cell>
          <cell r="AR3233" t="str">
            <v>IMED SALUD</v>
          </cell>
        </row>
        <row r="3234">
          <cell r="AQ3234" t="str">
            <v>15733515|78918290|921935629|921935629</v>
          </cell>
          <cell r="AR3234" t="str">
            <v>IMED SALUD</v>
          </cell>
        </row>
        <row r="3235">
          <cell r="AQ3235" t="str">
            <v>15733515|78918290|921935629|921935629</v>
          </cell>
          <cell r="AR3235" t="str">
            <v>IMED SALUD</v>
          </cell>
        </row>
        <row r="3236">
          <cell r="AQ3236" t="str">
            <v>15733515|78918290|921935629|65384336</v>
          </cell>
          <cell r="AR3236" t="str">
            <v>GASTO FISICO</v>
          </cell>
        </row>
        <row r="3237">
          <cell r="AQ3237" t="str">
            <v>15733515|78918290|921935629|65384336</v>
          </cell>
          <cell r="AR3237" t="str">
            <v>GASTO FISICO</v>
          </cell>
        </row>
        <row r="3238">
          <cell r="AQ3238" t="str">
            <v>15733515|78918290|921935629|65384336</v>
          </cell>
          <cell r="AR3238" t="str">
            <v>GASTO FISICO</v>
          </cell>
        </row>
        <row r="3239">
          <cell r="AQ3239" t="str">
            <v>15756857|76515070|308304|22131206</v>
          </cell>
          <cell r="AR3239" t="str">
            <v>GASTO FISICO</v>
          </cell>
        </row>
        <row r="3240">
          <cell r="AQ3240" t="str">
            <v>15756857|76515070|308304|22131206</v>
          </cell>
          <cell r="AR3240" t="str">
            <v>GASTO FISICO</v>
          </cell>
        </row>
        <row r="3241">
          <cell r="AQ3241" t="str">
            <v>15756857|76515070|308304|1036462</v>
          </cell>
          <cell r="AR3241" t="str">
            <v>GASTO FISICO</v>
          </cell>
        </row>
        <row r="3242">
          <cell r="AQ3242" t="str">
            <v>15756857|76515070|308304|1036462</v>
          </cell>
          <cell r="AR3242" t="str">
            <v>GASTO FISICO</v>
          </cell>
        </row>
        <row r="3243">
          <cell r="AQ3243" t="str">
            <v>15756857|76515070|308304|66379974</v>
          </cell>
          <cell r="AR3243" t="str">
            <v>GASTO FISICO</v>
          </cell>
        </row>
        <row r="3244">
          <cell r="AQ3244" t="str">
            <v>15756857|76515070|308304|66379974</v>
          </cell>
          <cell r="AR3244" t="str">
            <v>GASTO FISICO</v>
          </cell>
        </row>
        <row r="3245">
          <cell r="AQ3245" t="str">
            <v>15756857|70335000|8567236|22129232</v>
          </cell>
          <cell r="AR3245" t="str">
            <v>GASTO FISICO</v>
          </cell>
        </row>
        <row r="3246">
          <cell r="AQ3246" t="str">
            <v>15756857|70335000|8567236|1036476</v>
          </cell>
          <cell r="AR3246" t="str">
            <v>GASTO FISICO</v>
          </cell>
        </row>
        <row r="3247">
          <cell r="AQ3247" t="str">
            <v>15756857|70335000|8567236|66379864</v>
          </cell>
          <cell r="AR3247" t="str">
            <v>GASTO FISICO</v>
          </cell>
        </row>
        <row r="3248">
          <cell r="AQ3248" t="str">
            <v>15787825|76242774|930172980|930172980</v>
          </cell>
          <cell r="AR3248" t="str">
            <v>IMED SALUD</v>
          </cell>
        </row>
        <row r="3249">
          <cell r="AQ3249" t="str">
            <v>15787825|76242774|930172980|930172980</v>
          </cell>
          <cell r="AR3249" t="str">
            <v>IMED SALUD</v>
          </cell>
        </row>
        <row r="3250">
          <cell r="AQ3250" t="str">
            <v>15787825|76242774|930172980|65384337</v>
          </cell>
          <cell r="AR3250" t="str">
            <v>GASTO FISICO</v>
          </cell>
        </row>
        <row r="3251">
          <cell r="AQ3251" t="str">
            <v>15889855|76098454|764992340|764992340</v>
          </cell>
          <cell r="AR3251" t="str">
            <v>IMED SALUD</v>
          </cell>
        </row>
        <row r="3252">
          <cell r="AQ3252" t="str">
            <v>15889855|76098454|764992340|764992340</v>
          </cell>
          <cell r="AR3252" t="str">
            <v>IMED SALUD</v>
          </cell>
        </row>
        <row r="3253">
          <cell r="AQ3253" t="str">
            <v>15889855|76098454|764992340|65384343</v>
          </cell>
          <cell r="AR3253" t="str">
            <v>GASTO FISICO</v>
          </cell>
        </row>
        <row r="3254">
          <cell r="AQ3254" t="str">
            <v>15889855|76098454|765377100|765377100</v>
          </cell>
          <cell r="AR3254" t="str">
            <v>IMED SALUD</v>
          </cell>
        </row>
        <row r="3255">
          <cell r="AQ3255" t="str">
            <v>15889855|76098454|765377100|765377100</v>
          </cell>
          <cell r="AR3255" t="str">
            <v>IMED SALUD</v>
          </cell>
        </row>
        <row r="3256">
          <cell r="AQ3256" t="str">
            <v>15889855|76098454|765377100|65384338</v>
          </cell>
          <cell r="AR3256" t="str">
            <v>GASTO FISICO</v>
          </cell>
        </row>
        <row r="3257">
          <cell r="AQ3257" t="str">
            <v>15889855|76098454|765377138|765377138</v>
          </cell>
          <cell r="AR3257" t="str">
            <v>IMED SALUD</v>
          </cell>
        </row>
        <row r="3258">
          <cell r="AQ3258" t="str">
            <v>15889855|76098454|765377138|765377138</v>
          </cell>
          <cell r="AR3258" t="str">
            <v>IMED SALUD</v>
          </cell>
        </row>
        <row r="3259">
          <cell r="AQ3259" t="str">
            <v>15889855|76098454|765377138|65384339</v>
          </cell>
          <cell r="AR3259" t="str">
            <v>GASTO FISICO</v>
          </cell>
        </row>
        <row r="3260">
          <cell r="AQ3260" t="str">
            <v>15889855|76098454|765424776|765424776</v>
          </cell>
          <cell r="AR3260" t="str">
            <v>IMED SALUD</v>
          </cell>
        </row>
        <row r="3261">
          <cell r="AQ3261" t="str">
            <v>15889855|76098454|765424776|765424776</v>
          </cell>
          <cell r="AR3261" t="str">
            <v>IMED SALUD</v>
          </cell>
        </row>
        <row r="3262">
          <cell r="AQ3262" t="str">
            <v>15889855|76098454|765424776|65384340</v>
          </cell>
          <cell r="AR3262" t="str">
            <v>GASTO FISICO</v>
          </cell>
        </row>
        <row r="3263">
          <cell r="AQ3263" t="str">
            <v>15889855|76098454|765454622|765454622</v>
          </cell>
          <cell r="AR3263" t="str">
            <v>IMED SALUD</v>
          </cell>
        </row>
        <row r="3264">
          <cell r="AQ3264" t="str">
            <v>15889855|76098454|765454622|765454622</v>
          </cell>
          <cell r="AR3264" t="str">
            <v>IMED SALUD</v>
          </cell>
        </row>
        <row r="3265">
          <cell r="AQ3265" t="str">
            <v>15889855|76098454|765454622|65384341</v>
          </cell>
          <cell r="AR3265" t="str">
            <v>GASTO FISICO</v>
          </cell>
        </row>
        <row r="3266">
          <cell r="AQ3266" t="str">
            <v>15889855|76098454|765454679|765454679</v>
          </cell>
          <cell r="AR3266" t="str">
            <v>IMED SALUD</v>
          </cell>
        </row>
        <row r="3267">
          <cell r="AQ3267" t="str">
            <v>15889855|76098454|765454679|765454679</v>
          </cell>
          <cell r="AR3267" t="str">
            <v>IMED SALUD</v>
          </cell>
        </row>
        <row r="3268">
          <cell r="AQ3268" t="str">
            <v>15889855|76098454|765454679|65384342</v>
          </cell>
          <cell r="AR3268" t="str">
            <v>GASTO FISICO</v>
          </cell>
        </row>
        <row r="3269">
          <cell r="AQ3269" t="str">
            <v>15933075|71614000|371083247|371083247</v>
          </cell>
          <cell r="AR3269" t="str">
            <v>IMED SALUD</v>
          </cell>
        </row>
        <row r="3270">
          <cell r="AQ3270" t="str">
            <v>15933075|71614000|371083247|371083247</v>
          </cell>
          <cell r="AR3270" t="str">
            <v>IMED SALUD</v>
          </cell>
        </row>
        <row r="3271">
          <cell r="AQ3271" t="str">
            <v>15933075|71614000|371083247|371083247</v>
          </cell>
          <cell r="AR3271" t="str">
            <v>IMED SALUD</v>
          </cell>
        </row>
        <row r="3272">
          <cell r="AQ3272" t="str">
            <v>15933075|71614000|371083247|371083247</v>
          </cell>
          <cell r="AR3272" t="str">
            <v>IMED SALUD</v>
          </cell>
        </row>
        <row r="3273">
          <cell r="AQ3273" t="str">
            <v>15933075|71614000|371083247|371083247</v>
          </cell>
          <cell r="AR3273" t="str">
            <v>IMED SALUD</v>
          </cell>
        </row>
        <row r="3274">
          <cell r="AQ3274" t="str">
            <v>15933075|71614000|371083247|371083247</v>
          </cell>
          <cell r="AR3274" t="str">
            <v>IMED SALUD</v>
          </cell>
        </row>
        <row r="3275">
          <cell r="AQ3275" t="str">
            <v>15933075|71614000|371083247|371083247</v>
          </cell>
          <cell r="AR3275" t="str">
            <v>IMED SALUD</v>
          </cell>
        </row>
        <row r="3276">
          <cell r="AQ3276" t="str">
            <v>15933075|71614000|371083247|371083247</v>
          </cell>
          <cell r="AR3276" t="str">
            <v>IMED SALUD</v>
          </cell>
        </row>
        <row r="3277">
          <cell r="AQ3277" t="str">
            <v>15933075|71614000|371083247|371083247</v>
          </cell>
          <cell r="AR3277" t="str">
            <v>IMED SALUD</v>
          </cell>
        </row>
        <row r="3278">
          <cell r="AQ3278" t="str">
            <v>15933075|71614000|371083247|371083247</v>
          </cell>
          <cell r="AR3278" t="str">
            <v>IMED SALUD</v>
          </cell>
        </row>
        <row r="3279">
          <cell r="AQ3279" t="str">
            <v>15933075|71614000|371083247|65384344</v>
          </cell>
          <cell r="AR3279" t="str">
            <v>GASTO FISICO</v>
          </cell>
        </row>
        <row r="3280">
          <cell r="AQ3280" t="str">
            <v>15933075|71614000|371083247|65384344</v>
          </cell>
          <cell r="AR3280" t="str">
            <v>GASTO FISICO</v>
          </cell>
        </row>
        <row r="3281">
          <cell r="AQ3281" t="str">
            <v>15933075|71614000|371083247|65384344</v>
          </cell>
          <cell r="AR3281" t="str">
            <v>GASTO FISICO</v>
          </cell>
        </row>
        <row r="3282">
          <cell r="AQ3282" t="str">
            <v>15933075|71614000|371083247|65384344</v>
          </cell>
          <cell r="AR3282" t="str">
            <v>GASTO FISICO</v>
          </cell>
        </row>
        <row r="3283">
          <cell r="AQ3283" t="str">
            <v>15933075|71614000|371083247|65384344</v>
          </cell>
          <cell r="AR3283" t="str">
            <v>GASTO FISICO</v>
          </cell>
        </row>
        <row r="3284">
          <cell r="AQ3284" t="str">
            <v>15933075|71614000|371083248|371083248</v>
          </cell>
          <cell r="AR3284" t="str">
            <v>IMED SALUD</v>
          </cell>
        </row>
        <row r="3285">
          <cell r="AQ3285" t="str">
            <v>15933075|71614000|371083248|371083248</v>
          </cell>
          <cell r="AR3285" t="str">
            <v>IMED SALUD</v>
          </cell>
        </row>
        <row r="3286">
          <cell r="AQ3286" t="str">
            <v>15933075|71614000|371083248|371083248</v>
          </cell>
          <cell r="AR3286" t="str">
            <v>IMED SALUD</v>
          </cell>
        </row>
        <row r="3287">
          <cell r="AQ3287" t="str">
            <v>15933075|71614000|371083248|371083248</v>
          </cell>
          <cell r="AR3287" t="str">
            <v>IMED SALUD</v>
          </cell>
        </row>
        <row r="3288">
          <cell r="AQ3288" t="str">
            <v>15933075|71614000|371083248|371083248</v>
          </cell>
          <cell r="AR3288" t="str">
            <v>IMED SALUD</v>
          </cell>
        </row>
        <row r="3289">
          <cell r="AQ3289" t="str">
            <v>15933075|71614000|371083248|371083248</v>
          </cell>
          <cell r="AR3289" t="str">
            <v>IMED SALUD</v>
          </cell>
        </row>
        <row r="3290">
          <cell r="AQ3290" t="str">
            <v>15933075|71614000|371083248|371083248</v>
          </cell>
          <cell r="AR3290" t="str">
            <v>IMED SALUD</v>
          </cell>
        </row>
        <row r="3291">
          <cell r="AQ3291" t="str">
            <v>15933075|71614000|371083248|371083248</v>
          </cell>
          <cell r="AR3291" t="str">
            <v>IMED SALUD</v>
          </cell>
        </row>
        <row r="3292">
          <cell r="AQ3292" t="str">
            <v>15933075|71614000|371083248|371083248</v>
          </cell>
          <cell r="AR3292" t="str">
            <v>IMED SALUD</v>
          </cell>
        </row>
        <row r="3293">
          <cell r="AQ3293" t="str">
            <v>15933075|71614000|371083248|371083248</v>
          </cell>
          <cell r="AR3293" t="str">
            <v>IMED SALUD</v>
          </cell>
        </row>
        <row r="3294">
          <cell r="AQ3294" t="str">
            <v>15933075|71614000|371083248|65384345</v>
          </cell>
          <cell r="AR3294" t="str">
            <v>GASTO FISICO</v>
          </cell>
        </row>
        <row r="3295">
          <cell r="AQ3295" t="str">
            <v>15933075|71614000|371083248|65384345</v>
          </cell>
          <cell r="AR3295" t="str">
            <v>GASTO FISICO</v>
          </cell>
        </row>
        <row r="3296">
          <cell r="AQ3296" t="str">
            <v>15933075|71614000|371083248|65384345</v>
          </cell>
          <cell r="AR3296" t="str">
            <v>GASTO FISICO</v>
          </cell>
        </row>
        <row r="3297">
          <cell r="AQ3297" t="str">
            <v>15933075|71614000|371083248|65384345</v>
          </cell>
          <cell r="AR3297" t="str">
            <v>GASTO FISICO</v>
          </cell>
        </row>
        <row r="3298">
          <cell r="AQ3298" t="str">
            <v>15933075|71614000|371083248|65384345</v>
          </cell>
          <cell r="AR3298" t="str">
            <v>GASTO FISICO</v>
          </cell>
        </row>
        <row r="3299">
          <cell r="AQ3299" t="str">
            <v>15933075|71614000|371083249|371083249</v>
          </cell>
          <cell r="AR3299" t="str">
            <v>IMED SALUD</v>
          </cell>
        </row>
        <row r="3300">
          <cell r="AQ3300" t="str">
            <v>15933075|71614000|371083249|371083249</v>
          </cell>
          <cell r="AR3300" t="str">
            <v>IMED SALUD</v>
          </cell>
        </row>
        <row r="3301">
          <cell r="AQ3301" t="str">
            <v>15933075|71614000|371083249|371083249</v>
          </cell>
          <cell r="AR3301" t="str">
            <v>IMED SALUD</v>
          </cell>
        </row>
        <row r="3302">
          <cell r="AQ3302" t="str">
            <v>15933075|71614000|371083249|371083249</v>
          </cell>
          <cell r="AR3302" t="str">
            <v>IMED SALUD</v>
          </cell>
        </row>
        <row r="3303">
          <cell r="AQ3303" t="str">
            <v>15933075|71614000|371083249|371083249</v>
          </cell>
          <cell r="AR3303" t="str">
            <v>IMED SALUD</v>
          </cell>
        </row>
        <row r="3304">
          <cell r="AQ3304" t="str">
            <v>15933075|71614000|371083249|371083249</v>
          </cell>
          <cell r="AR3304" t="str">
            <v>IMED SALUD</v>
          </cell>
        </row>
        <row r="3305">
          <cell r="AQ3305" t="str">
            <v>15933075|71614000|371083249|65384346</v>
          </cell>
          <cell r="AR3305" t="str">
            <v>GASTO FISICO</v>
          </cell>
        </row>
        <row r="3306">
          <cell r="AQ3306" t="str">
            <v>15933075|71614000|371083249|65384346</v>
          </cell>
          <cell r="AR3306" t="str">
            <v>GASTO FISICO</v>
          </cell>
        </row>
        <row r="3307">
          <cell r="AQ3307" t="str">
            <v>15933075|71614000|371083249|65384346</v>
          </cell>
          <cell r="AR3307" t="str">
            <v>GASTO FISICO</v>
          </cell>
        </row>
        <row r="3308">
          <cell r="AQ3308" t="str">
            <v>15933075|71614000|371084929|371084929</v>
          </cell>
          <cell r="AR3308" t="str">
            <v>IMED SALUD</v>
          </cell>
        </row>
        <row r="3309">
          <cell r="AQ3309" t="str">
            <v>15933075|71614000|371084929|371084929</v>
          </cell>
          <cell r="AR3309" t="str">
            <v>IMED SALUD</v>
          </cell>
        </row>
        <row r="3310">
          <cell r="AQ3310" t="str">
            <v>15933075|71614000|371084929|371084929</v>
          </cell>
          <cell r="AR3310" t="str">
            <v>IMED SALUD</v>
          </cell>
        </row>
        <row r="3311">
          <cell r="AQ3311" t="str">
            <v>15933075|71614000|371084929|371084929</v>
          </cell>
          <cell r="AR3311" t="str">
            <v>IMED SALUD</v>
          </cell>
        </row>
        <row r="3312">
          <cell r="AQ3312" t="str">
            <v>15933075|71614000|371084929|65384347</v>
          </cell>
          <cell r="AR3312" t="str">
            <v>GASTO FISICO</v>
          </cell>
        </row>
        <row r="3313">
          <cell r="AQ3313" t="str">
            <v>15933075|71614000|371084929|65384347</v>
          </cell>
          <cell r="AR3313" t="str">
            <v>GASTO FISICO</v>
          </cell>
        </row>
        <row r="3314">
          <cell r="AQ3314" t="str">
            <v>15961242|99573490|136436297|136436297</v>
          </cell>
          <cell r="AR3314" t="str">
            <v>IMED SALUD</v>
          </cell>
        </row>
        <row r="3315">
          <cell r="AQ3315" t="str">
            <v>15961242|99573490|136436297|136436297</v>
          </cell>
          <cell r="AR3315" t="str">
            <v>IMED SALUD</v>
          </cell>
        </row>
        <row r="3316">
          <cell r="AQ3316" t="str">
            <v>15961242|99573490|136436297|136436297</v>
          </cell>
          <cell r="AR3316" t="str">
            <v>IMED SALUD</v>
          </cell>
        </row>
        <row r="3317">
          <cell r="AQ3317" t="str">
            <v>15961242|99573490|136436297|136436297</v>
          </cell>
          <cell r="AR3317" t="str">
            <v>IMED SALUD</v>
          </cell>
        </row>
        <row r="3318">
          <cell r="AQ3318" t="str">
            <v>15961242|99573490|136436297|136436297</v>
          </cell>
          <cell r="AR3318" t="str">
            <v>IMED SALUD</v>
          </cell>
        </row>
        <row r="3319">
          <cell r="AQ3319" t="str">
            <v>15961242|99573490|136436297|136436297</v>
          </cell>
          <cell r="AR3319" t="str">
            <v>IMED SALUD</v>
          </cell>
        </row>
        <row r="3320">
          <cell r="AQ3320" t="str">
            <v>15961242|99573490|136436297|136436297</v>
          </cell>
          <cell r="AR3320" t="str">
            <v>IMED SALUD</v>
          </cell>
        </row>
        <row r="3321">
          <cell r="AQ3321" t="str">
            <v>15961242|99573490|136436297|136436297</v>
          </cell>
          <cell r="AR3321" t="str">
            <v>IMED SALUD</v>
          </cell>
        </row>
        <row r="3322">
          <cell r="AQ3322" t="str">
            <v>15961242|99573490|136436297|136436297</v>
          </cell>
          <cell r="AR3322" t="str">
            <v>IMED SALUD</v>
          </cell>
        </row>
        <row r="3323">
          <cell r="AQ3323" t="str">
            <v>15961242|99573490|136436297|136436297</v>
          </cell>
          <cell r="AR3323" t="str">
            <v>IMED SALUD</v>
          </cell>
        </row>
        <row r="3324">
          <cell r="AQ3324" t="str">
            <v>15961242|99573490|136436297|65384348</v>
          </cell>
          <cell r="AR3324" t="str">
            <v>GASTO FISICO</v>
          </cell>
        </row>
        <row r="3325">
          <cell r="AQ3325" t="str">
            <v>15961242|99573490|136436297|65384348</v>
          </cell>
          <cell r="AR3325" t="str">
            <v>GASTO FISICO</v>
          </cell>
        </row>
        <row r="3326">
          <cell r="AQ3326" t="str">
            <v>15961242|99573490|136436297|65384348</v>
          </cell>
          <cell r="AR3326" t="str">
            <v>GASTO FISICO</v>
          </cell>
        </row>
        <row r="3327">
          <cell r="AQ3327" t="str">
            <v>15961242|99573490|136436297|65384348</v>
          </cell>
          <cell r="AR3327" t="str">
            <v>GASTO FISICO</v>
          </cell>
        </row>
        <row r="3328">
          <cell r="AQ3328" t="str">
            <v>15961242|99573490|136436297|65384348</v>
          </cell>
          <cell r="AR3328" t="str">
            <v>GASTO FISICO</v>
          </cell>
        </row>
        <row r="3329">
          <cell r="AQ3329" t="str">
            <v>15961242|99573490|136436298|136436298</v>
          </cell>
          <cell r="AR3329" t="str">
            <v>IMED SALUD</v>
          </cell>
        </row>
        <row r="3330">
          <cell r="AQ3330" t="str">
            <v>15961242|99573490|136436298|136436298</v>
          </cell>
          <cell r="AR3330" t="str">
            <v>IMED SALUD</v>
          </cell>
        </row>
        <row r="3331">
          <cell r="AQ3331" t="str">
            <v>15961242|99573490|136436298|136436298</v>
          </cell>
          <cell r="AR3331" t="str">
            <v>IMED SALUD</v>
          </cell>
        </row>
        <row r="3332">
          <cell r="AQ3332" t="str">
            <v>15961242|99573490|136436298|136436298</v>
          </cell>
          <cell r="AR3332" t="str">
            <v>IMED SALUD</v>
          </cell>
        </row>
        <row r="3333">
          <cell r="AQ3333" t="str">
            <v>15961242|99573490|136436298|65384349</v>
          </cell>
          <cell r="AR3333" t="str">
            <v>GASTO FISICO</v>
          </cell>
        </row>
        <row r="3334">
          <cell r="AQ3334" t="str">
            <v>15961242|99573490|136436298|65384349</v>
          </cell>
          <cell r="AR3334" t="str">
            <v>GASTO FISICO</v>
          </cell>
        </row>
        <row r="3335">
          <cell r="AQ3335" t="str">
            <v>15992341|10048316|918883750|918883750</v>
          </cell>
          <cell r="AR3335" t="str">
            <v>IMED SALUD</v>
          </cell>
        </row>
        <row r="3336">
          <cell r="AQ3336" t="str">
            <v>15992341|10048316|918883750|918883750</v>
          </cell>
          <cell r="AR3336" t="str">
            <v>IMED SALUD</v>
          </cell>
        </row>
        <row r="3337">
          <cell r="AQ3337" t="str">
            <v>15992341|10048316|918883750|65384350</v>
          </cell>
          <cell r="AR3337" t="str">
            <v>GASTO FISICO</v>
          </cell>
        </row>
        <row r="3338">
          <cell r="AQ3338" t="str">
            <v>15992341|99573490|918960055|918960055</v>
          </cell>
          <cell r="AR3338" t="str">
            <v>IMED SALUD</v>
          </cell>
        </row>
        <row r="3339">
          <cell r="AQ3339" t="str">
            <v>15992341|99573490|918960055|918960055</v>
          </cell>
          <cell r="AR3339" t="str">
            <v>IMED SALUD</v>
          </cell>
        </row>
        <row r="3340">
          <cell r="AQ3340" t="str">
            <v>15992341|99573490|918960055|918960055</v>
          </cell>
          <cell r="AR3340" t="str">
            <v>IMED SALUD</v>
          </cell>
        </row>
        <row r="3341">
          <cell r="AQ3341" t="str">
            <v>15992341|99573490|918960055|918960055</v>
          </cell>
          <cell r="AR3341" t="str">
            <v>IMED SALUD</v>
          </cell>
        </row>
        <row r="3342">
          <cell r="AQ3342" t="str">
            <v>15992341|99573490|918960055|918960055</v>
          </cell>
          <cell r="AR3342" t="str">
            <v>IMED SALUD</v>
          </cell>
        </row>
        <row r="3343">
          <cell r="AQ3343" t="str">
            <v>15992341|99573490|918960055|918960055</v>
          </cell>
          <cell r="AR3343" t="str">
            <v>IMED SALUD</v>
          </cell>
        </row>
        <row r="3344">
          <cell r="AQ3344" t="str">
            <v>15992341|99573490|918960055|918960055</v>
          </cell>
          <cell r="AR3344" t="str">
            <v>IMED SALUD</v>
          </cell>
        </row>
        <row r="3345">
          <cell r="AQ3345" t="str">
            <v>15992341|99573490|918960055|918960055</v>
          </cell>
          <cell r="AR3345" t="str">
            <v>IMED SALUD</v>
          </cell>
        </row>
        <row r="3346">
          <cell r="AQ3346" t="str">
            <v>15992341|99573490|918960055|918960055</v>
          </cell>
          <cell r="AR3346" t="str">
            <v>IMED SALUD</v>
          </cell>
        </row>
        <row r="3347">
          <cell r="AQ3347" t="str">
            <v>15992341|99573490|918960055|918960055</v>
          </cell>
          <cell r="AR3347" t="str">
            <v>IMED SALUD</v>
          </cell>
        </row>
        <row r="3348">
          <cell r="AQ3348" t="str">
            <v>15992341|99573490|918960055|65213195</v>
          </cell>
          <cell r="AR3348" t="str">
            <v>GASTO FISICO</v>
          </cell>
        </row>
        <row r="3349">
          <cell r="AQ3349" t="str">
            <v>15992341|99573490|918960055|65213195</v>
          </cell>
          <cell r="AR3349" t="str">
            <v>GASTO FISICO</v>
          </cell>
        </row>
        <row r="3350">
          <cell r="AQ3350" t="str">
            <v>15992341|99573490|918960055|65213195</v>
          </cell>
          <cell r="AR3350" t="str">
            <v>GASTO FISICO</v>
          </cell>
        </row>
        <row r="3351">
          <cell r="AQ3351" t="str">
            <v>15992341|99573490|918960055|65213195</v>
          </cell>
          <cell r="AR3351" t="str">
            <v>GASTO FISICO</v>
          </cell>
        </row>
        <row r="3352">
          <cell r="AQ3352" t="str">
            <v>15992341|99573490|918960055|65213195</v>
          </cell>
          <cell r="AR3352" t="str">
            <v>GASTO FISICO</v>
          </cell>
        </row>
        <row r="3353">
          <cell r="AQ3353" t="str">
            <v>15992341|99573490|918960056|918960056</v>
          </cell>
          <cell r="AR3353" t="str">
            <v>IMED SALUD</v>
          </cell>
        </row>
        <row r="3354">
          <cell r="AQ3354" t="str">
            <v>15992341|99573490|918960056|918960056</v>
          </cell>
          <cell r="AR3354" t="str">
            <v>IMED SALUD</v>
          </cell>
        </row>
        <row r="3355">
          <cell r="AQ3355" t="str">
            <v>15992341|99573490|918960056|918960056</v>
          </cell>
          <cell r="AR3355" t="str">
            <v>IMED SALUD</v>
          </cell>
        </row>
        <row r="3356">
          <cell r="AQ3356" t="str">
            <v>15992341|99573490|918960056|918960056</v>
          </cell>
          <cell r="AR3356" t="str">
            <v>IMED SALUD</v>
          </cell>
        </row>
        <row r="3357">
          <cell r="AQ3357" t="str">
            <v>15992341|99573490|918960056|918960056</v>
          </cell>
          <cell r="AR3357" t="str">
            <v>IMED SALUD</v>
          </cell>
        </row>
        <row r="3358">
          <cell r="AQ3358" t="str">
            <v>15992341|99573490|918960056|918960056</v>
          </cell>
          <cell r="AR3358" t="str">
            <v>IMED SALUD</v>
          </cell>
        </row>
        <row r="3359">
          <cell r="AQ3359" t="str">
            <v>15992341|99573490|918960056|918960056</v>
          </cell>
          <cell r="AR3359" t="str">
            <v>IMED SALUD</v>
          </cell>
        </row>
        <row r="3360">
          <cell r="AQ3360" t="str">
            <v>15992341|99573490|918960056|918960056</v>
          </cell>
          <cell r="AR3360" t="str">
            <v>IMED SALUD</v>
          </cell>
        </row>
        <row r="3361">
          <cell r="AQ3361" t="str">
            <v>15992341|99573490|918960056|918960056</v>
          </cell>
          <cell r="AR3361" t="str">
            <v>IMED SALUD</v>
          </cell>
        </row>
        <row r="3362">
          <cell r="AQ3362" t="str">
            <v>15992341|99573490|918960056|918960056</v>
          </cell>
          <cell r="AR3362" t="str">
            <v>IMED SALUD</v>
          </cell>
        </row>
        <row r="3363">
          <cell r="AQ3363" t="str">
            <v>15992341|99573490|918960056|65213196</v>
          </cell>
          <cell r="AR3363" t="str">
            <v>GASTO FISICO</v>
          </cell>
        </row>
        <row r="3364">
          <cell r="AQ3364" t="str">
            <v>15992341|99573490|918960056|65213196</v>
          </cell>
          <cell r="AR3364" t="str">
            <v>GASTO FISICO</v>
          </cell>
        </row>
        <row r="3365">
          <cell r="AQ3365" t="str">
            <v>15992341|99573490|918960056|65213196</v>
          </cell>
          <cell r="AR3365" t="str">
            <v>GASTO FISICO</v>
          </cell>
        </row>
        <row r="3366">
          <cell r="AQ3366" t="str">
            <v>15992341|99573490|918960056|65213196</v>
          </cell>
          <cell r="AR3366" t="str">
            <v>GASTO FISICO</v>
          </cell>
        </row>
        <row r="3367">
          <cell r="AQ3367" t="str">
            <v>15992341|99573490|918960056|65213196</v>
          </cell>
          <cell r="AR3367" t="str">
            <v>GASTO FISICO</v>
          </cell>
        </row>
        <row r="3368">
          <cell r="AQ3368" t="str">
            <v>15992341|99573490|918960057|918960057</v>
          </cell>
          <cell r="AR3368" t="str">
            <v>IMED SALUD</v>
          </cell>
        </row>
        <row r="3369">
          <cell r="AQ3369" t="str">
            <v>15992341|99573490|918960057|918960057</v>
          </cell>
          <cell r="AR3369" t="str">
            <v>IMED SALUD</v>
          </cell>
        </row>
        <row r="3370">
          <cell r="AQ3370" t="str">
            <v>15992341|99573490|918960057|918960057</v>
          </cell>
          <cell r="AR3370" t="str">
            <v>IMED SALUD</v>
          </cell>
        </row>
        <row r="3371">
          <cell r="AQ3371" t="str">
            <v>15992341|99573490|918960057|918960057</v>
          </cell>
          <cell r="AR3371" t="str">
            <v>IMED SALUD</v>
          </cell>
        </row>
        <row r="3372">
          <cell r="AQ3372" t="str">
            <v>15992341|99573490|918960057|918960057</v>
          </cell>
          <cell r="AR3372" t="str">
            <v>IMED SALUD</v>
          </cell>
        </row>
        <row r="3373">
          <cell r="AQ3373" t="str">
            <v>15992341|99573490|918960057|918960057</v>
          </cell>
          <cell r="AR3373" t="str">
            <v>IMED SALUD</v>
          </cell>
        </row>
        <row r="3374">
          <cell r="AQ3374" t="str">
            <v>15992341|99573490|918960057|918960057</v>
          </cell>
          <cell r="AR3374" t="str">
            <v>IMED SALUD</v>
          </cell>
        </row>
        <row r="3375">
          <cell r="AQ3375" t="str">
            <v>15992341|99573490|918960057|918960057</v>
          </cell>
          <cell r="AR3375" t="str">
            <v>IMED SALUD</v>
          </cell>
        </row>
        <row r="3376">
          <cell r="AQ3376" t="str">
            <v>15992341|99573490|918960057|918960057</v>
          </cell>
          <cell r="AR3376" t="str">
            <v>IMED SALUD</v>
          </cell>
        </row>
        <row r="3377">
          <cell r="AQ3377" t="str">
            <v>15992341|99573490|918960057|918960057</v>
          </cell>
          <cell r="AR3377" t="str">
            <v>IMED SALUD</v>
          </cell>
        </row>
        <row r="3378">
          <cell r="AQ3378" t="str">
            <v>15992341|99573490|918960057|65213197</v>
          </cell>
          <cell r="AR3378" t="str">
            <v>GASTO FISICO</v>
          </cell>
        </row>
        <row r="3379">
          <cell r="AQ3379" t="str">
            <v>15992341|99573490|918960057|65213197</v>
          </cell>
          <cell r="AR3379" t="str">
            <v>GASTO FISICO</v>
          </cell>
        </row>
        <row r="3380">
          <cell r="AQ3380" t="str">
            <v>15992341|99573490|918960057|65213197</v>
          </cell>
          <cell r="AR3380" t="str">
            <v>GASTO FISICO</v>
          </cell>
        </row>
        <row r="3381">
          <cell r="AQ3381" t="str">
            <v>15992341|99573490|918960057|65213197</v>
          </cell>
          <cell r="AR3381" t="str">
            <v>GASTO FISICO</v>
          </cell>
        </row>
        <row r="3382">
          <cell r="AQ3382" t="str">
            <v>15992341|99573490|918960057|65213197</v>
          </cell>
          <cell r="AR3382" t="str">
            <v>GASTO FISICO</v>
          </cell>
        </row>
        <row r="3383">
          <cell r="AQ3383" t="str">
            <v>15992341|99573490|918960058|918960058</v>
          </cell>
          <cell r="AR3383" t="str">
            <v>IMED SALUD</v>
          </cell>
        </row>
        <row r="3384">
          <cell r="AQ3384" t="str">
            <v>15992341|99573490|918960058|918960058</v>
          </cell>
          <cell r="AR3384" t="str">
            <v>IMED SALUD</v>
          </cell>
        </row>
        <row r="3385">
          <cell r="AQ3385" t="str">
            <v>15992341|99573490|918960058|918960058</v>
          </cell>
          <cell r="AR3385" t="str">
            <v>IMED SALUD</v>
          </cell>
        </row>
        <row r="3386">
          <cell r="AQ3386" t="str">
            <v>15992341|99573490|918960058|918960058</v>
          </cell>
          <cell r="AR3386" t="str">
            <v>IMED SALUD</v>
          </cell>
        </row>
        <row r="3387">
          <cell r="AQ3387" t="str">
            <v>15992341|99573490|918960058|65213198</v>
          </cell>
          <cell r="AR3387" t="str">
            <v>GASTO FISICO</v>
          </cell>
        </row>
        <row r="3388">
          <cell r="AQ3388" t="str">
            <v>15992341|99573490|918960058|65213198</v>
          </cell>
          <cell r="AR3388" t="str">
            <v>GASTO FISICO</v>
          </cell>
        </row>
        <row r="3389">
          <cell r="AQ3389" t="str">
            <v>16116767|76110809|921121536|921121536</v>
          </cell>
          <cell r="AR3389" t="str">
            <v>IMED SALUD</v>
          </cell>
        </row>
        <row r="3390">
          <cell r="AQ3390" t="str">
            <v>16116767|76110809|921121536|921121536</v>
          </cell>
          <cell r="AR3390" t="str">
            <v>IMED SALUD</v>
          </cell>
        </row>
        <row r="3391">
          <cell r="AQ3391" t="str">
            <v>16116767|76110809|921121536|65384353</v>
          </cell>
          <cell r="AR3391" t="str">
            <v>GASTO FISICO</v>
          </cell>
        </row>
        <row r="3392">
          <cell r="AQ3392" t="str">
            <v>16116767|96942400|921453350|921453350</v>
          </cell>
          <cell r="AR3392" t="str">
            <v>IMED SALUD</v>
          </cell>
        </row>
        <row r="3393">
          <cell r="AQ3393" t="str">
            <v>16116767|96942400|921453350|921453350</v>
          </cell>
          <cell r="AR3393" t="str">
            <v>IMED SALUD</v>
          </cell>
        </row>
        <row r="3394">
          <cell r="AQ3394" t="str">
            <v>16116767|96942400|921453350|921453350</v>
          </cell>
          <cell r="AR3394" t="str">
            <v>IMED SALUD</v>
          </cell>
        </row>
        <row r="3395">
          <cell r="AQ3395" t="str">
            <v>16116767|96942400|921453350|921453350</v>
          </cell>
          <cell r="AR3395" t="str">
            <v>IMED SALUD</v>
          </cell>
        </row>
        <row r="3396">
          <cell r="AQ3396" t="str">
            <v>16116767|96942400|921453350|921453350</v>
          </cell>
          <cell r="AR3396" t="str">
            <v>IMED SALUD</v>
          </cell>
        </row>
        <row r="3397">
          <cell r="AQ3397" t="str">
            <v>16116767|96942400|921453350|921453350</v>
          </cell>
          <cell r="AR3397" t="str">
            <v>IMED SALUD</v>
          </cell>
        </row>
        <row r="3398">
          <cell r="AQ3398" t="str">
            <v>16116767|96942400|921453350|921453350</v>
          </cell>
          <cell r="AR3398" t="str">
            <v>IMED SALUD</v>
          </cell>
        </row>
        <row r="3399">
          <cell r="AQ3399" t="str">
            <v>16116767|96942400|921453350|921453350</v>
          </cell>
          <cell r="AR3399" t="str">
            <v>IMED SALUD</v>
          </cell>
        </row>
        <row r="3400">
          <cell r="AQ3400" t="str">
            <v>16116767|96942400|921453350|921453350</v>
          </cell>
          <cell r="AR3400" t="str">
            <v>IMED SALUD</v>
          </cell>
        </row>
        <row r="3401">
          <cell r="AQ3401" t="str">
            <v>16116767|96942400|921453350|921453350</v>
          </cell>
          <cell r="AR3401" t="str">
            <v>IMED SALUD</v>
          </cell>
        </row>
        <row r="3402">
          <cell r="AQ3402" t="str">
            <v>16116767|96942400|921453350|65384354</v>
          </cell>
          <cell r="AR3402" t="str">
            <v>GASTO FISICO</v>
          </cell>
        </row>
        <row r="3403">
          <cell r="AQ3403" t="str">
            <v>16116767|96942400|921453350|65384354</v>
          </cell>
          <cell r="AR3403" t="str">
            <v>GASTO FISICO</v>
          </cell>
        </row>
        <row r="3404">
          <cell r="AQ3404" t="str">
            <v>16116767|96942400|921453350|65384354</v>
          </cell>
          <cell r="AR3404" t="str">
            <v>GASTO FISICO</v>
          </cell>
        </row>
        <row r="3405">
          <cell r="AQ3405" t="str">
            <v>16116767|96942400|921453350|65384354</v>
          </cell>
          <cell r="AR3405" t="str">
            <v>GASTO FISICO</v>
          </cell>
        </row>
        <row r="3406">
          <cell r="AQ3406" t="str">
            <v>16116767|96942400|921453350|65384354</v>
          </cell>
          <cell r="AR3406" t="str">
            <v>GASTO FISICO</v>
          </cell>
        </row>
        <row r="3407">
          <cell r="AQ3407" t="str">
            <v>16116767|96942400|921453351|921453351</v>
          </cell>
          <cell r="AR3407" t="str">
            <v>IMED SALUD</v>
          </cell>
        </row>
        <row r="3408">
          <cell r="AQ3408" t="str">
            <v>16116767|96942400|921453351|921453351</v>
          </cell>
          <cell r="AR3408" t="str">
            <v>IMED SALUD</v>
          </cell>
        </row>
        <row r="3409">
          <cell r="AQ3409" t="str">
            <v>16116767|96942400|921453351|921453351</v>
          </cell>
          <cell r="AR3409" t="str">
            <v>IMED SALUD</v>
          </cell>
        </row>
        <row r="3410">
          <cell r="AQ3410" t="str">
            <v>16116767|96942400|921453351|921453351</v>
          </cell>
          <cell r="AR3410" t="str">
            <v>IMED SALUD</v>
          </cell>
        </row>
        <row r="3411">
          <cell r="AQ3411" t="str">
            <v>16116767|96942400|921453351|921453351</v>
          </cell>
          <cell r="AR3411" t="str">
            <v>IMED SALUD</v>
          </cell>
        </row>
        <row r="3412">
          <cell r="AQ3412" t="str">
            <v>16116767|96942400|921453351|921453351</v>
          </cell>
          <cell r="AR3412" t="str">
            <v>IMED SALUD</v>
          </cell>
        </row>
        <row r="3413">
          <cell r="AQ3413" t="str">
            <v>16116767|96942400|921453351|921453351</v>
          </cell>
          <cell r="AR3413" t="str">
            <v>IMED SALUD</v>
          </cell>
        </row>
        <row r="3414">
          <cell r="AQ3414" t="str">
            <v>16116767|96942400|921453351|921453351</v>
          </cell>
          <cell r="AR3414" t="str">
            <v>IMED SALUD</v>
          </cell>
        </row>
        <row r="3415">
          <cell r="AQ3415" t="str">
            <v>16116767|96942400|921453351|921453351</v>
          </cell>
          <cell r="AR3415" t="str">
            <v>IMED SALUD</v>
          </cell>
        </row>
        <row r="3416">
          <cell r="AQ3416" t="str">
            <v>16116767|96942400|921453351|921453351</v>
          </cell>
          <cell r="AR3416" t="str">
            <v>IMED SALUD</v>
          </cell>
        </row>
        <row r="3417">
          <cell r="AQ3417" t="str">
            <v>16116767|96942400|921453351|65384355</v>
          </cell>
          <cell r="AR3417" t="str">
            <v>GASTO FISICO</v>
          </cell>
        </row>
        <row r="3418">
          <cell r="AQ3418" t="str">
            <v>16116767|96942400|921453351|65384355</v>
          </cell>
          <cell r="AR3418" t="str">
            <v>GASTO FISICO</v>
          </cell>
        </row>
        <row r="3419">
          <cell r="AQ3419" t="str">
            <v>16116767|96942400|921453351|65384355</v>
          </cell>
          <cell r="AR3419" t="str">
            <v>GASTO FISICO</v>
          </cell>
        </row>
        <row r="3420">
          <cell r="AQ3420" t="str">
            <v>16116767|96942400|921453351|65384355</v>
          </cell>
          <cell r="AR3420" t="str">
            <v>GASTO FISICO</v>
          </cell>
        </row>
        <row r="3421">
          <cell r="AQ3421" t="str">
            <v>16116767|96942400|921453351|65384355</v>
          </cell>
          <cell r="AR3421" t="str">
            <v>GASTO FISICO</v>
          </cell>
        </row>
        <row r="3422">
          <cell r="AQ3422" t="str">
            <v>16143227|70015580|919689342|919689342</v>
          </cell>
          <cell r="AR3422" t="str">
            <v>IMED SALUD</v>
          </cell>
        </row>
        <row r="3423">
          <cell r="AQ3423" t="str">
            <v>16143227|70015580|919689342|919689342</v>
          </cell>
          <cell r="AR3423" t="str">
            <v>IMED SALUD</v>
          </cell>
        </row>
        <row r="3424">
          <cell r="AQ3424" t="str">
            <v>16143227|70015580|919689342|65384356</v>
          </cell>
          <cell r="AR3424" t="str">
            <v>GASTO FISICO</v>
          </cell>
        </row>
        <row r="3425">
          <cell r="AQ3425" t="str">
            <v>16143311|99573490|916588601|916588601</v>
          </cell>
          <cell r="AR3425" t="str">
            <v>IMED SALUD</v>
          </cell>
        </row>
        <row r="3426">
          <cell r="AQ3426" t="str">
            <v>16143311|99573490|916588601|916588601</v>
          </cell>
          <cell r="AR3426" t="str">
            <v>IMED SALUD</v>
          </cell>
        </row>
        <row r="3427">
          <cell r="AQ3427" t="str">
            <v>16143311|99573490|916588601|916588601</v>
          </cell>
          <cell r="AR3427" t="str">
            <v>IMED SALUD</v>
          </cell>
        </row>
        <row r="3428">
          <cell r="AQ3428" t="str">
            <v>16143311|99573490|916588601|916588601</v>
          </cell>
          <cell r="AR3428" t="str">
            <v>IMED SALUD</v>
          </cell>
        </row>
        <row r="3429">
          <cell r="AQ3429" t="str">
            <v>16143311|99573490|916588601|916588601</v>
          </cell>
          <cell r="AR3429" t="str">
            <v>IMED SALUD</v>
          </cell>
        </row>
        <row r="3430">
          <cell r="AQ3430" t="str">
            <v>16143311|99573490|916588601|916588601</v>
          </cell>
          <cell r="AR3430" t="str">
            <v>IMED SALUD</v>
          </cell>
        </row>
        <row r="3431">
          <cell r="AQ3431" t="str">
            <v>16143311|99573490|916588601|916588601</v>
          </cell>
          <cell r="AR3431" t="str">
            <v>IMED SALUD</v>
          </cell>
        </row>
        <row r="3432">
          <cell r="AQ3432" t="str">
            <v>16143311|99573490|916588601|916588601</v>
          </cell>
          <cell r="AR3432" t="str">
            <v>IMED SALUD</v>
          </cell>
        </row>
        <row r="3433">
          <cell r="AQ3433" t="str">
            <v>16143311|99573490|916588601|916588601</v>
          </cell>
          <cell r="AR3433" t="str">
            <v>IMED SALUD</v>
          </cell>
        </row>
        <row r="3434">
          <cell r="AQ3434" t="str">
            <v>16143311|99573490|916588601|916588601</v>
          </cell>
          <cell r="AR3434" t="str">
            <v>IMED SALUD</v>
          </cell>
        </row>
        <row r="3435">
          <cell r="AQ3435" t="str">
            <v>16143311|99573490|916588601|65384362</v>
          </cell>
          <cell r="AR3435" t="str">
            <v>GASTO FISICO</v>
          </cell>
        </row>
        <row r="3436">
          <cell r="AQ3436" t="str">
            <v>16143311|99573490|916588601|65384362</v>
          </cell>
          <cell r="AR3436" t="str">
            <v>GASTO FISICO</v>
          </cell>
        </row>
        <row r="3437">
          <cell r="AQ3437" t="str">
            <v>16143311|99573490|916588601|65384362</v>
          </cell>
          <cell r="AR3437" t="str">
            <v>GASTO FISICO</v>
          </cell>
        </row>
        <row r="3438">
          <cell r="AQ3438" t="str">
            <v>16143311|99573490|916588601|65384362</v>
          </cell>
          <cell r="AR3438" t="str">
            <v>GASTO FISICO</v>
          </cell>
        </row>
        <row r="3439">
          <cell r="AQ3439" t="str">
            <v>16143311|99573490|916588601|65384362</v>
          </cell>
          <cell r="AR3439" t="str">
            <v>GASTO FISICO</v>
          </cell>
        </row>
        <row r="3440">
          <cell r="AQ3440" t="str">
            <v>16143311|99573490|916588602|916588602</v>
          </cell>
          <cell r="AR3440" t="str">
            <v>IMED SALUD</v>
          </cell>
        </row>
        <row r="3441">
          <cell r="AQ3441" t="str">
            <v>16143311|99573490|916588602|916588602</v>
          </cell>
          <cell r="AR3441" t="str">
            <v>IMED SALUD</v>
          </cell>
        </row>
        <row r="3442">
          <cell r="AQ3442" t="str">
            <v>16143311|99573490|916588602|916588602</v>
          </cell>
          <cell r="AR3442" t="str">
            <v>IMED SALUD</v>
          </cell>
        </row>
        <row r="3443">
          <cell r="AQ3443" t="str">
            <v>16143311|99573490|916588602|916588602</v>
          </cell>
          <cell r="AR3443" t="str">
            <v>IMED SALUD</v>
          </cell>
        </row>
        <row r="3444">
          <cell r="AQ3444" t="str">
            <v>16143311|99573490|916588602|916588602</v>
          </cell>
          <cell r="AR3444" t="str">
            <v>IMED SALUD</v>
          </cell>
        </row>
        <row r="3445">
          <cell r="AQ3445" t="str">
            <v>16143311|99573490|916588602|916588602</v>
          </cell>
          <cell r="AR3445" t="str">
            <v>IMED SALUD</v>
          </cell>
        </row>
        <row r="3446">
          <cell r="AQ3446" t="str">
            <v>16143311|99573490|916588602|916588602</v>
          </cell>
          <cell r="AR3446" t="str">
            <v>IMED SALUD</v>
          </cell>
        </row>
        <row r="3447">
          <cell r="AQ3447" t="str">
            <v>16143311|99573490|916588602|916588602</v>
          </cell>
          <cell r="AR3447" t="str">
            <v>IMED SALUD</v>
          </cell>
        </row>
        <row r="3448">
          <cell r="AQ3448" t="str">
            <v>16143311|99573490|916588602|916588602</v>
          </cell>
          <cell r="AR3448" t="str">
            <v>IMED SALUD</v>
          </cell>
        </row>
        <row r="3449">
          <cell r="AQ3449" t="str">
            <v>16143311|99573490|916588602|916588602</v>
          </cell>
          <cell r="AR3449" t="str">
            <v>IMED SALUD</v>
          </cell>
        </row>
        <row r="3450">
          <cell r="AQ3450" t="str">
            <v>16143311|99573490|916588602|65384363</v>
          </cell>
          <cell r="AR3450" t="str">
            <v>GASTO FISICO</v>
          </cell>
        </row>
        <row r="3451">
          <cell r="AQ3451" t="str">
            <v>16143311|99573490|916588602|65384363</v>
          </cell>
          <cell r="AR3451" t="str">
            <v>GASTO FISICO</v>
          </cell>
        </row>
        <row r="3452">
          <cell r="AQ3452" t="str">
            <v>16143311|99573490|916588602|65384363</v>
          </cell>
          <cell r="AR3452" t="str">
            <v>GASTO FISICO</v>
          </cell>
        </row>
        <row r="3453">
          <cell r="AQ3453" t="str">
            <v>16143311|99573490|916588602|65384363</v>
          </cell>
          <cell r="AR3453" t="str">
            <v>GASTO FISICO</v>
          </cell>
        </row>
        <row r="3454">
          <cell r="AQ3454" t="str">
            <v>16143311|99573490|916588602|65384363</v>
          </cell>
          <cell r="AR3454" t="str">
            <v>GASTO FISICO</v>
          </cell>
        </row>
        <row r="3455">
          <cell r="AQ3455" t="str">
            <v>16143311|99573490|916588603|916588603</v>
          </cell>
          <cell r="AR3455" t="str">
            <v>IMED SALUD</v>
          </cell>
        </row>
        <row r="3456">
          <cell r="AQ3456" t="str">
            <v>16143311|99573490|916588603|916588603</v>
          </cell>
          <cell r="AR3456" t="str">
            <v>IMED SALUD</v>
          </cell>
        </row>
        <row r="3457">
          <cell r="AQ3457" t="str">
            <v>16143311|99573490|916588603|916588603</v>
          </cell>
          <cell r="AR3457" t="str">
            <v>IMED SALUD</v>
          </cell>
        </row>
        <row r="3458">
          <cell r="AQ3458" t="str">
            <v>16143311|99573490|916588603|916588603</v>
          </cell>
          <cell r="AR3458" t="str">
            <v>IMED SALUD</v>
          </cell>
        </row>
        <row r="3459">
          <cell r="AQ3459" t="str">
            <v>16143311|99573490|916588603|916588603</v>
          </cell>
          <cell r="AR3459" t="str">
            <v>IMED SALUD</v>
          </cell>
        </row>
        <row r="3460">
          <cell r="AQ3460" t="str">
            <v>16143311|99573490|916588603|916588603</v>
          </cell>
          <cell r="AR3460" t="str">
            <v>IMED SALUD</v>
          </cell>
        </row>
        <row r="3461">
          <cell r="AQ3461" t="str">
            <v>16143311|99573490|916588603|65384364</v>
          </cell>
          <cell r="AR3461" t="str">
            <v>GASTO FISICO</v>
          </cell>
        </row>
        <row r="3462">
          <cell r="AQ3462" t="str">
            <v>16143311|99573490|916588603|65384364</v>
          </cell>
          <cell r="AR3462" t="str">
            <v>GASTO FISICO</v>
          </cell>
        </row>
        <row r="3463">
          <cell r="AQ3463" t="str">
            <v>16143311|99573490|916588603|65384364</v>
          </cell>
          <cell r="AR3463" t="str">
            <v>GASTO FISICO</v>
          </cell>
        </row>
        <row r="3464">
          <cell r="AQ3464" t="str">
            <v>16143311|99573490|916589075|916589075</v>
          </cell>
          <cell r="AR3464" t="str">
            <v>IMED SALUD</v>
          </cell>
        </row>
        <row r="3465">
          <cell r="AQ3465" t="str">
            <v>16143311|99573490|916589075|916589075</v>
          </cell>
          <cell r="AR3465" t="str">
            <v>IMED SALUD</v>
          </cell>
        </row>
        <row r="3466">
          <cell r="AQ3466" t="str">
            <v>16143311|99573490|916589075|916589075</v>
          </cell>
          <cell r="AR3466" t="str">
            <v>IMED SALUD</v>
          </cell>
        </row>
        <row r="3467">
          <cell r="AQ3467" t="str">
            <v>16143311|99573490|916589075|916589075</v>
          </cell>
          <cell r="AR3467" t="str">
            <v>IMED SALUD</v>
          </cell>
        </row>
        <row r="3468">
          <cell r="AQ3468" t="str">
            <v>16143311|99573490|916589075|916589075</v>
          </cell>
          <cell r="AR3468" t="str">
            <v>IMED SALUD</v>
          </cell>
        </row>
        <row r="3469">
          <cell r="AQ3469" t="str">
            <v>16143311|99573490|916589075|916589075</v>
          </cell>
          <cell r="AR3469" t="str">
            <v>IMED SALUD</v>
          </cell>
        </row>
        <row r="3470">
          <cell r="AQ3470" t="str">
            <v>16143311|99573490|916589075|916589075</v>
          </cell>
          <cell r="AR3470" t="str">
            <v>IMED SALUD</v>
          </cell>
        </row>
        <row r="3471">
          <cell r="AQ3471" t="str">
            <v>16143311|99573490|916589075|916589075</v>
          </cell>
          <cell r="AR3471" t="str">
            <v>IMED SALUD</v>
          </cell>
        </row>
        <row r="3472">
          <cell r="AQ3472" t="str">
            <v>16143311|99573490|916589075|916589075</v>
          </cell>
          <cell r="AR3472" t="str">
            <v>IMED SALUD</v>
          </cell>
        </row>
        <row r="3473">
          <cell r="AQ3473" t="str">
            <v>16143311|99573490|916589075|916589075</v>
          </cell>
          <cell r="AR3473" t="str">
            <v>IMED SALUD</v>
          </cell>
        </row>
        <row r="3474">
          <cell r="AQ3474" t="str">
            <v>16143311|99573490|916589075|65384359</v>
          </cell>
          <cell r="AR3474" t="str">
            <v>GASTO FISICO</v>
          </cell>
        </row>
        <row r="3475">
          <cell r="AQ3475" t="str">
            <v>16143311|99573490|916589075|65384359</v>
          </cell>
          <cell r="AR3475" t="str">
            <v>GASTO FISICO</v>
          </cell>
        </row>
        <row r="3476">
          <cell r="AQ3476" t="str">
            <v>16143311|99573490|916589075|65384359</v>
          </cell>
          <cell r="AR3476" t="str">
            <v>GASTO FISICO</v>
          </cell>
        </row>
        <row r="3477">
          <cell r="AQ3477" t="str">
            <v>16143311|99573490|916589075|65384359</v>
          </cell>
          <cell r="AR3477" t="str">
            <v>GASTO FISICO</v>
          </cell>
        </row>
        <row r="3478">
          <cell r="AQ3478" t="str">
            <v>16143311|99573490|916589075|65384359</v>
          </cell>
          <cell r="AR3478" t="str">
            <v>GASTO FISICO</v>
          </cell>
        </row>
        <row r="3479">
          <cell r="AQ3479" t="str">
            <v>16143311|99573490|916589076|916589076</v>
          </cell>
          <cell r="AR3479" t="str">
            <v>IMED SALUD</v>
          </cell>
        </row>
        <row r="3480">
          <cell r="AQ3480" t="str">
            <v>16143311|99573490|916589076|916589076</v>
          </cell>
          <cell r="AR3480" t="str">
            <v>IMED SALUD</v>
          </cell>
        </row>
        <row r="3481">
          <cell r="AQ3481" t="str">
            <v>16143311|99573490|916589076|916589076</v>
          </cell>
          <cell r="AR3481" t="str">
            <v>IMED SALUD</v>
          </cell>
        </row>
        <row r="3482">
          <cell r="AQ3482" t="str">
            <v>16143311|99573490|916589076|916589076</v>
          </cell>
          <cell r="AR3482" t="str">
            <v>IMED SALUD</v>
          </cell>
        </row>
        <row r="3483">
          <cell r="AQ3483" t="str">
            <v>16143311|99573490|916589076|916589076</v>
          </cell>
          <cell r="AR3483" t="str">
            <v>IMED SALUD</v>
          </cell>
        </row>
        <row r="3484">
          <cell r="AQ3484" t="str">
            <v>16143311|99573490|916589076|916589076</v>
          </cell>
          <cell r="AR3484" t="str">
            <v>IMED SALUD</v>
          </cell>
        </row>
        <row r="3485">
          <cell r="AQ3485" t="str">
            <v>16143311|99573490|916589076|916589076</v>
          </cell>
          <cell r="AR3485" t="str">
            <v>IMED SALUD</v>
          </cell>
        </row>
        <row r="3486">
          <cell r="AQ3486" t="str">
            <v>16143311|99573490|916589076|916589076</v>
          </cell>
          <cell r="AR3486" t="str">
            <v>IMED SALUD</v>
          </cell>
        </row>
        <row r="3487">
          <cell r="AQ3487" t="str">
            <v>16143311|99573490|916589076|916589076</v>
          </cell>
          <cell r="AR3487" t="str">
            <v>IMED SALUD</v>
          </cell>
        </row>
        <row r="3488">
          <cell r="AQ3488" t="str">
            <v>16143311|99573490|916589076|916589076</v>
          </cell>
          <cell r="AR3488" t="str">
            <v>IMED SALUD</v>
          </cell>
        </row>
        <row r="3489">
          <cell r="AQ3489" t="str">
            <v>16143311|99573490|916589076|65384360</v>
          </cell>
          <cell r="AR3489" t="str">
            <v>GASTO FISICO</v>
          </cell>
        </row>
        <row r="3490">
          <cell r="AQ3490" t="str">
            <v>16143311|99573490|916589076|65384360</v>
          </cell>
          <cell r="AR3490" t="str">
            <v>GASTO FISICO</v>
          </cell>
        </row>
        <row r="3491">
          <cell r="AQ3491" t="str">
            <v>16143311|99573490|916589076|65384360</v>
          </cell>
          <cell r="AR3491" t="str">
            <v>GASTO FISICO</v>
          </cell>
        </row>
        <row r="3492">
          <cell r="AQ3492" t="str">
            <v>16143311|99573490|916589076|65384360</v>
          </cell>
          <cell r="AR3492" t="str">
            <v>GASTO FISICO</v>
          </cell>
        </row>
        <row r="3493">
          <cell r="AQ3493" t="str">
            <v>16143311|99573490|916589076|65384360</v>
          </cell>
          <cell r="AR3493" t="str">
            <v>GASTO FISICO</v>
          </cell>
        </row>
        <row r="3494">
          <cell r="AQ3494" t="str">
            <v>16143311|99573490|916589077|916589077</v>
          </cell>
          <cell r="AR3494" t="str">
            <v>IMED SALUD</v>
          </cell>
        </row>
        <row r="3495">
          <cell r="AQ3495" t="str">
            <v>16143311|99573490|916589077|916589077</v>
          </cell>
          <cell r="AR3495" t="str">
            <v>IMED SALUD</v>
          </cell>
        </row>
        <row r="3496">
          <cell r="AQ3496" t="str">
            <v>16143311|99573490|916589077|916589077</v>
          </cell>
          <cell r="AR3496" t="str">
            <v>IMED SALUD</v>
          </cell>
        </row>
        <row r="3497">
          <cell r="AQ3497" t="str">
            <v>16143311|99573490|916589077|916589077</v>
          </cell>
          <cell r="AR3497" t="str">
            <v>IMED SALUD</v>
          </cell>
        </row>
        <row r="3498">
          <cell r="AQ3498" t="str">
            <v>16143311|99573490|916589077|916589077</v>
          </cell>
          <cell r="AR3498" t="str">
            <v>IMED SALUD</v>
          </cell>
        </row>
        <row r="3499">
          <cell r="AQ3499" t="str">
            <v>16143311|99573490|916589077|916589077</v>
          </cell>
          <cell r="AR3499" t="str">
            <v>IMED SALUD</v>
          </cell>
        </row>
        <row r="3500">
          <cell r="AQ3500" t="str">
            <v>16143311|99573490|916589077|65384361</v>
          </cell>
          <cell r="AR3500" t="str">
            <v>GASTO FISICO</v>
          </cell>
        </row>
        <row r="3501">
          <cell r="AQ3501" t="str">
            <v>16143311|99573490|916589077|65384361</v>
          </cell>
          <cell r="AR3501" t="str">
            <v>GASTO FISICO</v>
          </cell>
        </row>
        <row r="3502">
          <cell r="AQ3502" t="str">
            <v>16143311|99573490|916589077|65384361</v>
          </cell>
          <cell r="AR3502" t="str">
            <v>GASTO FISICO</v>
          </cell>
        </row>
        <row r="3503">
          <cell r="AQ3503" t="str">
            <v>16143311|96600850|916924163|916924163</v>
          </cell>
          <cell r="AR3503" t="str">
            <v>IMED SALUD</v>
          </cell>
        </row>
        <row r="3504">
          <cell r="AQ3504" t="str">
            <v>16143311|96600850|916924163|916924163</v>
          </cell>
          <cell r="AR3504" t="str">
            <v>IMED SALUD</v>
          </cell>
        </row>
        <row r="3505">
          <cell r="AQ3505" t="str">
            <v>16143311|96600850|916924163|916924163</v>
          </cell>
          <cell r="AR3505" t="str">
            <v>IMED SALUD</v>
          </cell>
        </row>
        <row r="3506">
          <cell r="AQ3506" t="str">
            <v>16143311|96600850|916924163|916924163</v>
          </cell>
          <cell r="AR3506" t="str">
            <v>IMED SALUD</v>
          </cell>
        </row>
        <row r="3507">
          <cell r="AQ3507" t="str">
            <v>16143311|96600850|916924163|65384365</v>
          </cell>
          <cell r="AR3507" t="str">
            <v>GASTO FISICO</v>
          </cell>
        </row>
        <row r="3508">
          <cell r="AQ3508" t="str">
            <v>16143311|96600850|916924163|65384365</v>
          </cell>
          <cell r="AR3508" t="str">
            <v>GASTO FISICO</v>
          </cell>
        </row>
        <row r="3509">
          <cell r="AQ3509" t="str">
            <v>16143311|96852530|921296961|921296961</v>
          </cell>
          <cell r="AR3509" t="str">
            <v>IMED SALUD</v>
          </cell>
        </row>
        <row r="3510">
          <cell r="AQ3510" t="str">
            <v>16143311|96852530|921296961|921296961</v>
          </cell>
          <cell r="AR3510" t="str">
            <v>IMED SALUD</v>
          </cell>
        </row>
        <row r="3511">
          <cell r="AQ3511" t="str">
            <v>16143311|96852530|921296961|65384358</v>
          </cell>
          <cell r="AR3511" t="str">
            <v>GASTO FISICO</v>
          </cell>
        </row>
        <row r="3512">
          <cell r="AQ3512" t="str">
            <v>16380701|76110809|917114454|917114454</v>
          </cell>
          <cell r="AR3512" t="str">
            <v>IMED SALUD</v>
          </cell>
        </row>
        <row r="3513">
          <cell r="AQ3513" t="str">
            <v>16380701|76110809|917114454|917114454</v>
          </cell>
          <cell r="AR3513" t="str">
            <v>IMED SALUD</v>
          </cell>
        </row>
        <row r="3514">
          <cell r="AQ3514" t="str">
            <v>16380701|76110809|917114454|65384367</v>
          </cell>
          <cell r="AR3514" t="str">
            <v>GASTO FISICO</v>
          </cell>
        </row>
        <row r="3515">
          <cell r="AQ3515" t="str">
            <v>16427949|99573490|3112813|22125090</v>
          </cell>
          <cell r="AR3515" t="str">
            <v>GASTO FISICO</v>
          </cell>
        </row>
        <row r="3516">
          <cell r="AQ3516" t="str">
            <v>16427949|99573490|3112813|1035627</v>
          </cell>
          <cell r="AR3516" t="str">
            <v>GASTO FISICO</v>
          </cell>
        </row>
        <row r="3517">
          <cell r="AQ3517" t="str">
            <v>16427949|99573490|3112813|66379819</v>
          </cell>
          <cell r="AR3517" t="str">
            <v>GASTO FISICO</v>
          </cell>
        </row>
        <row r="3518">
          <cell r="AQ3518" t="str">
            <v>16427949|76378831|321698578|21972188</v>
          </cell>
          <cell r="AR3518" t="str">
            <v>GASTO FISICO</v>
          </cell>
        </row>
        <row r="3519">
          <cell r="AQ3519" t="str">
            <v>16427949|76378831|321698578|986664</v>
          </cell>
          <cell r="AR3519" t="str">
            <v>GASTO FISICO</v>
          </cell>
        </row>
        <row r="3520">
          <cell r="AQ3520" t="str">
            <v>16427949|76378831|321698578|65213212</v>
          </cell>
          <cell r="AR3520" t="str">
            <v>GASTO FISICO</v>
          </cell>
        </row>
        <row r="3521">
          <cell r="AQ3521" t="str">
            <v>16427949|76378831|327992095|21987898</v>
          </cell>
          <cell r="AR3521" t="str">
            <v>GASTO FISICO</v>
          </cell>
        </row>
        <row r="3522">
          <cell r="AQ3522" t="str">
            <v>16427949|76378831|327992095|986666</v>
          </cell>
          <cell r="AR3522" t="str">
            <v>GASTO FISICO</v>
          </cell>
        </row>
        <row r="3523">
          <cell r="AQ3523" t="str">
            <v>16427949|76378831|327992095|65213213</v>
          </cell>
          <cell r="AR3523" t="str">
            <v>GASTO FISICO</v>
          </cell>
        </row>
        <row r="3524">
          <cell r="AQ3524" t="str">
            <v>16427949|53125850|916848845|916848845</v>
          </cell>
          <cell r="AR3524" t="str">
            <v>IMED SALUD</v>
          </cell>
        </row>
        <row r="3525">
          <cell r="AQ3525" t="str">
            <v>16427949|53125850|916848845|916848845</v>
          </cell>
          <cell r="AR3525" t="str">
            <v>IMED SALUD</v>
          </cell>
        </row>
        <row r="3526">
          <cell r="AQ3526" t="str">
            <v>16427949|53125850|916848845|916848845</v>
          </cell>
          <cell r="AR3526" t="str">
            <v>IMED SALUD</v>
          </cell>
        </row>
        <row r="3527">
          <cell r="AQ3527" t="str">
            <v>16427949|53125850|916848845|916848845</v>
          </cell>
          <cell r="AR3527" t="str">
            <v>IMED SALUD</v>
          </cell>
        </row>
        <row r="3528">
          <cell r="AQ3528" t="str">
            <v>16427949|53125850|916848845|916848845</v>
          </cell>
          <cell r="AR3528" t="str">
            <v>IMED SALUD</v>
          </cell>
        </row>
        <row r="3529">
          <cell r="AQ3529" t="str">
            <v>16427949|53125850|916848845|916848845</v>
          </cell>
          <cell r="AR3529" t="str">
            <v>IMED SALUD</v>
          </cell>
        </row>
        <row r="3530">
          <cell r="AQ3530" t="str">
            <v>16427949|53125850|916848845|916848845</v>
          </cell>
          <cell r="AR3530" t="str">
            <v>IMED SALUD</v>
          </cell>
        </row>
        <row r="3531">
          <cell r="AQ3531" t="str">
            <v>16427949|53125850|916848845|916848845</v>
          </cell>
          <cell r="AR3531" t="str">
            <v>IMED SALUD</v>
          </cell>
        </row>
        <row r="3532">
          <cell r="AQ3532" t="str">
            <v>16427949|53125850|916848845|916848845</v>
          </cell>
          <cell r="AR3532" t="str">
            <v>IMED SALUD</v>
          </cell>
        </row>
        <row r="3533">
          <cell r="AQ3533" t="str">
            <v>16427949|53125850|916848845|916848845</v>
          </cell>
          <cell r="AR3533" t="str">
            <v>IMED SALUD</v>
          </cell>
        </row>
        <row r="3534">
          <cell r="AQ3534" t="str">
            <v>16427949|53125850|916848845|65384368</v>
          </cell>
          <cell r="AR3534" t="str">
            <v>GASTO FISICO</v>
          </cell>
        </row>
        <row r="3535">
          <cell r="AQ3535" t="str">
            <v>16427949|53125850|916848845|65384368</v>
          </cell>
          <cell r="AR3535" t="str">
            <v>GASTO FISICO</v>
          </cell>
        </row>
        <row r="3536">
          <cell r="AQ3536" t="str">
            <v>16427949|53125850|916848845|65384368</v>
          </cell>
          <cell r="AR3536" t="str">
            <v>GASTO FISICO</v>
          </cell>
        </row>
        <row r="3537">
          <cell r="AQ3537" t="str">
            <v>16427949|53125850|916848845|65384368</v>
          </cell>
          <cell r="AR3537" t="str">
            <v>GASTO FISICO</v>
          </cell>
        </row>
        <row r="3538">
          <cell r="AQ3538" t="str">
            <v>16427949|53125850|916848845|65384368</v>
          </cell>
          <cell r="AR3538" t="str">
            <v>GASTO FISICO</v>
          </cell>
        </row>
        <row r="3539">
          <cell r="AQ3539" t="str">
            <v>16427949|53125850|916849200|916849200</v>
          </cell>
          <cell r="AR3539" t="str">
            <v>IMED SALUD</v>
          </cell>
        </row>
        <row r="3540">
          <cell r="AQ3540" t="str">
            <v>16427949|53125850|916849200|916849200</v>
          </cell>
          <cell r="AR3540" t="str">
            <v>IMED SALUD</v>
          </cell>
        </row>
        <row r="3541">
          <cell r="AQ3541" t="str">
            <v>16427949|53125850|916849200|65384369</v>
          </cell>
          <cell r="AR3541" t="str">
            <v>GASTO FISICO</v>
          </cell>
        </row>
        <row r="3542">
          <cell r="AQ3542" t="str">
            <v>16566260|77026140|918656750|918656750</v>
          </cell>
          <cell r="AR3542" t="str">
            <v>IMED SALUD</v>
          </cell>
        </row>
        <row r="3543">
          <cell r="AQ3543" t="str">
            <v>16566260|77026140|918656750|918656750</v>
          </cell>
          <cell r="AR3543" t="str">
            <v>IMED SALUD</v>
          </cell>
        </row>
        <row r="3544">
          <cell r="AQ3544" t="str">
            <v>16566260|77026140|918656750|65384370</v>
          </cell>
          <cell r="AR3544" t="str">
            <v>GASTO FISICO</v>
          </cell>
        </row>
        <row r="3545">
          <cell r="AQ3545" t="str">
            <v>16681059|76242774|95868685|95868685</v>
          </cell>
          <cell r="AR3545" t="str">
            <v>IMED SALUD</v>
          </cell>
        </row>
        <row r="3546">
          <cell r="AQ3546" t="str">
            <v>16681059|76242774|95868685|95868685</v>
          </cell>
          <cell r="AR3546" t="str">
            <v>IMED SALUD</v>
          </cell>
        </row>
        <row r="3547">
          <cell r="AQ3547" t="str">
            <v>16681059|76242774|95868685|95868685</v>
          </cell>
          <cell r="AR3547" t="str">
            <v>IMED SALUD</v>
          </cell>
        </row>
        <row r="3548">
          <cell r="AQ3548" t="str">
            <v>16681059|76242774|95868685|95868685</v>
          </cell>
          <cell r="AR3548" t="str">
            <v>IMED SALUD</v>
          </cell>
        </row>
        <row r="3549">
          <cell r="AQ3549" t="str">
            <v>16681059|76242774|95868685|95868685</v>
          </cell>
          <cell r="AR3549" t="str">
            <v>IMED SALUD</v>
          </cell>
        </row>
        <row r="3550">
          <cell r="AQ3550" t="str">
            <v>16681059|76242774|95868685|95868685</v>
          </cell>
          <cell r="AR3550" t="str">
            <v>IMED SALUD</v>
          </cell>
        </row>
        <row r="3551">
          <cell r="AQ3551" t="str">
            <v>16681059|76242774|95868685|95868685</v>
          </cell>
          <cell r="AR3551" t="str">
            <v>IMED SALUD</v>
          </cell>
        </row>
        <row r="3552">
          <cell r="AQ3552" t="str">
            <v>16681059|76242774|95868685|95868685</v>
          </cell>
          <cell r="AR3552" t="str">
            <v>IMED SALUD</v>
          </cell>
        </row>
        <row r="3553">
          <cell r="AQ3553" t="str">
            <v>16681059|76242774|95868685|65384373</v>
          </cell>
          <cell r="AR3553" t="str">
            <v>GASTO FISICO</v>
          </cell>
        </row>
        <row r="3554">
          <cell r="AQ3554" t="str">
            <v>16681059|76242774|95868685|65384373</v>
          </cell>
          <cell r="AR3554" t="str">
            <v>GASTO FISICO</v>
          </cell>
        </row>
        <row r="3555">
          <cell r="AQ3555" t="str">
            <v>16681059|76242774|95868685|65384373</v>
          </cell>
          <cell r="AR3555" t="str">
            <v>GASTO FISICO</v>
          </cell>
        </row>
        <row r="3556">
          <cell r="AQ3556" t="str">
            <v>16681059|76242774|95868685|65384373</v>
          </cell>
          <cell r="AR3556" t="str">
            <v>GASTO FISICO</v>
          </cell>
        </row>
        <row r="3557">
          <cell r="AQ3557" t="str">
            <v>16695748|96942400|136849213|136849213</v>
          </cell>
          <cell r="AR3557" t="str">
            <v>IMED SALUD</v>
          </cell>
        </row>
        <row r="3558">
          <cell r="AQ3558" t="str">
            <v>16695748|96942400|136849213|136849213</v>
          </cell>
          <cell r="AR3558" t="str">
            <v>IMED SALUD</v>
          </cell>
        </row>
        <row r="3559">
          <cell r="AQ3559" t="str">
            <v>16695748|96942400|136849213|136849213</v>
          </cell>
          <cell r="AR3559" t="str">
            <v>IMED SALUD</v>
          </cell>
        </row>
        <row r="3560">
          <cell r="AQ3560" t="str">
            <v>16695748|96942400|136849213|136849213</v>
          </cell>
          <cell r="AR3560" t="str">
            <v>IMED SALUD</v>
          </cell>
        </row>
        <row r="3561">
          <cell r="AQ3561" t="str">
            <v>16695748|96942400|136849213|65384379</v>
          </cell>
          <cell r="AR3561" t="str">
            <v>GASTO FISICO</v>
          </cell>
        </row>
        <row r="3562">
          <cell r="AQ3562" t="str">
            <v>16695748|96942400|136849213|65384379</v>
          </cell>
          <cell r="AR3562" t="str">
            <v>GASTO FISICO</v>
          </cell>
        </row>
        <row r="3563">
          <cell r="AQ3563" t="str">
            <v>16695748|96942400|136850152|136850152</v>
          </cell>
          <cell r="AR3563" t="str">
            <v>IMED SALUD</v>
          </cell>
        </row>
        <row r="3564">
          <cell r="AQ3564" t="str">
            <v>16695748|96942400|136850152|136850152</v>
          </cell>
          <cell r="AR3564" t="str">
            <v>IMED SALUD</v>
          </cell>
        </row>
        <row r="3565">
          <cell r="AQ3565" t="str">
            <v>16695748|96942400|136850152|65384380</v>
          </cell>
          <cell r="AR3565" t="str">
            <v>GASTO FISICO</v>
          </cell>
        </row>
        <row r="3566">
          <cell r="AQ3566" t="str">
            <v>16695748|18356483|29|22144893</v>
          </cell>
          <cell r="AR3566" t="str">
            <v>GASTO FISICO</v>
          </cell>
        </row>
        <row r="3567">
          <cell r="AQ3567" t="str">
            <v>16695748|18356483|29|1031761</v>
          </cell>
          <cell r="AR3567" t="str">
            <v>GASTO FISICO</v>
          </cell>
        </row>
        <row r="3568">
          <cell r="AQ3568" t="str">
            <v>16695748|18356483|29|66381065</v>
          </cell>
          <cell r="AR3568" t="str">
            <v>GASTO FISICO</v>
          </cell>
        </row>
        <row r="3569">
          <cell r="AQ3569" t="str">
            <v>16695748|77532798|6049|22144727</v>
          </cell>
          <cell r="AR3569" t="str">
            <v>GASTO FISICO</v>
          </cell>
        </row>
        <row r="3570">
          <cell r="AQ3570" t="str">
            <v>16695748|77532798|6049|1034827</v>
          </cell>
          <cell r="AR3570" t="str">
            <v>GASTO FISICO</v>
          </cell>
        </row>
        <row r="3571">
          <cell r="AQ3571" t="str">
            <v>16695748|77532798|6049|66381046</v>
          </cell>
          <cell r="AR3571" t="str">
            <v>GASTO FISICO</v>
          </cell>
        </row>
        <row r="3572">
          <cell r="AQ3572" t="str">
            <v>16717489|89807200|1471386505|21976655</v>
          </cell>
          <cell r="AR3572" t="str">
            <v>GASTO FISICO</v>
          </cell>
        </row>
        <row r="3573">
          <cell r="AQ3573" t="str">
            <v>16717489|89807200|1471386505|22020764</v>
          </cell>
          <cell r="AR3573" t="str">
            <v>GASTO FISICO</v>
          </cell>
        </row>
        <row r="3574">
          <cell r="AQ3574" t="str">
            <v>16717489|89807200|1471386505|986216</v>
          </cell>
          <cell r="AR3574" t="str">
            <v>GASTO FISICO</v>
          </cell>
        </row>
        <row r="3575">
          <cell r="AQ3575" t="str">
            <v>16717489|89807200|1471386505|65213222</v>
          </cell>
          <cell r="AR3575" t="str">
            <v>GASTO FISICO</v>
          </cell>
        </row>
        <row r="3576">
          <cell r="AQ3576" t="str">
            <v>16771325|96986050|136261605|136261605</v>
          </cell>
          <cell r="AR3576" t="str">
            <v>IMED SALUD</v>
          </cell>
        </row>
        <row r="3577">
          <cell r="AQ3577" t="str">
            <v>16771325|96986050|136261605|136261605</v>
          </cell>
          <cell r="AR3577" t="str">
            <v>IMED SALUD</v>
          </cell>
        </row>
        <row r="3578">
          <cell r="AQ3578" t="str">
            <v>16771325|96986050|136261605|136261605</v>
          </cell>
          <cell r="AR3578" t="str">
            <v>IMED SALUD</v>
          </cell>
        </row>
        <row r="3579">
          <cell r="AQ3579" t="str">
            <v>16771325|96986050|136261605|136261605</v>
          </cell>
          <cell r="AR3579" t="str">
            <v>IMED SALUD</v>
          </cell>
        </row>
        <row r="3580">
          <cell r="AQ3580" t="str">
            <v>16771325|96986050|136261605|136261605</v>
          </cell>
          <cell r="AR3580" t="str">
            <v>IMED SALUD</v>
          </cell>
        </row>
        <row r="3581">
          <cell r="AQ3581" t="str">
            <v>16771325|96986050|136261605|136261605</v>
          </cell>
          <cell r="AR3581" t="str">
            <v>IMED SALUD</v>
          </cell>
        </row>
        <row r="3582">
          <cell r="AQ3582" t="str">
            <v>16771325|96986050|136261605|136261605</v>
          </cell>
          <cell r="AR3582" t="str">
            <v>IMED SALUD</v>
          </cell>
        </row>
        <row r="3583">
          <cell r="AQ3583" t="str">
            <v>16771325|96986050|136261605|136261605</v>
          </cell>
          <cell r="AR3583" t="str">
            <v>IMED SALUD</v>
          </cell>
        </row>
        <row r="3584">
          <cell r="AQ3584" t="str">
            <v>16771325|96986050|136261605|136261605</v>
          </cell>
          <cell r="AR3584" t="str">
            <v>IMED SALUD</v>
          </cell>
        </row>
        <row r="3585">
          <cell r="AQ3585" t="str">
            <v>16771325|96986050|136261605|136261605</v>
          </cell>
          <cell r="AR3585" t="str">
            <v>IMED SALUD</v>
          </cell>
        </row>
        <row r="3586">
          <cell r="AQ3586" t="str">
            <v>16771325|96986050|136261605|65384383</v>
          </cell>
          <cell r="AR3586" t="str">
            <v>GASTO FISICO</v>
          </cell>
        </row>
        <row r="3587">
          <cell r="AQ3587" t="str">
            <v>16771325|96986050|136261605|65384383</v>
          </cell>
          <cell r="AR3587" t="str">
            <v>GASTO FISICO</v>
          </cell>
        </row>
        <row r="3588">
          <cell r="AQ3588" t="str">
            <v>16771325|96986050|136261605|65384383</v>
          </cell>
          <cell r="AR3588" t="str">
            <v>GASTO FISICO</v>
          </cell>
        </row>
        <row r="3589">
          <cell r="AQ3589" t="str">
            <v>16771325|96986050|136261605|65384383</v>
          </cell>
          <cell r="AR3589" t="str">
            <v>GASTO FISICO</v>
          </cell>
        </row>
        <row r="3590">
          <cell r="AQ3590" t="str">
            <v>16771325|96986050|136261605|65384383</v>
          </cell>
          <cell r="AR3590" t="str">
            <v>GASTO FISICO</v>
          </cell>
        </row>
        <row r="3591">
          <cell r="AQ3591" t="str">
            <v>16771325|96986050|136261606|136261606</v>
          </cell>
          <cell r="AR3591" t="str">
            <v>IMED SALUD</v>
          </cell>
        </row>
        <row r="3592">
          <cell r="AQ3592" t="str">
            <v>16771325|96986050|136261606|136261606</v>
          </cell>
          <cell r="AR3592" t="str">
            <v>IMED SALUD</v>
          </cell>
        </row>
        <row r="3593">
          <cell r="AQ3593" t="str">
            <v>16771325|96986050|136261606|136261606</v>
          </cell>
          <cell r="AR3593" t="str">
            <v>IMED SALUD</v>
          </cell>
        </row>
        <row r="3594">
          <cell r="AQ3594" t="str">
            <v>16771325|96986050|136261606|136261606</v>
          </cell>
          <cell r="AR3594" t="str">
            <v>IMED SALUD</v>
          </cell>
        </row>
        <row r="3595">
          <cell r="AQ3595" t="str">
            <v>16771325|96986050|136261606|136261606</v>
          </cell>
          <cell r="AR3595" t="str">
            <v>IMED SALUD</v>
          </cell>
        </row>
        <row r="3596">
          <cell r="AQ3596" t="str">
            <v>16771325|96986050|136261606|136261606</v>
          </cell>
          <cell r="AR3596" t="str">
            <v>IMED SALUD</v>
          </cell>
        </row>
        <row r="3597">
          <cell r="AQ3597" t="str">
            <v>16771325|96986050|136261606|136261606</v>
          </cell>
          <cell r="AR3597" t="str">
            <v>IMED SALUD</v>
          </cell>
        </row>
        <row r="3598">
          <cell r="AQ3598" t="str">
            <v>16771325|96986050|136261606|136261606</v>
          </cell>
          <cell r="AR3598" t="str">
            <v>IMED SALUD</v>
          </cell>
        </row>
        <row r="3599">
          <cell r="AQ3599" t="str">
            <v>16771325|96986050|136261606|136261606</v>
          </cell>
          <cell r="AR3599" t="str">
            <v>IMED SALUD</v>
          </cell>
        </row>
        <row r="3600">
          <cell r="AQ3600" t="str">
            <v>16771325|96986050|136261606|136261606</v>
          </cell>
          <cell r="AR3600" t="str">
            <v>IMED SALUD</v>
          </cell>
        </row>
        <row r="3601">
          <cell r="AQ3601" t="str">
            <v>16771325|96986050|136261606|65384384</v>
          </cell>
          <cell r="AR3601" t="str">
            <v>GASTO FISICO</v>
          </cell>
        </row>
        <row r="3602">
          <cell r="AQ3602" t="str">
            <v>16771325|96986050|136261606|65384384</v>
          </cell>
          <cell r="AR3602" t="str">
            <v>GASTO FISICO</v>
          </cell>
        </row>
        <row r="3603">
          <cell r="AQ3603" t="str">
            <v>16771325|96986050|136261606|65384384</v>
          </cell>
          <cell r="AR3603" t="str">
            <v>GASTO FISICO</v>
          </cell>
        </row>
        <row r="3604">
          <cell r="AQ3604" t="str">
            <v>16771325|96986050|136261606|65384384</v>
          </cell>
          <cell r="AR3604" t="str">
            <v>GASTO FISICO</v>
          </cell>
        </row>
        <row r="3605">
          <cell r="AQ3605" t="str">
            <v>16771325|96986050|136261606|65384384</v>
          </cell>
          <cell r="AR3605" t="str">
            <v>GASTO FISICO</v>
          </cell>
        </row>
        <row r="3606">
          <cell r="AQ3606" t="str">
            <v>16771325|96986050|136261607|136261607</v>
          </cell>
          <cell r="AR3606" t="str">
            <v>IMED SALUD</v>
          </cell>
        </row>
        <row r="3607">
          <cell r="AQ3607" t="str">
            <v>16771325|96986050|136261607|136261607</v>
          </cell>
          <cell r="AR3607" t="str">
            <v>IMED SALUD</v>
          </cell>
        </row>
        <row r="3608">
          <cell r="AQ3608" t="str">
            <v>16771325|96986050|136261607|65384385</v>
          </cell>
          <cell r="AR3608" t="str">
            <v>GASTO FISICO</v>
          </cell>
        </row>
        <row r="3609">
          <cell r="AQ3609" t="str">
            <v>16771325|96986050|136261611|136261611</v>
          </cell>
          <cell r="AR3609" t="str">
            <v>IMED SALUD</v>
          </cell>
        </row>
        <row r="3610">
          <cell r="AQ3610" t="str">
            <v>16771325|96986050|136261611|136261611</v>
          </cell>
          <cell r="AR3610" t="str">
            <v>IMED SALUD</v>
          </cell>
        </row>
        <row r="3611">
          <cell r="AQ3611" t="str">
            <v>16771325|96986050|136261611|65384386</v>
          </cell>
          <cell r="AR3611" t="str">
            <v>GASTO FISICO</v>
          </cell>
        </row>
        <row r="3612">
          <cell r="AQ3612" t="str">
            <v>16771325|76098454|136261670|136261670</v>
          </cell>
          <cell r="AR3612" t="str">
            <v>IMED SALUD</v>
          </cell>
        </row>
        <row r="3613">
          <cell r="AQ3613" t="str">
            <v>16771325|76098454|136261670|136261670</v>
          </cell>
          <cell r="AR3613" t="str">
            <v>IMED SALUD</v>
          </cell>
        </row>
        <row r="3614">
          <cell r="AQ3614" t="str">
            <v>16771325|76098454|136261670|65384387</v>
          </cell>
          <cell r="AR3614" t="str">
            <v>GASTO FISICO</v>
          </cell>
        </row>
        <row r="3615">
          <cell r="AQ3615" t="str">
            <v>16771325|76098454|136289637|136289637</v>
          </cell>
          <cell r="AR3615" t="str">
            <v>IMED SALUD</v>
          </cell>
        </row>
        <row r="3616">
          <cell r="AQ3616" t="str">
            <v>16771325|76098454|136289637|136289637</v>
          </cell>
          <cell r="AR3616" t="str">
            <v>IMED SALUD</v>
          </cell>
        </row>
        <row r="3617">
          <cell r="AQ3617" t="str">
            <v>16771325|76098454|136289637|65384388</v>
          </cell>
          <cell r="AR3617" t="str">
            <v>GASTO FISICO</v>
          </cell>
        </row>
        <row r="3618">
          <cell r="AQ3618" t="str">
            <v>16771325|76031071|647916259|21986314</v>
          </cell>
          <cell r="AR3618" t="str">
            <v>GASTO FISICO</v>
          </cell>
        </row>
        <row r="3619">
          <cell r="AQ3619" t="str">
            <v>16771325|76031071|647916259|21986314</v>
          </cell>
          <cell r="AR3619" t="str">
            <v>GASTO FISICO</v>
          </cell>
        </row>
        <row r="3620">
          <cell r="AQ3620" t="str">
            <v>16771325|76031071|647916259|21986314</v>
          </cell>
          <cell r="AR3620" t="str">
            <v>GASTO FISICO</v>
          </cell>
        </row>
        <row r="3621">
          <cell r="AQ3621" t="str">
            <v>16771325|76031071|647916259|983756</v>
          </cell>
          <cell r="AR3621" t="str">
            <v>GASTO FISICO</v>
          </cell>
        </row>
        <row r="3622">
          <cell r="AQ3622" t="str">
            <v>16771325|76031071|647916259|983756</v>
          </cell>
          <cell r="AR3622" t="str">
            <v>GASTO FISICO</v>
          </cell>
        </row>
        <row r="3623">
          <cell r="AQ3623" t="str">
            <v>16771325|76031071|647916259|983756</v>
          </cell>
          <cell r="AR3623" t="str">
            <v>GASTO FISICO</v>
          </cell>
        </row>
        <row r="3624">
          <cell r="AQ3624" t="str">
            <v>16771325|76031071|647916259|65213225</v>
          </cell>
          <cell r="AR3624" t="str">
            <v>GASTO FISICO</v>
          </cell>
        </row>
        <row r="3625">
          <cell r="AQ3625" t="str">
            <v>16771325|76031071|647916259|65213225</v>
          </cell>
          <cell r="AR3625" t="str">
            <v>GASTO FISICO</v>
          </cell>
        </row>
        <row r="3626">
          <cell r="AQ3626" t="str">
            <v>16771325|76031071|647916259|65213225</v>
          </cell>
          <cell r="AR3626" t="str">
            <v>GASTO FISICO</v>
          </cell>
        </row>
        <row r="3627">
          <cell r="AQ3627" t="str">
            <v>16807810|77200240|765422295|765422295</v>
          </cell>
          <cell r="AR3627" t="str">
            <v>IMED SALUD</v>
          </cell>
        </row>
        <row r="3628">
          <cell r="AQ3628" t="str">
            <v>16807810|77200240|765422295|765422295</v>
          </cell>
          <cell r="AR3628" t="str">
            <v>IMED SALUD</v>
          </cell>
        </row>
        <row r="3629">
          <cell r="AQ3629" t="str">
            <v>16807810|77200240|765422295|65384389</v>
          </cell>
          <cell r="AR3629" t="str">
            <v>GASTO FISICO</v>
          </cell>
        </row>
        <row r="3630">
          <cell r="AQ3630" t="str">
            <v>16933109|96942400|929784398|929784398</v>
          </cell>
          <cell r="AR3630" t="str">
            <v>IMED SALUD</v>
          </cell>
        </row>
        <row r="3631">
          <cell r="AQ3631" t="str">
            <v>16933109|96942400|929784398|929784398</v>
          </cell>
          <cell r="AR3631" t="str">
            <v>IMED SALUD</v>
          </cell>
        </row>
        <row r="3632">
          <cell r="AQ3632" t="str">
            <v>16933109|96942400|929784398|65384390</v>
          </cell>
          <cell r="AR3632" t="str">
            <v>GASTO FISICO</v>
          </cell>
        </row>
        <row r="3633">
          <cell r="AQ3633" t="str">
            <v>16933109|96942400|929853353|929853353</v>
          </cell>
          <cell r="AR3633" t="str">
            <v>IMED SALUD</v>
          </cell>
        </row>
        <row r="3634">
          <cell r="AQ3634" t="str">
            <v>16933109|96942400|929853353|929853353</v>
          </cell>
          <cell r="AR3634" t="str">
            <v>IMED SALUD</v>
          </cell>
        </row>
        <row r="3635">
          <cell r="AQ3635" t="str">
            <v>16933109|96942400|929853353|65384391</v>
          </cell>
          <cell r="AR3635" t="str">
            <v>GASTO FISICO</v>
          </cell>
        </row>
        <row r="3636">
          <cell r="AQ3636" t="str">
            <v>16933109|96942400|929900118|929900118</v>
          </cell>
          <cell r="AR3636" t="str">
            <v>IMED SALUD</v>
          </cell>
        </row>
        <row r="3637">
          <cell r="AQ3637" t="str">
            <v>16933109|96942400|929900118|929900118</v>
          </cell>
          <cell r="AR3637" t="str">
            <v>IMED SALUD</v>
          </cell>
        </row>
        <row r="3638">
          <cell r="AQ3638" t="str">
            <v>16933109|96942400|929900118|929900118</v>
          </cell>
          <cell r="AR3638" t="str">
            <v>IMED SALUD</v>
          </cell>
        </row>
        <row r="3639">
          <cell r="AQ3639" t="str">
            <v>16933109|96942400|929900118|929900118</v>
          </cell>
          <cell r="AR3639" t="str">
            <v>IMED SALUD</v>
          </cell>
        </row>
        <row r="3640">
          <cell r="AQ3640" t="str">
            <v>16933109|96942400|929900118|929900118</v>
          </cell>
          <cell r="AR3640" t="str">
            <v>IMED SALUD</v>
          </cell>
        </row>
        <row r="3641">
          <cell r="AQ3641" t="str">
            <v>16933109|96942400|929900118|929900118</v>
          </cell>
          <cell r="AR3641" t="str">
            <v>IMED SALUD</v>
          </cell>
        </row>
        <row r="3642">
          <cell r="AQ3642" t="str">
            <v>16933109|96942400|929900118|929900118</v>
          </cell>
          <cell r="AR3642" t="str">
            <v>IMED SALUD</v>
          </cell>
        </row>
        <row r="3643">
          <cell r="AQ3643" t="str">
            <v>16933109|96942400|929900118|929900118</v>
          </cell>
          <cell r="AR3643" t="str">
            <v>IMED SALUD</v>
          </cell>
        </row>
        <row r="3644">
          <cell r="AQ3644" t="str">
            <v>16933109|96942400|929900118|65384392</v>
          </cell>
          <cell r="AR3644" t="str">
            <v>GASTO FISICO</v>
          </cell>
        </row>
        <row r="3645">
          <cell r="AQ3645" t="str">
            <v>16933109|96942400|929900118|65384392</v>
          </cell>
          <cell r="AR3645" t="str">
            <v>GASTO FISICO</v>
          </cell>
        </row>
        <row r="3646">
          <cell r="AQ3646" t="str">
            <v>16933109|96942400|929900118|65384392</v>
          </cell>
          <cell r="AR3646" t="str">
            <v>GASTO FISICO</v>
          </cell>
        </row>
        <row r="3647">
          <cell r="AQ3647" t="str">
            <v>16933109|96942400|929900118|65384392</v>
          </cell>
          <cell r="AR3647" t="str">
            <v>GASTO FISICO</v>
          </cell>
        </row>
        <row r="3648">
          <cell r="AQ3648" t="str">
            <v>16933109|96942400|929900119|929900119</v>
          </cell>
          <cell r="AR3648" t="str">
            <v>IMED SALUD</v>
          </cell>
        </row>
        <row r="3649">
          <cell r="AQ3649" t="str">
            <v>16933109|96942400|929900119|929900119</v>
          </cell>
          <cell r="AR3649" t="str">
            <v>IMED SALUD</v>
          </cell>
        </row>
        <row r="3650">
          <cell r="AQ3650" t="str">
            <v>16933109|96942400|929900119|929900119</v>
          </cell>
          <cell r="AR3650" t="str">
            <v>IMED SALUD</v>
          </cell>
        </row>
        <row r="3651">
          <cell r="AQ3651" t="str">
            <v>16933109|96942400|929900119|929900119</v>
          </cell>
          <cell r="AR3651" t="str">
            <v>IMED SALUD</v>
          </cell>
        </row>
        <row r="3652">
          <cell r="AQ3652" t="str">
            <v>16933109|96942400|929900119|929900119</v>
          </cell>
          <cell r="AR3652" t="str">
            <v>IMED SALUD</v>
          </cell>
        </row>
        <row r="3653">
          <cell r="AQ3653" t="str">
            <v>16933109|96942400|929900119|929900119</v>
          </cell>
          <cell r="AR3653" t="str">
            <v>IMED SALUD</v>
          </cell>
        </row>
        <row r="3654">
          <cell r="AQ3654" t="str">
            <v>16933109|96942400|929900119|929900119</v>
          </cell>
          <cell r="AR3654" t="str">
            <v>IMED SALUD</v>
          </cell>
        </row>
        <row r="3655">
          <cell r="AQ3655" t="str">
            <v>16933109|96942400|929900119|929900119</v>
          </cell>
          <cell r="AR3655" t="str">
            <v>IMED SALUD</v>
          </cell>
        </row>
        <row r="3656">
          <cell r="AQ3656" t="str">
            <v>16933109|96942400|929900119|929900119</v>
          </cell>
          <cell r="AR3656" t="str">
            <v>IMED SALUD</v>
          </cell>
        </row>
        <row r="3657">
          <cell r="AQ3657" t="str">
            <v>16933109|96942400|929900119|929900119</v>
          </cell>
          <cell r="AR3657" t="str">
            <v>IMED SALUD</v>
          </cell>
        </row>
        <row r="3658">
          <cell r="AQ3658" t="str">
            <v>16933109|96942400|929900119|65384393</v>
          </cell>
          <cell r="AR3658" t="str">
            <v>GASTO FISICO</v>
          </cell>
        </row>
        <row r="3659">
          <cell r="AQ3659" t="str">
            <v>16933109|96942400|929900119|65384393</v>
          </cell>
          <cell r="AR3659" t="str">
            <v>GASTO FISICO</v>
          </cell>
        </row>
        <row r="3660">
          <cell r="AQ3660" t="str">
            <v>16933109|96942400|929900119|65384393</v>
          </cell>
          <cell r="AR3660" t="str">
            <v>GASTO FISICO</v>
          </cell>
        </row>
        <row r="3661">
          <cell r="AQ3661" t="str">
            <v>16933109|96942400|929900119|65384393</v>
          </cell>
          <cell r="AR3661" t="str">
            <v>GASTO FISICO</v>
          </cell>
        </row>
        <row r="3662">
          <cell r="AQ3662" t="str">
            <v>16933109|96942400|929900119|65384393</v>
          </cell>
          <cell r="AR3662" t="str">
            <v>GASTO FISICO</v>
          </cell>
        </row>
        <row r="3663">
          <cell r="AQ3663" t="str">
            <v>16966495|99573490|930043847|930043847</v>
          </cell>
          <cell r="AR3663" t="str">
            <v>IMED SALUD</v>
          </cell>
        </row>
        <row r="3664">
          <cell r="AQ3664" t="str">
            <v>16966495|99573490|930043847|930043847</v>
          </cell>
          <cell r="AR3664" t="str">
            <v>IMED SALUD</v>
          </cell>
        </row>
        <row r="3665">
          <cell r="AQ3665" t="str">
            <v>16966495|99573490|930043847|930043847</v>
          </cell>
          <cell r="AR3665" t="str">
            <v>IMED SALUD</v>
          </cell>
        </row>
        <row r="3666">
          <cell r="AQ3666" t="str">
            <v>16966495|99573490|930043847|930043847</v>
          </cell>
          <cell r="AR3666" t="str">
            <v>IMED SALUD</v>
          </cell>
        </row>
        <row r="3667">
          <cell r="AQ3667" t="str">
            <v>16966495|99573490|930043847|930043847</v>
          </cell>
          <cell r="AR3667" t="str">
            <v>IMED SALUD</v>
          </cell>
        </row>
        <row r="3668">
          <cell r="AQ3668" t="str">
            <v>16966495|99573490|930043847|930043847</v>
          </cell>
          <cell r="AR3668" t="str">
            <v>IMED SALUD</v>
          </cell>
        </row>
        <row r="3669">
          <cell r="AQ3669" t="str">
            <v>16966495|99573490|930043847|930043847</v>
          </cell>
          <cell r="AR3669" t="str">
            <v>IMED SALUD</v>
          </cell>
        </row>
        <row r="3670">
          <cell r="AQ3670" t="str">
            <v>16966495|99573490|930043847|930043847</v>
          </cell>
          <cell r="AR3670" t="str">
            <v>IMED SALUD</v>
          </cell>
        </row>
        <row r="3671">
          <cell r="AQ3671" t="str">
            <v>16966495|99573490|930043847|930043847</v>
          </cell>
          <cell r="AR3671" t="str">
            <v>IMED SALUD</v>
          </cell>
        </row>
        <row r="3672">
          <cell r="AQ3672" t="str">
            <v>16966495|99573490|930043847|930043847</v>
          </cell>
          <cell r="AR3672" t="str">
            <v>IMED SALUD</v>
          </cell>
        </row>
        <row r="3673">
          <cell r="AQ3673" t="str">
            <v>16966495|99573490|930043847|65384395</v>
          </cell>
          <cell r="AR3673" t="str">
            <v>GASTO FISICO</v>
          </cell>
        </row>
        <row r="3674">
          <cell r="AQ3674" t="str">
            <v>16966495|99573490|930043847|65384395</v>
          </cell>
          <cell r="AR3674" t="str">
            <v>GASTO FISICO</v>
          </cell>
        </row>
        <row r="3675">
          <cell r="AQ3675" t="str">
            <v>16966495|99573490|930043847|65384395</v>
          </cell>
          <cell r="AR3675" t="str">
            <v>GASTO FISICO</v>
          </cell>
        </row>
        <row r="3676">
          <cell r="AQ3676" t="str">
            <v>16966495|99573490|930043847|65384395</v>
          </cell>
          <cell r="AR3676" t="str">
            <v>GASTO FISICO</v>
          </cell>
        </row>
        <row r="3677">
          <cell r="AQ3677" t="str">
            <v>16966495|99573490|930043847|65384395</v>
          </cell>
          <cell r="AR3677" t="str">
            <v>GASTO FISICO</v>
          </cell>
        </row>
        <row r="3678">
          <cell r="AQ3678" t="str">
            <v>16966495|99573490|930043848|930043848</v>
          </cell>
          <cell r="AR3678" t="str">
            <v>IMED SALUD</v>
          </cell>
        </row>
        <row r="3679">
          <cell r="AQ3679" t="str">
            <v>16966495|99573490|930043848|930043848</v>
          </cell>
          <cell r="AR3679" t="str">
            <v>IMED SALUD</v>
          </cell>
        </row>
        <row r="3680">
          <cell r="AQ3680" t="str">
            <v>16966495|99573490|930043848|930043848</v>
          </cell>
          <cell r="AR3680" t="str">
            <v>IMED SALUD</v>
          </cell>
        </row>
        <row r="3681">
          <cell r="AQ3681" t="str">
            <v>16966495|99573490|930043848|930043848</v>
          </cell>
          <cell r="AR3681" t="str">
            <v>IMED SALUD</v>
          </cell>
        </row>
        <row r="3682">
          <cell r="AQ3682" t="str">
            <v>16966495|99573490|930043848|930043848</v>
          </cell>
          <cell r="AR3682" t="str">
            <v>IMED SALUD</v>
          </cell>
        </row>
        <row r="3683">
          <cell r="AQ3683" t="str">
            <v>16966495|99573490|930043848|930043848</v>
          </cell>
          <cell r="AR3683" t="str">
            <v>IMED SALUD</v>
          </cell>
        </row>
        <row r="3684">
          <cell r="AQ3684" t="str">
            <v>16966495|99573490|930043848|930043848</v>
          </cell>
          <cell r="AR3684" t="str">
            <v>IMED SALUD</v>
          </cell>
        </row>
        <row r="3685">
          <cell r="AQ3685" t="str">
            <v>16966495|99573490|930043848|930043848</v>
          </cell>
          <cell r="AR3685" t="str">
            <v>IMED SALUD</v>
          </cell>
        </row>
        <row r="3686">
          <cell r="AQ3686" t="str">
            <v>16966495|99573490|930043848|930043848</v>
          </cell>
          <cell r="AR3686" t="str">
            <v>IMED SALUD</v>
          </cell>
        </row>
        <row r="3687">
          <cell r="AQ3687" t="str">
            <v>16966495|99573490|930043848|930043848</v>
          </cell>
          <cell r="AR3687" t="str">
            <v>IMED SALUD</v>
          </cell>
        </row>
        <row r="3688">
          <cell r="AQ3688" t="str">
            <v>16966495|99573490|930043848|65384396</v>
          </cell>
          <cell r="AR3688" t="str">
            <v>GASTO FISICO</v>
          </cell>
        </row>
        <row r="3689">
          <cell r="AQ3689" t="str">
            <v>16966495|99573490|930043848|65384396</v>
          </cell>
          <cell r="AR3689" t="str">
            <v>GASTO FISICO</v>
          </cell>
        </row>
        <row r="3690">
          <cell r="AQ3690" t="str">
            <v>16966495|99573490|930043848|65384396</v>
          </cell>
          <cell r="AR3690" t="str">
            <v>GASTO FISICO</v>
          </cell>
        </row>
        <row r="3691">
          <cell r="AQ3691" t="str">
            <v>16966495|99573490|930043848|65384396</v>
          </cell>
          <cell r="AR3691" t="str">
            <v>GASTO FISICO</v>
          </cell>
        </row>
        <row r="3692">
          <cell r="AQ3692" t="str">
            <v>16966495|99573490|930043848|65384396</v>
          </cell>
          <cell r="AR3692" t="str">
            <v>GASTO FISICO</v>
          </cell>
        </row>
        <row r="3693">
          <cell r="AQ3693" t="str">
            <v>16966495|96567920|930112083|930112083</v>
          </cell>
          <cell r="AR3693" t="str">
            <v>IMED SALUD</v>
          </cell>
        </row>
        <row r="3694">
          <cell r="AQ3694" t="str">
            <v>16966495|96567920|930112083|930112083</v>
          </cell>
          <cell r="AR3694" t="str">
            <v>IMED SALUD</v>
          </cell>
        </row>
        <row r="3695">
          <cell r="AQ3695" t="str">
            <v>16966495|96567920|930112083|65384397</v>
          </cell>
          <cell r="AR3695" t="str">
            <v>GASTO FISICO</v>
          </cell>
        </row>
        <row r="3696">
          <cell r="AQ3696" t="str">
            <v>16966495|96567920|930112084|930112084</v>
          </cell>
          <cell r="AR3696" t="str">
            <v>IMED SALUD</v>
          </cell>
        </row>
        <row r="3697">
          <cell r="AQ3697" t="str">
            <v>16966495|96567920|930112084|930112084</v>
          </cell>
          <cell r="AR3697" t="str">
            <v>IMED SALUD</v>
          </cell>
        </row>
        <row r="3698">
          <cell r="AQ3698" t="str">
            <v>16966495|96567920|930112084|930112084</v>
          </cell>
          <cell r="AR3698" t="str">
            <v>IMED SALUD</v>
          </cell>
        </row>
        <row r="3699">
          <cell r="AQ3699" t="str">
            <v>16966495|96567920|930112084|930112084</v>
          </cell>
          <cell r="AR3699" t="str">
            <v>IMED SALUD</v>
          </cell>
        </row>
        <row r="3700">
          <cell r="AQ3700" t="str">
            <v>16966495|96567920|930112084|930112084</v>
          </cell>
          <cell r="AR3700" t="str">
            <v>IMED SALUD</v>
          </cell>
        </row>
        <row r="3701">
          <cell r="AQ3701" t="str">
            <v>16966495|96567920|930112084|930112084</v>
          </cell>
          <cell r="AR3701" t="str">
            <v>IMED SALUD</v>
          </cell>
        </row>
        <row r="3702">
          <cell r="AQ3702" t="str">
            <v>16966495|96567920|930112084|930112084</v>
          </cell>
          <cell r="AR3702" t="str">
            <v>IMED SALUD</v>
          </cell>
        </row>
        <row r="3703">
          <cell r="AQ3703" t="str">
            <v>16966495|96567920|930112084|930112084</v>
          </cell>
          <cell r="AR3703" t="str">
            <v>IMED SALUD</v>
          </cell>
        </row>
        <row r="3704">
          <cell r="AQ3704" t="str">
            <v>16966495|96567920|930112084|930112084</v>
          </cell>
          <cell r="AR3704" t="str">
            <v>IMED SALUD</v>
          </cell>
        </row>
        <row r="3705">
          <cell r="AQ3705" t="str">
            <v>16966495|96567920|930112084|930112084</v>
          </cell>
          <cell r="AR3705" t="str">
            <v>IMED SALUD</v>
          </cell>
        </row>
        <row r="3706">
          <cell r="AQ3706" t="str">
            <v>16966495|96567920|930112084|65384398</v>
          </cell>
          <cell r="AR3706" t="str">
            <v>GASTO FISICO</v>
          </cell>
        </row>
        <row r="3707">
          <cell r="AQ3707" t="str">
            <v>16966495|96567920|930112084|65384398</v>
          </cell>
          <cell r="AR3707" t="str">
            <v>GASTO FISICO</v>
          </cell>
        </row>
        <row r="3708">
          <cell r="AQ3708" t="str">
            <v>16966495|96567920|930112084|65384398</v>
          </cell>
          <cell r="AR3708" t="str">
            <v>GASTO FISICO</v>
          </cell>
        </row>
        <row r="3709">
          <cell r="AQ3709" t="str">
            <v>16966495|96567920|930112084|65384398</v>
          </cell>
          <cell r="AR3709" t="str">
            <v>GASTO FISICO</v>
          </cell>
        </row>
        <row r="3710">
          <cell r="AQ3710" t="str">
            <v>16966495|96567920|930112084|65384398</v>
          </cell>
          <cell r="AR3710" t="str">
            <v>GASTO FISICO</v>
          </cell>
        </row>
        <row r="3711">
          <cell r="AQ3711" t="str">
            <v>17024209|76098454|372262291|372262291</v>
          </cell>
          <cell r="AR3711" t="str">
            <v>IMED SALUD</v>
          </cell>
        </row>
        <row r="3712">
          <cell r="AQ3712" t="str">
            <v>17024209|76098454|372262291|372262291</v>
          </cell>
          <cell r="AR3712" t="str">
            <v>IMED SALUD</v>
          </cell>
        </row>
        <row r="3713">
          <cell r="AQ3713" t="str">
            <v>17024209|76098454|372262291|372262291</v>
          </cell>
          <cell r="AR3713" t="str">
            <v>IMED SALUD</v>
          </cell>
        </row>
        <row r="3714">
          <cell r="AQ3714" t="str">
            <v>17024209|76098454|372262291|372262291</v>
          </cell>
          <cell r="AR3714" t="str">
            <v>IMED SALUD</v>
          </cell>
        </row>
        <row r="3715">
          <cell r="AQ3715" t="str">
            <v>17024209|76098454|372262291|65384399</v>
          </cell>
          <cell r="AR3715" t="str">
            <v>GASTO FISICO</v>
          </cell>
        </row>
        <row r="3716">
          <cell r="AQ3716" t="str">
            <v>17024209|76098454|372262291|65384399</v>
          </cell>
          <cell r="AR3716" t="str">
            <v>GASTO FISICO</v>
          </cell>
        </row>
        <row r="3717">
          <cell r="AQ3717" t="str">
            <v>17186397|76842600|920260359|920260359</v>
          </cell>
          <cell r="AR3717" t="str">
            <v>IMED SALUD</v>
          </cell>
        </row>
        <row r="3718">
          <cell r="AQ3718" t="str">
            <v>17186397|76842600|920260359|920260359</v>
          </cell>
          <cell r="AR3718" t="str">
            <v>IMED SALUD</v>
          </cell>
        </row>
        <row r="3719">
          <cell r="AQ3719" t="str">
            <v>17186397|76842600|920260359|920260359</v>
          </cell>
          <cell r="AR3719" t="str">
            <v>IMED SALUD</v>
          </cell>
        </row>
        <row r="3720">
          <cell r="AQ3720" t="str">
            <v>17186397|76842600|920260359|920260359</v>
          </cell>
          <cell r="AR3720" t="str">
            <v>IMED SALUD</v>
          </cell>
        </row>
        <row r="3721">
          <cell r="AQ3721" t="str">
            <v>17186397|76842600|920260359|920260359</v>
          </cell>
          <cell r="AR3721" t="str">
            <v>IMED SALUD</v>
          </cell>
        </row>
        <row r="3722">
          <cell r="AQ3722" t="str">
            <v>17186397|76842600|920260359|920260359</v>
          </cell>
          <cell r="AR3722" t="str">
            <v>IMED SALUD</v>
          </cell>
        </row>
        <row r="3723">
          <cell r="AQ3723" t="str">
            <v>17186397|76842600|920260359|920260359</v>
          </cell>
          <cell r="AR3723" t="str">
            <v>IMED SALUD</v>
          </cell>
        </row>
        <row r="3724">
          <cell r="AQ3724" t="str">
            <v>17186397|76842600|920260359|920260359</v>
          </cell>
          <cell r="AR3724" t="str">
            <v>IMED SALUD</v>
          </cell>
        </row>
        <row r="3725">
          <cell r="AQ3725" t="str">
            <v>17186397|76842600|920260359|920260359</v>
          </cell>
          <cell r="AR3725" t="str">
            <v>IMED SALUD</v>
          </cell>
        </row>
        <row r="3726">
          <cell r="AQ3726" t="str">
            <v>17186397|76842600|920260359|920260359</v>
          </cell>
          <cell r="AR3726" t="str">
            <v>IMED SALUD</v>
          </cell>
        </row>
        <row r="3727">
          <cell r="AQ3727" t="str">
            <v>17186397|76842600|920260359|65384406</v>
          </cell>
          <cell r="AR3727" t="str">
            <v>GASTO FISICO</v>
          </cell>
        </row>
        <row r="3728">
          <cell r="AQ3728" t="str">
            <v>17186397|76842600|920260359|65384406</v>
          </cell>
          <cell r="AR3728" t="str">
            <v>GASTO FISICO</v>
          </cell>
        </row>
        <row r="3729">
          <cell r="AQ3729" t="str">
            <v>17186397|76842600|920260359|65384406</v>
          </cell>
          <cell r="AR3729" t="str">
            <v>GASTO FISICO</v>
          </cell>
        </row>
        <row r="3730">
          <cell r="AQ3730" t="str">
            <v>17186397|76842600|920260359|65384406</v>
          </cell>
          <cell r="AR3730" t="str">
            <v>GASTO FISICO</v>
          </cell>
        </row>
        <row r="3731">
          <cell r="AQ3731" t="str">
            <v>17186397|76842600|920260359|65384406</v>
          </cell>
          <cell r="AR3731" t="str">
            <v>GASTO FISICO</v>
          </cell>
        </row>
        <row r="3732">
          <cell r="AQ3732" t="str">
            <v>17186397|76842600|920260360|920260360</v>
          </cell>
          <cell r="AR3732" t="str">
            <v>IMED SALUD</v>
          </cell>
        </row>
        <row r="3733">
          <cell r="AQ3733" t="str">
            <v>17186397|76842600|920260360|920260360</v>
          </cell>
          <cell r="AR3733" t="str">
            <v>IMED SALUD</v>
          </cell>
        </row>
        <row r="3734">
          <cell r="AQ3734" t="str">
            <v>17186397|76842600|920260360|920260360</v>
          </cell>
          <cell r="AR3734" t="str">
            <v>IMED SALUD</v>
          </cell>
        </row>
        <row r="3735">
          <cell r="AQ3735" t="str">
            <v>17186397|76842600|920260360|920260360</v>
          </cell>
          <cell r="AR3735" t="str">
            <v>IMED SALUD</v>
          </cell>
        </row>
        <row r="3736">
          <cell r="AQ3736" t="str">
            <v>17186397|76842600|920260360|65384407</v>
          </cell>
          <cell r="AR3736" t="str">
            <v>GASTO FISICO</v>
          </cell>
        </row>
        <row r="3737">
          <cell r="AQ3737" t="str">
            <v>17186397|76842600|920260360|65384407</v>
          </cell>
          <cell r="AR3737" t="str">
            <v>GASTO FISICO</v>
          </cell>
        </row>
        <row r="3738">
          <cell r="AQ3738" t="str">
            <v>17311548|76436880|370419330|370419330</v>
          </cell>
          <cell r="AR3738" t="str">
            <v>IMED SALUD</v>
          </cell>
        </row>
        <row r="3739">
          <cell r="AQ3739" t="str">
            <v>17311548|76436880|370419330|370419330</v>
          </cell>
          <cell r="AR3739" t="str">
            <v>IMED SALUD</v>
          </cell>
        </row>
        <row r="3740">
          <cell r="AQ3740" t="str">
            <v>17311548|76436880|370419330|370419330</v>
          </cell>
          <cell r="AR3740" t="str">
            <v>IMED SALUD</v>
          </cell>
        </row>
        <row r="3741">
          <cell r="AQ3741" t="str">
            <v>17311548|76436880|370419330|370419330</v>
          </cell>
          <cell r="AR3741" t="str">
            <v>IMED SALUD</v>
          </cell>
        </row>
        <row r="3742">
          <cell r="AQ3742" t="str">
            <v>17311548|76436880|370419330|65384411</v>
          </cell>
          <cell r="AR3742" t="str">
            <v>GASTO FISICO</v>
          </cell>
        </row>
        <row r="3743">
          <cell r="AQ3743" t="str">
            <v>17311548|76436880|370419330|65384411</v>
          </cell>
          <cell r="AR3743" t="str">
            <v>GASTO FISICO</v>
          </cell>
        </row>
        <row r="3744">
          <cell r="AQ3744" t="str">
            <v>17311548|96770100|370422322|370422322</v>
          </cell>
          <cell r="AR3744" t="str">
            <v>IMED SALUD</v>
          </cell>
        </row>
        <row r="3745">
          <cell r="AQ3745" t="str">
            <v>17311548|96770100|370422322|370422322</v>
          </cell>
          <cell r="AR3745" t="str">
            <v>IMED SALUD</v>
          </cell>
        </row>
        <row r="3746">
          <cell r="AQ3746" t="str">
            <v>17311548|96770100|370422322|370422322</v>
          </cell>
          <cell r="AR3746" t="str">
            <v>IMED SALUD</v>
          </cell>
        </row>
        <row r="3747">
          <cell r="AQ3747" t="str">
            <v>17311548|96770100|370422322|370422322</v>
          </cell>
          <cell r="AR3747" t="str">
            <v>IMED SALUD</v>
          </cell>
        </row>
        <row r="3748">
          <cell r="AQ3748" t="str">
            <v>17311548|96770100|370422322|370422322</v>
          </cell>
          <cell r="AR3748" t="str">
            <v>IMED SALUD</v>
          </cell>
        </row>
        <row r="3749">
          <cell r="AQ3749" t="str">
            <v>17311548|96770100|370422322|370422322</v>
          </cell>
          <cell r="AR3749" t="str">
            <v>IMED SALUD</v>
          </cell>
        </row>
        <row r="3750">
          <cell r="AQ3750" t="str">
            <v>17311548|96770100|370422322|65384412</v>
          </cell>
          <cell r="AR3750" t="str">
            <v>GASTO FISICO</v>
          </cell>
        </row>
        <row r="3751">
          <cell r="AQ3751" t="str">
            <v>17311548|96770100|370422322|65384412</v>
          </cell>
          <cell r="AR3751" t="str">
            <v>GASTO FISICO</v>
          </cell>
        </row>
        <row r="3752">
          <cell r="AQ3752" t="str">
            <v>17311548|96770100|370422322|65384412</v>
          </cell>
          <cell r="AR3752" t="str">
            <v>GASTO FISICO</v>
          </cell>
        </row>
        <row r="3753">
          <cell r="AQ3753" t="str">
            <v>17335923|96942400|765666970|765666970</v>
          </cell>
          <cell r="AR3753" t="str">
            <v>IMED SALUD</v>
          </cell>
        </row>
        <row r="3754">
          <cell r="AQ3754" t="str">
            <v>17335923|96942400|765666970|765666970</v>
          </cell>
          <cell r="AR3754" t="str">
            <v>IMED SALUD</v>
          </cell>
        </row>
        <row r="3755">
          <cell r="AQ3755" t="str">
            <v>17335923|96942400|765666970|765666970</v>
          </cell>
          <cell r="AR3755" t="str">
            <v>IMED SALUD</v>
          </cell>
        </row>
        <row r="3756">
          <cell r="AQ3756" t="str">
            <v>17335923|96942400|765666970|765666970</v>
          </cell>
          <cell r="AR3756" t="str">
            <v>IMED SALUD</v>
          </cell>
        </row>
        <row r="3757">
          <cell r="AQ3757" t="str">
            <v>17335923|96942400|765666970|765666970</v>
          </cell>
          <cell r="AR3757" t="str">
            <v>IMED SALUD</v>
          </cell>
        </row>
        <row r="3758">
          <cell r="AQ3758" t="str">
            <v>17335923|96942400|765666970|765666970</v>
          </cell>
          <cell r="AR3758" t="str">
            <v>IMED SALUD</v>
          </cell>
        </row>
        <row r="3759">
          <cell r="AQ3759" t="str">
            <v>17335923|96942400|765666970|765666970</v>
          </cell>
          <cell r="AR3759" t="str">
            <v>IMED SALUD</v>
          </cell>
        </row>
        <row r="3760">
          <cell r="AQ3760" t="str">
            <v>17335923|96942400|765666970|765666970</v>
          </cell>
          <cell r="AR3760" t="str">
            <v>IMED SALUD</v>
          </cell>
        </row>
        <row r="3761">
          <cell r="AQ3761" t="str">
            <v>17335923|96942400|765666970|765666970</v>
          </cell>
          <cell r="AR3761" t="str">
            <v>IMED SALUD</v>
          </cell>
        </row>
        <row r="3762">
          <cell r="AQ3762" t="str">
            <v>17335923|96942400|765666970|765666970</v>
          </cell>
          <cell r="AR3762" t="str">
            <v>IMED SALUD</v>
          </cell>
        </row>
        <row r="3763">
          <cell r="AQ3763" t="str">
            <v>17335923|96942400|765666970|65384414</v>
          </cell>
          <cell r="AR3763" t="str">
            <v>GASTO FISICO</v>
          </cell>
        </row>
        <row r="3764">
          <cell r="AQ3764" t="str">
            <v>17335923|96942400|765666970|65384414</v>
          </cell>
          <cell r="AR3764" t="str">
            <v>GASTO FISICO</v>
          </cell>
        </row>
        <row r="3765">
          <cell r="AQ3765" t="str">
            <v>17335923|96942400|765666970|65384414</v>
          </cell>
          <cell r="AR3765" t="str">
            <v>GASTO FISICO</v>
          </cell>
        </row>
        <row r="3766">
          <cell r="AQ3766" t="str">
            <v>17335923|96942400|765666971|765666971</v>
          </cell>
          <cell r="AR3766" t="str">
            <v>IMED SALUD</v>
          </cell>
        </row>
        <row r="3767">
          <cell r="AQ3767" t="str">
            <v>17335923|96942400|765666971|765666971</v>
          </cell>
          <cell r="AR3767" t="str">
            <v>IMED SALUD</v>
          </cell>
        </row>
        <row r="3768">
          <cell r="AQ3768" t="str">
            <v>17335923|96942400|765666971|765666971</v>
          </cell>
          <cell r="AR3768" t="str">
            <v>IMED SALUD</v>
          </cell>
        </row>
        <row r="3769">
          <cell r="AQ3769" t="str">
            <v>17335923|96942400|765666971|765666971</v>
          </cell>
          <cell r="AR3769" t="str">
            <v>IMED SALUD</v>
          </cell>
        </row>
        <row r="3770">
          <cell r="AQ3770" t="str">
            <v>17335923|96942400|765666971|765666971</v>
          </cell>
          <cell r="AR3770" t="str">
            <v>IMED SALUD</v>
          </cell>
        </row>
        <row r="3771">
          <cell r="AQ3771" t="str">
            <v>17335923|96942400|765666971|765666971</v>
          </cell>
          <cell r="AR3771" t="str">
            <v>IMED SALUD</v>
          </cell>
        </row>
        <row r="3772">
          <cell r="AQ3772" t="str">
            <v>17335923|96942400|765666971|65384415</v>
          </cell>
          <cell r="AR3772" t="str">
            <v>GASTO FISICO</v>
          </cell>
        </row>
        <row r="3773">
          <cell r="AQ3773" t="str">
            <v>17335923|96942400|765666971|65384415</v>
          </cell>
          <cell r="AR3773" t="str">
            <v>GASTO FISICO</v>
          </cell>
        </row>
        <row r="3774">
          <cell r="AQ3774" t="str">
            <v>17408534|76628399|170764|21982343</v>
          </cell>
          <cell r="AR3774" t="str">
            <v>GASTO FISICO</v>
          </cell>
        </row>
        <row r="3775">
          <cell r="AQ3775" t="str">
            <v>17408534|76628399|170764|21982343</v>
          </cell>
          <cell r="AR3775" t="str">
            <v>GASTO FISICO</v>
          </cell>
        </row>
        <row r="3776">
          <cell r="AQ3776" t="str">
            <v>17408534|76628399|170764|21982343</v>
          </cell>
          <cell r="AR3776" t="str">
            <v>GASTO FISICO</v>
          </cell>
        </row>
        <row r="3777">
          <cell r="AQ3777" t="str">
            <v>17408534|76628399|170764|22008916</v>
          </cell>
          <cell r="AR3777" t="str">
            <v>GASTO FISICO</v>
          </cell>
        </row>
        <row r="3778">
          <cell r="AQ3778" t="str">
            <v>17408534|76628399|170764|22008916</v>
          </cell>
          <cell r="AR3778" t="str">
            <v>GASTO FISICO</v>
          </cell>
        </row>
        <row r="3779">
          <cell r="AQ3779" t="str">
            <v>17408534|76628399|170764|22008916</v>
          </cell>
          <cell r="AR3779" t="str">
            <v>GASTO FISICO</v>
          </cell>
        </row>
        <row r="3780">
          <cell r="AQ3780" t="str">
            <v>17408534|76628399|170764|22008913</v>
          </cell>
          <cell r="AR3780" t="str">
            <v>GASTO FISICO</v>
          </cell>
        </row>
        <row r="3781">
          <cell r="AQ3781" t="str">
            <v>17408534|76628399|170764|22008913</v>
          </cell>
          <cell r="AR3781" t="str">
            <v>GASTO FISICO</v>
          </cell>
        </row>
        <row r="3782">
          <cell r="AQ3782" t="str">
            <v>17408534|76628399|170764|22008913</v>
          </cell>
          <cell r="AR3782" t="str">
            <v>GASTO FISICO</v>
          </cell>
        </row>
        <row r="3783">
          <cell r="AQ3783" t="str">
            <v>17408534|76628399|170764|991222</v>
          </cell>
          <cell r="AR3783" t="str">
            <v>GASTO FISICO</v>
          </cell>
        </row>
        <row r="3784">
          <cell r="AQ3784" t="str">
            <v>17408534|76628399|170764|991222</v>
          </cell>
          <cell r="AR3784" t="str">
            <v>GASTO FISICO</v>
          </cell>
        </row>
        <row r="3785">
          <cell r="AQ3785" t="str">
            <v>17408534|76628399|170764|991222</v>
          </cell>
          <cell r="AR3785" t="str">
            <v>GASTO FISICO</v>
          </cell>
        </row>
        <row r="3786">
          <cell r="AQ3786" t="str">
            <v>17408534|76628399|170764|65213242</v>
          </cell>
          <cell r="AR3786" t="str">
            <v>GASTO FISICO</v>
          </cell>
        </row>
        <row r="3787">
          <cell r="AQ3787" t="str">
            <v>17408534|76628399|170764|65213242</v>
          </cell>
          <cell r="AR3787" t="str">
            <v>GASTO FISICO</v>
          </cell>
        </row>
        <row r="3788">
          <cell r="AQ3788" t="str">
            <v>17408534|76628399|170764|65213242</v>
          </cell>
          <cell r="AR3788" t="str">
            <v>GASTO FISICO</v>
          </cell>
        </row>
        <row r="3789">
          <cell r="AQ3789" t="str">
            <v>17408534|76055963|371184002|371184002</v>
          </cell>
          <cell r="AR3789" t="str">
            <v>IMED SALUD</v>
          </cell>
        </row>
        <row r="3790">
          <cell r="AQ3790" t="str">
            <v>17408534|76055963|371184002|371184002</v>
          </cell>
          <cell r="AR3790" t="str">
            <v>IMED SALUD</v>
          </cell>
        </row>
        <row r="3791">
          <cell r="AQ3791" t="str">
            <v>17408534|76055963|371184002|371184002</v>
          </cell>
          <cell r="AR3791" t="str">
            <v>IMED SALUD</v>
          </cell>
        </row>
        <row r="3792">
          <cell r="AQ3792" t="str">
            <v>17408534|76055963|371184002|371184002</v>
          </cell>
          <cell r="AR3792" t="str">
            <v>IMED SALUD</v>
          </cell>
        </row>
        <row r="3793">
          <cell r="AQ3793" t="str">
            <v>17408534|76055963|371184002|65384416</v>
          </cell>
          <cell r="AR3793" t="str">
            <v>GASTO FISICO</v>
          </cell>
        </row>
        <row r="3794">
          <cell r="AQ3794" t="str">
            <v>17408534|76055963|371184002|65384416</v>
          </cell>
          <cell r="AR3794" t="str">
            <v>GASTO FISICO</v>
          </cell>
        </row>
        <row r="3795">
          <cell r="AQ3795" t="str">
            <v>17457276|76010492|95813778|95813778</v>
          </cell>
          <cell r="AR3795" t="str">
            <v>IMED SALUD</v>
          </cell>
        </row>
        <row r="3796">
          <cell r="AQ3796" t="str">
            <v>17457276|76010492|95813778|95813778</v>
          </cell>
          <cell r="AR3796" t="str">
            <v>IMED SALUD</v>
          </cell>
        </row>
        <row r="3797">
          <cell r="AQ3797" t="str">
            <v>17457276|76010492|95813778|65384417</v>
          </cell>
          <cell r="AR3797" t="str">
            <v>GASTO FISICO</v>
          </cell>
        </row>
        <row r="3798">
          <cell r="AQ3798" t="str">
            <v>17457276|76010492|95814458|95814458</v>
          </cell>
          <cell r="AR3798" t="str">
            <v>IMED SALUD</v>
          </cell>
        </row>
        <row r="3799">
          <cell r="AQ3799" t="str">
            <v>17457276|76010492|95814458|95814458</v>
          </cell>
          <cell r="AR3799" t="str">
            <v>IMED SALUD</v>
          </cell>
        </row>
        <row r="3800">
          <cell r="AQ3800" t="str">
            <v>17457276|76010492|95814458|65384418</v>
          </cell>
          <cell r="AR3800" t="str">
            <v>GASTO FISICO</v>
          </cell>
        </row>
        <row r="3801">
          <cell r="AQ3801" t="str">
            <v>17457276|76686200|95844766|95844766</v>
          </cell>
          <cell r="AR3801" t="str">
            <v>IMED SALUD</v>
          </cell>
        </row>
        <row r="3802">
          <cell r="AQ3802" t="str">
            <v>17457276|76686200|95844766|95844766</v>
          </cell>
          <cell r="AR3802" t="str">
            <v>IMED SALUD</v>
          </cell>
        </row>
        <row r="3803">
          <cell r="AQ3803" t="str">
            <v>17457276|76686200|95844766|95844766</v>
          </cell>
          <cell r="AR3803" t="str">
            <v>IMED SALUD</v>
          </cell>
        </row>
        <row r="3804">
          <cell r="AQ3804" t="str">
            <v>17457276|76686200|95844766|95844766</v>
          </cell>
          <cell r="AR3804" t="str">
            <v>IMED SALUD</v>
          </cell>
        </row>
        <row r="3805">
          <cell r="AQ3805" t="str">
            <v>17457276|76686200|95844766|65384419</v>
          </cell>
          <cell r="AR3805" t="str">
            <v>GASTO FISICO</v>
          </cell>
        </row>
        <row r="3806">
          <cell r="AQ3806" t="str">
            <v>17457276|76686200|95844766|65384419</v>
          </cell>
          <cell r="AR3806" t="str">
            <v>GASTO FISICO</v>
          </cell>
        </row>
        <row r="3807">
          <cell r="AQ3807" t="str">
            <v>17562258|6779929|3095|21964422</v>
          </cell>
          <cell r="AR3807" t="str">
            <v>GASTO FISICO</v>
          </cell>
        </row>
        <row r="3808">
          <cell r="AQ3808" t="str">
            <v>17562258|6779929|3095|22015062</v>
          </cell>
          <cell r="AR3808" t="str">
            <v>GASTO FISICO</v>
          </cell>
        </row>
        <row r="3809">
          <cell r="AQ3809" t="str">
            <v>17562258|6779929|3095|985750</v>
          </cell>
          <cell r="AR3809" t="str">
            <v>GASTO FISICO</v>
          </cell>
        </row>
        <row r="3810">
          <cell r="AQ3810" t="str">
            <v>17562258|6779929|3095|985752</v>
          </cell>
          <cell r="AR3810" t="str">
            <v>GASTO FISICO</v>
          </cell>
        </row>
        <row r="3811">
          <cell r="AQ3811" t="str">
            <v>17562258|6779929|3095|65213245</v>
          </cell>
          <cell r="AR3811" t="str">
            <v>GASTO FISICO</v>
          </cell>
        </row>
        <row r="3812">
          <cell r="AQ3812" t="str">
            <v>17562258|6779929|3113|21978497</v>
          </cell>
          <cell r="AR3812" t="str">
            <v>GASTO FISICO</v>
          </cell>
        </row>
        <row r="3813">
          <cell r="AQ3813" t="str">
            <v>17562258|6779929|3113|21993971</v>
          </cell>
          <cell r="AR3813" t="str">
            <v>GASTO FISICO</v>
          </cell>
        </row>
        <row r="3814">
          <cell r="AQ3814" t="str">
            <v>17562258|6779929|3113|985758</v>
          </cell>
          <cell r="AR3814" t="str">
            <v>GASTO FISICO</v>
          </cell>
        </row>
        <row r="3815">
          <cell r="AQ3815" t="str">
            <v>17562258|6779929|3113|65213247</v>
          </cell>
          <cell r="AR3815" t="str">
            <v>GASTO FISICO</v>
          </cell>
        </row>
        <row r="3816">
          <cell r="AQ3816" t="str">
            <v>17562258|6779929|3123|21990789</v>
          </cell>
          <cell r="AR3816" t="str">
            <v>GASTO FISICO</v>
          </cell>
        </row>
        <row r="3817">
          <cell r="AQ3817" t="str">
            <v>17562258|6779929|3123|985760</v>
          </cell>
          <cell r="AR3817" t="str">
            <v>GASTO FISICO</v>
          </cell>
        </row>
        <row r="3818">
          <cell r="AQ3818" t="str">
            <v>17562258|6779929|3123|65213248</v>
          </cell>
          <cell r="AR3818" t="str">
            <v>GASTO FISICO</v>
          </cell>
        </row>
        <row r="3819">
          <cell r="AQ3819" t="str">
            <v>17562258|77427951|4172|21966463</v>
          </cell>
          <cell r="AR3819" t="str">
            <v>GASTO FISICO</v>
          </cell>
        </row>
        <row r="3820">
          <cell r="AQ3820" t="str">
            <v>17562258|77427951|4172|978413</v>
          </cell>
          <cell r="AR3820" t="str">
            <v>GASTO FISICO</v>
          </cell>
        </row>
        <row r="3821">
          <cell r="AQ3821" t="str">
            <v>17562258|77427951|4172|65213246</v>
          </cell>
          <cell r="AR3821" t="str">
            <v>GASTO FISICO</v>
          </cell>
        </row>
        <row r="3822">
          <cell r="AQ3822" t="str">
            <v>17562258|96942400|765695633|765695633</v>
          </cell>
          <cell r="AR3822" t="str">
            <v>IMED SALUD</v>
          </cell>
        </row>
        <row r="3823">
          <cell r="AQ3823" t="str">
            <v>17562258|96942400|765695633|765695633</v>
          </cell>
          <cell r="AR3823" t="str">
            <v>IMED SALUD</v>
          </cell>
        </row>
        <row r="3824">
          <cell r="AQ3824" t="str">
            <v>17562258|96942400|765695633|65384422</v>
          </cell>
          <cell r="AR3824" t="str">
            <v>GASTO FISICO</v>
          </cell>
        </row>
        <row r="3825">
          <cell r="AQ3825" t="str">
            <v>17585933|88081300|915732160|915732160</v>
          </cell>
          <cell r="AR3825" t="str">
            <v>IMED SALUD</v>
          </cell>
        </row>
        <row r="3826">
          <cell r="AQ3826" t="str">
            <v>17585933|88081300|915732160|915732160</v>
          </cell>
          <cell r="AR3826" t="str">
            <v>IMED SALUD</v>
          </cell>
        </row>
        <row r="3827">
          <cell r="AQ3827" t="str">
            <v>17585933|88081300|915732160|915732160</v>
          </cell>
          <cell r="AR3827" t="str">
            <v>IMED SALUD</v>
          </cell>
        </row>
        <row r="3828">
          <cell r="AQ3828" t="str">
            <v>17585933|88081300|915732160|915732160</v>
          </cell>
          <cell r="AR3828" t="str">
            <v>IMED SALUD</v>
          </cell>
        </row>
        <row r="3829">
          <cell r="AQ3829" t="str">
            <v>17585933|88081300|915732160|915732160</v>
          </cell>
          <cell r="AR3829" t="str">
            <v>IMED SALUD</v>
          </cell>
        </row>
        <row r="3830">
          <cell r="AQ3830" t="str">
            <v>17585933|88081300|915732160|915732160</v>
          </cell>
          <cell r="AR3830" t="str">
            <v>IMED SALUD</v>
          </cell>
        </row>
        <row r="3831">
          <cell r="AQ3831" t="str">
            <v>17585933|88081300|915732160|65384426</v>
          </cell>
          <cell r="AR3831" t="str">
            <v>GASTO FISICO</v>
          </cell>
        </row>
        <row r="3832">
          <cell r="AQ3832" t="str">
            <v>17585933|88081300|915732160|65384426</v>
          </cell>
          <cell r="AR3832" t="str">
            <v>GASTO FISICO</v>
          </cell>
        </row>
        <row r="3833">
          <cell r="AQ3833" t="str">
            <v>17585933|88081300|915732160|65384426</v>
          </cell>
          <cell r="AR3833" t="str">
            <v>GASTO FISICO</v>
          </cell>
        </row>
        <row r="3834">
          <cell r="AQ3834" t="str">
            <v>17585933|79749170|915807719|915807719</v>
          </cell>
          <cell r="AR3834" t="str">
            <v>IMED SALUD</v>
          </cell>
        </row>
        <row r="3835">
          <cell r="AQ3835" t="str">
            <v>17585933|79749170|915807719|915807719</v>
          </cell>
          <cell r="AR3835" t="str">
            <v>IMED SALUD</v>
          </cell>
        </row>
        <row r="3836">
          <cell r="AQ3836" t="str">
            <v>17585933|79749170|915807719|915807719</v>
          </cell>
          <cell r="AR3836" t="str">
            <v>IMED SALUD</v>
          </cell>
        </row>
        <row r="3837">
          <cell r="AQ3837" t="str">
            <v>17585933|79749170|915807719|915807719</v>
          </cell>
          <cell r="AR3837" t="str">
            <v>IMED SALUD</v>
          </cell>
        </row>
        <row r="3838">
          <cell r="AQ3838" t="str">
            <v>17585933|79749170|915807719|915807719</v>
          </cell>
          <cell r="AR3838" t="str">
            <v>IMED SALUD</v>
          </cell>
        </row>
        <row r="3839">
          <cell r="AQ3839" t="str">
            <v>17585933|79749170|915807719|915807719</v>
          </cell>
          <cell r="AR3839" t="str">
            <v>IMED SALUD</v>
          </cell>
        </row>
        <row r="3840">
          <cell r="AQ3840" t="str">
            <v>17585933|79749170|915807719|915807719</v>
          </cell>
          <cell r="AR3840" t="str">
            <v>IMED SALUD</v>
          </cell>
        </row>
        <row r="3841">
          <cell r="AQ3841" t="str">
            <v>17585933|79749170|915807719|915807719</v>
          </cell>
          <cell r="AR3841" t="str">
            <v>IMED SALUD</v>
          </cell>
        </row>
        <row r="3842">
          <cell r="AQ3842" t="str">
            <v>17585933|79749170|915807719|915807719</v>
          </cell>
          <cell r="AR3842" t="str">
            <v>IMED SALUD</v>
          </cell>
        </row>
        <row r="3843">
          <cell r="AQ3843" t="str">
            <v>17585933|79749170|915807719|915807719</v>
          </cell>
          <cell r="AR3843" t="str">
            <v>IMED SALUD</v>
          </cell>
        </row>
        <row r="3844">
          <cell r="AQ3844" t="str">
            <v>17585933|79749170|915807719|65384423</v>
          </cell>
          <cell r="AR3844" t="str">
            <v>GASTO FISICO</v>
          </cell>
        </row>
        <row r="3845">
          <cell r="AQ3845" t="str">
            <v>17585933|79749170|915807719|65384423</v>
          </cell>
          <cell r="AR3845" t="str">
            <v>GASTO FISICO</v>
          </cell>
        </row>
        <row r="3846">
          <cell r="AQ3846" t="str">
            <v>17585933|79749170|915807719|65384423</v>
          </cell>
          <cell r="AR3846" t="str">
            <v>GASTO FISICO</v>
          </cell>
        </row>
        <row r="3847">
          <cell r="AQ3847" t="str">
            <v>17585933|79749170|915807719|65384423</v>
          </cell>
          <cell r="AR3847" t="str">
            <v>GASTO FISICO</v>
          </cell>
        </row>
        <row r="3848">
          <cell r="AQ3848" t="str">
            <v>17585933|79749170|915807719|65384423</v>
          </cell>
          <cell r="AR3848" t="str">
            <v>GASTO FISICO</v>
          </cell>
        </row>
        <row r="3849">
          <cell r="AQ3849" t="str">
            <v>17585933|79749170|915807720|915807720</v>
          </cell>
          <cell r="AR3849" t="str">
            <v>IMED SALUD</v>
          </cell>
        </row>
        <row r="3850">
          <cell r="AQ3850" t="str">
            <v>17585933|79749170|915807720|915807720</v>
          </cell>
          <cell r="AR3850" t="str">
            <v>IMED SALUD</v>
          </cell>
        </row>
        <row r="3851">
          <cell r="AQ3851" t="str">
            <v>17585933|79749170|915807720|915807720</v>
          </cell>
          <cell r="AR3851" t="str">
            <v>IMED SALUD</v>
          </cell>
        </row>
        <row r="3852">
          <cell r="AQ3852" t="str">
            <v>17585933|79749170|915807720|915807720</v>
          </cell>
          <cell r="AR3852" t="str">
            <v>IMED SALUD</v>
          </cell>
        </row>
        <row r="3853">
          <cell r="AQ3853" t="str">
            <v>17585933|79749170|915807720|915807720</v>
          </cell>
          <cell r="AR3853" t="str">
            <v>IMED SALUD</v>
          </cell>
        </row>
        <row r="3854">
          <cell r="AQ3854" t="str">
            <v>17585933|79749170|915807720|915807720</v>
          </cell>
          <cell r="AR3854" t="str">
            <v>IMED SALUD</v>
          </cell>
        </row>
        <row r="3855">
          <cell r="AQ3855" t="str">
            <v>17585933|79749170|915807720|65384424</v>
          </cell>
          <cell r="AR3855" t="str">
            <v>GASTO FISICO</v>
          </cell>
        </row>
        <row r="3856">
          <cell r="AQ3856" t="str">
            <v>17585933|79749170|915807720|65384424</v>
          </cell>
          <cell r="AR3856" t="str">
            <v>GASTO FISICO</v>
          </cell>
        </row>
        <row r="3857">
          <cell r="AQ3857" t="str">
            <v>17585933|79749170|915807720|65384424</v>
          </cell>
          <cell r="AR3857" t="str">
            <v>GASTO FISICO</v>
          </cell>
        </row>
        <row r="3858">
          <cell r="AQ3858" t="str">
            <v>17585933|96852530|921181250|921181250</v>
          </cell>
          <cell r="AR3858" t="str">
            <v>IMED SALUD</v>
          </cell>
        </row>
        <row r="3859">
          <cell r="AQ3859" t="str">
            <v>17585933|96852530|921181250|921181250</v>
          </cell>
          <cell r="AR3859" t="str">
            <v>IMED SALUD</v>
          </cell>
        </row>
        <row r="3860">
          <cell r="AQ3860" t="str">
            <v>17585933|96852530|921181250|65384425</v>
          </cell>
          <cell r="AR3860" t="str">
            <v>GASTO FISICO</v>
          </cell>
        </row>
        <row r="3861">
          <cell r="AQ3861" t="str">
            <v>17656664|76754097|929974199|929974199</v>
          </cell>
          <cell r="AR3861" t="str">
            <v>IMED SALUD</v>
          </cell>
        </row>
        <row r="3862">
          <cell r="AQ3862" t="str">
            <v>17656664|76754097|929974199|929974199</v>
          </cell>
          <cell r="AR3862" t="str">
            <v>IMED SALUD</v>
          </cell>
        </row>
        <row r="3863">
          <cell r="AQ3863" t="str">
            <v>17656664|76754097|929974199|65384427</v>
          </cell>
          <cell r="AR3863" t="str">
            <v>GASTO FISICO</v>
          </cell>
        </row>
        <row r="3864">
          <cell r="AQ3864" t="str">
            <v>17703525|77559874|1363|21976442</v>
          </cell>
          <cell r="AR3864" t="str">
            <v>GASTO FISICO</v>
          </cell>
        </row>
        <row r="3865">
          <cell r="AQ3865" t="str">
            <v>17703525|77559874|1363|21996169</v>
          </cell>
          <cell r="AR3865" t="str">
            <v>GASTO FISICO</v>
          </cell>
        </row>
        <row r="3866">
          <cell r="AQ3866" t="str">
            <v>17703525|77559874|1363|983664</v>
          </cell>
          <cell r="AR3866" t="str">
            <v>GASTO FISICO</v>
          </cell>
        </row>
        <row r="3867">
          <cell r="AQ3867" t="str">
            <v>17703525|77559874|1363|65213253</v>
          </cell>
          <cell r="AR3867" t="str">
            <v>GASTO FISICO</v>
          </cell>
        </row>
        <row r="3868">
          <cell r="AQ3868" t="str">
            <v>17703525|77559874|1363|65213257</v>
          </cell>
          <cell r="AR3868" t="str">
            <v>GASTO FISICO</v>
          </cell>
        </row>
        <row r="3869">
          <cell r="AQ3869" t="str">
            <v>17729073|78076064|64|21969897</v>
          </cell>
          <cell r="AR3869" t="str">
            <v>GASTO FISICO</v>
          </cell>
        </row>
        <row r="3870">
          <cell r="AQ3870" t="str">
            <v>17729073|78076064|64|986663</v>
          </cell>
          <cell r="AR3870" t="str">
            <v>GASTO FISICO</v>
          </cell>
        </row>
        <row r="3871">
          <cell r="AQ3871" t="str">
            <v>17729073|78076064|64|65213260</v>
          </cell>
          <cell r="AR3871" t="str">
            <v>GASTO FISICO</v>
          </cell>
        </row>
        <row r="3872">
          <cell r="AQ3872" t="str">
            <v>17729073|96802800|915768794|915768794</v>
          </cell>
          <cell r="AR3872" t="str">
            <v>IMED SALUD</v>
          </cell>
        </row>
        <row r="3873">
          <cell r="AQ3873" t="str">
            <v>17729073|96802800|915768794|915768794</v>
          </cell>
          <cell r="AR3873" t="str">
            <v>IMED SALUD</v>
          </cell>
        </row>
        <row r="3874">
          <cell r="AQ3874" t="str">
            <v>17729073|96802800|915768794|915768794</v>
          </cell>
          <cell r="AR3874" t="str">
            <v>IMED SALUD</v>
          </cell>
        </row>
        <row r="3875">
          <cell r="AQ3875" t="str">
            <v>17729073|96802800|915768794|915768794</v>
          </cell>
          <cell r="AR3875" t="str">
            <v>IMED SALUD</v>
          </cell>
        </row>
        <row r="3876">
          <cell r="AQ3876" t="str">
            <v>17729073|96802800|915768794|65384428</v>
          </cell>
          <cell r="AR3876" t="str">
            <v>GASTO FISICO</v>
          </cell>
        </row>
        <row r="3877">
          <cell r="AQ3877" t="str">
            <v>17729073|96802800|915768794|65384428</v>
          </cell>
          <cell r="AR3877" t="str">
            <v>GASTO FISICO</v>
          </cell>
        </row>
        <row r="3878">
          <cell r="AQ3878" t="str">
            <v>17729073|96802800|916141055|916141055</v>
          </cell>
          <cell r="AR3878" t="str">
            <v>IMED SALUD</v>
          </cell>
        </row>
        <row r="3879">
          <cell r="AQ3879" t="str">
            <v>17729073|96802800|916141055|916141055</v>
          </cell>
          <cell r="AR3879" t="str">
            <v>IMED SALUD</v>
          </cell>
        </row>
        <row r="3880">
          <cell r="AQ3880" t="str">
            <v>17729073|96802800|916141055|916141055</v>
          </cell>
          <cell r="AR3880" t="str">
            <v>IMED SALUD</v>
          </cell>
        </row>
        <row r="3881">
          <cell r="AQ3881" t="str">
            <v>17729073|96802800|916141055|916141055</v>
          </cell>
          <cell r="AR3881" t="str">
            <v>IMED SALUD</v>
          </cell>
        </row>
        <row r="3882">
          <cell r="AQ3882" t="str">
            <v>17729073|96802800|916141055|65384429</v>
          </cell>
          <cell r="AR3882" t="str">
            <v>GASTO FISICO</v>
          </cell>
        </row>
        <row r="3883">
          <cell r="AQ3883" t="str">
            <v>17729073|96802800|916141055|65384429</v>
          </cell>
          <cell r="AR3883" t="str">
            <v>GASTO FISICO</v>
          </cell>
        </row>
        <row r="3884">
          <cell r="AQ3884" t="str">
            <v>17729073|96802800|916645712|916645712</v>
          </cell>
          <cell r="AR3884" t="str">
            <v>IMED SALUD</v>
          </cell>
        </row>
        <row r="3885">
          <cell r="AQ3885" t="str">
            <v>17729073|96802800|916645712|916645712</v>
          </cell>
          <cell r="AR3885" t="str">
            <v>IMED SALUD</v>
          </cell>
        </row>
        <row r="3886">
          <cell r="AQ3886" t="str">
            <v>17729073|96802800|916645712|916645712</v>
          </cell>
          <cell r="AR3886" t="str">
            <v>IMED SALUD</v>
          </cell>
        </row>
        <row r="3887">
          <cell r="AQ3887" t="str">
            <v>17729073|96802800|916645712|916645712</v>
          </cell>
          <cell r="AR3887" t="str">
            <v>IMED SALUD</v>
          </cell>
        </row>
        <row r="3888">
          <cell r="AQ3888" t="str">
            <v>17729073|96802800|916645712|65384430</v>
          </cell>
          <cell r="AR3888" t="str">
            <v>GASTO FISICO</v>
          </cell>
        </row>
        <row r="3889">
          <cell r="AQ3889" t="str">
            <v>17729073|96802800|916645712|65384430</v>
          </cell>
          <cell r="AR3889" t="str">
            <v>GASTO FISICO</v>
          </cell>
        </row>
        <row r="3890">
          <cell r="AQ3890" t="str">
            <v>17753710|93930000|930197830|930197830</v>
          </cell>
          <cell r="AR3890" t="str">
            <v>IMED SALUD</v>
          </cell>
        </row>
        <row r="3891">
          <cell r="AQ3891" t="str">
            <v>17753710|93930000|930197830|930197830</v>
          </cell>
          <cell r="AR3891" t="str">
            <v>IMED SALUD</v>
          </cell>
        </row>
        <row r="3892">
          <cell r="AQ3892" t="str">
            <v>17753710|93930000|930197830|65384431</v>
          </cell>
          <cell r="AR3892" t="str">
            <v>GASTO FISICO</v>
          </cell>
        </row>
        <row r="3893">
          <cell r="AQ3893" t="str">
            <v>17753710|93930000|930197831|930197831</v>
          </cell>
          <cell r="AR3893" t="str">
            <v>IMED SALUD</v>
          </cell>
        </row>
        <row r="3894">
          <cell r="AQ3894" t="str">
            <v>17753710|93930000|930197831|930197831</v>
          </cell>
          <cell r="AR3894" t="str">
            <v>IMED SALUD</v>
          </cell>
        </row>
        <row r="3895">
          <cell r="AQ3895" t="str">
            <v>17753710|93930000|930197831|930197831</v>
          </cell>
          <cell r="AR3895" t="str">
            <v>IMED SALUD</v>
          </cell>
        </row>
        <row r="3896">
          <cell r="AQ3896" t="str">
            <v>17753710|93930000|930197831|930197831</v>
          </cell>
          <cell r="AR3896" t="str">
            <v>IMED SALUD</v>
          </cell>
        </row>
        <row r="3897">
          <cell r="AQ3897" t="str">
            <v>17753710|93930000|930197831|65384432</v>
          </cell>
          <cell r="AR3897" t="str">
            <v>GASTO FISICO</v>
          </cell>
        </row>
        <row r="3898">
          <cell r="AQ3898" t="str">
            <v>17753710|93930000|930197831|65384432</v>
          </cell>
          <cell r="AR3898" t="str">
            <v>GASTO FISICO</v>
          </cell>
        </row>
        <row r="3899">
          <cell r="AQ3899" t="str">
            <v>17764749|77200240|370901391|370901391</v>
          </cell>
          <cell r="AR3899" t="str">
            <v>IMED SALUD</v>
          </cell>
        </row>
        <row r="3900">
          <cell r="AQ3900" t="str">
            <v>17764749|77200240|370901391|370901391</v>
          </cell>
          <cell r="AR3900" t="str">
            <v>IMED SALUD</v>
          </cell>
        </row>
        <row r="3901">
          <cell r="AQ3901" t="str">
            <v>17764749|77200240|370901391|65384433</v>
          </cell>
          <cell r="AR3901" t="str">
            <v>GASTO FISICO</v>
          </cell>
        </row>
        <row r="3902">
          <cell r="AQ3902" t="str">
            <v>17764749|77200240|372472554|372472554</v>
          </cell>
          <cell r="AR3902" t="str">
            <v>IMED SALUD</v>
          </cell>
        </row>
        <row r="3903">
          <cell r="AQ3903" t="str">
            <v>17764749|77200240|372472554|372472554</v>
          </cell>
          <cell r="AR3903" t="str">
            <v>IMED SALUD</v>
          </cell>
        </row>
        <row r="3904">
          <cell r="AQ3904" t="str">
            <v>17764749|77200240|372472554|372472554</v>
          </cell>
          <cell r="AR3904" t="str">
            <v>IMED SALUD</v>
          </cell>
        </row>
        <row r="3905">
          <cell r="AQ3905" t="str">
            <v>17764749|77200240|372472554|372472554</v>
          </cell>
          <cell r="AR3905" t="str">
            <v>IMED SALUD</v>
          </cell>
        </row>
        <row r="3906">
          <cell r="AQ3906" t="str">
            <v>17764749|77200240|372472554|65384434</v>
          </cell>
          <cell r="AR3906" t="str">
            <v>GASTO FISICO</v>
          </cell>
        </row>
        <row r="3907">
          <cell r="AQ3907" t="str">
            <v>17764749|77200240|372472554|65384434</v>
          </cell>
          <cell r="AR3907" t="str">
            <v>GASTO FISICO</v>
          </cell>
        </row>
        <row r="3908">
          <cell r="AQ3908" t="str">
            <v>17780739|76031071|658150350|22134876</v>
          </cell>
          <cell r="AR3908" t="str">
            <v>GASTO FISICO</v>
          </cell>
        </row>
        <row r="3909">
          <cell r="AQ3909" t="str">
            <v>17780739|76031071|658150350|22134876</v>
          </cell>
          <cell r="AR3909" t="str">
            <v>GASTO FISICO</v>
          </cell>
        </row>
        <row r="3910">
          <cell r="AQ3910" t="str">
            <v>17780739|76031071|658150350|22134876</v>
          </cell>
          <cell r="AR3910" t="str">
            <v>GASTO FISICO</v>
          </cell>
        </row>
        <row r="3911">
          <cell r="AQ3911" t="str">
            <v>17780739|76031071|658150350|22144812</v>
          </cell>
          <cell r="AR3911" t="str">
            <v>GASTO FISICO</v>
          </cell>
        </row>
        <row r="3912">
          <cell r="AQ3912" t="str">
            <v>17780739|76031071|658150350|22144812</v>
          </cell>
          <cell r="AR3912" t="str">
            <v>GASTO FISICO</v>
          </cell>
        </row>
        <row r="3913">
          <cell r="AQ3913" t="str">
            <v>17780739|76031071|658150350|1038699</v>
          </cell>
          <cell r="AR3913" t="str">
            <v>GASTO FISICO</v>
          </cell>
        </row>
        <row r="3914">
          <cell r="AQ3914" t="str">
            <v>17780739|76031071|658150350|1038699</v>
          </cell>
          <cell r="AR3914" t="str">
            <v>GASTO FISICO</v>
          </cell>
        </row>
        <row r="3915">
          <cell r="AQ3915" t="str">
            <v>17780739|76031071|658150350|66381048</v>
          </cell>
          <cell r="AR3915" t="str">
            <v>GASTO FISICO</v>
          </cell>
        </row>
        <row r="3916">
          <cell r="AQ3916" t="str">
            <v>17780739|76031071|658150350|66381048</v>
          </cell>
          <cell r="AR3916" t="str">
            <v>GASTO FISICO</v>
          </cell>
        </row>
        <row r="3917">
          <cell r="AQ3917" t="str">
            <v>17780739|76031071|658150350|66380276</v>
          </cell>
          <cell r="AR3917" t="str">
            <v>GASTO FISICO</v>
          </cell>
        </row>
        <row r="3918">
          <cell r="AQ3918" t="str">
            <v>17780739|76031071|658150350|66380275</v>
          </cell>
          <cell r="AR3918" t="str">
            <v>GASTO FISICO</v>
          </cell>
        </row>
        <row r="3919">
          <cell r="AQ3919" t="str">
            <v>17780739|96986050|929816161|929816161</v>
          </cell>
          <cell r="AR3919" t="str">
            <v>IMED SALUD</v>
          </cell>
        </row>
        <row r="3920">
          <cell r="AQ3920" t="str">
            <v>17780739|96986050|929816161|929816161</v>
          </cell>
          <cell r="AR3920" t="str">
            <v>IMED SALUD</v>
          </cell>
        </row>
        <row r="3921">
          <cell r="AQ3921" t="str">
            <v>17780739|96986050|929816161|929816161</v>
          </cell>
          <cell r="AR3921" t="str">
            <v>IMED SALUD</v>
          </cell>
        </row>
        <row r="3922">
          <cell r="AQ3922" t="str">
            <v>17780739|96986050|929816161|929816161</v>
          </cell>
          <cell r="AR3922" t="str">
            <v>IMED SALUD</v>
          </cell>
        </row>
        <row r="3923">
          <cell r="AQ3923" t="str">
            <v>17780739|96986050|929816161|929816161</v>
          </cell>
          <cell r="AR3923" t="str">
            <v>IMED SALUD</v>
          </cell>
        </row>
        <row r="3924">
          <cell r="AQ3924" t="str">
            <v>17780739|96986050|929816161|929816161</v>
          </cell>
          <cell r="AR3924" t="str">
            <v>IMED SALUD</v>
          </cell>
        </row>
        <row r="3925">
          <cell r="AQ3925" t="str">
            <v>17780739|96986050|929816161|929816161</v>
          </cell>
          <cell r="AR3925" t="str">
            <v>IMED SALUD</v>
          </cell>
        </row>
        <row r="3926">
          <cell r="AQ3926" t="str">
            <v>17780739|96986050|929816161|929816161</v>
          </cell>
          <cell r="AR3926" t="str">
            <v>IMED SALUD</v>
          </cell>
        </row>
        <row r="3927">
          <cell r="AQ3927" t="str">
            <v>17780739|96986050|929816161|65384435</v>
          </cell>
          <cell r="AR3927" t="str">
            <v>GASTO FISICO</v>
          </cell>
        </row>
        <row r="3928">
          <cell r="AQ3928" t="str">
            <v>17780739|76098454|929816515|929816515</v>
          </cell>
          <cell r="AR3928" t="str">
            <v>IMED SALUD</v>
          </cell>
        </row>
        <row r="3929">
          <cell r="AQ3929" t="str">
            <v>17780739|76098454|929816515|929816515</v>
          </cell>
          <cell r="AR3929" t="str">
            <v>IMED SALUD</v>
          </cell>
        </row>
        <row r="3930">
          <cell r="AQ3930" t="str">
            <v>17780739|76098454|929816515|65384436</v>
          </cell>
          <cell r="AR3930" t="str">
            <v>GASTO FISICO</v>
          </cell>
        </row>
        <row r="3931">
          <cell r="AQ3931" t="str">
            <v>17780739|76098454|929954648|929954648</v>
          </cell>
          <cell r="AR3931" t="str">
            <v>IMED SALUD</v>
          </cell>
        </row>
        <row r="3932">
          <cell r="AQ3932" t="str">
            <v>17780739|76098454|929954648|929954648</v>
          </cell>
          <cell r="AR3932" t="str">
            <v>IMED SALUD</v>
          </cell>
        </row>
        <row r="3933">
          <cell r="AQ3933" t="str">
            <v>17780739|76098454|929954648|65384437</v>
          </cell>
          <cell r="AR3933" t="str">
            <v>GASTO FISICO</v>
          </cell>
        </row>
        <row r="3934">
          <cell r="AQ3934" t="str">
            <v>17816435|99573490|371225448|371225448</v>
          </cell>
          <cell r="AR3934" t="str">
            <v>IMED SALUD</v>
          </cell>
        </row>
        <row r="3935">
          <cell r="AQ3935" t="str">
            <v>17816435|99573490|371225448|371225448</v>
          </cell>
          <cell r="AR3935" t="str">
            <v>IMED SALUD</v>
          </cell>
        </row>
        <row r="3936">
          <cell r="AQ3936" t="str">
            <v>17816435|99573490|371225448|371225448</v>
          </cell>
          <cell r="AR3936" t="str">
            <v>IMED SALUD</v>
          </cell>
        </row>
        <row r="3937">
          <cell r="AQ3937" t="str">
            <v>17816435|99573490|371225448|371225448</v>
          </cell>
          <cell r="AR3937" t="str">
            <v>IMED SALUD</v>
          </cell>
        </row>
        <row r="3938">
          <cell r="AQ3938" t="str">
            <v>17816435|99573490|371225448|371225448</v>
          </cell>
          <cell r="AR3938" t="str">
            <v>IMED SALUD</v>
          </cell>
        </row>
        <row r="3939">
          <cell r="AQ3939" t="str">
            <v>17816435|99573490|371225448|371225448</v>
          </cell>
          <cell r="AR3939" t="str">
            <v>IMED SALUD</v>
          </cell>
        </row>
        <row r="3940">
          <cell r="AQ3940" t="str">
            <v>17816435|99573490|371225448|371225448</v>
          </cell>
          <cell r="AR3940" t="str">
            <v>IMED SALUD</v>
          </cell>
        </row>
        <row r="3941">
          <cell r="AQ3941" t="str">
            <v>17816435|99573490|371225448|371225448</v>
          </cell>
          <cell r="AR3941" t="str">
            <v>IMED SALUD</v>
          </cell>
        </row>
        <row r="3942">
          <cell r="AQ3942" t="str">
            <v>17816435|99573490|371225448|371225448</v>
          </cell>
          <cell r="AR3942" t="str">
            <v>IMED SALUD</v>
          </cell>
        </row>
        <row r="3943">
          <cell r="AQ3943" t="str">
            <v>17816435|99573490|371225448|371225448</v>
          </cell>
          <cell r="AR3943" t="str">
            <v>IMED SALUD</v>
          </cell>
        </row>
        <row r="3944">
          <cell r="AQ3944" t="str">
            <v>17816435|99573490|371225448|65384438</v>
          </cell>
          <cell r="AR3944" t="str">
            <v>GASTO FISICO</v>
          </cell>
        </row>
        <row r="3945">
          <cell r="AQ3945" t="str">
            <v>17816435|99573490|371225448|65384438</v>
          </cell>
          <cell r="AR3945" t="str">
            <v>GASTO FISICO</v>
          </cell>
        </row>
        <row r="3946">
          <cell r="AQ3946" t="str">
            <v>17816435|99573490|371225448|65384438</v>
          </cell>
          <cell r="AR3946" t="str">
            <v>GASTO FISICO</v>
          </cell>
        </row>
        <row r="3947">
          <cell r="AQ3947" t="str">
            <v>17816435|99573490|371225448|65384438</v>
          </cell>
          <cell r="AR3947" t="str">
            <v>GASTO FISICO</v>
          </cell>
        </row>
        <row r="3948">
          <cell r="AQ3948" t="str">
            <v>17816435|99573490|371225448|65384438</v>
          </cell>
          <cell r="AR3948" t="str">
            <v>GASTO FISICO</v>
          </cell>
        </row>
        <row r="3949">
          <cell r="AQ3949" t="str">
            <v>17816435|99573490|371225449|371225449</v>
          </cell>
          <cell r="AR3949" t="str">
            <v>IMED SALUD</v>
          </cell>
        </row>
        <row r="3950">
          <cell r="AQ3950" t="str">
            <v>17816435|99573490|371225449|371225449</v>
          </cell>
          <cell r="AR3950" t="str">
            <v>IMED SALUD</v>
          </cell>
        </row>
        <row r="3951">
          <cell r="AQ3951" t="str">
            <v>17816435|99573490|371225449|371225449</v>
          </cell>
          <cell r="AR3951" t="str">
            <v>IMED SALUD</v>
          </cell>
        </row>
        <row r="3952">
          <cell r="AQ3952" t="str">
            <v>17816435|99573490|371225449|371225449</v>
          </cell>
          <cell r="AR3952" t="str">
            <v>IMED SALUD</v>
          </cell>
        </row>
        <row r="3953">
          <cell r="AQ3953" t="str">
            <v>17816435|99573490|371225449|371225449</v>
          </cell>
          <cell r="AR3953" t="str">
            <v>IMED SALUD</v>
          </cell>
        </row>
        <row r="3954">
          <cell r="AQ3954" t="str">
            <v>17816435|99573490|371225449|371225449</v>
          </cell>
          <cell r="AR3954" t="str">
            <v>IMED SALUD</v>
          </cell>
        </row>
        <row r="3955">
          <cell r="AQ3955" t="str">
            <v>17816435|99573490|371225449|371225449</v>
          </cell>
          <cell r="AR3955" t="str">
            <v>IMED SALUD</v>
          </cell>
        </row>
        <row r="3956">
          <cell r="AQ3956" t="str">
            <v>17816435|99573490|371225449|371225449</v>
          </cell>
          <cell r="AR3956" t="str">
            <v>IMED SALUD</v>
          </cell>
        </row>
        <row r="3957">
          <cell r="AQ3957" t="str">
            <v>17816435|99573490|371225449|371225449</v>
          </cell>
          <cell r="AR3957" t="str">
            <v>IMED SALUD</v>
          </cell>
        </row>
        <row r="3958">
          <cell r="AQ3958" t="str">
            <v>17816435|99573490|371225449|371225449</v>
          </cell>
          <cell r="AR3958" t="str">
            <v>IMED SALUD</v>
          </cell>
        </row>
        <row r="3959">
          <cell r="AQ3959" t="str">
            <v>17816435|99573490|371225449|65384439</v>
          </cell>
          <cell r="AR3959" t="str">
            <v>GASTO FISICO</v>
          </cell>
        </row>
        <row r="3960">
          <cell r="AQ3960" t="str">
            <v>17816435|99573490|371225449|65384439</v>
          </cell>
          <cell r="AR3960" t="str">
            <v>GASTO FISICO</v>
          </cell>
        </row>
        <row r="3961">
          <cell r="AQ3961" t="str">
            <v>17816435|99573490|371225449|65384439</v>
          </cell>
          <cell r="AR3961" t="str">
            <v>GASTO FISICO</v>
          </cell>
        </row>
        <row r="3962">
          <cell r="AQ3962" t="str">
            <v>17816435|99573490|371225449|65384439</v>
          </cell>
          <cell r="AR3962" t="str">
            <v>GASTO FISICO</v>
          </cell>
        </row>
        <row r="3963">
          <cell r="AQ3963" t="str">
            <v>17816435|99573490|371225449|65384439</v>
          </cell>
          <cell r="AR3963" t="str">
            <v>GASTO FISICO</v>
          </cell>
        </row>
        <row r="3964">
          <cell r="AQ3964" t="str">
            <v>17816435|99573490|371225450|371225450</v>
          </cell>
          <cell r="AR3964" t="str">
            <v>IMED SALUD</v>
          </cell>
        </row>
        <row r="3965">
          <cell r="AQ3965" t="str">
            <v>17816435|99573490|371225450|371225450</v>
          </cell>
          <cell r="AR3965" t="str">
            <v>IMED SALUD</v>
          </cell>
        </row>
        <row r="3966">
          <cell r="AQ3966" t="str">
            <v>17816435|99573490|371225450|371225450</v>
          </cell>
          <cell r="AR3966" t="str">
            <v>IMED SALUD</v>
          </cell>
        </row>
        <row r="3967">
          <cell r="AQ3967" t="str">
            <v>17816435|99573490|371225450|371225450</v>
          </cell>
          <cell r="AR3967" t="str">
            <v>IMED SALUD</v>
          </cell>
        </row>
        <row r="3968">
          <cell r="AQ3968" t="str">
            <v>17816435|99573490|371225450|371225450</v>
          </cell>
          <cell r="AR3968" t="str">
            <v>IMED SALUD</v>
          </cell>
        </row>
        <row r="3969">
          <cell r="AQ3969" t="str">
            <v>17816435|99573490|371225450|371225450</v>
          </cell>
          <cell r="AR3969" t="str">
            <v>IMED SALUD</v>
          </cell>
        </row>
        <row r="3970">
          <cell r="AQ3970" t="str">
            <v>17816435|99573490|371225450|371225450</v>
          </cell>
          <cell r="AR3970" t="str">
            <v>IMED SALUD</v>
          </cell>
        </row>
        <row r="3971">
          <cell r="AQ3971" t="str">
            <v>17816435|99573490|371225450|371225450</v>
          </cell>
          <cell r="AR3971" t="str">
            <v>IMED SALUD</v>
          </cell>
        </row>
        <row r="3972">
          <cell r="AQ3972" t="str">
            <v>17816435|99573490|371225450|371225450</v>
          </cell>
          <cell r="AR3972" t="str">
            <v>IMED SALUD</v>
          </cell>
        </row>
        <row r="3973">
          <cell r="AQ3973" t="str">
            <v>17816435|99573490|371225450|371225450</v>
          </cell>
          <cell r="AR3973" t="str">
            <v>IMED SALUD</v>
          </cell>
        </row>
        <row r="3974">
          <cell r="AQ3974" t="str">
            <v>17816435|99573490|371225450|65384440</v>
          </cell>
          <cell r="AR3974" t="str">
            <v>GASTO FISICO</v>
          </cell>
        </row>
        <row r="3975">
          <cell r="AQ3975" t="str">
            <v>17816435|99573490|371225450|65384440</v>
          </cell>
          <cell r="AR3975" t="str">
            <v>GASTO FISICO</v>
          </cell>
        </row>
        <row r="3976">
          <cell r="AQ3976" t="str">
            <v>17816435|99573490|371225450|65384440</v>
          </cell>
          <cell r="AR3976" t="str">
            <v>GASTO FISICO</v>
          </cell>
        </row>
        <row r="3977">
          <cell r="AQ3977" t="str">
            <v>17816435|99573490|371225450|65384440</v>
          </cell>
          <cell r="AR3977" t="str">
            <v>GASTO FISICO</v>
          </cell>
        </row>
        <row r="3978">
          <cell r="AQ3978" t="str">
            <v>17816435|99573490|371225450|65384440</v>
          </cell>
          <cell r="AR3978" t="str">
            <v>GASTO FISICO</v>
          </cell>
        </row>
        <row r="3979">
          <cell r="AQ3979" t="str">
            <v>17816435|99573490|371225597|371225597</v>
          </cell>
          <cell r="AR3979" t="str">
            <v>IMED SALUD</v>
          </cell>
        </row>
        <row r="3980">
          <cell r="AQ3980" t="str">
            <v>17816435|99573490|371225597|371225597</v>
          </cell>
          <cell r="AR3980" t="str">
            <v>IMED SALUD</v>
          </cell>
        </row>
        <row r="3981">
          <cell r="AQ3981" t="str">
            <v>17816435|99573490|371225597|371225597</v>
          </cell>
          <cell r="AR3981" t="str">
            <v>IMED SALUD</v>
          </cell>
        </row>
        <row r="3982">
          <cell r="AQ3982" t="str">
            <v>17816435|99573490|371225597|371225597</v>
          </cell>
          <cell r="AR3982" t="str">
            <v>IMED SALUD</v>
          </cell>
        </row>
        <row r="3983">
          <cell r="AQ3983" t="str">
            <v>17816435|99573490|371225597|65384441</v>
          </cell>
          <cell r="AR3983" t="str">
            <v>GASTO FISICO</v>
          </cell>
        </row>
        <row r="3984">
          <cell r="AQ3984" t="str">
            <v>17816435|99573490|371225597|65384441</v>
          </cell>
          <cell r="AR3984" t="str">
            <v>GASTO FISICO</v>
          </cell>
        </row>
        <row r="3985">
          <cell r="AQ3985" t="str">
            <v>17833560|96942400|765002103|765002103</v>
          </cell>
          <cell r="AR3985" t="str">
            <v>IMED SALUD</v>
          </cell>
        </row>
        <row r="3986">
          <cell r="AQ3986" t="str">
            <v>17833560|96942400|765002103|765002103</v>
          </cell>
          <cell r="AR3986" t="str">
            <v>IMED SALUD</v>
          </cell>
        </row>
        <row r="3987">
          <cell r="AQ3987" t="str">
            <v>17833560|96942400|765002103|65384443</v>
          </cell>
          <cell r="AR3987" t="str">
            <v>GASTO FISICO</v>
          </cell>
        </row>
        <row r="3988">
          <cell r="AQ3988" t="str">
            <v>17833560|79576810|765144161|765144161</v>
          </cell>
          <cell r="AR3988" t="str">
            <v>IMED SALUD</v>
          </cell>
        </row>
        <row r="3989">
          <cell r="AQ3989" t="str">
            <v>17833560|79576810|765144161|765144161</v>
          </cell>
          <cell r="AR3989" t="str">
            <v>IMED SALUD</v>
          </cell>
        </row>
        <row r="3990">
          <cell r="AQ3990" t="str">
            <v>17833560|79576810|765144161|65384442</v>
          </cell>
          <cell r="AR3990" t="str">
            <v>GASTO FISICO</v>
          </cell>
        </row>
        <row r="3991">
          <cell r="AQ3991" t="str">
            <v>17833560|79576810|765483697|765483697</v>
          </cell>
          <cell r="AR3991" t="str">
            <v>IMED SALUD</v>
          </cell>
        </row>
        <row r="3992">
          <cell r="AQ3992" t="str">
            <v>17833560|79576810|765483697|765483697</v>
          </cell>
          <cell r="AR3992" t="str">
            <v>IMED SALUD</v>
          </cell>
        </row>
        <row r="3993">
          <cell r="AQ3993" t="str">
            <v>17833560|79576810|765483697|765483697</v>
          </cell>
          <cell r="AR3993" t="str">
            <v>IMED SALUD</v>
          </cell>
        </row>
        <row r="3994">
          <cell r="AQ3994" t="str">
            <v>17833560|79576810|765483697|765483697</v>
          </cell>
          <cell r="AR3994" t="str">
            <v>IMED SALUD</v>
          </cell>
        </row>
        <row r="3995">
          <cell r="AQ3995" t="str">
            <v>17833560|79576810|765483697|65384444</v>
          </cell>
          <cell r="AR3995" t="str">
            <v>GASTO FISICO</v>
          </cell>
        </row>
        <row r="3996">
          <cell r="AQ3996" t="str">
            <v>17833560|79576810|765483697|65384444</v>
          </cell>
          <cell r="AR3996" t="str">
            <v>GASTO FISICO</v>
          </cell>
        </row>
        <row r="3997">
          <cell r="AQ3997" t="str">
            <v>17884354|77591970|915341596|915341596</v>
          </cell>
          <cell r="AR3997" t="str">
            <v>IMED SALUD</v>
          </cell>
        </row>
        <row r="3998">
          <cell r="AQ3998" t="str">
            <v>17884354|77591970|915341596|915341596</v>
          </cell>
          <cell r="AR3998" t="str">
            <v>IMED SALUD</v>
          </cell>
        </row>
        <row r="3999">
          <cell r="AQ3999" t="str">
            <v>17884354|77591970|915341596|65384445</v>
          </cell>
          <cell r="AR3999" t="str">
            <v>GASTO FISICO</v>
          </cell>
        </row>
        <row r="4000">
          <cell r="AQ4000" t="str">
            <v>17884354|9461401|916617511|916617511</v>
          </cell>
          <cell r="AR4000" t="str">
            <v>IMED SALUD</v>
          </cell>
        </row>
        <row r="4001">
          <cell r="AQ4001" t="str">
            <v>17884354|9461401|916617511|916617511</v>
          </cell>
          <cell r="AR4001" t="str">
            <v>IMED SALUD</v>
          </cell>
        </row>
        <row r="4002">
          <cell r="AQ4002" t="str">
            <v>17884354|9461401|916617511|916617511</v>
          </cell>
          <cell r="AR4002" t="str">
            <v>IMED SALUD</v>
          </cell>
        </row>
        <row r="4003">
          <cell r="AQ4003" t="str">
            <v>17884354|9461401|916617511|916617511</v>
          </cell>
          <cell r="AR4003" t="str">
            <v>IMED SALUD</v>
          </cell>
        </row>
        <row r="4004">
          <cell r="AQ4004" t="str">
            <v>17884354|9461401|916617511|916617511</v>
          </cell>
          <cell r="AR4004" t="str">
            <v>IMED SALUD</v>
          </cell>
        </row>
        <row r="4005">
          <cell r="AQ4005" t="str">
            <v>17884354|9461401|916617511|916617511</v>
          </cell>
          <cell r="AR4005" t="str">
            <v>IMED SALUD</v>
          </cell>
        </row>
        <row r="4006">
          <cell r="AQ4006" t="str">
            <v>17884354|9461401|916617511|65384446</v>
          </cell>
          <cell r="AR4006" t="str">
            <v>GASTO FISICO</v>
          </cell>
        </row>
        <row r="4007">
          <cell r="AQ4007" t="str">
            <v>17884354|9461401|916617511|65384446</v>
          </cell>
          <cell r="AR4007" t="str">
            <v>GASTO FISICO</v>
          </cell>
        </row>
        <row r="4008">
          <cell r="AQ4008" t="str">
            <v>17884354|9461401|916617511|65384446</v>
          </cell>
          <cell r="AR4008" t="str">
            <v>GASTO FISICO</v>
          </cell>
        </row>
        <row r="4009">
          <cell r="AQ4009" t="str">
            <v>17884354|9461401|918217648|918217648</v>
          </cell>
          <cell r="AR4009" t="str">
            <v>IMED SALUD</v>
          </cell>
        </row>
        <row r="4010">
          <cell r="AQ4010" t="str">
            <v>17884354|9461401|918217648|918217648</v>
          </cell>
          <cell r="AR4010" t="str">
            <v>IMED SALUD</v>
          </cell>
        </row>
        <row r="4011">
          <cell r="AQ4011" t="str">
            <v>17884354|9461401|918217648|918217648</v>
          </cell>
          <cell r="AR4011" t="str">
            <v>IMED SALUD</v>
          </cell>
        </row>
        <row r="4012">
          <cell r="AQ4012" t="str">
            <v>17884354|9461401|918217648|918217648</v>
          </cell>
          <cell r="AR4012" t="str">
            <v>IMED SALUD</v>
          </cell>
        </row>
        <row r="4013">
          <cell r="AQ4013" t="str">
            <v>17884354|9461401|918217648|918217648</v>
          </cell>
          <cell r="AR4013" t="str">
            <v>IMED SALUD</v>
          </cell>
        </row>
        <row r="4014">
          <cell r="AQ4014" t="str">
            <v>17884354|9461401|918217648|918217648</v>
          </cell>
          <cell r="AR4014" t="str">
            <v>IMED SALUD</v>
          </cell>
        </row>
        <row r="4015">
          <cell r="AQ4015" t="str">
            <v>17884354|9461401|918217648|918217648</v>
          </cell>
          <cell r="AR4015" t="str">
            <v>IMED SALUD</v>
          </cell>
        </row>
        <row r="4016">
          <cell r="AQ4016" t="str">
            <v>17884354|9461401|918217648|918217648</v>
          </cell>
          <cell r="AR4016" t="str">
            <v>IMED SALUD</v>
          </cell>
        </row>
        <row r="4017">
          <cell r="AQ4017" t="str">
            <v>17884354|9461401|918217648|918217648</v>
          </cell>
          <cell r="AR4017" t="str">
            <v>IMED SALUD</v>
          </cell>
        </row>
        <row r="4018">
          <cell r="AQ4018" t="str">
            <v>17884354|9461401|918217648|918217648</v>
          </cell>
          <cell r="AR4018" t="str">
            <v>IMED SALUD</v>
          </cell>
        </row>
        <row r="4019">
          <cell r="AQ4019" t="str">
            <v>17884354|9461401|918217648|65384447</v>
          </cell>
          <cell r="AR4019" t="str">
            <v>GASTO FISICO</v>
          </cell>
        </row>
        <row r="4020">
          <cell r="AQ4020" t="str">
            <v>17884354|9461401|918217648|65384447</v>
          </cell>
          <cell r="AR4020" t="str">
            <v>GASTO FISICO</v>
          </cell>
        </row>
        <row r="4021">
          <cell r="AQ4021" t="str">
            <v>17884354|9461401|918217648|65384447</v>
          </cell>
          <cell r="AR4021" t="str">
            <v>GASTO FISICO</v>
          </cell>
        </row>
        <row r="4022">
          <cell r="AQ4022" t="str">
            <v>17884354|9461401|918217648|65384447</v>
          </cell>
          <cell r="AR4022" t="str">
            <v>GASTO FISICO</v>
          </cell>
        </row>
        <row r="4023">
          <cell r="AQ4023" t="str">
            <v>17884354|9461401|918217648|65384447</v>
          </cell>
          <cell r="AR4023" t="str">
            <v>GASTO FISICO</v>
          </cell>
        </row>
        <row r="4024">
          <cell r="AQ4024" t="str">
            <v>17884354|9461401|918217650|918217650</v>
          </cell>
          <cell r="AR4024" t="str">
            <v>IMED SALUD</v>
          </cell>
        </row>
        <row r="4025">
          <cell r="AQ4025" t="str">
            <v>17884354|9461401|918217650|918217650</v>
          </cell>
          <cell r="AR4025" t="str">
            <v>IMED SALUD</v>
          </cell>
        </row>
        <row r="4026">
          <cell r="AQ4026" t="str">
            <v>17884354|9461401|918217650|918217650</v>
          </cell>
          <cell r="AR4026" t="str">
            <v>IMED SALUD</v>
          </cell>
        </row>
        <row r="4027">
          <cell r="AQ4027" t="str">
            <v>17884354|9461401|918217650|918217650</v>
          </cell>
          <cell r="AR4027" t="str">
            <v>IMED SALUD</v>
          </cell>
        </row>
        <row r="4028">
          <cell r="AQ4028" t="str">
            <v>17884354|9461401|918217650|65384448</v>
          </cell>
          <cell r="AR4028" t="str">
            <v>GASTO FISICO</v>
          </cell>
        </row>
        <row r="4029">
          <cell r="AQ4029" t="str">
            <v>17884354|9461401|918217650|65384448</v>
          </cell>
          <cell r="AR4029" t="str">
            <v>GASTO FISICO</v>
          </cell>
        </row>
        <row r="4030">
          <cell r="AQ4030" t="str">
            <v>17884354|9461401|918218640|918218640</v>
          </cell>
          <cell r="AR4030" t="str">
            <v>IMED SALUD</v>
          </cell>
        </row>
        <row r="4031">
          <cell r="AQ4031" t="str">
            <v>17884354|9461401|918218640|918218640</v>
          </cell>
          <cell r="AR4031" t="str">
            <v>IMED SALUD</v>
          </cell>
        </row>
        <row r="4032">
          <cell r="AQ4032" t="str">
            <v>17884354|9461401|918218640|918218640</v>
          </cell>
          <cell r="AR4032" t="str">
            <v>IMED SALUD</v>
          </cell>
        </row>
        <row r="4033">
          <cell r="AQ4033" t="str">
            <v>17884354|9461401|918218640|918218640</v>
          </cell>
          <cell r="AR4033" t="str">
            <v>IMED SALUD</v>
          </cell>
        </row>
        <row r="4034">
          <cell r="AQ4034" t="str">
            <v>17884354|9461401|918218640|918218640</v>
          </cell>
          <cell r="AR4034" t="str">
            <v>IMED SALUD</v>
          </cell>
        </row>
        <row r="4035">
          <cell r="AQ4035" t="str">
            <v>17884354|9461401|918218640|918218640</v>
          </cell>
          <cell r="AR4035" t="str">
            <v>IMED SALUD</v>
          </cell>
        </row>
        <row r="4036">
          <cell r="AQ4036" t="str">
            <v>17884354|9461401|918218640|918218640</v>
          </cell>
          <cell r="AR4036" t="str">
            <v>IMED SALUD</v>
          </cell>
        </row>
        <row r="4037">
          <cell r="AQ4037" t="str">
            <v>17884354|9461401|918218640|918218640</v>
          </cell>
          <cell r="AR4037" t="str">
            <v>IMED SALUD</v>
          </cell>
        </row>
        <row r="4038">
          <cell r="AQ4038" t="str">
            <v>17884354|9461401|918218640|65384449</v>
          </cell>
          <cell r="AR4038" t="str">
            <v>GASTO FISICO</v>
          </cell>
        </row>
        <row r="4039">
          <cell r="AQ4039" t="str">
            <v>17884354|9461401|918218640|65384449</v>
          </cell>
          <cell r="AR4039" t="str">
            <v>GASTO FISICO</v>
          </cell>
        </row>
        <row r="4040">
          <cell r="AQ4040" t="str">
            <v>17884354|9461401|918218640|65384449</v>
          </cell>
          <cell r="AR4040" t="str">
            <v>GASTO FISICO</v>
          </cell>
        </row>
        <row r="4041">
          <cell r="AQ4041" t="str">
            <v>17884354|9461401|918218640|65384449</v>
          </cell>
          <cell r="AR4041" t="str">
            <v>GASTO FISICO</v>
          </cell>
        </row>
        <row r="4042">
          <cell r="AQ4042" t="str">
            <v>17884354|10048316|918856387|918856387</v>
          </cell>
          <cell r="AR4042" t="str">
            <v>IMED SALUD</v>
          </cell>
        </row>
        <row r="4043">
          <cell r="AQ4043" t="str">
            <v>17884354|10048316|918856387|918856387</v>
          </cell>
          <cell r="AR4043" t="str">
            <v>IMED SALUD</v>
          </cell>
        </row>
        <row r="4044">
          <cell r="AQ4044" t="str">
            <v>17884354|10048316|918856387|65384450</v>
          </cell>
          <cell r="AR4044" t="str">
            <v>GASTO FISICO</v>
          </cell>
        </row>
        <row r="4045">
          <cell r="AQ4045" t="str">
            <v>17897672|88611600|918602630|918602630</v>
          </cell>
          <cell r="AR4045" t="str">
            <v>IMED SALUD</v>
          </cell>
        </row>
        <row r="4046">
          <cell r="AQ4046" t="str">
            <v>17897672|88611600|918602630|918602630</v>
          </cell>
          <cell r="AR4046" t="str">
            <v>IMED SALUD</v>
          </cell>
        </row>
        <row r="4047">
          <cell r="AQ4047" t="str">
            <v>17897672|88611600|918602630|65384451</v>
          </cell>
          <cell r="AR4047" t="str">
            <v>GASTO FISICO</v>
          </cell>
        </row>
        <row r="4048">
          <cell r="AQ4048" t="str">
            <v>17952859|77412286|55098|22143862</v>
          </cell>
          <cell r="AR4048" t="str">
            <v>GASTO FISICO</v>
          </cell>
        </row>
        <row r="4049">
          <cell r="AQ4049" t="str">
            <v>17952859|77412286|55098|1034807</v>
          </cell>
          <cell r="AR4049" t="str">
            <v>GASTO FISICO</v>
          </cell>
        </row>
        <row r="4050">
          <cell r="AQ4050" t="str">
            <v>17952859|77412286|55098|66380980</v>
          </cell>
          <cell r="AR4050" t="str">
            <v>GASTO FISICO</v>
          </cell>
        </row>
        <row r="4051">
          <cell r="AQ4051" t="str">
            <v>18022530|89807200|1525027337|21982033</v>
          </cell>
          <cell r="AR4051" t="str">
            <v>GASTO FISICO</v>
          </cell>
        </row>
        <row r="4052">
          <cell r="AQ4052" t="str">
            <v>18022530|89807200|1525027337|979501</v>
          </cell>
          <cell r="AR4052" t="str">
            <v>GASTO FISICO</v>
          </cell>
        </row>
        <row r="4053">
          <cell r="AQ4053" t="str">
            <v>18022530|89807200|1525027337|65213279</v>
          </cell>
          <cell r="AR4053" t="str">
            <v>GASTO FISICO</v>
          </cell>
        </row>
        <row r="4054">
          <cell r="AQ4054" t="str">
            <v>18022530|78730160|88083|21982027</v>
          </cell>
          <cell r="AR4054" t="str">
            <v>GASTO FISICO</v>
          </cell>
        </row>
        <row r="4055">
          <cell r="AQ4055" t="str">
            <v>18022530|78730160|88083|979499</v>
          </cell>
          <cell r="AR4055" t="str">
            <v>GASTO FISICO</v>
          </cell>
        </row>
        <row r="4056">
          <cell r="AQ4056" t="str">
            <v>18022530|78730160|88083|65213278</v>
          </cell>
          <cell r="AR4056" t="str">
            <v>GASTO FISICO</v>
          </cell>
        </row>
        <row r="4057">
          <cell r="AQ4057" t="str">
            <v>18022530|78730160|88085|21982020</v>
          </cell>
          <cell r="AR4057" t="str">
            <v>GASTO FISICO</v>
          </cell>
        </row>
        <row r="4058">
          <cell r="AQ4058" t="str">
            <v>18022530|78730160|88085|979498</v>
          </cell>
          <cell r="AR4058" t="str">
            <v>GASTO FISICO</v>
          </cell>
        </row>
        <row r="4059">
          <cell r="AQ4059" t="str">
            <v>18022530|78730160|88085|65213276</v>
          </cell>
          <cell r="AR4059" t="str">
            <v>GASTO FISICO</v>
          </cell>
        </row>
        <row r="4060">
          <cell r="AQ4060" t="str">
            <v>18022530|78730160|88099|21982025</v>
          </cell>
          <cell r="AR4060" t="str">
            <v>GASTO FISICO</v>
          </cell>
        </row>
        <row r="4061">
          <cell r="AQ4061" t="str">
            <v>18022530|78730160|88099|979497</v>
          </cell>
          <cell r="AR4061" t="str">
            <v>GASTO FISICO</v>
          </cell>
        </row>
        <row r="4062">
          <cell r="AQ4062" t="str">
            <v>18022530|78730160|88099|984410</v>
          </cell>
          <cell r="AR4062" t="str">
            <v>GASTO FISICO</v>
          </cell>
        </row>
        <row r="4063">
          <cell r="AQ4063" t="str">
            <v>18022530|78730160|88099|65213277</v>
          </cell>
          <cell r="AR4063" t="str">
            <v>GASTO FISICO</v>
          </cell>
        </row>
        <row r="4064">
          <cell r="AQ4064" t="str">
            <v>18111371|18776367|8|22145092</v>
          </cell>
          <cell r="AR4064" t="str">
            <v>GASTO FISICO</v>
          </cell>
        </row>
        <row r="4065">
          <cell r="AQ4065" t="str">
            <v>18111371|18776367|8|1040652</v>
          </cell>
          <cell r="AR4065" t="str">
            <v>GASTO FISICO</v>
          </cell>
        </row>
        <row r="4066">
          <cell r="AQ4066" t="str">
            <v>18111371|18776367|8|66381068</v>
          </cell>
          <cell r="AR4066" t="str">
            <v>GASTO FISICO</v>
          </cell>
        </row>
        <row r="4067">
          <cell r="AQ4067" t="str">
            <v>18196635|96942400|919175701|919175701</v>
          </cell>
          <cell r="AR4067" t="str">
            <v>IMED SALUD</v>
          </cell>
        </row>
        <row r="4068">
          <cell r="AQ4068" t="str">
            <v>18196635|96942400|919175701|919175701</v>
          </cell>
          <cell r="AR4068" t="str">
            <v>IMED SALUD</v>
          </cell>
        </row>
        <row r="4069">
          <cell r="AQ4069" t="str">
            <v>18196635|96942400|919175701|65384453</v>
          </cell>
          <cell r="AR4069" t="str">
            <v>GASTO FISICO</v>
          </cell>
        </row>
        <row r="4070">
          <cell r="AQ4070" t="str">
            <v>18307619|89807200|1585062482|22142090</v>
          </cell>
          <cell r="AR4070" t="str">
            <v>GASTO FISICO</v>
          </cell>
        </row>
        <row r="4071">
          <cell r="AQ4071" t="str">
            <v>18307619|89807200|1585062482|22142090</v>
          </cell>
          <cell r="AR4071" t="str">
            <v>GASTO FISICO</v>
          </cell>
        </row>
        <row r="4072">
          <cell r="AQ4072" t="str">
            <v>18307619|89807200|1585062482|22142090</v>
          </cell>
          <cell r="AR4072" t="str">
            <v>GASTO FISICO</v>
          </cell>
        </row>
        <row r="4073">
          <cell r="AQ4073" t="str">
            <v>18307619|89807200|1585062482|22142090</v>
          </cell>
          <cell r="AR4073" t="str">
            <v>GASTO FISICO</v>
          </cell>
        </row>
        <row r="4074">
          <cell r="AQ4074" t="str">
            <v>18307619|89807200|1585062482|1040671</v>
          </cell>
          <cell r="AR4074" t="str">
            <v>GASTO FISICO</v>
          </cell>
        </row>
        <row r="4075">
          <cell r="AQ4075" t="str">
            <v>18307619|89807200|1585062482|1040671</v>
          </cell>
          <cell r="AR4075" t="str">
            <v>GASTO FISICO</v>
          </cell>
        </row>
        <row r="4076">
          <cell r="AQ4076" t="str">
            <v>18307619|89807200|1585062482|1040671</v>
          </cell>
          <cell r="AR4076" t="str">
            <v>GASTO FISICO</v>
          </cell>
        </row>
        <row r="4077">
          <cell r="AQ4077" t="str">
            <v>18307619|89807200|1585062482|1040671</v>
          </cell>
          <cell r="AR4077" t="str">
            <v>GASTO FISICO</v>
          </cell>
        </row>
        <row r="4078">
          <cell r="AQ4078" t="str">
            <v>18307619|89807200|1585062482|66380824</v>
          </cell>
          <cell r="AR4078" t="str">
            <v>GASTO FISICO</v>
          </cell>
        </row>
        <row r="4079">
          <cell r="AQ4079" t="str">
            <v>18307619|89807200|1585062482|66380824</v>
          </cell>
          <cell r="AR4079" t="str">
            <v>GASTO FISICO</v>
          </cell>
        </row>
        <row r="4080">
          <cell r="AQ4080" t="str">
            <v>18307619|89807200|1585062482|66380824</v>
          </cell>
          <cell r="AR4080" t="str">
            <v>GASTO FISICO</v>
          </cell>
        </row>
        <row r="4081">
          <cell r="AQ4081" t="str">
            <v>18307619|89807200|1585062482|66380824</v>
          </cell>
          <cell r="AR4081" t="str">
            <v>GASTO FISICO</v>
          </cell>
        </row>
        <row r="4082">
          <cell r="AQ4082" t="str">
            <v>18307619|96986050|2404072|22142102</v>
          </cell>
          <cell r="AR4082" t="str">
            <v>GASTO FISICO</v>
          </cell>
        </row>
        <row r="4083">
          <cell r="AQ4083" t="str">
            <v>18307619|96986050|2404072|1040673</v>
          </cell>
          <cell r="AR4083" t="str">
            <v>GASTO FISICO</v>
          </cell>
        </row>
        <row r="4084">
          <cell r="AQ4084" t="str">
            <v>18307619|96986050|2404072|66380825</v>
          </cell>
          <cell r="AR4084" t="str">
            <v>GASTO FISICO</v>
          </cell>
        </row>
        <row r="4085">
          <cell r="AQ4085" t="str">
            <v>18307619|90753000|371491864|371491864</v>
          </cell>
          <cell r="AR4085" t="str">
            <v>IMED SALUD</v>
          </cell>
        </row>
        <row r="4086">
          <cell r="AQ4086" t="str">
            <v>18307619|90753000|371491864|22021944</v>
          </cell>
          <cell r="AR4086" t="str">
            <v>GASTO FISICO</v>
          </cell>
        </row>
        <row r="4087">
          <cell r="AQ4087" t="str">
            <v>18307619|90753000|371491864|371491864</v>
          </cell>
          <cell r="AR4087" t="str">
            <v>IMED SALUD</v>
          </cell>
        </row>
        <row r="4088">
          <cell r="AQ4088" t="str">
            <v>18307619|90753000|371491864|65384455</v>
          </cell>
          <cell r="AR4088" t="str">
            <v>GASTO FISICO</v>
          </cell>
        </row>
        <row r="4089">
          <cell r="AQ4089" t="str">
            <v>18307619|90753000|371491864|65654340</v>
          </cell>
          <cell r="AR4089" t="str">
            <v>GASTO FISICO</v>
          </cell>
        </row>
        <row r="4090">
          <cell r="AQ4090" t="str">
            <v>18404314|76057904|915472789|915472789</v>
          </cell>
          <cell r="AR4090" t="str">
            <v>IMED SALUD</v>
          </cell>
        </row>
        <row r="4091">
          <cell r="AQ4091" t="str">
            <v>18404314|76057904|915472789|915472789</v>
          </cell>
          <cell r="AR4091" t="str">
            <v>IMED SALUD</v>
          </cell>
        </row>
        <row r="4092">
          <cell r="AQ4092" t="str">
            <v>18404314|76057904|915472789|915472789</v>
          </cell>
          <cell r="AR4092" t="str">
            <v>IMED SALUD</v>
          </cell>
        </row>
        <row r="4093">
          <cell r="AQ4093" t="str">
            <v>18404314|76057904|915472789|915472789</v>
          </cell>
          <cell r="AR4093" t="str">
            <v>IMED SALUD</v>
          </cell>
        </row>
        <row r="4094">
          <cell r="AQ4094" t="str">
            <v>18404314|76057904|915472789|915472789</v>
          </cell>
          <cell r="AR4094" t="str">
            <v>IMED SALUD</v>
          </cell>
        </row>
        <row r="4095">
          <cell r="AQ4095" t="str">
            <v>18404314|76057904|915472789|915472789</v>
          </cell>
          <cell r="AR4095" t="str">
            <v>IMED SALUD</v>
          </cell>
        </row>
        <row r="4096">
          <cell r="AQ4096" t="str">
            <v>18404314|76057904|915472789|915472789</v>
          </cell>
          <cell r="AR4096" t="str">
            <v>IMED SALUD</v>
          </cell>
        </row>
        <row r="4097">
          <cell r="AQ4097" t="str">
            <v>18404314|76057904|915472789|915472789</v>
          </cell>
          <cell r="AR4097" t="str">
            <v>IMED SALUD</v>
          </cell>
        </row>
        <row r="4098">
          <cell r="AQ4098" t="str">
            <v>18404314|76057904|915472789|915472789</v>
          </cell>
          <cell r="AR4098" t="str">
            <v>IMED SALUD</v>
          </cell>
        </row>
        <row r="4099">
          <cell r="AQ4099" t="str">
            <v>18404314|76057904|915472789|915472789</v>
          </cell>
          <cell r="AR4099" t="str">
            <v>IMED SALUD</v>
          </cell>
        </row>
        <row r="4100">
          <cell r="AQ4100" t="str">
            <v>18404314|76057904|915472789|65384456</v>
          </cell>
          <cell r="AR4100" t="str">
            <v>GASTO FISICO</v>
          </cell>
        </row>
        <row r="4101">
          <cell r="AQ4101" t="str">
            <v>18404314|76057904|915472789|65384456</v>
          </cell>
          <cell r="AR4101" t="str">
            <v>GASTO FISICO</v>
          </cell>
        </row>
        <row r="4102">
          <cell r="AQ4102" t="str">
            <v>18404314|76057904|915472789|65384456</v>
          </cell>
          <cell r="AR4102" t="str">
            <v>GASTO FISICO</v>
          </cell>
        </row>
        <row r="4103">
          <cell r="AQ4103" t="str">
            <v>18404314|76057904|915472789|65384456</v>
          </cell>
          <cell r="AR4103" t="str">
            <v>GASTO FISICO</v>
          </cell>
        </row>
        <row r="4104">
          <cell r="AQ4104" t="str">
            <v>18404314|76057904|915472789|65384456</v>
          </cell>
          <cell r="AR4104" t="str">
            <v>GASTO FISICO</v>
          </cell>
        </row>
        <row r="4105">
          <cell r="AQ4105" t="str">
            <v>18404314|76057904|915472790|915472790</v>
          </cell>
          <cell r="AR4105" t="str">
            <v>IMED SALUD</v>
          </cell>
        </row>
        <row r="4106">
          <cell r="AQ4106" t="str">
            <v>18404314|76057904|915472790|915472790</v>
          </cell>
          <cell r="AR4106" t="str">
            <v>IMED SALUD</v>
          </cell>
        </row>
        <row r="4107">
          <cell r="AQ4107" t="str">
            <v>18404314|76057904|915472790|915472790</v>
          </cell>
          <cell r="AR4107" t="str">
            <v>IMED SALUD</v>
          </cell>
        </row>
        <row r="4108">
          <cell r="AQ4108" t="str">
            <v>18404314|76057904|915472790|915472790</v>
          </cell>
          <cell r="AR4108" t="str">
            <v>IMED SALUD</v>
          </cell>
        </row>
        <row r="4109">
          <cell r="AQ4109" t="str">
            <v>18404314|76057904|915472790|915472790</v>
          </cell>
          <cell r="AR4109" t="str">
            <v>IMED SALUD</v>
          </cell>
        </row>
        <row r="4110">
          <cell r="AQ4110" t="str">
            <v>18404314|76057904|915472790|915472790</v>
          </cell>
          <cell r="AR4110" t="str">
            <v>IMED SALUD</v>
          </cell>
        </row>
        <row r="4111">
          <cell r="AQ4111" t="str">
            <v>18404314|76057904|915472790|915472790</v>
          </cell>
          <cell r="AR4111" t="str">
            <v>IMED SALUD</v>
          </cell>
        </row>
        <row r="4112">
          <cell r="AQ4112" t="str">
            <v>18404314|76057904|915472790|915472790</v>
          </cell>
          <cell r="AR4112" t="str">
            <v>IMED SALUD</v>
          </cell>
        </row>
        <row r="4113">
          <cell r="AQ4113" t="str">
            <v>18404314|76057904|915472790|915472790</v>
          </cell>
          <cell r="AR4113" t="str">
            <v>IMED SALUD</v>
          </cell>
        </row>
        <row r="4114">
          <cell r="AQ4114" t="str">
            <v>18404314|76057904|915472790|915472790</v>
          </cell>
          <cell r="AR4114" t="str">
            <v>IMED SALUD</v>
          </cell>
        </row>
        <row r="4115">
          <cell r="AQ4115" t="str">
            <v>18404314|76057904|915472790|65384457</v>
          </cell>
          <cell r="AR4115" t="str">
            <v>GASTO FISICO</v>
          </cell>
        </row>
        <row r="4116">
          <cell r="AQ4116" t="str">
            <v>18404314|76057904|915472790|65384457</v>
          </cell>
          <cell r="AR4116" t="str">
            <v>GASTO FISICO</v>
          </cell>
        </row>
        <row r="4117">
          <cell r="AQ4117" t="str">
            <v>18404314|76057904|915472790|65384457</v>
          </cell>
          <cell r="AR4117" t="str">
            <v>GASTO FISICO</v>
          </cell>
        </row>
        <row r="4118">
          <cell r="AQ4118" t="str">
            <v>18404314|76057904|915472790|65384457</v>
          </cell>
          <cell r="AR4118" t="str">
            <v>GASTO FISICO</v>
          </cell>
        </row>
        <row r="4119">
          <cell r="AQ4119" t="str">
            <v>18404314|76057904|915472790|65384457</v>
          </cell>
          <cell r="AR4119" t="str">
            <v>GASTO FISICO</v>
          </cell>
        </row>
        <row r="4120">
          <cell r="AQ4120" t="str">
            <v>18438475|96942400|918388791|918388791</v>
          </cell>
          <cell r="AR4120" t="str">
            <v>IMED SALUD</v>
          </cell>
        </row>
        <row r="4121">
          <cell r="AQ4121" t="str">
            <v>18438475|96942400|918388791|918388791</v>
          </cell>
          <cell r="AR4121" t="str">
            <v>IMED SALUD</v>
          </cell>
        </row>
        <row r="4122">
          <cell r="AQ4122" t="str">
            <v>18438475|96942400|918388791|65384458</v>
          </cell>
          <cell r="AR4122" t="str">
            <v>GASTO FISICO</v>
          </cell>
        </row>
        <row r="4123">
          <cell r="AQ4123" t="str">
            <v>18545062|76089550|920786835|920786835</v>
          </cell>
          <cell r="AR4123" t="str">
            <v>IMED SALUD</v>
          </cell>
        </row>
        <row r="4124">
          <cell r="AQ4124" t="str">
            <v>18545062|76089550|920786835|920786835</v>
          </cell>
          <cell r="AR4124" t="str">
            <v>IMED SALUD</v>
          </cell>
        </row>
        <row r="4125">
          <cell r="AQ4125" t="str">
            <v>18545062|76089550|920786835|65384459</v>
          </cell>
          <cell r="AR4125" t="str">
            <v>GASTO FISICO</v>
          </cell>
        </row>
        <row r="4126">
          <cell r="AQ4126" t="str">
            <v>18545062|77427817|920950240|920950240</v>
          </cell>
          <cell r="AR4126" t="str">
            <v>IMED SALUD</v>
          </cell>
        </row>
        <row r="4127">
          <cell r="AQ4127" t="str">
            <v>18545062|77427817|920950240|920950240</v>
          </cell>
          <cell r="AR4127" t="str">
            <v>IMED SALUD</v>
          </cell>
        </row>
        <row r="4128">
          <cell r="AQ4128" t="str">
            <v>18545062|77427817|920950240|920950240</v>
          </cell>
          <cell r="AR4128" t="str">
            <v>IMED SALUD</v>
          </cell>
        </row>
        <row r="4129">
          <cell r="AQ4129" t="str">
            <v>18545062|77427817|920950240|920950240</v>
          </cell>
          <cell r="AR4129" t="str">
            <v>IMED SALUD</v>
          </cell>
        </row>
        <row r="4130">
          <cell r="AQ4130" t="str">
            <v>18545062|77427817|920950240|920950240</v>
          </cell>
          <cell r="AR4130" t="str">
            <v>IMED SALUD</v>
          </cell>
        </row>
        <row r="4131">
          <cell r="AQ4131" t="str">
            <v>18545062|77427817|920950240|920950240</v>
          </cell>
          <cell r="AR4131" t="str">
            <v>IMED SALUD</v>
          </cell>
        </row>
        <row r="4132">
          <cell r="AQ4132" t="str">
            <v>18545062|77427817|920950240|920950240</v>
          </cell>
          <cell r="AR4132" t="str">
            <v>IMED SALUD</v>
          </cell>
        </row>
        <row r="4133">
          <cell r="AQ4133" t="str">
            <v>18545062|77427817|920950240|920950240</v>
          </cell>
          <cell r="AR4133" t="str">
            <v>IMED SALUD</v>
          </cell>
        </row>
        <row r="4134">
          <cell r="AQ4134" t="str">
            <v>18545062|77427817|920950240|920950240</v>
          </cell>
          <cell r="AR4134" t="str">
            <v>IMED SALUD</v>
          </cell>
        </row>
        <row r="4135">
          <cell r="AQ4135" t="str">
            <v>18545062|77427817|920950240|920950240</v>
          </cell>
          <cell r="AR4135" t="str">
            <v>IMED SALUD</v>
          </cell>
        </row>
        <row r="4136">
          <cell r="AQ4136" t="str">
            <v>18545062|77427817|920950240|65384460</v>
          </cell>
          <cell r="AR4136" t="str">
            <v>GASTO FISICO</v>
          </cell>
        </row>
        <row r="4137">
          <cell r="AQ4137" t="str">
            <v>18545062|77427817|920950240|65384460</v>
          </cell>
          <cell r="AR4137" t="str">
            <v>GASTO FISICO</v>
          </cell>
        </row>
        <row r="4138">
          <cell r="AQ4138" t="str">
            <v>18545062|77427817|920950240|65384460</v>
          </cell>
          <cell r="AR4138" t="str">
            <v>GASTO FISICO</v>
          </cell>
        </row>
        <row r="4139">
          <cell r="AQ4139" t="str">
            <v>18545062|77427817|920950240|65384460</v>
          </cell>
          <cell r="AR4139" t="str">
            <v>GASTO FISICO</v>
          </cell>
        </row>
        <row r="4140">
          <cell r="AQ4140" t="str">
            <v>18545062|77427817|920950240|65384460</v>
          </cell>
          <cell r="AR4140" t="str">
            <v>GASTO FISICO</v>
          </cell>
        </row>
        <row r="4141">
          <cell r="AQ4141" t="str">
            <v>18545062|77427817|920950241|920950241</v>
          </cell>
          <cell r="AR4141" t="str">
            <v>IMED SALUD</v>
          </cell>
        </row>
        <row r="4142">
          <cell r="AQ4142" t="str">
            <v>18545062|77427817|920950241|920950241</v>
          </cell>
          <cell r="AR4142" t="str">
            <v>IMED SALUD</v>
          </cell>
        </row>
        <row r="4143">
          <cell r="AQ4143" t="str">
            <v>18545062|77427817|920950241|920950241</v>
          </cell>
          <cell r="AR4143" t="str">
            <v>IMED SALUD</v>
          </cell>
        </row>
        <row r="4144">
          <cell r="AQ4144" t="str">
            <v>18545062|77427817|920950241|920950241</v>
          </cell>
          <cell r="AR4144" t="str">
            <v>IMED SALUD</v>
          </cell>
        </row>
        <row r="4145">
          <cell r="AQ4145" t="str">
            <v>18545062|77427817|920950241|920950241</v>
          </cell>
          <cell r="AR4145" t="str">
            <v>IMED SALUD</v>
          </cell>
        </row>
        <row r="4146">
          <cell r="AQ4146" t="str">
            <v>18545062|77427817|920950241|920950241</v>
          </cell>
          <cell r="AR4146" t="str">
            <v>IMED SALUD</v>
          </cell>
        </row>
        <row r="4147">
          <cell r="AQ4147" t="str">
            <v>18545062|77427817|920950241|920950241</v>
          </cell>
          <cell r="AR4147" t="str">
            <v>IMED SALUD</v>
          </cell>
        </row>
        <row r="4148">
          <cell r="AQ4148" t="str">
            <v>18545062|77427817|920950241|920950241</v>
          </cell>
          <cell r="AR4148" t="str">
            <v>IMED SALUD</v>
          </cell>
        </row>
        <row r="4149">
          <cell r="AQ4149" t="str">
            <v>18545062|77427817|920950241|920950241</v>
          </cell>
          <cell r="AR4149" t="str">
            <v>IMED SALUD</v>
          </cell>
        </row>
        <row r="4150">
          <cell r="AQ4150" t="str">
            <v>18545062|77427817|920950241|920950241</v>
          </cell>
          <cell r="AR4150" t="str">
            <v>IMED SALUD</v>
          </cell>
        </row>
        <row r="4151">
          <cell r="AQ4151" t="str">
            <v>18545062|77427817|920950241|65384461</v>
          </cell>
          <cell r="AR4151" t="str">
            <v>GASTO FISICO</v>
          </cell>
        </row>
        <row r="4152">
          <cell r="AQ4152" t="str">
            <v>18545062|77427817|920950241|65384461</v>
          </cell>
          <cell r="AR4152" t="str">
            <v>GASTO FISICO</v>
          </cell>
        </row>
        <row r="4153">
          <cell r="AQ4153" t="str">
            <v>18545062|77427817|920950241|65384461</v>
          </cell>
          <cell r="AR4153" t="str">
            <v>GASTO FISICO</v>
          </cell>
        </row>
        <row r="4154">
          <cell r="AQ4154" t="str">
            <v>18545062|77427817|920950241|65384461</v>
          </cell>
          <cell r="AR4154" t="str">
            <v>GASTO FISICO</v>
          </cell>
        </row>
        <row r="4155">
          <cell r="AQ4155" t="str">
            <v>18545062|77427817|920950241|65384461</v>
          </cell>
          <cell r="AR4155" t="str">
            <v>GASTO FISICO</v>
          </cell>
        </row>
        <row r="4156">
          <cell r="AQ4156" t="str">
            <v>18545062|77427817|920950242|920950242</v>
          </cell>
          <cell r="AR4156" t="str">
            <v>IMED SALUD</v>
          </cell>
        </row>
        <row r="4157">
          <cell r="AQ4157" t="str">
            <v>18545062|77427817|920950242|920950242</v>
          </cell>
          <cell r="AR4157" t="str">
            <v>IMED SALUD</v>
          </cell>
        </row>
        <row r="4158">
          <cell r="AQ4158" t="str">
            <v>18545062|77427817|920950242|920950242</v>
          </cell>
          <cell r="AR4158" t="str">
            <v>IMED SALUD</v>
          </cell>
        </row>
        <row r="4159">
          <cell r="AQ4159" t="str">
            <v>18545062|77427817|920950242|920950242</v>
          </cell>
          <cell r="AR4159" t="str">
            <v>IMED SALUD</v>
          </cell>
        </row>
        <row r="4160">
          <cell r="AQ4160" t="str">
            <v>18545062|77427817|920950242|920950242</v>
          </cell>
          <cell r="AR4160" t="str">
            <v>IMED SALUD</v>
          </cell>
        </row>
        <row r="4161">
          <cell r="AQ4161" t="str">
            <v>18545062|77427817|920950242|920950242</v>
          </cell>
          <cell r="AR4161" t="str">
            <v>IMED SALUD</v>
          </cell>
        </row>
        <row r="4162">
          <cell r="AQ4162" t="str">
            <v>18545062|77427817|920950242|65384462</v>
          </cell>
          <cell r="AR4162" t="str">
            <v>GASTO FISICO</v>
          </cell>
        </row>
        <row r="4163">
          <cell r="AQ4163" t="str">
            <v>18545062|77427817|920950242|65384462</v>
          </cell>
          <cell r="AR4163" t="str">
            <v>GASTO FISICO</v>
          </cell>
        </row>
        <row r="4164">
          <cell r="AQ4164" t="str">
            <v>18545062|77427817|920950242|65384462</v>
          </cell>
          <cell r="AR4164" t="str">
            <v>GASTO FISICO</v>
          </cell>
        </row>
        <row r="4165">
          <cell r="AQ4165" t="str">
            <v>18545062|96759190|920975669|920975669</v>
          </cell>
          <cell r="AR4165" t="str">
            <v>IMED SALUD</v>
          </cell>
        </row>
        <row r="4166">
          <cell r="AQ4166" t="str">
            <v>18545062|96759190|920975669|920975669</v>
          </cell>
          <cell r="AR4166" t="str">
            <v>IMED SALUD</v>
          </cell>
        </row>
        <row r="4167">
          <cell r="AQ4167" t="str">
            <v>18545062|96759190|920975669|65384463</v>
          </cell>
          <cell r="AR4167" t="str">
            <v>GASTO FISICO</v>
          </cell>
        </row>
        <row r="4168">
          <cell r="AQ4168" t="str">
            <v>18545062|96759190|920976021|920976021</v>
          </cell>
          <cell r="AR4168" t="str">
            <v>IMED SALUD</v>
          </cell>
        </row>
        <row r="4169">
          <cell r="AQ4169" t="str">
            <v>18545062|96759190|920976021|920976021</v>
          </cell>
          <cell r="AR4169" t="str">
            <v>IMED SALUD</v>
          </cell>
        </row>
        <row r="4170">
          <cell r="AQ4170" t="str">
            <v>18545062|96759190|920976021|65384464</v>
          </cell>
          <cell r="AR4170" t="str">
            <v>GASTO FISICO</v>
          </cell>
        </row>
        <row r="4171">
          <cell r="AQ4171" t="str">
            <v>18545062|96759190|921011124|921011124</v>
          </cell>
          <cell r="AR4171" t="str">
            <v>IMED SALUD</v>
          </cell>
        </row>
        <row r="4172">
          <cell r="AQ4172" t="str">
            <v>18545062|96759190|921011124|921011124</v>
          </cell>
          <cell r="AR4172" t="str">
            <v>IMED SALUD</v>
          </cell>
        </row>
        <row r="4173">
          <cell r="AQ4173" t="str">
            <v>18545062|96759190|921011124|65384465</v>
          </cell>
          <cell r="AR4173" t="str">
            <v>GASTO FISICO</v>
          </cell>
        </row>
        <row r="4174">
          <cell r="AQ4174" t="str">
            <v>18706804|79749170|921222747|921222747</v>
          </cell>
          <cell r="AR4174" t="str">
            <v>IMED SALUD</v>
          </cell>
        </row>
        <row r="4175">
          <cell r="AQ4175" t="str">
            <v>18706804|79749170|921222747|921222747</v>
          </cell>
          <cell r="AR4175" t="str">
            <v>IMED SALUD</v>
          </cell>
        </row>
        <row r="4176">
          <cell r="AQ4176" t="str">
            <v>18706804|79749170|921222747|921222747</v>
          </cell>
          <cell r="AR4176" t="str">
            <v>IMED SALUD</v>
          </cell>
        </row>
        <row r="4177">
          <cell r="AQ4177" t="str">
            <v>18706804|79749170|921222747|921222747</v>
          </cell>
          <cell r="AR4177" t="str">
            <v>IMED SALUD</v>
          </cell>
        </row>
        <row r="4178">
          <cell r="AQ4178" t="str">
            <v>18706804|79749170|921222747|921222747</v>
          </cell>
          <cell r="AR4178" t="str">
            <v>IMED SALUD</v>
          </cell>
        </row>
        <row r="4179">
          <cell r="AQ4179" t="str">
            <v>18706804|79749170|921222747|921222747</v>
          </cell>
          <cell r="AR4179" t="str">
            <v>IMED SALUD</v>
          </cell>
        </row>
        <row r="4180">
          <cell r="AQ4180" t="str">
            <v>18706804|79749170|921222747|921222747</v>
          </cell>
          <cell r="AR4180" t="str">
            <v>IMED SALUD</v>
          </cell>
        </row>
        <row r="4181">
          <cell r="AQ4181" t="str">
            <v>18706804|79749170|921222747|921222747</v>
          </cell>
          <cell r="AR4181" t="str">
            <v>IMED SALUD</v>
          </cell>
        </row>
        <row r="4182">
          <cell r="AQ4182" t="str">
            <v>18706804|79749170|921222747|921222747</v>
          </cell>
          <cell r="AR4182" t="str">
            <v>IMED SALUD</v>
          </cell>
        </row>
        <row r="4183">
          <cell r="AQ4183" t="str">
            <v>18706804|79749170|921222747|921222747</v>
          </cell>
          <cell r="AR4183" t="str">
            <v>IMED SALUD</v>
          </cell>
        </row>
        <row r="4184">
          <cell r="AQ4184" t="str">
            <v>18706804|79749170|921222747|65384467</v>
          </cell>
          <cell r="AR4184" t="str">
            <v>GASTO FISICO</v>
          </cell>
        </row>
        <row r="4185">
          <cell r="AQ4185" t="str">
            <v>18706804|79749170|921222747|65384467</v>
          </cell>
          <cell r="AR4185" t="str">
            <v>GASTO FISICO</v>
          </cell>
        </row>
        <row r="4186">
          <cell r="AQ4186" t="str">
            <v>18706804|79749170|921222747|65384467</v>
          </cell>
          <cell r="AR4186" t="str">
            <v>GASTO FISICO</v>
          </cell>
        </row>
        <row r="4187">
          <cell r="AQ4187" t="str">
            <v>18706804|79749170|921222747|65384467</v>
          </cell>
          <cell r="AR4187" t="str">
            <v>GASTO FISICO</v>
          </cell>
        </row>
        <row r="4188">
          <cell r="AQ4188" t="str">
            <v>18706804|79749170|921222747|65384467</v>
          </cell>
          <cell r="AR4188" t="str">
            <v>GASTO FISICO</v>
          </cell>
        </row>
        <row r="4189">
          <cell r="AQ4189" t="str">
            <v>18706804|79749170|921222748|921222748</v>
          </cell>
          <cell r="AR4189" t="str">
            <v>IMED SALUD</v>
          </cell>
        </row>
        <row r="4190">
          <cell r="AQ4190" t="str">
            <v>18706804|79749170|921222748|921222748</v>
          </cell>
          <cell r="AR4190" t="str">
            <v>IMED SALUD</v>
          </cell>
        </row>
        <row r="4191">
          <cell r="AQ4191" t="str">
            <v>18706804|79749170|921222748|921222748</v>
          </cell>
          <cell r="AR4191" t="str">
            <v>IMED SALUD</v>
          </cell>
        </row>
        <row r="4192">
          <cell r="AQ4192" t="str">
            <v>18706804|79749170|921222748|921222748</v>
          </cell>
          <cell r="AR4192" t="str">
            <v>IMED SALUD</v>
          </cell>
        </row>
        <row r="4193">
          <cell r="AQ4193" t="str">
            <v>18706804|79749170|921222748|921222748</v>
          </cell>
          <cell r="AR4193" t="str">
            <v>IMED SALUD</v>
          </cell>
        </row>
        <row r="4194">
          <cell r="AQ4194" t="str">
            <v>18706804|79749170|921222748|921222748</v>
          </cell>
          <cell r="AR4194" t="str">
            <v>IMED SALUD</v>
          </cell>
        </row>
        <row r="4195">
          <cell r="AQ4195" t="str">
            <v>18706804|79749170|921222748|921222748</v>
          </cell>
          <cell r="AR4195" t="str">
            <v>IMED SALUD</v>
          </cell>
        </row>
        <row r="4196">
          <cell r="AQ4196" t="str">
            <v>18706804|79749170|921222748|921222748</v>
          </cell>
          <cell r="AR4196" t="str">
            <v>IMED SALUD</v>
          </cell>
        </row>
        <row r="4197">
          <cell r="AQ4197" t="str">
            <v>18706804|79749170|921222748|921222748</v>
          </cell>
          <cell r="AR4197" t="str">
            <v>IMED SALUD</v>
          </cell>
        </row>
        <row r="4198">
          <cell r="AQ4198" t="str">
            <v>18706804|79749170|921222748|921222748</v>
          </cell>
          <cell r="AR4198" t="str">
            <v>IMED SALUD</v>
          </cell>
        </row>
        <row r="4199">
          <cell r="AQ4199" t="str">
            <v>18706804|79749170|921222748|65384468</v>
          </cell>
          <cell r="AR4199" t="str">
            <v>GASTO FISICO</v>
          </cell>
        </row>
        <row r="4200">
          <cell r="AQ4200" t="str">
            <v>18706804|79749170|921222748|65384468</v>
          </cell>
          <cell r="AR4200" t="str">
            <v>GASTO FISICO</v>
          </cell>
        </row>
        <row r="4201">
          <cell r="AQ4201" t="str">
            <v>18706804|79749170|921222748|65384468</v>
          </cell>
          <cell r="AR4201" t="str">
            <v>GASTO FISICO</v>
          </cell>
        </row>
        <row r="4202">
          <cell r="AQ4202" t="str">
            <v>18706804|79749170|921222748|65384468</v>
          </cell>
          <cell r="AR4202" t="str">
            <v>GASTO FISICO</v>
          </cell>
        </row>
        <row r="4203">
          <cell r="AQ4203" t="str">
            <v>18706804|79749170|921222748|65384468</v>
          </cell>
          <cell r="AR4203" t="str">
            <v>GASTO FISICO</v>
          </cell>
        </row>
        <row r="4204">
          <cell r="AQ4204" t="str">
            <v>18706804|79749170|921222749|921222749</v>
          </cell>
          <cell r="AR4204" t="str">
            <v>IMED SALUD</v>
          </cell>
        </row>
        <row r="4205">
          <cell r="AQ4205" t="str">
            <v>18706804|79749170|921222749|921222749</v>
          </cell>
          <cell r="AR4205" t="str">
            <v>IMED SALUD</v>
          </cell>
        </row>
        <row r="4206">
          <cell r="AQ4206" t="str">
            <v>18706804|79749170|921222749|921222749</v>
          </cell>
          <cell r="AR4206" t="str">
            <v>IMED SALUD</v>
          </cell>
        </row>
        <row r="4207">
          <cell r="AQ4207" t="str">
            <v>18706804|79749170|921222749|921222749</v>
          </cell>
          <cell r="AR4207" t="str">
            <v>IMED SALUD</v>
          </cell>
        </row>
        <row r="4208">
          <cell r="AQ4208" t="str">
            <v>18706804|79749170|921222749|921222749</v>
          </cell>
          <cell r="AR4208" t="str">
            <v>IMED SALUD</v>
          </cell>
        </row>
        <row r="4209">
          <cell r="AQ4209" t="str">
            <v>18706804|79749170|921222749|921222749</v>
          </cell>
          <cell r="AR4209" t="str">
            <v>IMED SALUD</v>
          </cell>
        </row>
        <row r="4210">
          <cell r="AQ4210" t="str">
            <v>18706804|79749170|921222749|921222749</v>
          </cell>
          <cell r="AR4210" t="str">
            <v>IMED SALUD</v>
          </cell>
        </row>
        <row r="4211">
          <cell r="AQ4211" t="str">
            <v>18706804|79749170|921222749|921222749</v>
          </cell>
          <cell r="AR4211" t="str">
            <v>IMED SALUD</v>
          </cell>
        </row>
        <row r="4212">
          <cell r="AQ4212" t="str">
            <v>18706804|79749170|921222749|65384469</v>
          </cell>
          <cell r="AR4212" t="str">
            <v>GASTO FISICO</v>
          </cell>
        </row>
        <row r="4213">
          <cell r="AQ4213" t="str">
            <v>18706804|79749170|921222749|65384469</v>
          </cell>
          <cell r="AR4213" t="str">
            <v>GASTO FISICO</v>
          </cell>
        </row>
        <row r="4214">
          <cell r="AQ4214" t="str">
            <v>18706804|79749170|921222749|65384469</v>
          </cell>
          <cell r="AR4214" t="str">
            <v>GASTO FISICO</v>
          </cell>
        </row>
        <row r="4215">
          <cell r="AQ4215" t="str">
            <v>18706804|79749170|921222749|65384469</v>
          </cell>
          <cell r="AR4215" t="str">
            <v>GASTO FISICO</v>
          </cell>
        </row>
        <row r="4216">
          <cell r="AQ4216" t="str">
            <v>18706804|79749170|921726195|921726195</v>
          </cell>
          <cell r="AR4216" t="str">
            <v>IMED SALUD</v>
          </cell>
        </row>
        <row r="4217">
          <cell r="AQ4217" t="str">
            <v>18706804|79749170|921726195|921726195</v>
          </cell>
          <cell r="AR4217" t="str">
            <v>IMED SALUD</v>
          </cell>
        </row>
        <row r="4218">
          <cell r="AQ4218" t="str">
            <v>18706804|79749170|921726195|65384470</v>
          </cell>
          <cell r="AR4218" t="str">
            <v>GASTO FISICO</v>
          </cell>
        </row>
        <row r="4219">
          <cell r="AQ4219" t="str">
            <v>18730398|77200240|372503340|372503340</v>
          </cell>
          <cell r="AR4219" t="str">
            <v>IMED SALUD</v>
          </cell>
        </row>
        <row r="4220">
          <cell r="AQ4220" t="str">
            <v>18730398|77200240|372503340|372503340</v>
          </cell>
          <cell r="AR4220" t="str">
            <v>IMED SALUD</v>
          </cell>
        </row>
        <row r="4221">
          <cell r="AQ4221" t="str">
            <v>18730398|77200240|372503340|372503340</v>
          </cell>
          <cell r="AR4221" t="str">
            <v>IMED SALUD</v>
          </cell>
        </row>
        <row r="4222">
          <cell r="AQ4222" t="str">
            <v>18730398|77200240|372503340|372503340</v>
          </cell>
          <cell r="AR4222" t="str">
            <v>IMED SALUD</v>
          </cell>
        </row>
        <row r="4223">
          <cell r="AQ4223" t="str">
            <v>18730398|77200240|372503340|65384471</v>
          </cell>
          <cell r="AR4223" t="str">
            <v>GASTO FISICO</v>
          </cell>
        </row>
        <row r="4224">
          <cell r="AQ4224" t="str">
            <v>18730398|77200240|372503340|65384471</v>
          </cell>
          <cell r="AR4224" t="str">
            <v>GASTO FISICO</v>
          </cell>
        </row>
        <row r="4225">
          <cell r="AQ4225" t="str">
            <v>18768930|99573490|765656729|765656729</v>
          </cell>
          <cell r="AR4225" t="str">
            <v>IMED SALUD</v>
          </cell>
        </row>
        <row r="4226">
          <cell r="AQ4226" t="str">
            <v>18768930|99573490|765656729|765656729</v>
          </cell>
          <cell r="AR4226" t="str">
            <v>IMED SALUD</v>
          </cell>
        </row>
        <row r="4227">
          <cell r="AQ4227" t="str">
            <v>18768930|99573490|765656729|765656729</v>
          </cell>
          <cell r="AR4227" t="str">
            <v>IMED SALUD</v>
          </cell>
        </row>
        <row r="4228">
          <cell r="AQ4228" t="str">
            <v>18768930|99573490|765656729|765656729</v>
          </cell>
          <cell r="AR4228" t="str">
            <v>IMED SALUD</v>
          </cell>
        </row>
        <row r="4229">
          <cell r="AQ4229" t="str">
            <v>18768930|99573490|765656729|765656729</v>
          </cell>
          <cell r="AR4229" t="str">
            <v>IMED SALUD</v>
          </cell>
        </row>
        <row r="4230">
          <cell r="AQ4230" t="str">
            <v>18768930|99573490|765656729|765656729</v>
          </cell>
          <cell r="AR4230" t="str">
            <v>IMED SALUD</v>
          </cell>
        </row>
        <row r="4231">
          <cell r="AQ4231" t="str">
            <v>18768930|99573490|765656729|765656729</v>
          </cell>
          <cell r="AR4231" t="str">
            <v>IMED SALUD</v>
          </cell>
        </row>
        <row r="4232">
          <cell r="AQ4232" t="str">
            <v>18768930|99573490|765656729|765656729</v>
          </cell>
          <cell r="AR4232" t="str">
            <v>IMED SALUD</v>
          </cell>
        </row>
        <row r="4233">
          <cell r="AQ4233" t="str">
            <v>18768930|99573490|765656729|765656729</v>
          </cell>
          <cell r="AR4233" t="str">
            <v>IMED SALUD</v>
          </cell>
        </row>
        <row r="4234">
          <cell r="AQ4234" t="str">
            <v>18768930|99573490|765656729|765656729</v>
          </cell>
          <cell r="AR4234" t="str">
            <v>IMED SALUD</v>
          </cell>
        </row>
        <row r="4235">
          <cell r="AQ4235" t="str">
            <v>18768930|99573490|765656729|65384472</v>
          </cell>
          <cell r="AR4235" t="str">
            <v>GASTO FISICO</v>
          </cell>
        </row>
        <row r="4236">
          <cell r="AQ4236" t="str">
            <v>18768930|99573490|765656729|65384472</v>
          </cell>
          <cell r="AR4236" t="str">
            <v>GASTO FISICO</v>
          </cell>
        </row>
        <row r="4237">
          <cell r="AQ4237" t="str">
            <v>18768930|99573490|765656729|65384472</v>
          </cell>
          <cell r="AR4237" t="str">
            <v>GASTO FISICO</v>
          </cell>
        </row>
        <row r="4238">
          <cell r="AQ4238" t="str">
            <v>18768930|99573490|765656729|65384472</v>
          </cell>
          <cell r="AR4238" t="str">
            <v>GASTO FISICO</v>
          </cell>
        </row>
        <row r="4239">
          <cell r="AQ4239" t="str">
            <v>18768930|99573490|765656730|765656730</v>
          </cell>
          <cell r="AR4239" t="str">
            <v>IMED SALUD</v>
          </cell>
        </row>
        <row r="4240">
          <cell r="AQ4240" t="str">
            <v>18768930|99573490|765656730|765656730</v>
          </cell>
          <cell r="AR4240" t="str">
            <v>IMED SALUD</v>
          </cell>
        </row>
        <row r="4241">
          <cell r="AQ4241" t="str">
            <v>18768930|99573490|765656730|765656730</v>
          </cell>
          <cell r="AR4241" t="str">
            <v>IMED SALUD</v>
          </cell>
        </row>
        <row r="4242">
          <cell r="AQ4242" t="str">
            <v>18768930|99573490|765656730|765656730</v>
          </cell>
          <cell r="AR4242" t="str">
            <v>IMED SALUD</v>
          </cell>
        </row>
        <row r="4243">
          <cell r="AQ4243" t="str">
            <v>18768930|99573490|765656730|65384473</v>
          </cell>
          <cell r="AR4243" t="str">
            <v>GASTO FISICO</v>
          </cell>
        </row>
        <row r="4244">
          <cell r="AQ4244" t="str">
            <v>18768930|99573490|765656730|65384473</v>
          </cell>
          <cell r="AR4244" t="str">
            <v>GASTO FISICO</v>
          </cell>
        </row>
        <row r="4245">
          <cell r="AQ4245" t="str">
            <v>18783812|96942400|929942225|929942225</v>
          </cell>
          <cell r="AR4245" t="str">
            <v>IMED SALUD</v>
          </cell>
        </row>
        <row r="4246">
          <cell r="AQ4246" t="str">
            <v>18783812|96942400|929942225|929942225</v>
          </cell>
          <cell r="AR4246" t="str">
            <v>IMED SALUD</v>
          </cell>
        </row>
        <row r="4247">
          <cell r="AQ4247" t="str">
            <v>18783812|96942400|929942225|929942225</v>
          </cell>
          <cell r="AR4247" t="str">
            <v>IMED SALUD</v>
          </cell>
        </row>
        <row r="4248">
          <cell r="AQ4248" t="str">
            <v>18783812|96942400|929942225|929942225</v>
          </cell>
          <cell r="AR4248" t="str">
            <v>IMED SALUD</v>
          </cell>
        </row>
        <row r="4249">
          <cell r="AQ4249" t="str">
            <v>18783812|96942400|929942225|65384474</v>
          </cell>
          <cell r="AR4249" t="str">
            <v>GASTO FISICO</v>
          </cell>
        </row>
        <row r="4250">
          <cell r="AQ4250" t="str">
            <v>18783812|96942400|929942225|65384474</v>
          </cell>
          <cell r="AR4250" t="str">
            <v>GASTO FISICO</v>
          </cell>
        </row>
        <row r="4251">
          <cell r="AQ4251" t="str">
            <v>18783812|96942400|929942226|929942226</v>
          </cell>
          <cell r="AR4251" t="str">
            <v>IMED SALUD</v>
          </cell>
        </row>
        <row r="4252">
          <cell r="AQ4252" t="str">
            <v>18783812|96942400|929942226|929942226</v>
          </cell>
          <cell r="AR4252" t="str">
            <v>IMED SALUD</v>
          </cell>
        </row>
        <row r="4253">
          <cell r="AQ4253" t="str">
            <v>18783812|96942400|929942226|929942226</v>
          </cell>
          <cell r="AR4253" t="str">
            <v>IMED SALUD</v>
          </cell>
        </row>
        <row r="4254">
          <cell r="AQ4254" t="str">
            <v>18783812|96942400|929942226|929942226</v>
          </cell>
          <cell r="AR4254" t="str">
            <v>IMED SALUD</v>
          </cell>
        </row>
        <row r="4255">
          <cell r="AQ4255" t="str">
            <v>18783812|96942400|929942226|929942226</v>
          </cell>
          <cell r="AR4255" t="str">
            <v>IMED SALUD</v>
          </cell>
        </row>
        <row r="4256">
          <cell r="AQ4256" t="str">
            <v>18783812|96942400|929942226|929942226</v>
          </cell>
          <cell r="AR4256" t="str">
            <v>IMED SALUD</v>
          </cell>
        </row>
        <row r="4257">
          <cell r="AQ4257" t="str">
            <v>18783812|96942400|929942226|929942226</v>
          </cell>
          <cell r="AR4257" t="str">
            <v>IMED SALUD</v>
          </cell>
        </row>
        <row r="4258">
          <cell r="AQ4258" t="str">
            <v>18783812|96942400|929942226|929942226</v>
          </cell>
          <cell r="AR4258" t="str">
            <v>IMED SALUD</v>
          </cell>
        </row>
        <row r="4259">
          <cell r="AQ4259" t="str">
            <v>18783812|96942400|929942226|929942226</v>
          </cell>
          <cell r="AR4259" t="str">
            <v>IMED SALUD</v>
          </cell>
        </row>
        <row r="4260">
          <cell r="AQ4260" t="str">
            <v>18783812|96942400|929942226|929942226</v>
          </cell>
          <cell r="AR4260" t="str">
            <v>IMED SALUD</v>
          </cell>
        </row>
        <row r="4261">
          <cell r="AQ4261" t="str">
            <v>18783812|96942400|929942226|65384475</v>
          </cell>
          <cell r="AR4261" t="str">
            <v>GASTO FISICO</v>
          </cell>
        </row>
        <row r="4262">
          <cell r="AQ4262" t="str">
            <v>18783812|96942400|929942226|65384475</v>
          </cell>
          <cell r="AR4262" t="str">
            <v>GASTO FISICO</v>
          </cell>
        </row>
        <row r="4263">
          <cell r="AQ4263" t="str">
            <v>18783812|96942400|929942226|65384475</v>
          </cell>
          <cell r="AR4263" t="str">
            <v>GASTO FISICO</v>
          </cell>
        </row>
        <row r="4264">
          <cell r="AQ4264" t="str">
            <v>18783812|96942400|929942226|65384475</v>
          </cell>
          <cell r="AR4264" t="str">
            <v>GASTO FISICO</v>
          </cell>
        </row>
        <row r="4265">
          <cell r="AQ4265" t="str">
            <v>18783812|96942400|929942226|65384475</v>
          </cell>
          <cell r="AR4265" t="str">
            <v>GASTO FISICO</v>
          </cell>
        </row>
        <row r="4266">
          <cell r="AQ4266" t="str">
            <v>19069393|96885930|136166928|136166928</v>
          </cell>
          <cell r="AR4266" t="str">
            <v>IMED SALUD</v>
          </cell>
        </row>
        <row r="4267">
          <cell r="AQ4267" t="str">
            <v>19069393|96885930|136166928|136166928</v>
          </cell>
          <cell r="AR4267" t="str">
            <v>IMED SALUD</v>
          </cell>
        </row>
        <row r="4268">
          <cell r="AQ4268" t="str">
            <v>19069393|96885930|136166928|136166928</v>
          </cell>
          <cell r="AR4268" t="str">
            <v>IMED SALUD</v>
          </cell>
        </row>
        <row r="4269">
          <cell r="AQ4269" t="str">
            <v>19069393|96885930|136166928|136166928</v>
          </cell>
          <cell r="AR4269" t="str">
            <v>IMED SALUD</v>
          </cell>
        </row>
        <row r="4270">
          <cell r="AQ4270" t="str">
            <v>19069393|96885930|136166928|65384477</v>
          </cell>
          <cell r="AR4270" t="str">
            <v>GASTO FISICO</v>
          </cell>
        </row>
        <row r="4271">
          <cell r="AQ4271" t="str">
            <v>19069393|96885930|136166928|65384477</v>
          </cell>
          <cell r="AR4271" t="str">
            <v>GASTO FISICO</v>
          </cell>
        </row>
        <row r="4272">
          <cell r="AQ4272" t="str">
            <v>19204324|60910000|371164415|371164415</v>
          </cell>
          <cell r="AR4272" t="str">
            <v>IMED SALUD</v>
          </cell>
        </row>
        <row r="4273">
          <cell r="AQ4273" t="str">
            <v>19204324|60910000|371164415|371164415</v>
          </cell>
          <cell r="AR4273" t="str">
            <v>IMED SALUD</v>
          </cell>
        </row>
        <row r="4274">
          <cell r="AQ4274" t="str">
            <v>19204324|60910000|371164415|65384478</v>
          </cell>
          <cell r="AR4274" t="str">
            <v>GASTO FISICO</v>
          </cell>
        </row>
        <row r="4275">
          <cell r="AQ4275" t="str">
            <v>19204324|60910000|371874728|371874728</v>
          </cell>
          <cell r="AR4275" t="str">
            <v>IMED SALUD</v>
          </cell>
        </row>
        <row r="4276">
          <cell r="AQ4276" t="str">
            <v>19204324|60910000|371874728|371874728</v>
          </cell>
          <cell r="AR4276" t="str">
            <v>IMED SALUD</v>
          </cell>
        </row>
        <row r="4277">
          <cell r="AQ4277" t="str">
            <v>19204324|60910000|371874728|65384479</v>
          </cell>
          <cell r="AR4277" t="str">
            <v>GASTO FISICO</v>
          </cell>
        </row>
        <row r="4278">
          <cell r="AQ4278" t="str">
            <v>19235091|77203222|1094|21985199</v>
          </cell>
          <cell r="AR4278" t="str">
            <v>GASTO FISICO</v>
          </cell>
        </row>
        <row r="4279">
          <cell r="AQ4279" t="str">
            <v>19235091|77203222|1094|987180</v>
          </cell>
          <cell r="AR4279" t="str">
            <v>GASTO FISICO</v>
          </cell>
        </row>
        <row r="4280">
          <cell r="AQ4280" t="str">
            <v>19235091|77203222|1094|65423840</v>
          </cell>
          <cell r="AR4280" t="str">
            <v>GASTO FISICO</v>
          </cell>
        </row>
        <row r="4281">
          <cell r="AQ4281" t="str">
            <v>19235091|96942400|135770057|135770057</v>
          </cell>
          <cell r="AR4281" t="str">
            <v>IMED SALUD</v>
          </cell>
        </row>
        <row r="4282">
          <cell r="AQ4282" t="str">
            <v>19235091|96942400|135770057|135770057</v>
          </cell>
          <cell r="AR4282" t="str">
            <v>IMED SALUD</v>
          </cell>
        </row>
        <row r="4283">
          <cell r="AQ4283" t="str">
            <v>19235091|96942400|135770057|135770057</v>
          </cell>
          <cell r="AR4283" t="str">
            <v>IMED SALUD</v>
          </cell>
        </row>
        <row r="4284">
          <cell r="AQ4284" t="str">
            <v>19235091|96942400|135770057|135770057</v>
          </cell>
          <cell r="AR4284" t="str">
            <v>IMED SALUD</v>
          </cell>
        </row>
        <row r="4285">
          <cell r="AQ4285" t="str">
            <v>19235091|96942400|135770057|135770057</v>
          </cell>
          <cell r="AR4285" t="str">
            <v>IMED SALUD</v>
          </cell>
        </row>
        <row r="4286">
          <cell r="AQ4286" t="str">
            <v>19235091|96942400|135770057|135770057</v>
          </cell>
          <cell r="AR4286" t="str">
            <v>IMED SALUD</v>
          </cell>
        </row>
        <row r="4287">
          <cell r="AQ4287" t="str">
            <v>19235091|96942400|135770057|135770057</v>
          </cell>
          <cell r="AR4287" t="str">
            <v>IMED SALUD</v>
          </cell>
        </row>
        <row r="4288">
          <cell r="AQ4288" t="str">
            <v>19235091|96942400|135770057|135770057</v>
          </cell>
          <cell r="AR4288" t="str">
            <v>IMED SALUD</v>
          </cell>
        </row>
        <row r="4289">
          <cell r="AQ4289" t="str">
            <v>19235091|96942400|135770057|135770057</v>
          </cell>
          <cell r="AR4289" t="str">
            <v>IMED SALUD</v>
          </cell>
        </row>
        <row r="4290">
          <cell r="AQ4290" t="str">
            <v>19235091|96942400|135770057|135770057</v>
          </cell>
          <cell r="AR4290" t="str">
            <v>IMED SALUD</v>
          </cell>
        </row>
        <row r="4291">
          <cell r="AQ4291" t="str">
            <v>19235091|96942400|135770057|65384480</v>
          </cell>
          <cell r="AR4291" t="str">
            <v>GASTO FISICO</v>
          </cell>
        </row>
        <row r="4292">
          <cell r="AQ4292" t="str">
            <v>19235091|96942400|135770057|65384480</v>
          </cell>
          <cell r="AR4292" t="str">
            <v>GASTO FISICO</v>
          </cell>
        </row>
        <row r="4293">
          <cell r="AQ4293" t="str">
            <v>19235091|96942400|135770057|65384480</v>
          </cell>
          <cell r="AR4293" t="str">
            <v>GASTO FISICO</v>
          </cell>
        </row>
        <row r="4294">
          <cell r="AQ4294" t="str">
            <v>19235091|96942400|135770057|65384480</v>
          </cell>
          <cell r="AR4294" t="str">
            <v>GASTO FISICO</v>
          </cell>
        </row>
        <row r="4295">
          <cell r="AQ4295" t="str">
            <v>19235091|96942400|135770057|65384480</v>
          </cell>
          <cell r="AR4295" t="str">
            <v>GASTO FISICO</v>
          </cell>
        </row>
        <row r="4296">
          <cell r="AQ4296" t="str">
            <v>19235091|96942400|135770058|135770058</v>
          </cell>
          <cell r="AR4296" t="str">
            <v>IMED SALUD</v>
          </cell>
        </row>
        <row r="4297">
          <cell r="AQ4297" t="str">
            <v>19235091|96942400|135770058|135770058</v>
          </cell>
          <cell r="AR4297" t="str">
            <v>IMED SALUD</v>
          </cell>
        </row>
        <row r="4298">
          <cell r="AQ4298" t="str">
            <v>19235091|96942400|135770058|135770058</v>
          </cell>
          <cell r="AR4298" t="str">
            <v>IMED SALUD</v>
          </cell>
        </row>
        <row r="4299">
          <cell r="AQ4299" t="str">
            <v>19235091|96942400|135770058|135770058</v>
          </cell>
          <cell r="AR4299" t="str">
            <v>IMED SALUD</v>
          </cell>
        </row>
        <row r="4300">
          <cell r="AQ4300" t="str">
            <v>19235091|96942400|135770058|135770058</v>
          </cell>
          <cell r="AR4300" t="str">
            <v>IMED SALUD</v>
          </cell>
        </row>
        <row r="4301">
          <cell r="AQ4301" t="str">
            <v>19235091|96942400|135770058|135770058</v>
          </cell>
          <cell r="AR4301" t="str">
            <v>IMED SALUD</v>
          </cell>
        </row>
        <row r="4302">
          <cell r="AQ4302" t="str">
            <v>19235091|96942400|135770058|135770058</v>
          </cell>
          <cell r="AR4302" t="str">
            <v>IMED SALUD</v>
          </cell>
        </row>
        <row r="4303">
          <cell r="AQ4303" t="str">
            <v>19235091|96942400|135770058|135770058</v>
          </cell>
          <cell r="AR4303" t="str">
            <v>IMED SALUD</v>
          </cell>
        </row>
        <row r="4304">
          <cell r="AQ4304" t="str">
            <v>19235091|96942400|135770058|65384481</v>
          </cell>
          <cell r="AR4304" t="str">
            <v>GASTO FISICO</v>
          </cell>
        </row>
        <row r="4305">
          <cell r="AQ4305" t="str">
            <v>19235091|96942400|135770058|65384481</v>
          </cell>
          <cell r="AR4305" t="str">
            <v>GASTO FISICO</v>
          </cell>
        </row>
        <row r="4306">
          <cell r="AQ4306" t="str">
            <v>19235091|96942400|135770058|65384481</v>
          </cell>
          <cell r="AR4306" t="str">
            <v>GASTO FISICO</v>
          </cell>
        </row>
        <row r="4307">
          <cell r="AQ4307" t="str">
            <v>19235091|96942400|135770058|65384481</v>
          </cell>
          <cell r="AR4307" t="str">
            <v>GASTO FISICO</v>
          </cell>
        </row>
        <row r="4308">
          <cell r="AQ4308" t="str">
            <v>19235091|96942400|135770059|135770059</v>
          </cell>
          <cell r="AR4308" t="str">
            <v>IMED SALUD</v>
          </cell>
        </row>
        <row r="4309">
          <cell r="AQ4309" t="str">
            <v>19235091|96942400|135770059|135770059</v>
          </cell>
          <cell r="AR4309" t="str">
            <v>IMED SALUD</v>
          </cell>
        </row>
        <row r="4310">
          <cell r="AQ4310" t="str">
            <v>19235091|96942400|135770059|135770059</v>
          </cell>
          <cell r="AR4310" t="str">
            <v>IMED SALUD</v>
          </cell>
        </row>
        <row r="4311">
          <cell r="AQ4311" t="str">
            <v>19235091|96942400|135770059|135770059</v>
          </cell>
          <cell r="AR4311" t="str">
            <v>IMED SALUD</v>
          </cell>
        </row>
        <row r="4312">
          <cell r="AQ4312" t="str">
            <v>19235091|96942400|135770059|135770059</v>
          </cell>
          <cell r="AR4312" t="str">
            <v>IMED SALUD</v>
          </cell>
        </row>
        <row r="4313">
          <cell r="AQ4313" t="str">
            <v>19235091|96942400|135770059|135770059</v>
          </cell>
          <cell r="AR4313" t="str">
            <v>IMED SALUD</v>
          </cell>
        </row>
        <row r="4314">
          <cell r="AQ4314" t="str">
            <v>19235091|96942400|135770059|135770059</v>
          </cell>
          <cell r="AR4314" t="str">
            <v>IMED SALUD</v>
          </cell>
        </row>
        <row r="4315">
          <cell r="AQ4315" t="str">
            <v>19235091|96942400|135770059|135770059</v>
          </cell>
          <cell r="AR4315" t="str">
            <v>IMED SALUD</v>
          </cell>
        </row>
        <row r="4316">
          <cell r="AQ4316" t="str">
            <v>19235091|96942400|135770059|65384482</v>
          </cell>
          <cell r="AR4316" t="str">
            <v>GASTO FISICO</v>
          </cell>
        </row>
        <row r="4317">
          <cell r="AQ4317" t="str">
            <v>19235091|96942400|135770059|65384482</v>
          </cell>
          <cell r="AR4317" t="str">
            <v>GASTO FISICO</v>
          </cell>
        </row>
        <row r="4318">
          <cell r="AQ4318" t="str">
            <v>19235091|96942400|135770059|65384482</v>
          </cell>
          <cell r="AR4318" t="str">
            <v>GASTO FISICO</v>
          </cell>
        </row>
        <row r="4319">
          <cell r="AQ4319" t="str">
            <v>19235091|96942400|135770059|65384482</v>
          </cell>
          <cell r="AR4319" t="str">
            <v>GASTO FISICO</v>
          </cell>
        </row>
        <row r="4320">
          <cell r="AQ4320" t="str">
            <v>19235091|96942400|135770112|135770112</v>
          </cell>
          <cell r="AR4320" t="str">
            <v>IMED SALUD</v>
          </cell>
        </row>
        <row r="4321">
          <cell r="AQ4321" t="str">
            <v>19235091|96942400|135770112|135770112</v>
          </cell>
          <cell r="AR4321" t="str">
            <v>IMED SALUD</v>
          </cell>
        </row>
        <row r="4322">
          <cell r="AQ4322" t="str">
            <v>19235091|96942400|135770112|65384483</v>
          </cell>
          <cell r="AR4322" t="str">
            <v>GASTO FISICO</v>
          </cell>
        </row>
        <row r="4323">
          <cell r="AQ4323" t="str">
            <v>19404571|96852530|919769734|919769734</v>
          </cell>
          <cell r="AR4323" t="str">
            <v>IMED SALUD</v>
          </cell>
        </row>
        <row r="4324">
          <cell r="AQ4324" t="str">
            <v>19404571|96852530|919769734|919769734</v>
          </cell>
          <cell r="AR4324" t="str">
            <v>IMED SALUD</v>
          </cell>
        </row>
        <row r="4325">
          <cell r="AQ4325" t="str">
            <v>19404571|96852530|919769734|65384484</v>
          </cell>
          <cell r="AR4325" t="str">
            <v>GASTO FISICO</v>
          </cell>
        </row>
        <row r="4326">
          <cell r="AQ4326" t="str">
            <v>19430461|96986050|95893973|95893973</v>
          </cell>
          <cell r="AR4326" t="str">
            <v>IMED SALUD</v>
          </cell>
        </row>
        <row r="4327">
          <cell r="AQ4327" t="str">
            <v>19430461|96986050|95893973|95893973</v>
          </cell>
          <cell r="AR4327" t="str">
            <v>IMED SALUD</v>
          </cell>
        </row>
        <row r="4328">
          <cell r="AQ4328" t="str">
            <v>19430461|96986050|95893973|95893973</v>
          </cell>
          <cell r="AR4328" t="str">
            <v>IMED SALUD</v>
          </cell>
        </row>
        <row r="4329">
          <cell r="AQ4329" t="str">
            <v>19430461|96986050|95893973|95893973</v>
          </cell>
          <cell r="AR4329" t="str">
            <v>IMED SALUD</v>
          </cell>
        </row>
        <row r="4330">
          <cell r="AQ4330" t="str">
            <v>19430461|96986050|95893973|95893973</v>
          </cell>
          <cell r="AR4330" t="str">
            <v>IMED SALUD</v>
          </cell>
        </row>
        <row r="4331">
          <cell r="AQ4331" t="str">
            <v>19430461|96986050|95893973|95893973</v>
          </cell>
          <cell r="AR4331" t="str">
            <v>IMED SALUD</v>
          </cell>
        </row>
        <row r="4332">
          <cell r="AQ4332" t="str">
            <v>19430461|96986050|95893973|65384485</v>
          </cell>
          <cell r="AR4332" t="str">
            <v>GASTO FISICO</v>
          </cell>
        </row>
        <row r="4333">
          <cell r="AQ4333" t="str">
            <v>19430461|96986050|95893973|65384485</v>
          </cell>
          <cell r="AR4333" t="str">
            <v>GASTO FISICO</v>
          </cell>
        </row>
        <row r="4334">
          <cell r="AQ4334" t="str">
            <v>19430461|96986050|95893973|65384485</v>
          </cell>
          <cell r="AR4334" t="str">
            <v>GASTO FISICO</v>
          </cell>
        </row>
        <row r="4335">
          <cell r="AQ4335" t="str">
            <v>19430461|76365706|95900936|95900936</v>
          </cell>
          <cell r="AR4335" t="str">
            <v>IMED SALUD</v>
          </cell>
        </row>
        <row r="4336">
          <cell r="AQ4336" t="str">
            <v>19430461|76365706|95900936|95900936</v>
          </cell>
          <cell r="AR4336" t="str">
            <v>IMED SALUD</v>
          </cell>
        </row>
        <row r="4337">
          <cell r="AQ4337" t="str">
            <v>19430461|76365706|95900936|65384486</v>
          </cell>
          <cell r="AR4337" t="str">
            <v>GASTO FISICO</v>
          </cell>
        </row>
        <row r="4338">
          <cell r="AQ4338" t="str">
            <v>19517789|96942400|916333722|916333722</v>
          </cell>
          <cell r="AR4338" t="str">
            <v>IMED SALUD</v>
          </cell>
        </row>
        <row r="4339">
          <cell r="AQ4339" t="str">
            <v>19517789|96942400|916333722|916333722</v>
          </cell>
          <cell r="AR4339" t="str">
            <v>IMED SALUD</v>
          </cell>
        </row>
        <row r="4340">
          <cell r="AQ4340" t="str">
            <v>19517789|96942400|916333722|65384487</v>
          </cell>
          <cell r="AR4340" t="str">
            <v>GASTO FISICO</v>
          </cell>
        </row>
        <row r="4341">
          <cell r="AQ4341" t="str">
            <v>19517789|96942400|916375811|916375811</v>
          </cell>
          <cell r="AR4341" t="str">
            <v>IMED SALUD</v>
          </cell>
        </row>
        <row r="4342">
          <cell r="AQ4342" t="str">
            <v>19517789|96942400|916375811|916375811</v>
          </cell>
          <cell r="AR4342" t="str">
            <v>IMED SALUD</v>
          </cell>
        </row>
        <row r="4343">
          <cell r="AQ4343" t="str">
            <v>19517789|96942400|916375811|65384488</v>
          </cell>
          <cell r="AR4343" t="str">
            <v>GASTO FISICO</v>
          </cell>
        </row>
        <row r="4344">
          <cell r="AQ4344" t="str">
            <v>19517789|96942400|916702110|916702110</v>
          </cell>
          <cell r="AR4344" t="str">
            <v>IMED SALUD</v>
          </cell>
        </row>
        <row r="4345">
          <cell r="AQ4345" t="str">
            <v>19517789|96942400|916702110|916702110</v>
          </cell>
          <cell r="AR4345" t="str">
            <v>IMED SALUD</v>
          </cell>
        </row>
        <row r="4346">
          <cell r="AQ4346" t="str">
            <v>19517789|96942400|916702110|916702110</v>
          </cell>
          <cell r="AR4346" t="str">
            <v>IMED SALUD</v>
          </cell>
        </row>
        <row r="4347">
          <cell r="AQ4347" t="str">
            <v>19517789|96942400|916702110|916702110</v>
          </cell>
          <cell r="AR4347" t="str">
            <v>IMED SALUD</v>
          </cell>
        </row>
        <row r="4348">
          <cell r="AQ4348" t="str">
            <v>19517789|96942400|916702110|916702110</v>
          </cell>
          <cell r="AR4348" t="str">
            <v>IMED SALUD</v>
          </cell>
        </row>
        <row r="4349">
          <cell r="AQ4349" t="str">
            <v>19517789|96942400|916702110|916702110</v>
          </cell>
          <cell r="AR4349" t="str">
            <v>IMED SALUD</v>
          </cell>
        </row>
        <row r="4350">
          <cell r="AQ4350" t="str">
            <v>19517789|96942400|916702110|916702110</v>
          </cell>
          <cell r="AR4350" t="str">
            <v>IMED SALUD</v>
          </cell>
        </row>
        <row r="4351">
          <cell r="AQ4351" t="str">
            <v>19517789|96942400|916702110|916702110</v>
          </cell>
          <cell r="AR4351" t="str">
            <v>IMED SALUD</v>
          </cell>
        </row>
        <row r="4352">
          <cell r="AQ4352" t="str">
            <v>19517789|96942400|916702110|916702110</v>
          </cell>
          <cell r="AR4352" t="str">
            <v>IMED SALUD</v>
          </cell>
        </row>
        <row r="4353">
          <cell r="AQ4353" t="str">
            <v>19517789|96942400|916702110|916702110</v>
          </cell>
          <cell r="AR4353" t="str">
            <v>IMED SALUD</v>
          </cell>
        </row>
        <row r="4354">
          <cell r="AQ4354" t="str">
            <v>19517789|96942400|916702110|65384489</v>
          </cell>
          <cell r="AR4354" t="str">
            <v>GASTO FISICO</v>
          </cell>
        </row>
        <row r="4355">
          <cell r="AQ4355" t="str">
            <v>19517789|96942400|916702110|65384489</v>
          </cell>
          <cell r="AR4355" t="str">
            <v>GASTO FISICO</v>
          </cell>
        </row>
        <row r="4356">
          <cell r="AQ4356" t="str">
            <v>19517789|96942400|916702110|65384489</v>
          </cell>
          <cell r="AR4356" t="str">
            <v>GASTO FISICO</v>
          </cell>
        </row>
        <row r="4357">
          <cell r="AQ4357" t="str">
            <v>19517789|96942400|916702110|65384489</v>
          </cell>
          <cell r="AR4357" t="str">
            <v>GASTO FISICO</v>
          </cell>
        </row>
        <row r="4358">
          <cell r="AQ4358" t="str">
            <v>19517789|96942400|916702110|65384489</v>
          </cell>
          <cell r="AR4358" t="str">
            <v>GASTO FISICO</v>
          </cell>
        </row>
        <row r="4359">
          <cell r="AQ4359" t="str">
            <v>19517789|96942400|916702111|916702111</v>
          </cell>
          <cell r="AR4359" t="str">
            <v>IMED SALUD</v>
          </cell>
        </row>
        <row r="4360">
          <cell r="AQ4360" t="str">
            <v>19517789|96942400|916702111|916702111</v>
          </cell>
          <cell r="AR4360" t="str">
            <v>IMED SALUD</v>
          </cell>
        </row>
        <row r="4361">
          <cell r="AQ4361" t="str">
            <v>19517789|96942400|916702111|916702111</v>
          </cell>
          <cell r="AR4361" t="str">
            <v>IMED SALUD</v>
          </cell>
        </row>
        <row r="4362">
          <cell r="AQ4362" t="str">
            <v>19517789|96942400|916702111|916702111</v>
          </cell>
          <cell r="AR4362" t="str">
            <v>IMED SALUD</v>
          </cell>
        </row>
        <row r="4363">
          <cell r="AQ4363" t="str">
            <v>19517789|96942400|916702111|916702111</v>
          </cell>
          <cell r="AR4363" t="str">
            <v>IMED SALUD</v>
          </cell>
        </row>
        <row r="4364">
          <cell r="AQ4364" t="str">
            <v>19517789|96942400|916702111|916702111</v>
          </cell>
          <cell r="AR4364" t="str">
            <v>IMED SALUD</v>
          </cell>
        </row>
        <row r="4365">
          <cell r="AQ4365" t="str">
            <v>19517789|96942400|916702111|916702111</v>
          </cell>
          <cell r="AR4365" t="str">
            <v>IMED SALUD</v>
          </cell>
        </row>
        <row r="4366">
          <cell r="AQ4366" t="str">
            <v>19517789|96942400|916702111|916702111</v>
          </cell>
          <cell r="AR4366" t="str">
            <v>IMED SALUD</v>
          </cell>
        </row>
        <row r="4367">
          <cell r="AQ4367" t="str">
            <v>19517789|96942400|916702111|65384490</v>
          </cell>
          <cell r="AR4367" t="str">
            <v>GASTO FISICO</v>
          </cell>
        </row>
        <row r="4368">
          <cell r="AQ4368" t="str">
            <v>19517789|96942400|916702111|65384490</v>
          </cell>
          <cell r="AR4368" t="str">
            <v>GASTO FISICO</v>
          </cell>
        </row>
        <row r="4369">
          <cell r="AQ4369" t="str">
            <v>19517789|96942400|916702111|65384490</v>
          </cell>
          <cell r="AR4369" t="str">
            <v>GASTO FISICO</v>
          </cell>
        </row>
        <row r="4370">
          <cell r="AQ4370" t="str">
            <v>19517789|96942400|916702111|65384490</v>
          </cell>
          <cell r="AR4370" t="str">
            <v>GASTO FISICO</v>
          </cell>
        </row>
        <row r="4371">
          <cell r="AQ4371" t="str">
            <v>19517789|96942400|916914338|916914338</v>
          </cell>
          <cell r="AR4371" t="str">
            <v>IMED SALUD</v>
          </cell>
        </row>
        <row r="4372">
          <cell r="AQ4372" t="str">
            <v>19517789|96942400|916914338|916914338</v>
          </cell>
          <cell r="AR4372" t="str">
            <v>IMED SALUD</v>
          </cell>
        </row>
        <row r="4373">
          <cell r="AQ4373" t="str">
            <v>19517789|96942400|916914338|65384491</v>
          </cell>
          <cell r="AR4373" t="str">
            <v>GASTO FISICO</v>
          </cell>
        </row>
        <row r="4374">
          <cell r="AQ4374" t="str">
            <v>19609316|76098454|95698712|95698712</v>
          </cell>
          <cell r="AR4374" t="str">
            <v>IMED SALUD</v>
          </cell>
        </row>
        <row r="4375">
          <cell r="AQ4375" t="str">
            <v>19609316|76098454|95698712|95698712</v>
          </cell>
          <cell r="AR4375" t="str">
            <v>IMED SALUD</v>
          </cell>
        </row>
        <row r="4376">
          <cell r="AQ4376" t="str">
            <v>19609316|76098454|95698712|65384492</v>
          </cell>
          <cell r="AR4376" t="str">
            <v>GASTO FISICO</v>
          </cell>
        </row>
        <row r="4377">
          <cell r="AQ4377" t="str">
            <v>19745778|89807200|1572866966|22002331</v>
          </cell>
          <cell r="AR4377" t="str">
            <v>GASTO FISICO</v>
          </cell>
        </row>
        <row r="4378">
          <cell r="AQ4378" t="str">
            <v>19745778|89807200|1572866966|991297</v>
          </cell>
          <cell r="AR4378" t="str">
            <v>GASTO FISICO</v>
          </cell>
        </row>
        <row r="4379">
          <cell r="AQ4379" t="str">
            <v>19745778|89807200|1572866966|65213301</v>
          </cell>
          <cell r="AR4379" t="str">
            <v>GASTO FISICO</v>
          </cell>
        </row>
        <row r="4380">
          <cell r="AQ4380" t="str">
            <v>19745778|89807200|1575046141|22002331</v>
          </cell>
          <cell r="AR4380" t="str">
            <v>GASTO FISICO</v>
          </cell>
        </row>
        <row r="4381">
          <cell r="AQ4381" t="str">
            <v>19745778|89807200|1575046141|991297</v>
          </cell>
          <cell r="AR4381" t="str">
            <v>GASTO FISICO</v>
          </cell>
        </row>
        <row r="4382">
          <cell r="AQ4382" t="str">
            <v>19745778|89807200|1575046141|65213301</v>
          </cell>
          <cell r="AR4382" t="str">
            <v>GASTO FISICO</v>
          </cell>
        </row>
        <row r="4383">
          <cell r="AQ4383" t="str">
            <v>19745778|96942400|765404428|765404428</v>
          </cell>
          <cell r="AR4383" t="str">
            <v>IMED SALUD</v>
          </cell>
        </row>
        <row r="4384">
          <cell r="AQ4384" t="str">
            <v>19745778|96942400|765404428|765404428</v>
          </cell>
          <cell r="AR4384" t="str">
            <v>IMED SALUD</v>
          </cell>
        </row>
        <row r="4385">
          <cell r="AQ4385" t="str">
            <v>19745778|96942400|765404428|65384493</v>
          </cell>
          <cell r="AR4385" t="str">
            <v>GASTO FISICO</v>
          </cell>
        </row>
        <row r="4386">
          <cell r="AQ4386" t="str">
            <v>19747908|96942400|135727077|135727077</v>
          </cell>
          <cell r="AR4386" t="str">
            <v>IMED SALUD</v>
          </cell>
        </row>
        <row r="4387">
          <cell r="AQ4387" t="str">
            <v>19747908|96942400|135727077|135727077</v>
          </cell>
          <cell r="AR4387" t="str">
            <v>IMED SALUD</v>
          </cell>
        </row>
        <row r="4388">
          <cell r="AQ4388" t="str">
            <v>19747908|96942400|135727077|135727077</v>
          </cell>
          <cell r="AR4388" t="str">
            <v>IMED SALUD</v>
          </cell>
        </row>
        <row r="4389">
          <cell r="AQ4389" t="str">
            <v>19747908|96942400|135727077|135727077</v>
          </cell>
          <cell r="AR4389" t="str">
            <v>IMED SALUD</v>
          </cell>
        </row>
        <row r="4390">
          <cell r="AQ4390" t="str">
            <v>19747908|96942400|135727077|135727077</v>
          </cell>
          <cell r="AR4390" t="str">
            <v>IMED SALUD</v>
          </cell>
        </row>
        <row r="4391">
          <cell r="AQ4391" t="str">
            <v>19747908|96942400|135727077|135727077</v>
          </cell>
          <cell r="AR4391" t="str">
            <v>IMED SALUD</v>
          </cell>
        </row>
        <row r="4392">
          <cell r="AQ4392" t="str">
            <v>19747908|96942400|135727077|135727077</v>
          </cell>
          <cell r="AR4392" t="str">
            <v>IMED SALUD</v>
          </cell>
        </row>
        <row r="4393">
          <cell r="AQ4393" t="str">
            <v>19747908|96942400|135727077|135727077</v>
          </cell>
          <cell r="AR4393" t="str">
            <v>IMED SALUD</v>
          </cell>
        </row>
        <row r="4394">
          <cell r="AQ4394" t="str">
            <v>19747908|96942400|135727077|135727077</v>
          </cell>
          <cell r="AR4394" t="str">
            <v>IMED SALUD</v>
          </cell>
        </row>
        <row r="4395">
          <cell r="AQ4395" t="str">
            <v>19747908|96942400|135727077|135727077</v>
          </cell>
          <cell r="AR4395" t="str">
            <v>IMED SALUD</v>
          </cell>
        </row>
        <row r="4396">
          <cell r="AQ4396" t="str">
            <v>19747908|96942400|135727077|65384494</v>
          </cell>
          <cell r="AR4396" t="str">
            <v>GASTO FISICO</v>
          </cell>
        </row>
        <row r="4397">
          <cell r="AQ4397" t="str">
            <v>19747908|96942400|135727077|65384494</v>
          </cell>
          <cell r="AR4397" t="str">
            <v>GASTO FISICO</v>
          </cell>
        </row>
        <row r="4398">
          <cell r="AQ4398" t="str">
            <v>19747908|96942400|135727077|65384494</v>
          </cell>
          <cell r="AR4398" t="str">
            <v>GASTO FISICO</v>
          </cell>
        </row>
        <row r="4399">
          <cell r="AQ4399" t="str">
            <v>19747908|96942400|135727077|65384494</v>
          </cell>
          <cell r="AR4399" t="str">
            <v>GASTO FISICO</v>
          </cell>
        </row>
        <row r="4400">
          <cell r="AQ4400" t="str">
            <v>19747908|96942400|135727077|65384494</v>
          </cell>
          <cell r="AR4400" t="str">
            <v>GASTO FISICO</v>
          </cell>
        </row>
        <row r="4401">
          <cell r="AQ4401" t="str">
            <v>19747908|96942400|135727078|135727078</v>
          </cell>
          <cell r="AR4401" t="str">
            <v>IMED SALUD</v>
          </cell>
        </row>
        <row r="4402">
          <cell r="AQ4402" t="str">
            <v>19747908|96942400|135727078|135727078</v>
          </cell>
          <cell r="AR4402" t="str">
            <v>IMED SALUD</v>
          </cell>
        </row>
        <row r="4403">
          <cell r="AQ4403" t="str">
            <v>19747908|96942400|135727078|65384495</v>
          </cell>
          <cell r="AR4403" t="str">
            <v>GASTO FISICO</v>
          </cell>
        </row>
        <row r="4404">
          <cell r="AQ4404" t="str">
            <v>19747908|96942400|135727258|135727258</v>
          </cell>
          <cell r="AR4404" t="str">
            <v>IMED SALUD</v>
          </cell>
        </row>
        <row r="4405">
          <cell r="AQ4405" t="str">
            <v>19747908|96942400|135727258|135727258</v>
          </cell>
          <cell r="AR4405" t="str">
            <v>IMED SALUD</v>
          </cell>
        </row>
        <row r="4406">
          <cell r="AQ4406" t="str">
            <v>19747908|96942400|135727258|65384496</v>
          </cell>
          <cell r="AR4406" t="str">
            <v>GASTO FISICO</v>
          </cell>
        </row>
        <row r="4407">
          <cell r="AQ4407" t="str">
            <v>20107537|77964384|665|21978580</v>
          </cell>
          <cell r="AR4407" t="str">
            <v>GASTO FISICO</v>
          </cell>
        </row>
        <row r="4408">
          <cell r="AQ4408" t="str">
            <v>20107537|77964384|665|22008161</v>
          </cell>
          <cell r="AR4408" t="str">
            <v>GASTO FISICO</v>
          </cell>
        </row>
        <row r="4409">
          <cell r="AQ4409" t="str">
            <v>20107537|77964384|665|983141</v>
          </cell>
          <cell r="AR4409" t="str">
            <v>GASTO FISICO</v>
          </cell>
        </row>
        <row r="4410">
          <cell r="AQ4410" t="str">
            <v>20107537|77964384|665|65213305</v>
          </cell>
          <cell r="AR4410" t="str">
            <v>GASTO FISICO</v>
          </cell>
        </row>
        <row r="4411">
          <cell r="AQ4411" t="str">
            <v>20107537|78022810|916886853|916886853</v>
          </cell>
          <cell r="AR4411" t="str">
            <v>IMED SALUD</v>
          </cell>
        </row>
        <row r="4412">
          <cell r="AQ4412" t="str">
            <v>20107537|78022810|916886853|916886853</v>
          </cell>
          <cell r="AR4412" t="str">
            <v>IMED SALUD</v>
          </cell>
        </row>
        <row r="4413">
          <cell r="AQ4413" t="str">
            <v>20107537|78022810|916886853|916886853</v>
          </cell>
          <cell r="AR4413" t="str">
            <v>IMED SALUD</v>
          </cell>
        </row>
        <row r="4414">
          <cell r="AQ4414" t="str">
            <v>20107537|78022810|916886853|916886853</v>
          </cell>
          <cell r="AR4414" t="str">
            <v>IMED SALUD</v>
          </cell>
        </row>
        <row r="4415">
          <cell r="AQ4415" t="str">
            <v>20107537|78022810|916886853|65384498</v>
          </cell>
          <cell r="AR4415" t="str">
            <v>GASTO FISICO</v>
          </cell>
        </row>
        <row r="4416">
          <cell r="AQ4416" t="str">
            <v>20107537|78022810|916886853|65384498</v>
          </cell>
          <cell r="AR4416" t="str">
            <v>GASTO FISICO</v>
          </cell>
        </row>
        <row r="4417">
          <cell r="AQ4417" t="str">
            <v>20107537|96938650|917121926|917121926</v>
          </cell>
          <cell r="AR4417" t="str">
            <v>IMED SALUD</v>
          </cell>
        </row>
        <row r="4418">
          <cell r="AQ4418" t="str">
            <v>20107537|96938650|917121926|917121926</v>
          </cell>
          <cell r="AR4418" t="str">
            <v>IMED SALUD</v>
          </cell>
        </row>
        <row r="4419">
          <cell r="AQ4419" t="str">
            <v>20107537|96938650|917121926|65384499</v>
          </cell>
          <cell r="AR4419" t="str">
            <v>GASTO FISICO</v>
          </cell>
        </row>
        <row r="4420">
          <cell r="AQ4420" t="str">
            <v>21442073|59111330|242932336|21995718</v>
          </cell>
          <cell r="AR4420" t="str">
            <v>GASTO FISICO</v>
          </cell>
        </row>
        <row r="4421">
          <cell r="AQ4421" t="str">
            <v>21442073|59111330|242932336|21995718</v>
          </cell>
          <cell r="AR4421" t="str">
            <v>GASTO FISICO</v>
          </cell>
        </row>
        <row r="4422">
          <cell r="AQ4422" t="str">
            <v>21442073|59111330|242932336|21995718</v>
          </cell>
          <cell r="AR4422" t="str">
            <v>GASTO FISICO</v>
          </cell>
        </row>
        <row r="4423">
          <cell r="AQ4423" t="str">
            <v>21442073|59111330|242932336|985666</v>
          </cell>
          <cell r="AR4423" t="str">
            <v>GASTO FISICO</v>
          </cell>
        </row>
        <row r="4424">
          <cell r="AQ4424" t="str">
            <v>21442073|59111330|242932336|985666</v>
          </cell>
          <cell r="AR4424" t="str">
            <v>GASTO FISICO</v>
          </cell>
        </row>
        <row r="4425">
          <cell r="AQ4425" t="str">
            <v>21442073|59111330|242932336|985666</v>
          </cell>
          <cell r="AR4425" t="str">
            <v>GASTO FISICO</v>
          </cell>
        </row>
        <row r="4426">
          <cell r="AQ4426" t="str">
            <v>21442073|59111330|242932336|65213308</v>
          </cell>
          <cell r="AR4426" t="str">
            <v>GASTO FISICO</v>
          </cell>
        </row>
        <row r="4427">
          <cell r="AQ4427" t="str">
            <v>21442073|59111330|242932336|65213308</v>
          </cell>
          <cell r="AR4427" t="str">
            <v>GASTO FISICO</v>
          </cell>
        </row>
        <row r="4428">
          <cell r="AQ4428" t="str">
            <v>21442073|59111330|242932336|65213308</v>
          </cell>
          <cell r="AR4428" t="str">
            <v>GASTO FISICO</v>
          </cell>
        </row>
        <row r="4429">
          <cell r="AQ4429" t="str">
            <v>21442073|76098454|919394889|919394889</v>
          </cell>
          <cell r="AR4429" t="str">
            <v>IMED SALUD</v>
          </cell>
        </row>
        <row r="4430">
          <cell r="AQ4430" t="str">
            <v>21442073|76098454|919394889|919394889</v>
          </cell>
          <cell r="AR4430" t="str">
            <v>IMED SALUD</v>
          </cell>
        </row>
        <row r="4431">
          <cell r="AQ4431" t="str">
            <v>21442073|76098454|919394889|65384502</v>
          </cell>
          <cell r="AR4431" t="str">
            <v>GASTO FISICO</v>
          </cell>
        </row>
        <row r="4432">
          <cell r="AQ4432" t="str">
            <v>21442073|96986050|920629253|920629253</v>
          </cell>
          <cell r="AR4432" t="str">
            <v>IMED SALUD</v>
          </cell>
        </row>
        <row r="4433">
          <cell r="AQ4433" t="str">
            <v>21442073|96986050|920629253|920629253</v>
          </cell>
          <cell r="AR4433" t="str">
            <v>IMED SALUD</v>
          </cell>
        </row>
        <row r="4434">
          <cell r="AQ4434" t="str">
            <v>21442073|96986050|920629253|920629253</v>
          </cell>
          <cell r="AR4434" t="str">
            <v>IMED SALUD</v>
          </cell>
        </row>
        <row r="4435">
          <cell r="AQ4435" t="str">
            <v>21442073|96986050|920629253|920629253</v>
          </cell>
          <cell r="AR4435" t="str">
            <v>IMED SALUD</v>
          </cell>
        </row>
        <row r="4436">
          <cell r="AQ4436" t="str">
            <v>21442073|96986050|920629253|920629253</v>
          </cell>
          <cell r="AR4436" t="str">
            <v>IMED SALUD</v>
          </cell>
        </row>
        <row r="4437">
          <cell r="AQ4437" t="str">
            <v>21442073|96986050|920629253|920629253</v>
          </cell>
          <cell r="AR4437" t="str">
            <v>IMED SALUD</v>
          </cell>
        </row>
        <row r="4438">
          <cell r="AQ4438" t="str">
            <v>21442073|96986050|920629253|920629253</v>
          </cell>
          <cell r="AR4438" t="str">
            <v>IMED SALUD</v>
          </cell>
        </row>
        <row r="4439">
          <cell r="AQ4439" t="str">
            <v>21442073|96986050|920629253|920629253</v>
          </cell>
          <cell r="AR4439" t="str">
            <v>IMED SALUD</v>
          </cell>
        </row>
        <row r="4440">
          <cell r="AQ4440" t="str">
            <v>21442073|96986050|920629253|920629253</v>
          </cell>
          <cell r="AR4440" t="str">
            <v>IMED SALUD</v>
          </cell>
        </row>
        <row r="4441">
          <cell r="AQ4441" t="str">
            <v>21442073|96986050|920629253|920629253</v>
          </cell>
          <cell r="AR4441" t="str">
            <v>IMED SALUD</v>
          </cell>
        </row>
        <row r="4442">
          <cell r="AQ4442" t="str">
            <v>21442073|96986050|920629253|65384503</v>
          </cell>
          <cell r="AR4442" t="str">
            <v>GASTO FISICO</v>
          </cell>
        </row>
        <row r="4443">
          <cell r="AQ4443" t="str">
            <v>21442073|96986050|920629253|65384503</v>
          </cell>
          <cell r="AR4443" t="str">
            <v>GASTO FISICO</v>
          </cell>
        </row>
        <row r="4444">
          <cell r="AQ4444" t="str">
            <v>21442073|96986050|920629253|65384503</v>
          </cell>
          <cell r="AR4444" t="str">
            <v>GASTO FISICO</v>
          </cell>
        </row>
        <row r="4445">
          <cell r="AQ4445" t="str">
            <v>21442073|96986050|920629253|65384503</v>
          </cell>
          <cell r="AR4445" t="str">
            <v>GASTO FISICO</v>
          </cell>
        </row>
        <row r="4446">
          <cell r="AQ4446" t="str">
            <v>21442073|96986050|920629253|65384503</v>
          </cell>
          <cell r="AR4446" t="str">
            <v>GASTO FISICO</v>
          </cell>
        </row>
        <row r="4447">
          <cell r="AQ4447" t="str">
            <v>21442073|96986050|920629254|920629254</v>
          </cell>
          <cell r="AR4447" t="str">
            <v>IMED SALUD</v>
          </cell>
        </row>
        <row r="4448">
          <cell r="AQ4448" t="str">
            <v>21442073|96986050|920629254|920629254</v>
          </cell>
          <cell r="AR4448" t="str">
            <v>IMED SALUD</v>
          </cell>
        </row>
        <row r="4449">
          <cell r="AQ4449" t="str">
            <v>21442073|96986050|920629254|920629254</v>
          </cell>
          <cell r="AR4449" t="str">
            <v>IMED SALUD</v>
          </cell>
        </row>
        <row r="4450">
          <cell r="AQ4450" t="str">
            <v>21442073|96986050|920629254|920629254</v>
          </cell>
          <cell r="AR4450" t="str">
            <v>IMED SALUD</v>
          </cell>
        </row>
        <row r="4451">
          <cell r="AQ4451" t="str">
            <v>21442073|96986050|920629254|920629254</v>
          </cell>
          <cell r="AR4451" t="str">
            <v>IMED SALUD</v>
          </cell>
        </row>
        <row r="4452">
          <cell r="AQ4452" t="str">
            <v>21442073|96986050|920629254|920629254</v>
          </cell>
          <cell r="AR4452" t="str">
            <v>IMED SALUD</v>
          </cell>
        </row>
        <row r="4453">
          <cell r="AQ4453" t="str">
            <v>21442073|96986050|920629254|920629254</v>
          </cell>
          <cell r="AR4453" t="str">
            <v>IMED SALUD</v>
          </cell>
        </row>
        <row r="4454">
          <cell r="AQ4454" t="str">
            <v>21442073|96986050|920629254|920629254</v>
          </cell>
          <cell r="AR4454" t="str">
            <v>IMED SALUD</v>
          </cell>
        </row>
        <row r="4455">
          <cell r="AQ4455" t="str">
            <v>21442073|96986050|920629254|920629254</v>
          </cell>
          <cell r="AR4455" t="str">
            <v>IMED SALUD</v>
          </cell>
        </row>
        <row r="4456">
          <cell r="AQ4456" t="str">
            <v>21442073|96986050|920629254|920629254</v>
          </cell>
          <cell r="AR4456" t="str">
            <v>IMED SALUD</v>
          </cell>
        </row>
        <row r="4457">
          <cell r="AQ4457" t="str">
            <v>21442073|96986050|920629254|65384504</v>
          </cell>
          <cell r="AR4457" t="str">
            <v>GASTO FISICO</v>
          </cell>
        </row>
        <row r="4458">
          <cell r="AQ4458" t="str">
            <v>21442073|96986050|920629254|65384504</v>
          </cell>
          <cell r="AR4458" t="str">
            <v>GASTO FISICO</v>
          </cell>
        </row>
        <row r="4459">
          <cell r="AQ4459" t="str">
            <v>21442073|96986050|920629254|65384504</v>
          </cell>
          <cell r="AR4459" t="str">
            <v>GASTO FISICO</v>
          </cell>
        </row>
        <row r="4460">
          <cell r="AQ4460" t="str">
            <v>21442073|96986050|920629254|65384504</v>
          </cell>
          <cell r="AR4460" t="str">
            <v>GASTO FISICO</v>
          </cell>
        </row>
        <row r="4461">
          <cell r="AQ4461" t="str">
            <v>21442073|96986050|920629254|65384504</v>
          </cell>
          <cell r="AR4461" t="str">
            <v>GASTO FISICO</v>
          </cell>
        </row>
        <row r="4462">
          <cell r="AQ4462" t="str">
            <v>21442073|96986050|920629255|920629255</v>
          </cell>
          <cell r="AR4462" t="str">
            <v>IMED SALUD</v>
          </cell>
        </row>
        <row r="4463">
          <cell r="AQ4463" t="str">
            <v>21442073|96986050|920629255|920629255</v>
          </cell>
          <cell r="AR4463" t="str">
            <v>IMED SALUD</v>
          </cell>
        </row>
        <row r="4464">
          <cell r="AQ4464" t="str">
            <v>21442073|96986050|920629255|65384505</v>
          </cell>
          <cell r="AR4464" t="str">
            <v>GASTO FISICO</v>
          </cell>
        </row>
        <row r="4465">
          <cell r="AQ4465" t="str">
            <v>25563880|96530470|370874443|370874443</v>
          </cell>
          <cell r="AR4465" t="str">
            <v>IMED SALUD</v>
          </cell>
        </row>
        <row r="4466">
          <cell r="AQ4466" t="str">
            <v>25563880|96530470|370874443|370874443</v>
          </cell>
          <cell r="AR4466" t="str">
            <v>IMED SALUD</v>
          </cell>
        </row>
        <row r="4467">
          <cell r="AQ4467" t="str">
            <v>25563880|96530470|370874443|370874443</v>
          </cell>
          <cell r="AR4467" t="str">
            <v>IMED SALUD</v>
          </cell>
        </row>
        <row r="4468">
          <cell r="AQ4468" t="str">
            <v>25563880|96530470|370874443|370874443</v>
          </cell>
          <cell r="AR4468" t="str">
            <v>IMED SALUD</v>
          </cell>
        </row>
        <row r="4469">
          <cell r="AQ4469" t="str">
            <v>25563880|96530470|370874443|370874443</v>
          </cell>
          <cell r="AR4469" t="str">
            <v>IMED SALUD</v>
          </cell>
        </row>
        <row r="4470">
          <cell r="AQ4470" t="str">
            <v>25563880|96530470|370874443|370874443</v>
          </cell>
          <cell r="AR4470" t="str">
            <v>IMED SALUD</v>
          </cell>
        </row>
        <row r="4471">
          <cell r="AQ4471" t="str">
            <v>25563880|96530470|370874443|370874443</v>
          </cell>
          <cell r="AR4471" t="str">
            <v>IMED SALUD</v>
          </cell>
        </row>
        <row r="4472">
          <cell r="AQ4472" t="str">
            <v>25563880|96530470|370874443|370874443</v>
          </cell>
          <cell r="AR4472" t="str">
            <v>IMED SALUD</v>
          </cell>
        </row>
        <row r="4473">
          <cell r="AQ4473" t="str">
            <v>25563880|96530470|370874443|370874443</v>
          </cell>
          <cell r="AR4473" t="str">
            <v>IMED SALUD</v>
          </cell>
        </row>
        <row r="4474">
          <cell r="AQ4474" t="str">
            <v>25563880|96530470|370874443|370874443</v>
          </cell>
          <cell r="AR4474" t="str">
            <v>IMED SALUD</v>
          </cell>
        </row>
        <row r="4475">
          <cell r="AQ4475" t="str">
            <v>25563880|96530470|370874443|65384508</v>
          </cell>
          <cell r="AR4475" t="str">
            <v>GASTO FISICO</v>
          </cell>
        </row>
        <row r="4476">
          <cell r="AQ4476" t="str">
            <v>25563880|96530470|370874443|65384508</v>
          </cell>
          <cell r="AR4476" t="str">
            <v>GASTO FISICO</v>
          </cell>
        </row>
        <row r="4477">
          <cell r="AQ4477" t="str">
            <v>25563880|96530470|370874443|65384508</v>
          </cell>
          <cell r="AR4477" t="str">
            <v>GASTO FISICO</v>
          </cell>
        </row>
        <row r="4478">
          <cell r="AQ4478" t="str">
            <v>25563880|96530470|370874443|65384508</v>
          </cell>
          <cell r="AR4478" t="str">
            <v>GASTO FISICO</v>
          </cell>
        </row>
        <row r="4479">
          <cell r="AQ4479" t="str">
            <v>25563880|96530470|370874443|65384508</v>
          </cell>
          <cell r="AR4479" t="str">
            <v>GASTO FISICO</v>
          </cell>
        </row>
        <row r="4480">
          <cell r="AQ4480" t="str">
            <v>25563880|96530470|370874444|370874444</v>
          </cell>
          <cell r="AR4480" t="str">
            <v>IMED SALUD</v>
          </cell>
        </row>
        <row r="4481">
          <cell r="AQ4481" t="str">
            <v>25563880|96530470|370874444|370874444</v>
          </cell>
          <cell r="AR4481" t="str">
            <v>IMED SALUD</v>
          </cell>
        </row>
        <row r="4482">
          <cell r="AQ4482" t="str">
            <v>25563880|96530470|370874444|65384509</v>
          </cell>
          <cell r="AR4482" t="str">
            <v>GASTO FISICO</v>
          </cell>
        </row>
        <row r="4483">
          <cell r="AQ4483" t="str">
            <v>25563880|79980070|370876541|370876541</v>
          </cell>
          <cell r="AR4483" t="str">
            <v>IMED SALUD</v>
          </cell>
        </row>
        <row r="4484">
          <cell r="AQ4484" t="str">
            <v>25563880|79980070|370876541|370876541</v>
          </cell>
          <cell r="AR4484" t="str">
            <v>IMED SALUD</v>
          </cell>
        </row>
        <row r="4485">
          <cell r="AQ4485" t="str">
            <v>25563880|79980070|370876541|65384510</v>
          </cell>
          <cell r="AR4485" t="str">
            <v>GASTO FISICO</v>
          </cell>
        </row>
        <row r="4486">
          <cell r="AQ4486" t="str">
            <v>25563880|79980070|370963679|370963679</v>
          </cell>
          <cell r="AR4486" t="str">
            <v>IMED SALUD</v>
          </cell>
        </row>
        <row r="4487">
          <cell r="AQ4487" t="str">
            <v>25563880|79980070|370963679|370963679</v>
          </cell>
          <cell r="AR4487" t="str">
            <v>IMED SALUD</v>
          </cell>
        </row>
        <row r="4488">
          <cell r="AQ4488" t="str">
            <v>25563880|79980070|370963679|65384511</v>
          </cell>
          <cell r="AR4488" t="str">
            <v>GASTO FISICO</v>
          </cell>
        </row>
        <row r="4489">
          <cell r="AQ4489" t="str">
            <v>25563880|76177516|371043811|371043811</v>
          </cell>
          <cell r="AR4489" t="str">
            <v>IMED SALUD</v>
          </cell>
        </row>
        <row r="4490">
          <cell r="AQ4490" t="str">
            <v>25563880|76177516|371043811|371043811</v>
          </cell>
          <cell r="AR4490" t="str">
            <v>IMED SALUD</v>
          </cell>
        </row>
        <row r="4491">
          <cell r="AQ4491" t="str">
            <v>25563880|76177516|371043811|371043811</v>
          </cell>
          <cell r="AR4491" t="str">
            <v>IMED SALUD</v>
          </cell>
        </row>
        <row r="4492">
          <cell r="AQ4492" t="str">
            <v>25563880|76177516|371043811|371043811</v>
          </cell>
          <cell r="AR4492" t="str">
            <v>IMED SALUD</v>
          </cell>
        </row>
        <row r="4493">
          <cell r="AQ4493" t="str">
            <v>25563880|76177516|371043811|371043811</v>
          </cell>
          <cell r="AR4493" t="str">
            <v>IMED SALUD</v>
          </cell>
        </row>
        <row r="4494">
          <cell r="AQ4494" t="str">
            <v>25563880|76177516|371043811|371043811</v>
          </cell>
          <cell r="AR4494" t="str">
            <v>IMED SALUD</v>
          </cell>
        </row>
        <row r="4495">
          <cell r="AQ4495" t="str">
            <v>25563880|76177516|371043811|371043811</v>
          </cell>
          <cell r="AR4495" t="str">
            <v>IMED SALUD</v>
          </cell>
        </row>
        <row r="4496">
          <cell r="AQ4496" t="str">
            <v>25563880|76177516|371043811|371043811</v>
          </cell>
          <cell r="AR4496" t="str">
            <v>IMED SALUD</v>
          </cell>
        </row>
        <row r="4497">
          <cell r="AQ4497" t="str">
            <v>25563880|76177516|371043811|371043811</v>
          </cell>
          <cell r="AR4497" t="str">
            <v>IMED SALUD</v>
          </cell>
        </row>
        <row r="4498">
          <cell r="AQ4498" t="str">
            <v>25563880|76177516|371043811|371043811</v>
          </cell>
          <cell r="AR4498" t="str">
            <v>IMED SALUD</v>
          </cell>
        </row>
        <row r="4499">
          <cell r="AQ4499" t="str">
            <v>25563880|76177516|371043811|65384512</v>
          </cell>
          <cell r="AR4499" t="str">
            <v>GASTO FISICO</v>
          </cell>
        </row>
        <row r="4500">
          <cell r="AQ4500" t="str">
            <v>25563880|76177516|371043811|65384512</v>
          </cell>
          <cell r="AR4500" t="str">
            <v>GASTO FISICO</v>
          </cell>
        </row>
        <row r="4501">
          <cell r="AQ4501" t="str">
            <v>25563880|76177516|371043811|65384512</v>
          </cell>
          <cell r="AR4501" t="str">
            <v>GASTO FISICO</v>
          </cell>
        </row>
        <row r="4502">
          <cell r="AQ4502" t="str">
            <v>25563880|76177516|371043811|65384512</v>
          </cell>
          <cell r="AR4502" t="str">
            <v>GASTO FISICO</v>
          </cell>
        </row>
        <row r="4503">
          <cell r="AQ4503" t="str">
            <v>25563880|76177516|371043811|65384512</v>
          </cell>
          <cell r="AR4503" t="str">
            <v>GASTO FISICO</v>
          </cell>
        </row>
        <row r="4504">
          <cell r="AQ4504" t="str">
            <v>25563880|76177516|371043812|371043812</v>
          </cell>
          <cell r="AR4504" t="str">
            <v>IMED SALUD</v>
          </cell>
        </row>
        <row r="4505">
          <cell r="AQ4505" t="str">
            <v>25563880|76177516|371043812|371043812</v>
          </cell>
          <cell r="AR4505" t="str">
            <v>IMED SALUD</v>
          </cell>
        </row>
        <row r="4506">
          <cell r="AQ4506" t="str">
            <v>25563880|76177516|371043812|65384513</v>
          </cell>
          <cell r="AR4506" t="str">
            <v>GASTO FISICO</v>
          </cell>
        </row>
        <row r="4507">
          <cell r="AQ4507" t="str">
            <v>25563880|76177516|917297378|917297378</v>
          </cell>
          <cell r="AR4507" t="str">
            <v>IMED SALUD</v>
          </cell>
        </row>
        <row r="4508">
          <cell r="AQ4508" t="str">
            <v>25563880|76177516|917297378|917297378</v>
          </cell>
          <cell r="AR4508" t="str">
            <v>IMED SALUD</v>
          </cell>
        </row>
        <row r="4509">
          <cell r="AQ4509" t="str">
            <v>25563880|76177516|917297378|65384517</v>
          </cell>
          <cell r="AR4509" t="str">
            <v>GASTO FISICO</v>
          </cell>
        </row>
        <row r="4510">
          <cell r="AQ4510" t="str">
            <v>25682071|77786070|920227927|920227927</v>
          </cell>
          <cell r="AR4510" t="str">
            <v>IMED SALUD</v>
          </cell>
        </row>
        <row r="4511">
          <cell r="AQ4511" t="str">
            <v>25682071|77786070|920227927|920227927</v>
          </cell>
          <cell r="AR4511" t="str">
            <v>IMED SALUD</v>
          </cell>
        </row>
        <row r="4512">
          <cell r="AQ4512" t="str">
            <v>25682071|77786070|920227927|920227927</v>
          </cell>
          <cell r="AR4512" t="str">
            <v>IMED SALUD</v>
          </cell>
        </row>
        <row r="4513">
          <cell r="AQ4513" t="str">
            <v>25682071|77786070|920227927|920227927</v>
          </cell>
          <cell r="AR4513" t="str">
            <v>IMED SALUD</v>
          </cell>
        </row>
        <row r="4514">
          <cell r="AQ4514" t="str">
            <v>25682071|77786070|920227927|920227927</v>
          </cell>
          <cell r="AR4514" t="str">
            <v>IMED SALUD</v>
          </cell>
        </row>
        <row r="4515">
          <cell r="AQ4515" t="str">
            <v>25682071|77786070|920227927|920227927</v>
          </cell>
          <cell r="AR4515" t="str">
            <v>IMED SALUD</v>
          </cell>
        </row>
        <row r="4516">
          <cell r="AQ4516" t="str">
            <v>25682071|77786070|920227927|920227927</v>
          </cell>
          <cell r="AR4516" t="str">
            <v>IMED SALUD</v>
          </cell>
        </row>
        <row r="4517">
          <cell r="AQ4517" t="str">
            <v>25682071|77786070|920227927|920227927</v>
          </cell>
          <cell r="AR4517" t="str">
            <v>IMED SALUD</v>
          </cell>
        </row>
        <row r="4518">
          <cell r="AQ4518" t="str">
            <v>25682071|77786070|920227927|920227927</v>
          </cell>
          <cell r="AR4518" t="str">
            <v>IMED SALUD</v>
          </cell>
        </row>
        <row r="4519">
          <cell r="AQ4519" t="str">
            <v>25682071|77786070|920227927|920227927</v>
          </cell>
          <cell r="AR4519" t="str">
            <v>IMED SALUD</v>
          </cell>
        </row>
        <row r="4520">
          <cell r="AQ4520" t="str">
            <v>25682071|77786070|920227927|65384522</v>
          </cell>
          <cell r="AR4520" t="str">
            <v>GASTO FISICO</v>
          </cell>
        </row>
        <row r="4521">
          <cell r="AQ4521" t="str">
            <v>25682071|77786070|920227927|65384522</v>
          </cell>
          <cell r="AR4521" t="str">
            <v>GASTO FISICO</v>
          </cell>
        </row>
        <row r="4522">
          <cell r="AQ4522" t="str">
            <v>25682071|77786070|920227927|65384522</v>
          </cell>
          <cell r="AR4522" t="str">
            <v>GASTO FISICO</v>
          </cell>
        </row>
        <row r="4523">
          <cell r="AQ4523" t="str">
            <v>25682071|77786070|920227927|65384522</v>
          </cell>
          <cell r="AR4523" t="str">
            <v>GASTO FISICO</v>
          </cell>
        </row>
        <row r="4524">
          <cell r="AQ4524" t="str">
            <v>25682071|77786070|920227927|65384522</v>
          </cell>
          <cell r="AR4524" t="str">
            <v>GASTO FISICO</v>
          </cell>
        </row>
        <row r="4525">
          <cell r="AQ4525" t="str">
            <v>25682071|77786070|920227928|920227928</v>
          </cell>
          <cell r="AR4525" t="str">
            <v>IMED SALUD</v>
          </cell>
        </row>
        <row r="4526">
          <cell r="AQ4526" t="str">
            <v>25682071|77786070|920227928|920227928</v>
          </cell>
          <cell r="AR4526" t="str">
            <v>IMED SALUD</v>
          </cell>
        </row>
        <row r="4527">
          <cell r="AQ4527" t="str">
            <v>25682071|77786070|920227928|920227928</v>
          </cell>
          <cell r="AR4527" t="str">
            <v>IMED SALUD</v>
          </cell>
        </row>
        <row r="4528">
          <cell r="AQ4528" t="str">
            <v>25682071|77786070|920227928|920227928</v>
          </cell>
          <cell r="AR4528" t="str">
            <v>IMED SALUD</v>
          </cell>
        </row>
        <row r="4529">
          <cell r="AQ4529" t="str">
            <v>25682071|77786070|920227928|920227928</v>
          </cell>
          <cell r="AR4529" t="str">
            <v>IMED SALUD</v>
          </cell>
        </row>
        <row r="4530">
          <cell r="AQ4530" t="str">
            <v>25682071|77786070|920227928|920227928</v>
          </cell>
          <cell r="AR4530" t="str">
            <v>IMED SALUD</v>
          </cell>
        </row>
        <row r="4531">
          <cell r="AQ4531" t="str">
            <v>25682071|77786070|920227928|920227928</v>
          </cell>
          <cell r="AR4531" t="str">
            <v>IMED SALUD</v>
          </cell>
        </row>
        <row r="4532">
          <cell r="AQ4532" t="str">
            <v>25682071|77786070|920227928|920227928</v>
          </cell>
          <cell r="AR4532" t="str">
            <v>IMED SALUD</v>
          </cell>
        </row>
        <row r="4533">
          <cell r="AQ4533" t="str">
            <v>25682071|77786070|920227928|920227928</v>
          </cell>
          <cell r="AR4533" t="str">
            <v>IMED SALUD</v>
          </cell>
        </row>
        <row r="4534">
          <cell r="AQ4534" t="str">
            <v>25682071|77786070|920227928|920227928</v>
          </cell>
          <cell r="AR4534" t="str">
            <v>IMED SALUD</v>
          </cell>
        </row>
        <row r="4535">
          <cell r="AQ4535" t="str">
            <v>25682071|77786070|920227928|65384523</v>
          </cell>
          <cell r="AR4535" t="str">
            <v>GASTO FISICO</v>
          </cell>
        </row>
        <row r="4536">
          <cell r="AQ4536" t="str">
            <v>25682071|77786070|920227928|65384523</v>
          </cell>
          <cell r="AR4536" t="str">
            <v>GASTO FISICO</v>
          </cell>
        </row>
        <row r="4537">
          <cell r="AQ4537" t="str">
            <v>25682071|77786070|920227928|65384523</v>
          </cell>
          <cell r="AR4537" t="str">
            <v>GASTO FISICO</v>
          </cell>
        </row>
        <row r="4538">
          <cell r="AQ4538" t="str">
            <v>25682071|77786070|920227928|65384523</v>
          </cell>
          <cell r="AR4538" t="str">
            <v>GASTO FISICO</v>
          </cell>
        </row>
        <row r="4539">
          <cell r="AQ4539" t="str">
            <v>25682071|77786070|920227928|65384523</v>
          </cell>
          <cell r="AR4539" t="str">
            <v>GASTO FISICO</v>
          </cell>
        </row>
        <row r="4540">
          <cell r="AQ4540" t="str">
            <v>25682071|77786070|920227929|920227929</v>
          </cell>
          <cell r="AR4540" t="str">
            <v>IMED SALUD</v>
          </cell>
        </row>
        <row r="4541">
          <cell r="AQ4541" t="str">
            <v>25682071|77786070|920227929|920227929</v>
          </cell>
          <cell r="AR4541" t="str">
            <v>IMED SALUD</v>
          </cell>
        </row>
        <row r="4542">
          <cell r="AQ4542" t="str">
            <v>25682071|77786070|920227929|65384524</v>
          </cell>
          <cell r="AR4542" t="str">
            <v>GASTO FISICO</v>
          </cell>
        </row>
        <row r="4543">
          <cell r="AQ4543" t="str">
            <v>25988041|15783031|1201|21970089</v>
          </cell>
          <cell r="AR4543" t="str">
            <v>GASTO FISICO</v>
          </cell>
        </row>
        <row r="4544">
          <cell r="AQ4544" t="str">
            <v>25988041|15783031|1201|984117</v>
          </cell>
          <cell r="AR4544" t="str">
            <v>GASTO FISICO</v>
          </cell>
        </row>
        <row r="4545">
          <cell r="AQ4545" t="str">
            <v>25988041|15783031|1201|65213313</v>
          </cell>
          <cell r="AR4545" t="str">
            <v>GASTO FISICO</v>
          </cell>
        </row>
        <row r="4546">
          <cell r="AQ4546" t="str">
            <v>25988041|15783031|1213|21976024</v>
          </cell>
          <cell r="AR4546" t="str">
            <v>GASTO FISICO</v>
          </cell>
        </row>
        <row r="4547">
          <cell r="AQ4547" t="str">
            <v>25988041|15783031|1213|984118</v>
          </cell>
          <cell r="AR4547" t="str">
            <v>GASTO FISICO</v>
          </cell>
        </row>
        <row r="4548">
          <cell r="AQ4548" t="str">
            <v>25988041|15783031|1213|65213314</v>
          </cell>
          <cell r="AR4548" t="str">
            <v>GASTO FISICO</v>
          </cell>
        </row>
        <row r="4549">
          <cell r="AQ4549" t="str">
            <v>26190532|78040520|765219136|765219136</v>
          </cell>
          <cell r="AR4549" t="str">
            <v>IMED SALUD</v>
          </cell>
        </row>
        <row r="4550">
          <cell r="AQ4550" t="str">
            <v>26190532|78040520|765219136|765219136</v>
          </cell>
          <cell r="AR4550" t="str">
            <v>IMED SALUD</v>
          </cell>
        </row>
        <row r="4551">
          <cell r="AQ4551" t="str">
            <v>26190532|78040520|765219136|65384525</v>
          </cell>
          <cell r="AR4551" t="str">
            <v>GASTO FISICO</v>
          </cell>
        </row>
        <row r="4552">
          <cell r="AQ4552" t="str">
            <v>26190532|96942400|765603098|765603098</v>
          </cell>
          <cell r="AR4552" t="str">
            <v>IMED SALUD</v>
          </cell>
        </row>
        <row r="4553">
          <cell r="AQ4553" t="str">
            <v>26190532|96942400|765603098|765603098</v>
          </cell>
          <cell r="AR4553" t="str">
            <v>IMED SALUD</v>
          </cell>
        </row>
        <row r="4554">
          <cell r="AQ4554" t="str">
            <v>26190532|96942400|765603098|65384526</v>
          </cell>
          <cell r="AR4554" t="str">
            <v>GASTO FISICO</v>
          </cell>
        </row>
        <row r="4555">
          <cell r="AQ4555" t="str">
            <v>26190532|96942400|765603352|765603352</v>
          </cell>
          <cell r="AR4555" t="str">
            <v>IMED SALUD</v>
          </cell>
        </row>
        <row r="4556">
          <cell r="AQ4556" t="str">
            <v>26190532|96942400|765603352|765603352</v>
          </cell>
          <cell r="AR4556" t="str">
            <v>IMED SALUD</v>
          </cell>
        </row>
        <row r="4557">
          <cell r="AQ4557" t="str">
            <v>26190532|96942400|765603352|765603352</v>
          </cell>
          <cell r="AR4557" t="str">
            <v>IMED SALUD</v>
          </cell>
        </row>
        <row r="4558">
          <cell r="AQ4558" t="str">
            <v>26190532|96942400|765603352|765603352</v>
          </cell>
          <cell r="AR4558" t="str">
            <v>IMED SALUD</v>
          </cell>
        </row>
        <row r="4559">
          <cell r="AQ4559" t="str">
            <v>26190532|96942400|765603352|65384527</v>
          </cell>
          <cell r="AR4559" t="str">
            <v>GASTO FISICO</v>
          </cell>
        </row>
        <row r="4560">
          <cell r="AQ4560" t="str">
            <v>26190532|96942400|765603352|65384527</v>
          </cell>
          <cell r="AR4560" t="str">
            <v>GASTO FISICO</v>
          </cell>
        </row>
        <row r="4561">
          <cell r="AQ4561" t="str">
            <v>26190532|78040520|765678991|765678991</v>
          </cell>
          <cell r="AR4561" t="str">
            <v>IMED SALUD</v>
          </cell>
        </row>
        <row r="4562">
          <cell r="AQ4562" t="str">
            <v>26190532|78040520|765678991|765678991</v>
          </cell>
          <cell r="AR4562" t="str">
            <v>IMED SALUD</v>
          </cell>
        </row>
        <row r="4563">
          <cell r="AQ4563" t="str">
            <v>26190532|78040520|765678991|65384528</v>
          </cell>
          <cell r="AR4563" t="str">
            <v>GASTO FISICO</v>
          </cell>
        </row>
        <row r="4564">
          <cell r="AQ4564" t="str">
            <v>26246811|79610730|8388915|22004729</v>
          </cell>
          <cell r="AR4564" t="str">
            <v>GASTO FISICO</v>
          </cell>
        </row>
        <row r="4565">
          <cell r="AQ4565" t="str">
            <v>26246811|79610730|8388915|992899</v>
          </cell>
          <cell r="AR4565" t="str">
            <v>GASTO FISICO</v>
          </cell>
        </row>
        <row r="4566">
          <cell r="AQ4566" t="str">
            <v>26246811|79610730|8388915|65213318</v>
          </cell>
          <cell r="AR4566" t="str">
            <v>GASTO FISICO</v>
          </cell>
        </row>
        <row r="4567">
          <cell r="AQ4567" t="str">
            <v>26246811|96530470|918429475|918429475</v>
          </cell>
          <cell r="AR4567" t="str">
            <v>IMED SALUD</v>
          </cell>
        </row>
        <row r="4568">
          <cell r="AQ4568" t="str">
            <v>26246811|96530470|918429475|918429475</v>
          </cell>
          <cell r="AR4568" t="str">
            <v>IMED SALUD</v>
          </cell>
        </row>
        <row r="4569">
          <cell r="AQ4569" t="str">
            <v>26246811|96530470|918429475|65384535</v>
          </cell>
          <cell r="AR4569" t="str">
            <v>GASTO FISICO</v>
          </cell>
        </row>
        <row r="4570">
          <cell r="AQ4570" t="str">
            <v>26246811|79980070|918617889|918617889</v>
          </cell>
          <cell r="AR4570" t="str">
            <v>IMED SALUD</v>
          </cell>
        </row>
        <row r="4571">
          <cell r="AQ4571" t="str">
            <v>26246811|79980070|918617889|918617889</v>
          </cell>
          <cell r="AR4571" t="str">
            <v>IMED SALUD</v>
          </cell>
        </row>
        <row r="4572">
          <cell r="AQ4572" t="str">
            <v>26246811|79980070|918617889|65384536</v>
          </cell>
          <cell r="AR4572" t="str">
            <v>GASTO FISICO</v>
          </cell>
        </row>
        <row r="4573">
          <cell r="AQ4573" t="str">
            <v>26246811|96530470|918633302|918633302</v>
          </cell>
          <cell r="AR4573" t="str">
            <v>IMED SALUD</v>
          </cell>
        </row>
        <row r="4574">
          <cell r="AQ4574" t="str">
            <v>26246811|96530470|918633302|918633302</v>
          </cell>
          <cell r="AR4574" t="str">
            <v>IMED SALUD</v>
          </cell>
        </row>
        <row r="4575">
          <cell r="AQ4575" t="str">
            <v>26246811|96530470|918633302|918633302</v>
          </cell>
          <cell r="AR4575" t="str">
            <v>IMED SALUD</v>
          </cell>
        </row>
        <row r="4576">
          <cell r="AQ4576" t="str">
            <v>26246811|96530470|918633302|918633302</v>
          </cell>
          <cell r="AR4576" t="str">
            <v>IMED SALUD</v>
          </cell>
        </row>
        <row r="4577">
          <cell r="AQ4577" t="str">
            <v>26246811|96530470|918633302|65384537</v>
          </cell>
          <cell r="AR4577" t="str">
            <v>GASTO FISICO</v>
          </cell>
        </row>
        <row r="4578">
          <cell r="AQ4578" t="str">
            <v>26246811|96530470|918633302|65384537</v>
          </cell>
          <cell r="AR4578" t="str">
            <v>GASTO FISICO</v>
          </cell>
        </row>
        <row r="4579">
          <cell r="AQ4579" t="str">
            <v>26246811|79980070|918633934|918633934</v>
          </cell>
          <cell r="AR4579" t="str">
            <v>IMED SALUD</v>
          </cell>
        </row>
        <row r="4580">
          <cell r="AQ4580" t="str">
            <v>26246811|79980070|918633934|918633934</v>
          </cell>
          <cell r="AR4580" t="str">
            <v>IMED SALUD</v>
          </cell>
        </row>
        <row r="4581">
          <cell r="AQ4581" t="str">
            <v>26246811|79980070|918633934|65384538</v>
          </cell>
          <cell r="AR4581" t="str">
            <v>GASTO FISICO</v>
          </cell>
        </row>
        <row r="4582">
          <cell r="AQ4582" t="str">
            <v>26246811|96617350|919209701|919209701</v>
          </cell>
          <cell r="AR4582" t="str">
            <v>IMED SALUD</v>
          </cell>
        </row>
        <row r="4583">
          <cell r="AQ4583" t="str">
            <v>26246811|96617350|919209701|919209701</v>
          </cell>
          <cell r="AR4583" t="str">
            <v>IMED SALUD</v>
          </cell>
        </row>
        <row r="4584">
          <cell r="AQ4584" t="str">
            <v>26246811|96617350|919209701|919209701</v>
          </cell>
          <cell r="AR4584" t="str">
            <v>IMED SALUD</v>
          </cell>
        </row>
        <row r="4585">
          <cell r="AQ4585" t="str">
            <v>26246811|96617350|919209701|919209701</v>
          </cell>
          <cell r="AR4585" t="str">
            <v>IMED SALUD</v>
          </cell>
        </row>
        <row r="4586">
          <cell r="AQ4586" t="str">
            <v>26246811|96617350|919209701|919209701</v>
          </cell>
          <cell r="AR4586" t="str">
            <v>IMED SALUD</v>
          </cell>
        </row>
        <row r="4587">
          <cell r="AQ4587" t="str">
            <v>26246811|96617350|919209701|919209701</v>
          </cell>
          <cell r="AR4587" t="str">
            <v>IMED SALUD</v>
          </cell>
        </row>
        <row r="4588">
          <cell r="AQ4588" t="str">
            <v>26246811|96617350|919209701|919209701</v>
          </cell>
          <cell r="AR4588" t="str">
            <v>IMED SALUD</v>
          </cell>
        </row>
        <row r="4589">
          <cell r="AQ4589" t="str">
            <v>26246811|96617350|919209701|919209701</v>
          </cell>
          <cell r="AR4589" t="str">
            <v>IMED SALUD</v>
          </cell>
        </row>
        <row r="4590">
          <cell r="AQ4590" t="str">
            <v>26246811|96617350|919209701|919209701</v>
          </cell>
          <cell r="AR4590" t="str">
            <v>IMED SALUD</v>
          </cell>
        </row>
        <row r="4591">
          <cell r="AQ4591" t="str">
            <v>26246811|96617350|919209701|919209701</v>
          </cell>
          <cell r="AR4591" t="str">
            <v>IMED SALUD</v>
          </cell>
        </row>
        <row r="4592">
          <cell r="AQ4592" t="str">
            <v>26246811|96617350|919209701|65384539</v>
          </cell>
          <cell r="AR4592" t="str">
            <v>GASTO FISICO</v>
          </cell>
        </row>
        <row r="4593">
          <cell r="AQ4593" t="str">
            <v>26246811|96617350|919209701|65384539</v>
          </cell>
          <cell r="AR4593" t="str">
            <v>GASTO FISICO</v>
          </cell>
        </row>
        <row r="4594">
          <cell r="AQ4594" t="str">
            <v>26246811|96617350|919209701|65384539</v>
          </cell>
          <cell r="AR4594" t="str">
            <v>GASTO FISICO</v>
          </cell>
        </row>
        <row r="4595">
          <cell r="AQ4595" t="str">
            <v>26246811|96617350|919209701|65384539</v>
          </cell>
          <cell r="AR4595" t="str">
            <v>GASTO FISICO</v>
          </cell>
        </row>
        <row r="4596">
          <cell r="AQ4596" t="str">
            <v>26246811|96617350|919209701|65384539</v>
          </cell>
          <cell r="AR4596" t="str">
            <v>GASTO FISICO</v>
          </cell>
        </row>
        <row r="4597">
          <cell r="AQ4597" t="str">
            <v>26246811|96617350|919209702|919209702</v>
          </cell>
          <cell r="AR4597" t="str">
            <v>IMED SALUD</v>
          </cell>
        </row>
        <row r="4598">
          <cell r="AQ4598" t="str">
            <v>26246811|96617350|919209702|919209702</v>
          </cell>
          <cell r="AR4598" t="str">
            <v>IMED SALUD</v>
          </cell>
        </row>
        <row r="4599">
          <cell r="AQ4599" t="str">
            <v>26246811|96617350|919209702|919209702</v>
          </cell>
          <cell r="AR4599" t="str">
            <v>IMED SALUD</v>
          </cell>
        </row>
        <row r="4600">
          <cell r="AQ4600" t="str">
            <v>26246811|96617350|919209702|919209702</v>
          </cell>
          <cell r="AR4600" t="str">
            <v>IMED SALUD</v>
          </cell>
        </row>
        <row r="4601">
          <cell r="AQ4601" t="str">
            <v>26246811|96617350|919209702|919209702</v>
          </cell>
          <cell r="AR4601" t="str">
            <v>IMED SALUD</v>
          </cell>
        </row>
        <row r="4602">
          <cell r="AQ4602" t="str">
            <v>26246811|96617350|919209702|919209702</v>
          </cell>
          <cell r="AR4602" t="str">
            <v>IMED SALUD</v>
          </cell>
        </row>
        <row r="4603">
          <cell r="AQ4603" t="str">
            <v>26246811|96617350|919209702|919209702</v>
          </cell>
          <cell r="AR4603" t="str">
            <v>IMED SALUD</v>
          </cell>
        </row>
        <row r="4604">
          <cell r="AQ4604" t="str">
            <v>26246811|96617350|919209702|919209702</v>
          </cell>
          <cell r="AR4604" t="str">
            <v>IMED SALUD</v>
          </cell>
        </row>
        <row r="4605">
          <cell r="AQ4605" t="str">
            <v>26246811|96617350|919209702|919209702</v>
          </cell>
          <cell r="AR4605" t="str">
            <v>IMED SALUD</v>
          </cell>
        </row>
        <row r="4606">
          <cell r="AQ4606" t="str">
            <v>26246811|96617350|919209702|919209702</v>
          </cell>
          <cell r="AR4606" t="str">
            <v>IMED SALUD</v>
          </cell>
        </row>
        <row r="4607">
          <cell r="AQ4607" t="str">
            <v>26246811|96617350|919209702|65384540</v>
          </cell>
          <cell r="AR4607" t="str">
            <v>GASTO FISICO</v>
          </cell>
        </row>
        <row r="4608">
          <cell r="AQ4608" t="str">
            <v>26246811|96617350|919209702|65384540</v>
          </cell>
          <cell r="AR4608" t="str">
            <v>GASTO FISICO</v>
          </cell>
        </row>
        <row r="4609">
          <cell r="AQ4609" t="str">
            <v>26246811|96617350|919209702|65384540</v>
          </cell>
          <cell r="AR4609" t="str">
            <v>GASTO FISICO</v>
          </cell>
        </row>
        <row r="4610">
          <cell r="AQ4610" t="str">
            <v>26246811|96617350|919209702|65384540</v>
          </cell>
          <cell r="AR4610" t="str">
            <v>GASTO FISICO</v>
          </cell>
        </row>
        <row r="4611">
          <cell r="AQ4611" t="str">
            <v>26246811|96617350|919209702|65384540</v>
          </cell>
          <cell r="AR4611" t="str">
            <v>GASTO FISICO</v>
          </cell>
        </row>
        <row r="4612">
          <cell r="AQ4612" t="str">
            <v>26246811|96923250|919863136|919863136</v>
          </cell>
          <cell r="AR4612" t="str">
            <v>IMED SALUD</v>
          </cell>
        </row>
        <row r="4613">
          <cell r="AQ4613" t="str">
            <v>26246811|96923250|919863136|919863136</v>
          </cell>
          <cell r="AR4613" t="str">
            <v>IMED SALUD</v>
          </cell>
        </row>
        <row r="4614">
          <cell r="AQ4614" t="str">
            <v>26246811|96923250|919863136|919863136</v>
          </cell>
          <cell r="AR4614" t="str">
            <v>IMED SALUD</v>
          </cell>
        </row>
        <row r="4615">
          <cell r="AQ4615" t="str">
            <v>26246811|96923250|919863136|919863136</v>
          </cell>
          <cell r="AR4615" t="str">
            <v>IMED SALUD</v>
          </cell>
        </row>
        <row r="4616">
          <cell r="AQ4616" t="str">
            <v>26246811|96923250|919863136|65384541</v>
          </cell>
          <cell r="AR4616" t="str">
            <v>GASTO FISICO</v>
          </cell>
        </row>
        <row r="4617">
          <cell r="AQ4617" t="str">
            <v>26246811|96923250|919863136|65384541</v>
          </cell>
          <cell r="AR4617" t="str">
            <v>GASTO FISICO</v>
          </cell>
        </row>
        <row r="4618">
          <cell r="AQ4618" t="str">
            <v>26246811|96923250|919863482|919863482</v>
          </cell>
          <cell r="AR4618" t="str">
            <v>IMED SALUD</v>
          </cell>
        </row>
        <row r="4619">
          <cell r="AQ4619" t="str">
            <v>26246811|96923250|919863482|919863482</v>
          </cell>
          <cell r="AR4619" t="str">
            <v>IMED SALUD</v>
          </cell>
        </row>
        <row r="4620">
          <cell r="AQ4620" t="str">
            <v>26246811|96923250|919863482|65384534</v>
          </cell>
          <cell r="AR4620" t="str">
            <v>GASTO FISICO</v>
          </cell>
        </row>
        <row r="4621">
          <cell r="AQ4621" t="str">
            <v>26246811|96923250|919864074|919864074</v>
          </cell>
          <cell r="AR4621" t="str">
            <v>IMED SALUD</v>
          </cell>
        </row>
        <row r="4622">
          <cell r="AQ4622" t="str">
            <v>26246811|96923250|919864074|919864074</v>
          </cell>
          <cell r="AR4622" t="str">
            <v>IMED SALUD</v>
          </cell>
        </row>
        <row r="4623">
          <cell r="AQ4623" t="str">
            <v>26246811|96923250|919864074|65384529</v>
          </cell>
          <cell r="AR4623" t="str">
            <v>GASTO FISICO</v>
          </cell>
        </row>
        <row r="4624">
          <cell r="AQ4624" t="str">
            <v>26246811|96923250|919864212|919864212</v>
          </cell>
          <cell r="AR4624" t="str">
            <v>IMED SALUD</v>
          </cell>
        </row>
        <row r="4625">
          <cell r="AQ4625" t="str">
            <v>26246811|96923250|919864212|919864212</v>
          </cell>
          <cell r="AR4625" t="str">
            <v>IMED SALUD</v>
          </cell>
        </row>
        <row r="4626">
          <cell r="AQ4626" t="str">
            <v>26246811|96923250|919864212|65384532</v>
          </cell>
          <cell r="AR4626" t="str">
            <v>GASTO FISICO</v>
          </cell>
        </row>
        <row r="4627">
          <cell r="AQ4627" t="str">
            <v>26246811|79980070|921756523|921756523</v>
          </cell>
          <cell r="AR4627" t="str">
            <v>IMED SALUD</v>
          </cell>
        </row>
        <row r="4628">
          <cell r="AQ4628" t="str">
            <v>26246811|79980070|921756523|921756523</v>
          </cell>
          <cell r="AR4628" t="str">
            <v>IMED SALUD</v>
          </cell>
        </row>
        <row r="4629">
          <cell r="AQ4629" t="str">
            <v>26246811|79980070|921756523|921756523</v>
          </cell>
          <cell r="AR4629" t="str">
            <v>IMED SALUD</v>
          </cell>
        </row>
        <row r="4630">
          <cell r="AQ4630" t="str">
            <v>26246811|79980070|921756523|921756523</v>
          </cell>
          <cell r="AR4630" t="str">
            <v>IMED SALUD</v>
          </cell>
        </row>
        <row r="4631">
          <cell r="AQ4631" t="str">
            <v>26246811|79980070|921756523|65384542</v>
          </cell>
          <cell r="AR4631" t="str">
            <v>GASTO FISICO</v>
          </cell>
        </row>
        <row r="4632">
          <cell r="AQ4632" t="str">
            <v>26246811|79980070|921756523|65384542</v>
          </cell>
          <cell r="AR4632" t="str">
            <v>GASTO FISICO</v>
          </cell>
        </row>
        <row r="4633">
          <cell r="AQ4633" t="str">
            <v>26464544|96986050|917193497|917193497</v>
          </cell>
          <cell r="AR4633" t="str">
            <v>IMED SALUD</v>
          </cell>
        </row>
        <row r="4634">
          <cell r="AQ4634" t="str">
            <v>26464544|96986050|917193497|917193497</v>
          </cell>
          <cell r="AR4634" t="str">
            <v>IMED SALUD</v>
          </cell>
        </row>
        <row r="4635">
          <cell r="AQ4635" t="str">
            <v>26464544|96986050|917193497|917193497</v>
          </cell>
          <cell r="AR4635" t="str">
            <v>IMED SALUD</v>
          </cell>
        </row>
        <row r="4636">
          <cell r="AQ4636" t="str">
            <v>26464544|96986050|917193497|917193497</v>
          </cell>
          <cell r="AR4636" t="str">
            <v>IMED SALUD</v>
          </cell>
        </row>
        <row r="4637">
          <cell r="AQ4637" t="str">
            <v>26464544|96986050|917193497|65384543</v>
          </cell>
          <cell r="AR4637" t="str">
            <v>GASTO FISICO</v>
          </cell>
        </row>
        <row r="4638">
          <cell r="AQ4638" t="str">
            <v>26464544|96986050|917193497|65384543</v>
          </cell>
          <cell r="AR4638" t="str">
            <v>GASTO FISICO</v>
          </cell>
        </row>
        <row r="4639">
          <cell r="AQ4639" t="str">
            <v>26464544|96986050|917194507|917194507</v>
          </cell>
          <cell r="AR4639" t="str">
            <v>IMED SALUD</v>
          </cell>
        </row>
        <row r="4640">
          <cell r="AQ4640" t="str">
            <v>26464544|96986050|917194507|917194507</v>
          </cell>
          <cell r="AR4640" t="str">
            <v>IMED SALUD</v>
          </cell>
        </row>
        <row r="4641">
          <cell r="AQ4641" t="str">
            <v>26464544|96986050|917194507|917194507</v>
          </cell>
          <cell r="AR4641" t="str">
            <v>IMED SALUD</v>
          </cell>
        </row>
        <row r="4642">
          <cell r="AQ4642" t="str">
            <v>26464544|96986050|917194507|917194507</v>
          </cell>
          <cell r="AR4642" t="str">
            <v>IMED SALUD</v>
          </cell>
        </row>
        <row r="4643">
          <cell r="AQ4643" t="str">
            <v>26464544|96986050|917194507|917194507</v>
          </cell>
          <cell r="AR4643" t="str">
            <v>IMED SALUD</v>
          </cell>
        </row>
        <row r="4644">
          <cell r="AQ4644" t="str">
            <v>26464544|96986050|917194507|917194507</v>
          </cell>
          <cell r="AR4644" t="str">
            <v>IMED SALUD</v>
          </cell>
        </row>
        <row r="4645">
          <cell r="AQ4645" t="str">
            <v>26464544|96986050|917194507|917194507</v>
          </cell>
          <cell r="AR4645" t="str">
            <v>IMED SALUD</v>
          </cell>
        </row>
        <row r="4646">
          <cell r="AQ4646" t="str">
            <v>26464544|96986050|917194507|917194507</v>
          </cell>
          <cell r="AR4646" t="str">
            <v>IMED SALUD</v>
          </cell>
        </row>
        <row r="4647">
          <cell r="AQ4647" t="str">
            <v>26464544|96986050|917194507|917194507</v>
          </cell>
          <cell r="AR4647" t="str">
            <v>IMED SALUD</v>
          </cell>
        </row>
        <row r="4648">
          <cell r="AQ4648" t="str">
            <v>26464544|96986050|917194507|917194507</v>
          </cell>
          <cell r="AR4648" t="str">
            <v>IMED SALUD</v>
          </cell>
        </row>
        <row r="4649">
          <cell r="AQ4649" t="str">
            <v>26464544|96986050|917194507|65384544</v>
          </cell>
          <cell r="AR4649" t="str">
            <v>GASTO FISICO</v>
          </cell>
        </row>
        <row r="4650">
          <cell r="AQ4650" t="str">
            <v>26464544|96986050|917194507|65384544</v>
          </cell>
          <cell r="AR4650" t="str">
            <v>GASTO FISICO</v>
          </cell>
        </row>
        <row r="4651">
          <cell r="AQ4651" t="str">
            <v>26464544|96986050|917194507|65384544</v>
          </cell>
          <cell r="AR4651" t="str">
            <v>GASTO FISICO</v>
          </cell>
        </row>
        <row r="4652">
          <cell r="AQ4652" t="str">
            <v>26464544|96986050|917194507|65384544</v>
          </cell>
          <cell r="AR4652" t="str">
            <v>GASTO FISICO</v>
          </cell>
        </row>
        <row r="4653">
          <cell r="AQ4653" t="str">
            <v>26464544|96986050|917194507|65384544</v>
          </cell>
          <cell r="AR4653" t="str">
            <v>GASTO FISICO</v>
          </cell>
        </row>
        <row r="4654">
          <cell r="AQ4654" t="str">
            <v>26464544|96986050|917194508|917194508</v>
          </cell>
          <cell r="AR4654" t="str">
            <v>IMED SALUD</v>
          </cell>
        </row>
        <row r="4655">
          <cell r="AQ4655" t="str">
            <v>26464544|96986050|917194508|917194508</v>
          </cell>
          <cell r="AR4655" t="str">
            <v>IMED SALUD</v>
          </cell>
        </row>
        <row r="4656">
          <cell r="AQ4656" t="str">
            <v>26464544|96986050|917194508|917194508</v>
          </cell>
          <cell r="AR4656" t="str">
            <v>IMED SALUD</v>
          </cell>
        </row>
        <row r="4657">
          <cell r="AQ4657" t="str">
            <v>26464544|96986050|917194508|917194508</v>
          </cell>
          <cell r="AR4657" t="str">
            <v>IMED SALUD</v>
          </cell>
        </row>
        <row r="4658">
          <cell r="AQ4658" t="str">
            <v>26464544|96986050|917194508|917194508</v>
          </cell>
          <cell r="AR4658" t="str">
            <v>IMED SALUD</v>
          </cell>
        </row>
        <row r="4659">
          <cell r="AQ4659" t="str">
            <v>26464544|96986050|917194508|917194508</v>
          </cell>
          <cell r="AR4659" t="str">
            <v>IMED SALUD</v>
          </cell>
        </row>
        <row r="4660">
          <cell r="AQ4660" t="str">
            <v>26464544|96986050|917194508|917194508</v>
          </cell>
          <cell r="AR4660" t="str">
            <v>IMED SALUD</v>
          </cell>
        </row>
        <row r="4661">
          <cell r="AQ4661" t="str">
            <v>26464544|96986050|917194508|917194508</v>
          </cell>
          <cell r="AR4661" t="str">
            <v>IMED SALUD</v>
          </cell>
        </row>
        <row r="4662">
          <cell r="AQ4662" t="str">
            <v>26464544|96986050|917194508|917194508</v>
          </cell>
          <cell r="AR4662" t="str">
            <v>IMED SALUD</v>
          </cell>
        </row>
        <row r="4663">
          <cell r="AQ4663" t="str">
            <v>26464544|96986050|917194508|917194508</v>
          </cell>
          <cell r="AR4663" t="str">
            <v>IMED SALUD</v>
          </cell>
        </row>
        <row r="4664">
          <cell r="AQ4664" t="str">
            <v>26464544|96986050|917194508|65384545</v>
          </cell>
          <cell r="AR4664" t="str">
            <v>GASTO FISICO</v>
          </cell>
        </row>
        <row r="4665">
          <cell r="AQ4665" t="str">
            <v>26464544|96986050|917194508|65384545</v>
          </cell>
          <cell r="AR4665" t="str">
            <v>GASTO FISICO</v>
          </cell>
        </row>
        <row r="4666">
          <cell r="AQ4666" t="str">
            <v>26464544|96986050|917194508|65384545</v>
          </cell>
          <cell r="AR4666" t="str">
            <v>GASTO FISICO</v>
          </cell>
        </row>
        <row r="4667">
          <cell r="AQ4667" t="str">
            <v>26464544|96986050|917194508|65384545</v>
          </cell>
          <cell r="AR4667" t="str">
            <v>GASTO FISICO</v>
          </cell>
        </row>
        <row r="4668">
          <cell r="AQ4668" t="str">
            <v>26464544|96986050|917194508|65384545</v>
          </cell>
          <cell r="AR4668" t="str">
            <v>GASTO FISICO</v>
          </cell>
        </row>
        <row r="4669">
          <cell r="AQ4669" t="str">
            <v>26464544|96986050|918207792|918207792</v>
          </cell>
          <cell r="AR4669" t="str">
            <v>IMED SALUD</v>
          </cell>
        </row>
        <row r="4670">
          <cell r="AQ4670" t="str">
            <v>26464544|96986050|918207792|918207792</v>
          </cell>
          <cell r="AR4670" t="str">
            <v>IMED SALUD</v>
          </cell>
        </row>
        <row r="4671">
          <cell r="AQ4671" t="str">
            <v>26464544|96986050|918207792|918207792</v>
          </cell>
          <cell r="AR4671" t="str">
            <v>IMED SALUD</v>
          </cell>
        </row>
        <row r="4672">
          <cell r="AQ4672" t="str">
            <v>26464544|96986050|918207792|918207792</v>
          </cell>
          <cell r="AR4672" t="str">
            <v>IMED SALUD</v>
          </cell>
        </row>
        <row r="4673">
          <cell r="AQ4673" t="str">
            <v>26464544|96986050|918207792|918207792</v>
          </cell>
          <cell r="AR4673" t="str">
            <v>IMED SALUD</v>
          </cell>
        </row>
        <row r="4674">
          <cell r="AQ4674" t="str">
            <v>26464544|96986050|918207792|918207792</v>
          </cell>
          <cell r="AR4674" t="str">
            <v>IMED SALUD</v>
          </cell>
        </row>
        <row r="4675">
          <cell r="AQ4675" t="str">
            <v>26464544|96986050|918207792|918207792</v>
          </cell>
          <cell r="AR4675" t="str">
            <v>IMED SALUD</v>
          </cell>
        </row>
        <row r="4676">
          <cell r="AQ4676" t="str">
            <v>26464544|96986050|918207792|918207792</v>
          </cell>
          <cell r="AR4676" t="str">
            <v>IMED SALUD</v>
          </cell>
        </row>
        <row r="4677">
          <cell r="AQ4677" t="str">
            <v>26464544|96986050|918207792|918207792</v>
          </cell>
          <cell r="AR4677" t="str">
            <v>IMED SALUD</v>
          </cell>
        </row>
        <row r="4678">
          <cell r="AQ4678" t="str">
            <v>26464544|96986050|918207792|918207792</v>
          </cell>
          <cell r="AR4678" t="str">
            <v>IMED SALUD</v>
          </cell>
        </row>
        <row r="4679">
          <cell r="AQ4679" t="str">
            <v>26464544|96986050|918207792|65384546</v>
          </cell>
          <cell r="AR4679" t="str">
            <v>GASTO FISICO</v>
          </cell>
        </row>
        <row r="4680">
          <cell r="AQ4680" t="str">
            <v>26464544|96986050|918207792|65384546</v>
          </cell>
          <cell r="AR4680" t="str">
            <v>GASTO FISICO</v>
          </cell>
        </row>
        <row r="4681">
          <cell r="AQ4681" t="str">
            <v>26464544|96986050|918207792|65384546</v>
          </cell>
          <cell r="AR4681" t="str">
            <v>GASTO FISICO</v>
          </cell>
        </row>
        <row r="4682">
          <cell r="AQ4682" t="str">
            <v>26464544|96986050|918207792|65384546</v>
          </cell>
          <cell r="AR4682" t="str">
            <v>GASTO FISICO</v>
          </cell>
        </row>
        <row r="4683">
          <cell r="AQ4683" t="str">
            <v>26464544|96986050|918207792|65384546</v>
          </cell>
          <cell r="AR4683" t="str">
            <v>GASTO FISICO</v>
          </cell>
        </row>
        <row r="4684">
          <cell r="AQ4684" t="str">
            <v>26464544|96986050|918207793|918207793</v>
          </cell>
          <cell r="AR4684" t="str">
            <v>IMED SALUD</v>
          </cell>
        </row>
        <row r="4685">
          <cell r="AQ4685" t="str">
            <v>26464544|96986050|918207793|918207793</v>
          </cell>
          <cell r="AR4685" t="str">
            <v>IMED SALUD</v>
          </cell>
        </row>
        <row r="4686">
          <cell r="AQ4686" t="str">
            <v>26464544|96986050|918207793|65384547</v>
          </cell>
          <cell r="AR4686" t="str">
            <v>GASTO FISICO</v>
          </cell>
        </row>
        <row r="4687">
          <cell r="AQ4687" t="str">
            <v>5666964|96942400|765359753|765359753</v>
          </cell>
          <cell r="AR4687" t="str">
            <v>IMED SALUD</v>
          </cell>
        </row>
        <row r="4688">
          <cell r="AQ4688" t="str">
            <v>5666964|96942400|765359753|765359753</v>
          </cell>
          <cell r="AR4688" t="str">
            <v>IMED SALUD</v>
          </cell>
        </row>
        <row r="4689">
          <cell r="AQ4689" t="str">
            <v>5666964|96942400|765359753|765359753</v>
          </cell>
          <cell r="AR4689" t="str">
            <v>IMED SALUD</v>
          </cell>
        </row>
        <row r="4690">
          <cell r="AQ4690" t="str">
            <v>5666964|96942400|765359753|765359753</v>
          </cell>
          <cell r="AR4690" t="str">
            <v>IMED SALUD</v>
          </cell>
        </row>
        <row r="4691">
          <cell r="AQ4691" t="str">
            <v>5666964|96942400|765359753|65383581</v>
          </cell>
          <cell r="AR4691" t="str">
            <v>GASTO FISICO</v>
          </cell>
        </row>
        <row r="4692">
          <cell r="AQ4692" t="str">
            <v>5666964|96942400|765359753|65383581</v>
          </cell>
          <cell r="AR4692" t="str">
            <v>GASTO FISICO</v>
          </cell>
        </row>
        <row r="4693">
          <cell r="AQ4693" t="str">
            <v>6193637|96617350|372446072|372446072</v>
          </cell>
          <cell r="AR4693" t="str">
            <v>IMED SALUD</v>
          </cell>
        </row>
        <row r="4694">
          <cell r="AQ4694" t="str">
            <v>6193637|96617350|372446072|372446072</v>
          </cell>
          <cell r="AR4694" t="str">
            <v>IMED SALUD</v>
          </cell>
        </row>
        <row r="4695">
          <cell r="AQ4695" t="str">
            <v>6193637|96617350|372446072|372446072</v>
          </cell>
          <cell r="AR4695" t="str">
            <v>IMED SALUD</v>
          </cell>
        </row>
        <row r="4696">
          <cell r="AQ4696" t="str">
            <v>6193637|96617350|372446072|372446072</v>
          </cell>
          <cell r="AR4696" t="str">
            <v>IMED SALUD</v>
          </cell>
        </row>
        <row r="4697">
          <cell r="AQ4697" t="str">
            <v>6193637|96617350|372446072|372446072</v>
          </cell>
          <cell r="AR4697" t="str">
            <v>IMED SALUD</v>
          </cell>
        </row>
        <row r="4698">
          <cell r="AQ4698" t="str">
            <v>6193637|96617350|372446072|372446072</v>
          </cell>
          <cell r="AR4698" t="str">
            <v>IMED SALUD</v>
          </cell>
        </row>
        <row r="4699">
          <cell r="AQ4699" t="str">
            <v>6193637|96617350|372446072|65383582</v>
          </cell>
          <cell r="AR4699" t="str">
            <v>GASTO FISICO</v>
          </cell>
        </row>
        <row r="4700">
          <cell r="AQ4700" t="str">
            <v>6193637|96617350|372446072|65383582</v>
          </cell>
          <cell r="AR4700" t="str">
            <v>GASTO FISICO</v>
          </cell>
        </row>
        <row r="4701">
          <cell r="AQ4701" t="str">
            <v>6315763|90753000|929759958|929759958</v>
          </cell>
          <cell r="AR4701" t="str">
            <v>IMED SALUD</v>
          </cell>
        </row>
        <row r="4702">
          <cell r="AQ4702" t="str">
            <v>6315763|90753000|929759958|929759958</v>
          </cell>
          <cell r="AR4702" t="str">
            <v>IMED SALUD</v>
          </cell>
        </row>
        <row r="4703">
          <cell r="AQ4703" t="str">
            <v>6315763|90753000|929759958|929759958</v>
          </cell>
          <cell r="AR4703" t="str">
            <v>IMED SALUD</v>
          </cell>
        </row>
        <row r="4704">
          <cell r="AQ4704" t="str">
            <v>6315763|90753000|929759958|929759958</v>
          </cell>
          <cell r="AR4704" t="str">
            <v>IMED SALUD</v>
          </cell>
        </row>
        <row r="4705">
          <cell r="AQ4705" t="str">
            <v>6315763|90753000|929759958|929759958</v>
          </cell>
          <cell r="AR4705" t="str">
            <v>IMED SALUD</v>
          </cell>
        </row>
        <row r="4706">
          <cell r="AQ4706" t="str">
            <v>6315763|90753000|929759958|929759958</v>
          </cell>
          <cell r="AR4706" t="str">
            <v>IMED SALUD</v>
          </cell>
        </row>
        <row r="4707">
          <cell r="AQ4707" t="str">
            <v>6315763|90753000|929759958|929759958</v>
          </cell>
          <cell r="AR4707" t="str">
            <v>IMED SALUD</v>
          </cell>
        </row>
        <row r="4708">
          <cell r="AQ4708" t="str">
            <v>6315763|90753000|929759958|929759958</v>
          </cell>
          <cell r="AR4708" t="str">
            <v>IMED SALUD</v>
          </cell>
        </row>
        <row r="4709">
          <cell r="AQ4709" t="str">
            <v>6315763|90753000|929759958|65383583</v>
          </cell>
          <cell r="AR4709" t="str">
            <v>GASTO FISICO</v>
          </cell>
        </row>
        <row r="4710">
          <cell r="AQ4710" t="str">
            <v>6315763|90753000|929759958|65383583</v>
          </cell>
          <cell r="AR4710" t="str">
            <v>GASTO FISICO</v>
          </cell>
        </row>
        <row r="4711">
          <cell r="AQ4711" t="str">
            <v>6315763|90753000|929759958|65383583</v>
          </cell>
          <cell r="AR4711" t="str">
            <v>GASTO FISICO</v>
          </cell>
        </row>
        <row r="4712">
          <cell r="AQ4712" t="str">
            <v>6315763|90753000|929759958|65383583</v>
          </cell>
          <cell r="AR4712" t="str">
            <v>GASTO FISICO</v>
          </cell>
        </row>
        <row r="4713">
          <cell r="AQ4713" t="str">
            <v>6315763|90753000|929759959|929759959</v>
          </cell>
          <cell r="AR4713" t="str">
            <v>IMED SALUD</v>
          </cell>
        </row>
        <row r="4714">
          <cell r="AQ4714" t="str">
            <v>6315763|90753000|929759959|929759959</v>
          </cell>
          <cell r="AR4714" t="str">
            <v>IMED SALUD</v>
          </cell>
        </row>
        <row r="4715">
          <cell r="AQ4715" t="str">
            <v>6315763|90753000|929759959|929759959</v>
          </cell>
          <cell r="AR4715" t="str">
            <v>IMED SALUD</v>
          </cell>
        </row>
        <row r="4716">
          <cell r="AQ4716" t="str">
            <v>6315763|90753000|929759959|929759959</v>
          </cell>
          <cell r="AR4716" t="str">
            <v>IMED SALUD</v>
          </cell>
        </row>
        <row r="4717">
          <cell r="AQ4717" t="str">
            <v>6315763|90753000|929759959|929759959</v>
          </cell>
          <cell r="AR4717" t="str">
            <v>IMED SALUD</v>
          </cell>
        </row>
        <row r="4718">
          <cell r="AQ4718" t="str">
            <v>6315763|90753000|929759959|929759959</v>
          </cell>
          <cell r="AR4718" t="str">
            <v>IMED SALUD</v>
          </cell>
        </row>
        <row r="4719">
          <cell r="AQ4719" t="str">
            <v>6315763|90753000|929759959|929759959</v>
          </cell>
          <cell r="AR4719" t="str">
            <v>IMED SALUD</v>
          </cell>
        </row>
        <row r="4720">
          <cell r="AQ4720" t="str">
            <v>6315763|90753000|929759959|929759959</v>
          </cell>
          <cell r="AR4720" t="str">
            <v>IMED SALUD</v>
          </cell>
        </row>
        <row r="4721">
          <cell r="AQ4721" t="str">
            <v>6315763|90753000|929759959|929759959</v>
          </cell>
          <cell r="AR4721" t="str">
            <v>IMED SALUD</v>
          </cell>
        </row>
        <row r="4722">
          <cell r="AQ4722" t="str">
            <v>6315763|90753000|929759959|929759959</v>
          </cell>
          <cell r="AR4722" t="str">
            <v>IMED SALUD</v>
          </cell>
        </row>
        <row r="4723">
          <cell r="AQ4723" t="str">
            <v>6315763|90753000|929759959|65383584</v>
          </cell>
          <cell r="AR4723" t="str">
            <v>GASTO FISICO</v>
          </cell>
        </row>
        <row r="4724">
          <cell r="AQ4724" t="str">
            <v>6315763|90753000|929759959|65383584</v>
          </cell>
          <cell r="AR4724" t="str">
            <v>GASTO FISICO</v>
          </cell>
        </row>
        <row r="4725">
          <cell r="AQ4725" t="str">
            <v>6315763|90753000|929759959|65383584</v>
          </cell>
          <cell r="AR4725" t="str">
            <v>GASTO FISICO</v>
          </cell>
        </row>
        <row r="4726">
          <cell r="AQ4726" t="str">
            <v>6315763|90753000|929759959|65383584</v>
          </cell>
          <cell r="AR4726" t="str">
            <v>GASTO FISICO</v>
          </cell>
        </row>
        <row r="4727">
          <cell r="AQ4727" t="str">
            <v>6315763|90753000|929759959|65383584</v>
          </cell>
          <cell r="AR4727" t="str">
            <v>GASTO FISICO</v>
          </cell>
        </row>
        <row r="4728">
          <cell r="AQ4728" t="str">
            <v>6347523|76436880|136477385|136477385</v>
          </cell>
          <cell r="AR4728" t="str">
            <v>IMED SALUD</v>
          </cell>
        </row>
        <row r="4729">
          <cell r="AQ4729" t="str">
            <v>6347523|76436880|136477385|136477385</v>
          </cell>
          <cell r="AR4729" t="str">
            <v>IMED SALUD</v>
          </cell>
        </row>
        <row r="4730">
          <cell r="AQ4730" t="str">
            <v>6347523|76436880|136477385|65383585</v>
          </cell>
          <cell r="AR4730" t="str">
            <v>GASTO FISICO</v>
          </cell>
        </row>
        <row r="4731">
          <cell r="AQ4731" t="str">
            <v>6347523|96770100|136492882|136492882</v>
          </cell>
          <cell r="AR4731" t="str">
            <v>IMED SALUD</v>
          </cell>
        </row>
        <row r="4732">
          <cell r="AQ4732" t="str">
            <v>6347523|96770100|136492882|136492882</v>
          </cell>
          <cell r="AR4732" t="str">
            <v>IMED SALUD</v>
          </cell>
        </row>
        <row r="4733">
          <cell r="AQ4733" t="str">
            <v>6347523|96770100|136492882|136492882</v>
          </cell>
          <cell r="AR4733" t="str">
            <v>IMED SALUD</v>
          </cell>
        </row>
        <row r="4734">
          <cell r="AQ4734" t="str">
            <v>6347523|96770100|136492882|136492882</v>
          </cell>
          <cell r="AR4734" t="str">
            <v>IMED SALUD</v>
          </cell>
        </row>
        <row r="4735">
          <cell r="AQ4735" t="str">
            <v>6347523|96770100|136492882|136492882</v>
          </cell>
          <cell r="AR4735" t="str">
            <v>IMED SALUD</v>
          </cell>
        </row>
        <row r="4736">
          <cell r="AQ4736" t="str">
            <v>6347523|96770100|136492882|136492882</v>
          </cell>
          <cell r="AR4736" t="str">
            <v>IMED SALUD</v>
          </cell>
        </row>
        <row r="4737">
          <cell r="AQ4737" t="str">
            <v>6347523|96770100|136492882|136492882</v>
          </cell>
          <cell r="AR4737" t="str">
            <v>IMED SALUD</v>
          </cell>
        </row>
        <row r="4738">
          <cell r="AQ4738" t="str">
            <v>6347523|96770100|136492882|136492882</v>
          </cell>
          <cell r="AR4738" t="str">
            <v>IMED SALUD</v>
          </cell>
        </row>
        <row r="4739">
          <cell r="AQ4739" t="str">
            <v>6347523|96770100|136492882|136492882</v>
          </cell>
          <cell r="AR4739" t="str">
            <v>IMED SALUD</v>
          </cell>
        </row>
        <row r="4740">
          <cell r="AQ4740" t="str">
            <v>6347523|96770100|136492882|136492882</v>
          </cell>
          <cell r="AR4740" t="str">
            <v>IMED SALUD</v>
          </cell>
        </row>
        <row r="4741">
          <cell r="AQ4741" t="str">
            <v>6347523|96770100|136492882|65383586</v>
          </cell>
          <cell r="AR4741" t="str">
            <v>GASTO FISICO</v>
          </cell>
        </row>
        <row r="4742">
          <cell r="AQ4742" t="str">
            <v>6347523|96770100|136492882|65383586</v>
          </cell>
          <cell r="AR4742" t="str">
            <v>GASTO FISICO</v>
          </cell>
        </row>
        <row r="4743">
          <cell r="AQ4743" t="str">
            <v>6347523|96770100|136492882|65383586</v>
          </cell>
          <cell r="AR4743" t="str">
            <v>GASTO FISICO</v>
          </cell>
        </row>
        <row r="4744">
          <cell r="AQ4744" t="str">
            <v>6347523|96770100|136492882|65383586</v>
          </cell>
          <cell r="AR4744" t="str">
            <v>GASTO FISICO</v>
          </cell>
        </row>
        <row r="4745">
          <cell r="AQ4745" t="str">
            <v>6347523|96770100|136492882|65383586</v>
          </cell>
          <cell r="AR4745" t="str">
            <v>GASTO FISICO</v>
          </cell>
        </row>
        <row r="4746">
          <cell r="AQ4746" t="str">
            <v>6347523|96770100|136492883|136492883</v>
          </cell>
          <cell r="AR4746" t="str">
            <v>IMED SALUD</v>
          </cell>
        </row>
        <row r="4747">
          <cell r="AQ4747" t="str">
            <v>6347523|96770100|136492883|136492883</v>
          </cell>
          <cell r="AR4747" t="str">
            <v>IMED SALUD</v>
          </cell>
        </row>
        <row r="4748">
          <cell r="AQ4748" t="str">
            <v>6347523|96770100|136492883|136492883</v>
          </cell>
          <cell r="AR4748" t="str">
            <v>IMED SALUD</v>
          </cell>
        </row>
        <row r="4749">
          <cell r="AQ4749" t="str">
            <v>6347523|96770100|136492883|136492883</v>
          </cell>
          <cell r="AR4749" t="str">
            <v>IMED SALUD</v>
          </cell>
        </row>
        <row r="4750">
          <cell r="AQ4750" t="str">
            <v>6347523|96770100|136492883|136492883</v>
          </cell>
          <cell r="AR4750" t="str">
            <v>IMED SALUD</v>
          </cell>
        </row>
        <row r="4751">
          <cell r="AQ4751" t="str">
            <v>6347523|96770100|136492883|136492883</v>
          </cell>
          <cell r="AR4751" t="str">
            <v>IMED SALUD</v>
          </cell>
        </row>
        <row r="4752">
          <cell r="AQ4752" t="str">
            <v>6347523|96770100|136492883|136492883</v>
          </cell>
          <cell r="AR4752" t="str">
            <v>IMED SALUD</v>
          </cell>
        </row>
        <row r="4753">
          <cell r="AQ4753" t="str">
            <v>6347523|96770100|136492883|136492883</v>
          </cell>
          <cell r="AR4753" t="str">
            <v>IMED SALUD</v>
          </cell>
        </row>
        <row r="4754">
          <cell r="AQ4754" t="str">
            <v>6347523|96770100|136492883|136492883</v>
          </cell>
          <cell r="AR4754" t="str">
            <v>IMED SALUD</v>
          </cell>
        </row>
        <row r="4755">
          <cell r="AQ4755" t="str">
            <v>6347523|96770100|136492883|136492883</v>
          </cell>
          <cell r="AR4755" t="str">
            <v>IMED SALUD</v>
          </cell>
        </row>
        <row r="4756">
          <cell r="AQ4756" t="str">
            <v>6347523|96770100|136492883|65383587</v>
          </cell>
          <cell r="AR4756" t="str">
            <v>GASTO FISICO</v>
          </cell>
        </row>
        <row r="4757">
          <cell r="AQ4757" t="str">
            <v>6347523|96770100|136492883|65383587</v>
          </cell>
          <cell r="AR4757" t="str">
            <v>GASTO FISICO</v>
          </cell>
        </row>
        <row r="4758">
          <cell r="AQ4758" t="str">
            <v>6347523|96770100|136492883|65383587</v>
          </cell>
          <cell r="AR4758" t="str">
            <v>GASTO FISICO</v>
          </cell>
        </row>
        <row r="4759">
          <cell r="AQ4759" t="str">
            <v>6347523|96770100|136492883|65383587</v>
          </cell>
          <cell r="AR4759" t="str">
            <v>GASTO FISICO</v>
          </cell>
        </row>
        <row r="4760">
          <cell r="AQ4760" t="str">
            <v>6347523|96770100|136492883|65383587</v>
          </cell>
          <cell r="AR4760" t="str">
            <v>GASTO FISICO</v>
          </cell>
        </row>
        <row r="4761">
          <cell r="AQ4761" t="str">
            <v>6617685|89807200|1579483728|22133389</v>
          </cell>
          <cell r="AR4761" t="str">
            <v>GASTO FISICO</v>
          </cell>
        </row>
        <row r="4762">
          <cell r="AQ4762" t="str">
            <v>6617685|89807200|1579483728|22106742</v>
          </cell>
          <cell r="AR4762" t="str">
            <v>GASTO FISICO</v>
          </cell>
        </row>
        <row r="4763">
          <cell r="AQ4763" t="str">
            <v>6617685|89807200|1579483728|1036422</v>
          </cell>
          <cell r="AR4763" t="str">
            <v>GASTO FISICO</v>
          </cell>
        </row>
        <row r="4764">
          <cell r="AQ4764" t="str">
            <v>6617685|89807200|1579483728|66380135</v>
          </cell>
          <cell r="AR4764" t="str">
            <v>GASTO FISICO</v>
          </cell>
        </row>
        <row r="4765">
          <cell r="AQ4765" t="str">
            <v>6617685|96617350|929976187|929976187</v>
          </cell>
          <cell r="AR4765" t="str">
            <v>IMED SALUD</v>
          </cell>
        </row>
        <row r="4766">
          <cell r="AQ4766" t="str">
            <v>6617685|96617350|929976187|929976187</v>
          </cell>
          <cell r="AR4766" t="str">
            <v>IMED SALUD</v>
          </cell>
        </row>
        <row r="4767">
          <cell r="AQ4767" t="str">
            <v>6617685|96617350|929976187|65383589</v>
          </cell>
          <cell r="AR4767" t="str">
            <v>GASTO FISICO</v>
          </cell>
        </row>
        <row r="4768">
          <cell r="AQ4768" t="str">
            <v>6617685|96617350|929976234|929976234</v>
          </cell>
          <cell r="AR4768" t="str">
            <v>IMED SALUD</v>
          </cell>
        </row>
        <row r="4769">
          <cell r="AQ4769" t="str">
            <v>6617685|96617350|929976234|929976234</v>
          </cell>
          <cell r="AR4769" t="str">
            <v>IMED SALUD</v>
          </cell>
        </row>
        <row r="4770">
          <cell r="AQ4770" t="str">
            <v>6617685|96617350|929976234|65383590</v>
          </cell>
          <cell r="AR4770" t="str">
            <v>GASTO FISICO</v>
          </cell>
        </row>
        <row r="4771">
          <cell r="AQ4771" t="str">
            <v>6617685|96617350|930086264|930086264</v>
          </cell>
          <cell r="AR4771" t="str">
            <v>IMED SALUD</v>
          </cell>
        </row>
        <row r="4772">
          <cell r="AQ4772" t="str">
            <v>6617685|96617350|930086264|930086264</v>
          </cell>
          <cell r="AR4772" t="str">
            <v>IMED SALUD</v>
          </cell>
        </row>
        <row r="4773">
          <cell r="AQ4773" t="str">
            <v>6617685|96617350|930086264|930086264</v>
          </cell>
          <cell r="AR4773" t="str">
            <v>IMED SALUD</v>
          </cell>
        </row>
        <row r="4774">
          <cell r="AQ4774" t="str">
            <v>6617685|96617350|930086264|930086264</v>
          </cell>
          <cell r="AR4774" t="str">
            <v>IMED SALUD</v>
          </cell>
        </row>
        <row r="4775">
          <cell r="AQ4775" t="str">
            <v>6617685|96617350|930086264|930086264</v>
          </cell>
          <cell r="AR4775" t="str">
            <v>IMED SALUD</v>
          </cell>
        </row>
        <row r="4776">
          <cell r="AQ4776" t="str">
            <v>6617685|96617350|930086264|930086264</v>
          </cell>
          <cell r="AR4776" t="str">
            <v>IMED SALUD</v>
          </cell>
        </row>
        <row r="4777">
          <cell r="AQ4777" t="str">
            <v>6617685|96617350|930086264|930086264</v>
          </cell>
          <cell r="AR4777" t="str">
            <v>IMED SALUD</v>
          </cell>
        </row>
        <row r="4778">
          <cell r="AQ4778" t="str">
            <v>6617685|96617350|930086264|930086264</v>
          </cell>
          <cell r="AR4778" t="str">
            <v>IMED SALUD</v>
          </cell>
        </row>
        <row r="4779">
          <cell r="AQ4779" t="str">
            <v>6617685|96617350|930086264|65383591</v>
          </cell>
          <cell r="AR4779" t="str">
            <v>GASTO FISICO</v>
          </cell>
        </row>
        <row r="4780">
          <cell r="AQ4780" t="str">
            <v>6617685|96617350|930086264|65383591</v>
          </cell>
          <cell r="AR4780" t="str">
            <v>GASTO FISICO</v>
          </cell>
        </row>
        <row r="4781">
          <cell r="AQ4781" t="str">
            <v>6617685|96617350|930086264|65383591</v>
          </cell>
          <cell r="AR4781" t="str">
            <v>GASTO FISICO</v>
          </cell>
        </row>
        <row r="4782">
          <cell r="AQ4782" t="str">
            <v>6617685|96617350|930086264|65383591</v>
          </cell>
          <cell r="AR4782" t="str">
            <v>GASTO FISICO</v>
          </cell>
        </row>
        <row r="4783">
          <cell r="AQ4783" t="str">
            <v>6617685|96617350|930086265|930086265</v>
          </cell>
          <cell r="AR4783" t="str">
            <v>IMED SALUD</v>
          </cell>
        </row>
        <row r="4784">
          <cell r="AQ4784" t="str">
            <v>6617685|96617350|930086265|930086265</v>
          </cell>
          <cell r="AR4784" t="str">
            <v>IMED SALUD</v>
          </cell>
        </row>
        <row r="4785">
          <cell r="AQ4785" t="str">
            <v>6617685|96617350|930086265|930086265</v>
          </cell>
          <cell r="AR4785" t="str">
            <v>IMED SALUD</v>
          </cell>
        </row>
        <row r="4786">
          <cell r="AQ4786" t="str">
            <v>6617685|96617350|930086265|930086265</v>
          </cell>
          <cell r="AR4786" t="str">
            <v>IMED SALUD</v>
          </cell>
        </row>
        <row r="4787">
          <cell r="AQ4787" t="str">
            <v>6617685|96617350|930086265|930086265</v>
          </cell>
          <cell r="AR4787" t="str">
            <v>IMED SALUD</v>
          </cell>
        </row>
        <row r="4788">
          <cell r="AQ4788" t="str">
            <v>6617685|96617350|930086265|930086265</v>
          </cell>
          <cell r="AR4788" t="str">
            <v>IMED SALUD</v>
          </cell>
        </row>
        <row r="4789">
          <cell r="AQ4789" t="str">
            <v>6617685|96617350|930086265|930086265</v>
          </cell>
          <cell r="AR4789" t="str">
            <v>IMED SALUD</v>
          </cell>
        </row>
        <row r="4790">
          <cell r="AQ4790" t="str">
            <v>6617685|96617350|930086265|930086265</v>
          </cell>
          <cell r="AR4790" t="str">
            <v>IMED SALUD</v>
          </cell>
        </row>
        <row r="4791">
          <cell r="AQ4791" t="str">
            <v>6617685|96617350|930086265|930086265</v>
          </cell>
          <cell r="AR4791" t="str">
            <v>IMED SALUD</v>
          </cell>
        </row>
        <row r="4792">
          <cell r="AQ4792" t="str">
            <v>6617685|96617350|930086265|930086265</v>
          </cell>
          <cell r="AR4792" t="str">
            <v>IMED SALUD</v>
          </cell>
        </row>
        <row r="4793">
          <cell r="AQ4793" t="str">
            <v>6617685|96617350|930086265|65383592</v>
          </cell>
          <cell r="AR4793" t="str">
            <v>GASTO FISICO</v>
          </cell>
        </row>
        <row r="4794">
          <cell r="AQ4794" t="str">
            <v>6617685|96617350|930086265|65383592</v>
          </cell>
          <cell r="AR4794" t="str">
            <v>GASTO FISICO</v>
          </cell>
        </row>
        <row r="4795">
          <cell r="AQ4795" t="str">
            <v>6617685|96617350|930086265|65383592</v>
          </cell>
          <cell r="AR4795" t="str">
            <v>GASTO FISICO</v>
          </cell>
        </row>
        <row r="4796">
          <cell r="AQ4796" t="str">
            <v>6617685|96617350|930086265|65383592</v>
          </cell>
          <cell r="AR4796" t="str">
            <v>GASTO FISICO</v>
          </cell>
        </row>
        <row r="4797">
          <cell r="AQ4797" t="str">
            <v>6617685|96617350|930086265|65383592</v>
          </cell>
          <cell r="AR4797" t="str">
            <v>GASTO FISICO</v>
          </cell>
        </row>
        <row r="4798">
          <cell r="AQ4798" t="str">
            <v>6617685|96617350|930086290|930086290</v>
          </cell>
          <cell r="AR4798" t="str">
            <v>IMED SALUD</v>
          </cell>
        </row>
        <row r="4799">
          <cell r="AQ4799" t="str">
            <v>6617685|96617350|930086290|930086290</v>
          </cell>
          <cell r="AR4799" t="str">
            <v>IMED SALUD</v>
          </cell>
        </row>
        <row r="4800">
          <cell r="AQ4800" t="str">
            <v>6617685|96617350|930086290|65383593</v>
          </cell>
          <cell r="AR4800" t="str">
            <v>GASTO FISICO</v>
          </cell>
        </row>
        <row r="4801">
          <cell r="AQ4801" t="str">
            <v>6699584|96942400|765246019|765246019</v>
          </cell>
          <cell r="AR4801" t="str">
            <v>IMED SALUD</v>
          </cell>
        </row>
        <row r="4802">
          <cell r="AQ4802" t="str">
            <v>6699584|96942400|765246019|765246019</v>
          </cell>
          <cell r="AR4802" t="str">
            <v>IMED SALUD</v>
          </cell>
        </row>
        <row r="4803">
          <cell r="AQ4803" t="str">
            <v>6699584|96942400|765246019|765246019</v>
          </cell>
          <cell r="AR4803" t="str">
            <v>IMED SALUD</v>
          </cell>
        </row>
        <row r="4804">
          <cell r="AQ4804" t="str">
            <v>6699584|96942400|765246019|765246019</v>
          </cell>
          <cell r="AR4804" t="str">
            <v>IMED SALUD</v>
          </cell>
        </row>
        <row r="4805">
          <cell r="AQ4805" t="str">
            <v>6699584|96942400|765246019|765246019</v>
          </cell>
          <cell r="AR4805" t="str">
            <v>IMED SALUD</v>
          </cell>
        </row>
        <row r="4806">
          <cell r="AQ4806" t="str">
            <v>6699584|96942400|765246019|765246019</v>
          </cell>
          <cell r="AR4806" t="str">
            <v>IMED SALUD</v>
          </cell>
        </row>
        <row r="4807">
          <cell r="AQ4807" t="str">
            <v>6699584|96942400|765246019|765246019</v>
          </cell>
          <cell r="AR4807" t="str">
            <v>IMED SALUD</v>
          </cell>
        </row>
        <row r="4808">
          <cell r="AQ4808" t="str">
            <v>6699584|96942400|765246019|765246019</v>
          </cell>
          <cell r="AR4808" t="str">
            <v>IMED SALUD</v>
          </cell>
        </row>
        <row r="4809">
          <cell r="AQ4809" t="str">
            <v>6699584|96942400|765246019|765246019</v>
          </cell>
          <cell r="AR4809" t="str">
            <v>IMED SALUD</v>
          </cell>
        </row>
        <row r="4810">
          <cell r="AQ4810" t="str">
            <v>6699584|96942400|765246019|765246019</v>
          </cell>
          <cell r="AR4810" t="str">
            <v>IMED SALUD</v>
          </cell>
        </row>
        <row r="4811">
          <cell r="AQ4811" t="str">
            <v>6699584|96942400|765246019|65383594</v>
          </cell>
          <cell r="AR4811" t="str">
            <v>GASTO FISICO</v>
          </cell>
        </row>
        <row r="4812">
          <cell r="AQ4812" t="str">
            <v>6699584|96942400|765246019|65383594</v>
          </cell>
          <cell r="AR4812" t="str">
            <v>GASTO FISICO</v>
          </cell>
        </row>
        <row r="4813">
          <cell r="AQ4813" t="str">
            <v>6699584|96942400|765246019|65383594</v>
          </cell>
          <cell r="AR4813" t="str">
            <v>GASTO FISICO</v>
          </cell>
        </row>
        <row r="4814">
          <cell r="AQ4814" t="str">
            <v>6699584|96942400|765246019|65383594</v>
          </cell>
          <cell r="AR4814" t="str">
            <v>GASTO FISICO</v>
          </cell>
        </row>
        <row r="4815">
          <cell r="AQ4815" t="str">
            <v>6699584|96942400|765246019|65383594</v>
          </cell>
          <cell r="AR4815" t="str">
            <v>GASTO FISICO</v>
          </cell>
        </row>
        <row r="4816">
          <cell r="AQ4816" t="str">
            <v>6699584|96942400|765246020|765246020</v>
          </cell>
          <cell r="AR4816" t="str">
            <v>IMED SALUD</v>
          </cell>
        </row>
        <row r="4817">
          <cell r="AQ4817" t="str">
            <v>6699584|96942400|765246020|765246020</v>
          </cell>
          <cell r="AR4817" t="str">
            <v>IMED SALUD</v>
          </cell>
        </row>
        <row r="4818">
          <cell r="AQ4818" t="str">
            <v>6699584|96942400|765246020|765246020</v>
          </cell>
          <cell r="AR4818" t="str">
            <v>IMED SALUD</v>
          </cell>
        </row>
        <row r="4819">
          <cell r="AQ4819" t="str">
            <v>6699584|96942400|765246020|765246020</v>
          </cell>
          <cell r="AR4819" t="str">
            <v>IMED SALUD</v>
          </cell>
        </row>
        <row r="4820">
          <cell r="AQ4820" t="str">
            <v>6699584|96942400|765246020|765246020</v>
          </cell>
          <cell r="AR4820" t="str">
            <v>IMED SALUD</v>
          </cell>
        </row>
        <row r="4821">
          <cell r="AQ4821" t="str">
            <v>6699584|96942400|765246020|765246020</v>
          </cell>
          <cell r="AR4821" t="str">
            <v>IMED SALUD</v>
          </cell>
        </row>
        <row r="4822">
          <cell r="AQ4822" t="str">
            <v>6699584|96942400|765246020|765246020</v>
          </cell>
          <cell r="AR4822" t="str">
            <v>IMED SALUD</v>
          </cell>
        </row>
        <row r="4823">
          <cell r="AQ4823" t="str">
            <v>6699584|96942400|765246020|765246020</v>
          </cell>
          <cell r="AR4823" t="str">
            <v>IMED SALUD</v>
          </cell>
        </row>
        <row r="4824">
          <cell r="AQ4824" t="str">
            <v>6699584|96942400|765246020|765246020</v>
          </cell>
          <cell r="AR4824" t="str">
            <v>IMED SALUD</v>
          </cell>
        </row>
        <row r="4825">
          <cell r="AQ4825" t="str">
            <v>6699584|96942400|765246020|765246020</v>
          </cell>
          <cell r="AR4825" t="str">
            <v>IMED SALUD</v>
          </cell>
        </row>
        <row r="4826">
          <cell r="AQ4826" t="str">
            <v>6699584|96942400|765246020|65383595</v>
          </cell>
          <cell r="AR4826" t="str">
            <v>GASTO FISICO</v>
          </cell>
        </row>
        <row r="4827">
          <cell r="AQ4827" t="str">
            <v>6699584|96942400|765246020|65383595</v>
          </cell>
          <cell r="AR4827" t="str">
            <v>GASTO FISICO</v>
          </cell>
        </row>
        <row r="4828">
          <cell r="AQ4828" t="str">
            <v>6699584|96942400|765246020|65383595</v>
          </cell>
          <cell r="AR4828" t="str">
            <v>GASTO FISICO</v>
          </cell>
        </row>
        <row r="4829">
          <cell r="AQ4829" t="str">
            <v>6699584|96942400|765246020|65383595</v>
          </cell>
          <cell r="AR4829" t="str">
            <v>GASTO FISICO</v>
          </cell>
        </row>
        <row r="4830">
          <cell r="AQ4830" t="str">
            <v>6699584|96942400|765246020|65383595</v>
          </cell>
          <cell r="AR4830" t="str">
            <v>GASTO FISICO</v>
          </cell>
        </row>
        <row r="4831">
          <cell r="AQ4831" t="str">
            <v>6699584|96942400|765253995|765253995</v>
          </cell>
          <cell r="AR4831" t="str">
            <v>IMED SALUD</v>
          </cell>
        </row>
        <row r="4832">
          <cell r="AQ4832" t="str">
            <v>6699584|96942400|765253995|765253995</v>
          </cell>
          <cell r="AR4832" t="str">
            <v>IMED SALUD</v>
          </cell>
        </row>
        <row r="4833">
          <cell r="AQ4833" t="str">
            <v>6699584|96942400|765253995|765253995</v>
          </cell>
          <cell r="AR4833" t="str">
            <v>IMED SALUD</v>
          </cell>
        </row>
        <row r="4834">
          <cell r="AQ4834" t="str">
            <v>6699584|96942400|765253995|765253995</v>
          </cell>
          <cell r="AR4834" t="str">
            <v>IMED SALUD</v>
          </cell>
        </row>
        <row r="4835">
          <cell r="AQ4835" t="str">
            <v>6699584|96942400|765253995|765253995</v>
          </cell>
          <cell r="AR4835" t="str">
            <v>IMED SALUD</v>
          </cell>
        </row>
        <row r="4836">
          <cell r="AQ4836" t="str">
            <v>6699584|96942400|765253995|765253995</v>
          </cell>
          <cell r="AR4836" t="str">
            <v>IMED SALUD</v>
          </cell>
        </row>
        <row r="4837">
          <cell r="AQ4837" t="str">
            <v>6699584|96942400|765253995|765253995</v>
          </cell>
          <cell r="AR4837" t="str">
            <v>IMED SALUD</v>
          </cell>
        </row>
        <row r="4838">
          <cell r="AQ4838" t="str">
            <v>6699584|96942400|765253995|765253995</v>
          </cell>
          <cell r="AR4838" t="str">
            <v>IMED SALUD</v>
          </cell>
        </row>
        <row r="4839">
          <cell r="AQ4839" t="str">
            <v>6699584|96942400|765253995|765253995</v>
          </cell>
          <cell r="AR4839" t="str">
            <v>IMED SALUD</v>
          </cell>
        </row>
        <row r="4840">
          <cell r="AQ4840" t="str">
            <v>6699584|96942400|765253995|765253995</v>
          </cell>
          <cell r="AR4840" t="str">
            <v>IMED SALUD</v>
          </cell>
        </row>
        <row r="4841">
          <cell r="AQ4841" t="str">
            <v>6699584|96942400|765253995|65383596</v>
          </cell>
          <cell r="AR4841" t="str">
            <v>GASTO FISICO</v>
          </cell>
        </row>
        <row r="4842">
          <cell r="AQ4842" t="str">
            <v>6699584|96942400|765253995|65383596</v>
          </cell>
          <cell r="AR4842" t="str">
            <v>GASTO FISICO</v>
          </cell>
        </row>
        <row r="4843">
          <cell r="AQ4843" t="str">
            <v>6699584|96942400|765253995|65383596</v>
          </cell>
          <cell r="AR4843" t="str">
            <v>GASTO FISICO</v>
          </cell>
        </row>
        <row r="4844">
          <cell r="AQ4844" t="str">
            <v>6699584|96942400|765253995|65383596</v>
          </cell>
          <cell r="AR4844" t="str">
            <v>GASTO FISICO</v>
          </cell>
        </row>
        <row r="4845">
          <cell r="AQ4845" t="str">
            <v>6699584|96942400|765253995|65383596</v>
          </cell>
          <cell r="AR4845" t="str">
            <v>GASTO FISICO</v>
          </cell>
        </row>
        <row r="4846">
          <cell r="AQ4846" t="str">
            <v>6871191|96942400|765525239|765525239</v>
          </cell>
          <cell r="AR4846" t="str">
            <v>IMED SALUD</v>
          </cell>
        </row>
        <row r="4847">
          <cell r="AQ4847" t="str">
            <v>6871191|96942400|765525239|765525239</v>
          </cell>
          <cell r="AR4847" t="str">
            <v>IMED SALUD</v>
          </cell>
        </row>
        <row r="4848">
          <cell r="AQ4848" t="str">
            <v>6871191|96942400|765525239|65383597</v>
          </cell>
          <cell r="AR4848" t="str">
            <v>GASTO FISICO</v>
          </cell>
        </row>
        <row r="4849">
          <cell r="AQ4849" t="str">
            <v>6973568|99573490|929819867|929819867</v>
          </cell>
          <cell r="AR4849" t="str">
            <v>IMED SALUD</v>
          </cell>
        </row>
        <row r="4850">
          <cell r="AQ4850" t="str">
            <v>6973568|99573490|929819867|929819867</v>
          </cell>
          <cell r="AR4850" t="str">
            <v>IMED SALUD</v>
          </cell>
        </row>
        <row r="4851">
          <cell r="AQ4851" t="str">
            <v>6973568|99573490|929819867|929819867</v>
          </cell>
          <cell r="AR4851" t="str">
            <v>IMED SALUD</v>
          </cell>
        </row>
        <row r="4852">
          <cell r="AQ4852" t="str">
            <v>6973568|99573490|929819867|929819867</v>
          </cell>
          <cell r="AR4852" t="str">
            <v>IMED SALUD</v>
          </cell>
        </row>
        <row r="4853">
          <cell r="AQ4853" t="str">
            <v>6973568|99573490|929819867|929819867</v>
          </cell>
          <cell r="AR4853" t="str">
            <v>IMED SALUD</v>
          </cell>
        </row>
        <row r="4854">
          <cell r="AQ4854" t="str">
            <v>6973568|99573490|929819867|929819867</v>
          </cell>
          <cell r="AR4854" t="str">
            <v>IMED SALUD</v>
          </cell>
        </row>
        <row r="4855">
          <cell r="AQ4855" t="str">
            <v>6973568|99573490|929819867|65383598</v>
          </cell>
          <cell r="AR4855" t="str">
            <v>GASTO FISICO</v>
          </cell>
        </row>
        <row r="4856">
          <cell r="AQ4856" t="str">
            <v>6973568|99573490|929819867|65383598</v>
          </cell>
          <cell r="AR4856" t="str">
            <v>GASTO FISICO</v>
          </cell>
        </row>
        <row r="4857">
          <cell r="AQ4857" t="str">
            <v>6973568|99573490|929819867|65383598</v>
          </cell>
          <cell r="AR4857" t="str">
            <v>GASTO FISICO</v>
          </cell>
        </row>
        <row r="4858">
          <cell r="AQ4858" t="str">
            <v>6973568|99573490|929819868|929819868</v>
          </cell>
          <cell r="AR4858" t="str">
            <v>IMED SALUD</v>
          </cell>
        </row>
        <row r="4859">
          <cell r="AQ4859" t="str">
            <v>6973568|99573490|929819868|929819868</v>
          </cell>
          <cell r="AR4859" t="str">
            <v>IMED SALUD</v>
          </cell>
        </row>
        <row r="4860">
          <cell r="AQ4860" t="str">
            <v>6973568|99573490|929819868|929819868</v>
          </cell>
          <cell r="AR4860" t="str">
            <v>IMED SALUD</v>
          </cell>
        </row>
        <row r="4861">
          <cell r="AQ4861" t="str">
            <v>6973568|99573490|929819868|929819868</v>
          </cell>
          <cell r="AR4861" t="str">
            <v>IMED SALUD</v>
          </cell>
        </row>
        <row r="4862">
          <cell r="AQ4862" t="str">
            <v>6973568|99573490|929819868|929819868</v>
          </cell>
          <cell r="AR4862" t="str">
            <v>IMED SALUD</v>
          </cell>
        </row>
        <row r="4863">
          <cell r="AQ4863" t="str">
            <v>6973568|99573490|929819868|929819868</v>
          </cell>
          <cell r="AR4863" t="str">
            <v>IMED SALUD</v>
          </cell>
        </row>
        <row r="4864">
          <cell r="AQ4864" t="str">
            <v>6973568|99573490|929819868|929819868</v>
          </cell>
          <cell r="AR4864" t="str">
            <v>IMED SALUD</v>
          </cell>
        </row>
        <row r="4865">
          <cell r="AQ4865" t="str">
            <v>6973568|99573490|929819868|929819868</v>
          </cell>
          <cell r="AR4865" t="str">
            <v>IMED SALUD</v>
          </cell>
        </row>
        <row r="4866">
          <cell r="AQ4866" t="str">
            <v>6973568|99573490|929819868|929819868</v>
          </cell>
          <cell r="AR4866" t="str">
            <v>IMED SALUD</v>
          </cell>
        </row>
        <row r="4867">
          <cell r="AQ4867" t="str">
            <v>6973568|99573490|929819868|929819868</v>
          </cell>
          <cell r="AR4867" t="str">
            <v>IMED SALUD</v>
          </cell>
        </row>
        <row r="4868">
          <cell r="AQ4868" t="str">
            <v>6973568|99573490|929819868|65383599</v>
          </cell>
          <cell r="AR4868" t="str">
            <v>GASTO FISICO</v>
          </cell>
        </row>
        <row r="4869">
          <cell r="AQ4869" t="str">
            <v>6973568|99573490|929819868|65383599</v>
          </cell>
          <cell r="AR4869" t="str">
            <v>GASTO FISICO</v>
          </cell>
        </row>
        <row r="4870">
          <cell r="AQ4870" t="str">
            <v>6973568|99573490|929819868|65383599</v>
          </cell>
          <cell r="AR4870" t="str">
            <v>GASTO FISICO</v>
          </cell>
        </row>
        <row r="4871">
          <cell r="AQ4871" t="str">
            <v>6973568|99573490|929819868|65383599</v>
          </cell>
          <cell r="AR4871" t="str">
            <v>GASTO FISICO</v>
          </cell>
        </row>
        <row r="4872">
          <cell r="AQ4872" t="str">
            <v>6973568|99573490|929819869|929819869</v>
          </cell>
          <cell r="AR4872" t="str">
            <v>IMED SALUD</v>
          </cell>
        </row>
        <row r="4873">
          <cell r="AQ4873" t="str">
            <v>6973568|99573490|929819869|929819869</v>
          </cell>
          <cell r="AR4873" t="str">
            <v>IMED SALUD</v>
          </cell>
        </row>
        <row r="4874">
          <cell r="AQ4874" t="str">
            <v>6973568|99573490|929819869|929819869</v>
          </cell>
          <cell r="AR4874" t="str">
            <v>IMED SALUD</v>
          </cell>
        </row>
        <row r="4875">
          <cell r="AQ4875" t="str">
            <v>6973568|99573490|929819869|929819869</v>
          </cell>
          <cell r="AR4875" t="str">
            <v>IMED SALUD</v>
          </cell>
        </row>
        <row r="4876">
          <cell r="AQ4876" t="str">
            <v>6973568|99573490|929819869|929819869</v>
          </cell>
          <cell r="AR4876" t="str">
            <v>IMED SALUD</v>
          </cell>
        </row>
        <row r="4877">
          <cell r="AQ4877" t="str">
            <v>6973568|99573490|929819869|929819869</v>
          </cell>
          <cell r="AR4877" t="str">
            <v>IMED SALUD</v>
          </cell>
        </row>
        <row r="4878">
          <cell r="AQ4878" t="str">
            <v>6973568|99573490|929819869|929819869</v>
          </cell>
          <cell r="AR4878" t="str">
            <v>IMED SALUD</v>
          </cell>
        </row>
        <row r="4879">
          <cell r="AQ4879" t="str">
            <v>6973568|99573490|929819869|929819869</v>
          </cell>
          <cell r="AR4879" t="str">
            <v>IMED SALUD</v>
          </cell>
        </row>
        <row r="4880">
          <cell r="AQ4880" t="str">
            <v>6973568|99573490|929819869|929819869</v>
          </cell>
          <cell r="AR4880" t="str">
            <v>IMED SALUD</v>
          </cell>
        </row>
        <row r="4881">
          <cell r="AQ4881" t="str">
            <v>6973568|99573490|929819869|929819869</v>
          </cell>
          <cell r="AR4881" t="str">
            <v>IMED SALUD</v>
          </cell>
        </row>
        <row r="4882">
          <cell r="AQ4882" t="str">
            <v>6973568|99573490|929819869|65383600</v>
          </cell>
          <cell r="AR4882" t="str">
            <v>GASTO FISICO</v>
          </cell>
        </row>
        <row r="4883">
          <cell r="AQ4883" t="str">
            <v>6973568|99573490|929819869|65383600</v>
          </cell>
          <cell r="AR4883" t="str">
            <v>GASTO FISICO</v>
          </cell>
        </row>
        <row r="4884">
          <cell r="AQ4884" t="str">
            <v>6973568|99573490|929819869|65383600</v>
          </cell>
          <cell r="AR4884" t="str">
            <v>GASTO FISICO</v>
          </cell>
        </row>
        <row r="4885">
          <cell r="AQ4885" t="str">
            <v>6973568|99573490|929819869|65383600</v>
          </cell>
          <cell r="AR4885" t="str">
            <v>GASTO FISICO</v>
          </cell>
        </row>
        <row r="4886">
          <cell r="AQ4886" t="str">
            <v>6973568|99573490|929819869|65383600</v>
          </cell>
          <cell r="AR4886" t="str">
            <v>GASTO FISICO</v>
          </cell>
        </row>
        <row r="4887">
          <cell r="AQ4887" t="str">
            <v>6973568|99573490|930075368|930075368</v>
          </cell>
          <cell r="AR4887" t="str">
            <v>IMED SALUD</v>
          </cell>
        </row>
        <row r="4888">
          <cell r="AQ4888" t="str">
            <v>6973568|99573490|930075368|930075368</v>
          </cell>
          <cell r="AR4888" t="str">
            <v>IMED SALUD</v>
          </cell>
        </row>
        <row r="4889">
          <cell r="AQ4889" t="str">
            <v>6973568|99573490|930075368|930075368</v>
          </cell>
          <cell r="AR4889" t="str">
            <v>IMED SALUD</v>
          </cell>
        </row>
        <row r="4890">
          <cell r="AQ4890" t="str">
            <v>6973568|99573490|930075368|930075368</v>
          </cell>
          <cell r="AR4890" t="str">
            <v>IMED SALUD</v>
          </cell>
        </row>
        <row r="4891">
          <cell r="AQ4891" t="str">
            <v>6973568|99573490|930075368|65383601</v>
          </cell>
          <cell r="AR4891" t="str">
            <v>GASTO FISICO</v>
          </cell>
        </row>
        <row r="4892">
          <cell r="AQ4892" t="str">
            <v>6973568|99573490|930075368|65383601</v>
          </cell>
          <cell r="AR4892" t="str">
            <v>GASTO FISICO</v>
          </cell>
        </row>
        <row r="4893">
          <cell r="AQ4893" t="str">
            <v>6973568|99573490|930075369|930075369</v>
          </cell>
          <cell r="AR4893" t="str">
            <v>IMED SALUD</v>
          </cell>
        </row>
        <row r="4894">
          <cell r="AQ4894" t="str">
            <v>6973568|99573490|930075369|930075369</v>
          </cell>
          <cell r="AR4894" t="str">
            <v>IMED SALUD</v>
          </cell>
        </row>
        <row r="4895">
          <cell r="AQ4895" t="str">
            <v>6973568|99573490|930075369|930075369</v>
          </cell>
          <cell r="AR4895" t="str">
            <v>IMED SALUD</v>
          </cell>
        </row>
        <row r="4896">
          <cell r="AQ4896" t="str">
            <v>6973568|99573490|930075369|930075369</v>
          </cell>
          <cell r="AR4896" t="str">
            <v>IMED SALUD</v>
          </cell>
        </row>
        <row r="4897">
          <cell r="AQ4897" t="str">
            <v>6973568|99573490|930075369|930075369</v>
          </cell>
          <cell r="AR4897" t="str">
            <v>IMED SALUD</v>
          </cell>
        </row>
        <row r="4898">
          <cell r="AQ4898" t="str">
            <v>6973568|99573490|930075369|930075369</v>
          </cell>
          <cell r="AR4898" t="str">
            <v>IMED SALUD</v>
          </cell>
        </row>
        <row r="4899">
          <cell r="AQ4899" t="str">
            <v>6973568|99573490|930075369|930075369</v>
          </cell>
          <cell r="AR4899" t="str">
            <v>IMED SALUD</v>
          </cell>
        </row>
        <row r="4900">
          <cell r="AQ4900" t="str">
            <v>6973568|99573490|930075369|930075369</v>
          </cell>
          <cell r="AR4900" t="str">
            <v>IMED SALUD</v>
          </cell>
        </row>
        <row r="4901">
          <cell r="AQ4901" t="str">
            <v>6973568|99573490|930075369|930075369</v>
          </cell>
          <cell r="AR4901" t="str">
            <v>IMED SALUD</v>
          </cell>
        </row>
        <row r="4902">
          <cell r="AQ4902" t="str">
            <v>6973568|99573490|930075369|930075369</v>
          </cell>
          <cell r="AR4902" t="str">
            <v>IMED SALUD</v>
          </cell>
        </row>
        <row r="4903">
          <cell r="AQ4903" t="str">
            <v>6973568|99573490|930075369|65383602</v>
          </cell>
          <cell r="AR4903" t="str">
            <v>GASTO FISICO</v>
          </cell>
        </row>
        <row r="4904">
          <cell r="AQ4904" t="str">
            <v>6973568|99573490|930075369|65383602</v>
          </cell>
          <cell r="AR4904" t="str">
            <v>GASTO FISICO</v>
          </cell>
        </row>
        <row r="4905">
          <cell r="AQ4905" t="str">
            <v>6973568|99573490|930075369|65383602</v>
          </cell>
          <cell r="AR4905" t="str">
            <v>GASTO FISICO</v>
          </cell>
        </row>
        <row r="4906">
          <cell r="AQ4906" t="str">
            <v>6973568|99573490|930075369|65383602</v>
          </cell>
          <cell r="AR4906" t="str">
            <v>GASTO FISICO</v>
          </cell>
        </row>
        <row r="4907">
          <cell r="AQ4907" t="str">
            <v>6973568|99573490|930075369|65383602</v>
          </cell>
          <cell r="AR4907" t="str">
            <v>GASTO FISICO</v>
          </cell>
        </row>
        <row r="4908">
          <cell r="AQ4908" t="str">
            <v>7154522|99540210|929900814|929900814</v>
          </cell>
          <cell r="AR4908" t="str">
            <v>IMED SALUD</v>
          </cell>
        </row>
        <row r="4909">
          <cell r="AQ4909" t="str">
            <v>7154522|99540210|929900814|929900814</v>
          </cell>
          <cell r="AR4909" t="str">
            <v>IMED SALUD</v>
          </cell>
        </row>
        <row r="4910">
          <cell r="AQ4910" t="str">
            <v>7154522|99540210|929900814|929900814</v>
          </cell>
          <cell r="AR4910" t="str">
            <v>IMED SALUD</v>
          </cell>
        </row>
        <row r="4911">
          <cell r="AQ4911" t="str">
            <v>7154522|99540210|929900814|929900814</v>
          </cell>
          <cell r="AR4911" t="str">
            <v>IMED SALUD</v>
          </cell>
        </row>
        <row r="4912">
          <cell r="AQ4912" t="str">
            <v>7154522|99540210|929900814|65383603</v>
          </cell>
          <cell r="AR4912" t="str">
            <v>GASTO FISICO</v>
          </cell>
        </row>
        <row r="4913">
          <cell r="AQ4913" t="str">
            <v>7154522|99540210|929900814|65383603</v>
          </cell>
          <cell r="AR4913" t="str">
            <v>GASTO FISICO</v>
          </cell>
        </row>
        <row r="4914">
          <cell r="AQ4914" t="str">
            <v>7230416|76696200|917970276|917970276</v>
          </cell>
          <cell r="AR4914" t="str">
            <v>IMED SALUD</v>
          </cell>
        </row>
        <row r="4915">
          <cell r="AQ4915" t="str">
            <v>7230416|76696200|917970276|917970276</v>
          </cell>
          <cell r="AR4915" t="str">
            <v>IMED SALUD</v>
          </cell>
        </row>
        <row r="4916">
          <cell r="AQ4916" t="str">
            <v>7230416|76696200|917970276|65383604</v>
          </cell>
          <cell r="AR4916" t="str">
            <v>GASTO FISICO</v>
          </cell>
        </row>
        <row r="4917">
          <cell r="AQ4917" t="str">
            <v>7230416|96898980|917970305|917970305</v>
          </cell>
          <cell r="AR4917" t="str">
            <v>IMED SALUD</v>
          </cell>
        </row>
        <row r="4918">
          <cell r="AQ4918" t="str">
            <v>7230416|96898980|917970305|917970305</v>
          </cell>
          <cell r="AR4918" t="str">
            <v>IMED SALUD</v>
          </cell>
        </row>
        <row r="4919">
          <cell r="AQ4919" t="str">
            <v>7230416|96898980|917970305|917970305</v>
          </cell>
          <cell r="AR4919" t="str">
            <v>IMED SALUD</v>
          </cell>
        </row>
        <row r="4920">
          <cell r="AQ4920" t="str">
            <v>7230416|96898980|917970305|917970305</v>
          </cell>
          <cell r="AR4920" t="str">
            <v>IMED SALUD</v>
          </cell>
        </row>
        <row r="4921">
          <cell r="AQ4921" t="str">
            <v>7230416|96898980|917970305|917970305</v>
          </cell>
          <cell r="AR4921" t="str">
            <v>IMED SALUD</v>
          </cell>
        </row>
        <row r="4922">
          <cell r="AQ4922" t="str">
            <v>7230416|96898980|917970305|917970305</v>
          </cell>
          <cell r="AR4922" t="str">
            <v>IMED SALUD</v>
          </cell>
        </row>
        <row r="4923">
          <cell r="AQ4923" t="str">
            <v>7230416|96898980|917970305|917970305</v>
          </cell>
          <cell r="AR4923" t="str">
            <v>IMED SALUD</v>
          </cell>
        </row>
        <row r="4924">
          <cell r="AQ4924" t="str">
            <v>7230416|96898980|917970305|917970305</v>
          </cell>
          <cell r="AR4924" t="str">
            <v>IMED SALUD</v>
          </cell>
        </row>
        <row r="4925">
          <cell r="AQ4925" t="str">
            <v>7230416|96898980|917970305|917970305</v>
          </cell>
          <cell r="AR4925" t="str">
            <v>IMED SALUD</v>
          </cell>
        </row>
        <row r="4926">
          <cell r="AQ4926" t="str">
            <v>7230416|96898980|917970305|917970305</v>
          </cell>
          <cell r="AR4926" t="str">
            <v>IMED SALUD</v>
          </cell>
        </row>
        <row r="4927">
          <cell r="AQ4927" t="str">
            <v>7230416|96898980|917970305|65383605</v>
          </cell>
          <cell r="AR4927" t="str">
            <v>GASTO FISICO</v>
          </cell>
        </row>
        <row r="4928">
          <cell r="AQ4928" t="str">
            <v>7230416|96898980|917970305|65383605</v>
          </cell>
          <cell r="AR4928" t="str">
            <v>GASTO FISICO</v>
          </cell>
        </row>
        <row r="4929">
          <cell r="AQ4929" t="str">
            <v>7230416|96898980|917970305|65383605</v>
          </cell>
          <cell r="AR4929" t="str">
            <v>GASTO FISICO</v>
          </cell>
        </row>
        <row r="4930">
          <cell r="AQ4930" t="str">
            <v>7230416|96898980|917970305|65383605</v>
          </cell>
          <cell r="AR4930" t="str">
            <v>GASTO FISICO</v>
          </cell>
        </row>
        <row r="4931">
          <cell r="AQ4931" t="str">
            <v>7230416|96898980|917970305|65383605</v>
          </cell>
          <cell r="AR4931" t="str">
            <v>GASTO FISICO</v>
          </cell>
        </row>
        <row r="4932">
          <cell r="AQ4932" t="str">
            <v>7230416|96898980|917970306|917970306</v>
          </cell>
          <cell r="AR4932" t="str">
            <v>IMED SALUD</v>
          </cell>
        </row>
        <row r="4933">
          <cell r="AQ4933" t="str">
            <v>7230416|96898980|917970306|917970306</v>
          </cell>
          <cell r="AR4933" t="str">
            <v>IMED SALUD</v>
          </cell>
        </row>
        <row r="4934">
          <cell r="AQ4934" t="str">
            <v>7230416|96898980|917970306|917970306</v>
          </cell>
          <cell r="AR4934" t="str">
            <v>IMED SALUD</v>
          </cell>
        </row>
        <row r="4935">
          <cell r="AQ4935" t="str">
            <v>7230416|96898980|917970306|917970306</v>
          </cell>
          <cell r="AR4935" t="str">
            <v>IMED SALUD</v>
          </cell>
        </row>
        <row r="4936">
          <cell r="AQ4936" t="str">
            <v>7230416|96898980|917970306|917970306</v>
          </cell>
          <cell r="AR4936" t="str">
            <v>IMED SALUD</v>
          </cell>
        </row>
        <row r="4937">
          <cell r="AQ4937" t="str">
            <v>7230416|96898980|917970306|917970306</v>
          </cell>
          <cell r="AR4937" t="str">
            <v>IMED SALUD</v>
          </cell>
        </row>
        <row r="4938">
          <cell r="AQ4938" t="str">
            <v>7230416|96898980|917970306|917970306</v>
          </cell>
          <cell r="AR4938" t="str">
            <v>IMED SALUD</v>
          </cell>
        </row>
        <row r="4939">
          <cell r="AQ4939" t="str">
            <v>7230416|96898980|917970306|917970306</v>
          </cell>
          <cell r="AR4939" t="str">
            <v>IMED SALUD</v>
          </cell>
        </row>
        <row r="4940">
          <cell r="AQ4940" t="str">
            <v>7230416|96898980|917970306|917970306</v>
          </cell>
          <cell r="AR4940" t="str">
            <v>IMED SALUD</v>
          </cell>
        </row>
        <row r="4941">
          <cell r="AQ4941" t="str">
            <v>7230416|96898980|917970306|917970306</v>
          </cell>
          <cell r="AR4941" t="str">
            <v>IMED SALUD</v>
          </cell>
        </row>
        <row r="4942">
          <cell r="AQ4942" t="str">
            <v>7230416|96898980|917970306|65383606</v>
          </cell>
          <cell r="AR4942" t="str">
            <v>GASTO FISICO</v>
          </cell>
        </row>
        <row r="4943">
          <cell r="AQ4943" t="str">
            <v>7230416|96898980|917970306|65383606</v>
          </cell>
          <cell r="AR4943" t="str">
            <v>GASTO FISICO</v>
          </cell>
        </row>
        <row r="4944">
          <cell r="AQ4944" t="str">
            <v>7230416|96898980|917970306|65383606</v>
          </cell>
          <cell r="AR4944" t="str">
            <v>GASTO FISICO</v>
          </cell>
        </row>
        <row r="4945">
          <cell r="AQ4945" t="str">
            <v>7230416|96898980|917970306|65383606</v>
          </cell>
          <cell r="AR4945" t="str">
            <v>GASTO FISICO</v>
          </cell>
        </row>
        <row r="4946">
          <cell r="AQ4946" t="str">
            <v>7230416|96898980|917970306|65383606</v>
          </cell>
          <cell r="AR4946" t="str">
            <v>GASTO FISICO</v>
          </cell>
        </row>
        <row r="4947">
          <cell r="AQ4947" t="str">
            <v>7230416|96898980|917970307|917970307</v>
          </cell>
          <cell r="AR4947" t="str">
            <v>IMED SALUD</v>
          </cell>
        </row>
        <row r="4948">
          <cell r="AQ4948" t="str">
            <v>7230416|96898980|917970307|917970307</v>
          </cell>
          <cell r="AR4948" t="str">
            <v>IMED SALUD</v>
          </cell>
        </row>
        <row r="4949">
          <cell r="AQ4949" t="str">
            <v>7230416|96898980|917970307|917970307</v>
          </cell>
          <cell r="AR4949" t="str">
            <v>IMED SALUD</v>
          </cell>
        </row>
        <row r="4950">
          <cell r="AQ4950" t="str">
            <v>7230416|96898980|917970307|917970307</v>
          </cell>
          <cell r="AR4950" t="str">
            <v>IMED SALUD</v>
          </cell>
        </row>
        <row r="4951">
          <cell r="AQ4951" t="str">
            <v>7230416|96898980|917970307|917970307</v>
          </cell>
          <cell r="AR4951" t="str">
            <v>IMED SALUD</v>
          </cell>
        </row>
        <row r="4952">
          <cell r="AQ4952" t="str">
            <v>7230416|96898980|917970307|917970307</v>
          </cell>
          <cell r="AR4952" t="str">
            <v>IMED SALUD</v>
          </cell>
        </row>
        <row r="4953">
          <cell r="AQ4953" t="str">
            <v>7230416|96898980|917970307|917970307</v>
          </cell>
          <cell r="AR4953" t="str">
            <v>IMED SALUD</v>
          </cell>
        </row>
        <row r="4954">
          <cell r="AQ4954" t="str">
            <v>7230416|96898980|917970307|917970307</v>
          </cell>
          <cell r="AR4954" t="str">
            <v>IMED SALUD</v>
          </cell>
        </row>
        <row r="4955">
          <cell r="AQ4955" t="str">
            <v>7230416|96898980|917970307|65383607</v>
          </cell>
          <cell r="AR4955" t="str">
            <v>GASTO FISICO</v>
          </cell>
        </row>
        <row r="4956">
          <cell r="AQ4956" t="str">
            <v>7230416|96898980|917970307|65383607</v>
          </cell>
          <cell r="AR4956" t="str">
            <v>GASTO FISICO</v>
          </cell>
        </row>
        <row r="4957">
          <cell r="AQ4957" t="str">
            <v>7230416|96898980|917970307|65383607</v>
          </cell>
          <cell r="AR4957" t="str">
            <v>GASTO FISICO</v>
          </cell>
        </row>
        <row r="4958">
          <cell r="AQ4958" t="str">
            <v>7230416|96898980|917970307|65383607</v>
          </cell>
          <cell r="AR4958" t="str">
            <v>GASTO FISICO</v>
          </cell>
        </row>
        <row r="4959">
          <cell r="AQ4959" t="str">
            <v>7230416|76696200|917991021|917991021</v>
          </cell>
          <cell r="AR4959" t="str">
            <v>IMED SALUD</v>
          </cell>
        </row>
        <row r="4960">
          <cell r="AQ4960" t="str">
            <v>7230416|76696200|917991021|917991021</v>
          </cell>
          <cell r="AR4960" t="str">
            <v>IMED SALUD</v>
          </cell>
        </row>
        <row r="4961">
          <cell r="AQ4961" t="str">
            <v>7230416|76696200|917991021|65383608</v>
          </cell>
          <cell r="AR4961" t="str">
            <v>GASTO FISICO</v>
          </cell>
        </row>
        <row r="4962">
          <cell r="AQ4962" t="str">
            <v>7233912|76098454|370778875|370778875</v>
          </cell>
          <cell r="AR4962" t="str">
            <v>IMED SALUD</v>
          </cell>
        </row>
        <row r="4963">
          <cell r="AQ4963" t="str">
            <v>7233912|76098454|370778875|370778875</v>
          </cell>
          <cell r="AR4963" t="str">
            <v>IMED SALUD</v>
          </cell>
        </row>
        <row r="4964">
          <cell r="AQ4964" t="str">
            <v>7233912|76098454|370778875|65383609</v>
          </cell>
          <cell r="AR4964" t="str">
            <v>GASTO FISICO</v>
          </cell>
        </row>
        <row r="4965">
          <cell r="AQ4965" t="str">
            <v>7233912|96617350|370792503|370792503</v>
          </cell>
          <cell r="AR4965" t="str">
            <v>IMED SALUD</v>
          </cell>
        </row>
        <row r="4966">
          <cell r="AQ4966" t="str">
            <v>7233912|96617350|370792503|370792503</v>
          </cell>
          <cell r="AR4966" t="str">
            <v>IMED SALUD</v>
          </cell>
        </row>
        <row r="4967">
          <cell r="AQ4967" t="str">
            <v>7233912|96617350|370792503|65383610</v>
          </cell>
          <cell r="AR4967" t="str">
            <v>GASTO FISICO</v>
          </cell>
        </row>
        <row r="4968">
          <cell r="AQ4968" t="str">
            <v>7443214|96942400|765451326|765451326</v>
          </cell>
          <cell r="AR4968" t="str">
            <v>IMED SALUD</v>
          </cell>
        </row>
        <row r="4969">
          <cell r="AQ4969" t="str">
            <v>7443214|96942400|765451326|765451326</v>
          </cell>
          <cell r="AR4969" t="str">
            <v>IMED SALUD</v>
          </cell>
        </row>
        <row r="4970">
          <cell r="AQ4970" t="str">
            <v>7443214|96942400|765451326|765451326</v>
          </cell>
          <cell r="AR4970" t="str">
            <v>IMED SALUD</v>
          </cell>
        </row>
        <row r="4971">
          <cell r="AQ4971" t="str">
            <v>7443214|96942400|765451326|765451326</v>
          </cell>
          <cell r="AR4971" t="str">
            <v>IMED SALUD</v>
          </cell>
        </row>
        <row r="4972">
          <cell r="AQ4972" t="str">
            <v>7443214|96942400|765451326|765451326</v>
          </cell>
          <cell r="AR4972" t="str">
            <v>IMED SALUD</v>
          </cell>
        </row>
        <row r="4973">
          <cell r="AQ4973" t="str">
            <v>7443214|96942400|765451326|765451326</v>
          </cell>
          <cell r="AR4973" t="str">
            <v>IMED SALUD</v>
          </cell>
        </row>
        <row r="4974">
          <cell r="AQ4974" t="str">
            <v>7443214|96942400|765451326|765451326</v>
          </cell>
          <cell r="AR4974" t="str">
            <v>IMED SALUD</v>
          </cell>
        </row>
        <row r="4975">
          <cell r="AQ4975" t="str">
            <v>7443214|96942400|765451326|765451326</v>
          </cell>
          <cell r="AR4975" t="str">
            <v>IMED SALUD</v>
          </cell>
        </row>
        <row r="4976">
          <cell r="AQ4976" t="str">
            <v>7443214|96942400|765451326|765451326</v>
          </cell>
          <cell r="AR4976" t="str">
            <v>IMED SALUD</v>
          </cell>
        </row>
        <row r="4977">
          <cell r="AQ4977" t="str">
            <v>7443214|96942400|765451326|765451326</v>
          </cell>
          <cell r="AR4977" t="str">
            <v>IMED SALUD</v>
          </cell>
        </row>
        <row r="4978">
          <cell r="AQ4978" t="str">
            <v>7443214|96942400|765451326|65383611</v>
          </cell>
          <cell r="AR4978" t="str">
            <v>GASTO FISICO</v>
          </cell>
        </row>
        <row r="4979">
          <cell r="AQ4979" t="str">
            <v>7443214|96942400|765451326|65383611</v>
          </cell>
          <cell r="AR4979" t="str">
            <v>GASTO FISICO</v>
          </cell>
        </row>
        <row r="4980">
          <cell r="AQ4980" t="str">
            <v>7443214|96942400|765451326|65383611</v>
          </cell>
          <cell r="AR4980" t="str">
            <v>GASTO FISICO</v>
          </cell>
        </row>
        <row r="4981">
          <cell r="AQ4981" t="str">
            <v>7443214|96942400|765451326|65383611</v>
          </cell>
          <cell r="AR4981" t="str">
            <v>GASTO FISICO</v>
          </cell>
        </row>
        <row r="4982">
          <cell r="AQ4982" t="str">
            <v>7443214|96942400|765451326|65383611</v>
          </cell>
          <cell r="AR4982" t="str">
            <v>GASTO FISICO</v>
          </cell>
        </row>
        <row r="4983">
          <cell r="AQ4983" t="str">
            <v>7443214|96942400|765451327|765451327</v>
          </cell>
          <cell r="AR4983" t="str">
            <v>IMED SALUD</v>
          </cell>
        </row>
        <row r="4984">
          <cell r="AQ4984" t="str">
            <v>7443214|96942400|765451327|765451327</v>
          </cell>
          <cell r="AR4984" t="str">
            <v>IMED SALUD</v>
          </cell>
        </row>
        <row r="4985">
          <cell r="AQ4985" t="str">
            <v>7443214|96942400|765451327|765451327</v>
          </cell>
          <cell r="AR4985" t="str">
            <v>IMED SALUD</v>
          </cell>
        </row>
        <row r="4986">
          <cell r="AQ4986" t="str">
            <v>7443214|96942400|765451327|765451327</v>
          </cell>
          <cell r="AR4986" t="str">
            <v>IMED SALUD</v>
          </cell>
        </row>
        <row r="4987">
          <cell r="AQ4987" t="str">
            <v>7443214|96942400|765451327|765451327</v>
          </cell>
          <cell r="AR4987" t="str">
            <v>IMED SALUD</v>
          </cell>
        </row>
        <row r="4988">
          <cell r="AQ4988" t="str">
            <v>7443214|96942400|765451327|765451327</v>
          </cell>
          <cell r="AR4988" t="str">
            <v>IMED SALUD</v>
          </cell>
        </row>
        <row r="4989">
          <cell r="AQ4989" t="str">
            <v>7443214|96942400|765451327|765451327</v>
          </cell>
          <cell r="AR4989" t="str">
            <v>IMED SALUD</v>
          </cell>
        </row>
        <row r="4990">
          <cell r="AQ4990" t="str">
            <v>7443214|96942400|765451327|765451327</v>
          </cell>
          <cell r="AR4990" t="str">
            <v>IMED SALUD</v>
          </cell>
        </row>
        <row r="4991">
          <cell r="AQ4991" t="str">
            <v>7443214|96942400|765451327|765451327</v>
          </cell>
          <cell r="AR4991" t="str">
            <v>IMED SALUD</v>
          </cell>
        </row>
        <row r="4992">
          <cell r="AQ4992" t="str">
            <v>7443214|96942400|765451327|765451327</v>
          </cell>
          <cell r="AR4992" t="str">
            <v>IMED SALUD</v>
          </cell>
        </row>
        <row r="4993">
          <cell r="AQ4993" t="str">
            <v>7443214|96942400|765451327|65383612</v>
          </cell>
          <cell r="AR4993" t="str">
            <v>GASTO FISICO</v>
          </cell>
        </row>
        <row r="4994">
          <cell r="AQ4994" t="str">
            <v>7443214|96942400|765451327|65383612</v>
          </cell>
          <cell r="AR4994" t="str">
            <v>GASTO FISICO</v>
          </cell>
        </row>
        <row r="4995">
          <cell r="AQ4995" t="str">
            <v>7443214|96942400|765451327|65383612</v>
          </cell>
          <cell r="AR4995" t="str">
            <v>GASTO FISICO</v>
          </cell>
        </row>
        <row r="4996">
          <cell r="AQ4996" t="str">
            <v>7443214|96942400|765451327|65383612</v>
          </cell>
          <cell r="AR4996" t="str">
            <v>GASTO FISICO</v>
          </cell>
        </row>
        <row r="4997">
          <cell r="AQ4997" t="str">
            <v>7443214|96942400|765451327|65383612</v>
          </cell>
          <cell r="AR4997" t="str">
            <v>GASTO FISICO</v>
          </cell>
        </row>
        <row r="4998">
          <cell r="AQ4998" t="str">
            <v>7443214|96942400|765451328|765451328</v>
          </cell>
          <cell r="AR4998" t="str">
            <v>IMED SALUD</v>
          </cell>
        </row>
        <row r="4999">
          <cell r="AQ4999" t="str">
            <v>7443214|96942400|765451328|765451328</v>
          </cell>
          <cell r="AR4999" t="str">
            <v>IMED SALUD</v>
          </cell>
        </row>
        <row r="5000">
          <cell r="AQ5000" t="str">
            <v>7443214|96942400|765451328|765451328</v>
          </cell>
          <cell r="AR5000" t="str">
            <v>IMED SALUD</v>
          </cell>
        </row>
        <row r="5001">
          <cell r="AQ5001" t="str">
            <v>7443214|96942400|765451328|765451328</v>
          </cell>
          <cell r="AR5001" t="str">
            <v>IMED SALUD</v>
          </cell>
        </row>
        <row r="5002">
          <cell r="AQ5002" t="str">
            <v>7443214|96942400|765451328|765451328</v>
          </cell>
          <cell r="AR5002" t="str">
            <v>IMED SALUD</v>
          </cell>
        </row>
        <row r="5003">
          <cell r="AQ5003" t="str">
            <v>7443214|96942400|765451328|765451328</v>
          </cell>
          <cell r="AR5003" t="str">
            <v>IMED SALUD</v>
          </cell>
        </row>
        <row r="5004">
          <cell r="AQ5004" t="str">
            <v>7443214|96942400|765451328|765451328</v>
          </cell>
          <cell r="AR5004" t="str">
            <v>IMED SALUD</v>
          </cell>
        </row>
        <row r="5005">
          <cell r="AQ5005" t="str">
            <v>7443214|96942400|765451328|765451328</v>
          </cell>
          <cell r="AR5005" t="str">
            <v>IMED SALUD</v>
          </cell>
        </row>
        <row r="5006">
          <cell r="AQ5006" t="str">
            <v>7443214|96942400|765451328|765451328</v>
          </cell>
          <cell r="AR5006" t="str">
            <v>IMED SALUD</v>
          </cell>
        </row>
        <row r="5007">
          <cell r="AQ5007" t="str">
            <v>7443214|96942400|765451328|765451328</v>
          </cell>
          <cell r="AR5007" t="str">
            <v>IMED SALUD</v>
          </cell>
        </row>
        <row r="5008">
          <cell r="AQ5008" t="str">
            <v>7443214|96942400|765451328|65383613</v>
          </cell>
          <cell r="AR5008" t="str">
            <v>GASTO FISICO</v>
          </cell>
        </row>
        <row r="5009">
          <cell r="AQ5009" t="str">
            <v>7443214|96942400|765451328|65383613</v>
          </cell>
          <cell r="AR5009" t="str">
            <v>GASTO FISICO</v>
          </cell>
        </row>
        <row r="5010">
          <cell r="AQ5010" t="str">
            <v>7443214|96942400|765451328|65383613</v>
          </cell>
          <cell r="AR5010" t="str">
            <v>GASTO FISICO</v>
          </cell>
        </row>
        <row r="5011">
          <cell r="AQ5011" t="str">
            <v>7443214|96942400|765451328|65383613</v>
          </cell>
          <cell r="AR5011" t="str">
            <v>GASTO FISICO</v>
          </cell>
        </row>
        <row r="5012">
          <cell r="AQ5012" t="str">
            <v>7443214|96942400|765451328|65383613</v>
          </cell>
          <cell r="AR5012" t="str">
            <v>GASTO FISICO</v>
          </cell>
        </row>
        <row r="5013">
          <cell r="AQ5013" t="str">
            <v>7443214|96942400|765451329|765451329</v>
          </cell>
          <cell r="AR5013" t="str">
            <v>IMED SALUD</v>
          </cell>
        </row>
        <row r="5014">
          <cell r="AQ5014" t="str">
            <v>7443214|96942400|765451329|765451329</v>
          </cell>
          <cell r="AR5014" t="str">
            <v>IMED SALUD</v>
          </cell>
        </row>
        <row r="5015">
          <cell r="AQ5015" t="str">
            <v>7443214|96942400|765451329|765451329</v>
          </cell>
          <cell r="AR5015" t="str">
            <v>IMED SALUD</v>
          </cell>
        </row>
        <row r="5016">
          <cell r="AQ5016" t="str">
            <v>7443214|96942400|765451329|765451329</v>
          </cell>
          <cell r="AR5016" t="str">
            <v>IMED SALUD</v>
          </cell>
        </row>
        <row r="5017">
          <cell r="AQ5017" t="str">
            <v>7443214|96942400|765451329|65383614</v>
          </cell>
          <cell r="AR5017" t="str">
            <v>GASTO FISICO</v>
          </cell>
        </row>
        <row r="5018">
          <cell r="AQ5018" t="str">
            <v>7443214|96942400|765451329|65383614</v>
          </cell>
          <cell r="AR5018" t="str">
            <v>GASTO FISICO</v>
          </cell>
        </row>
        <row r="5019">
          <cell r="AQ5019" t="str">
            <v>7443214|96942400|765455439|765455439</v>
          </cell>
          <cell r="AR5019" t="str">
            <v>IMED SALUD</v>
          </cell>
        </row>
        <row r="5020">
          <cell r="AQ5020" t="str">
            <v>7443214|96942400|765455439|765455439</v>
          </cell>
          <cell r="AR5020" t="str">
            <v>IMED SALUD</v>
          </cell>
        </row>
        <row r="5021">
          <cell r="AQ5021" t="str">
            <v>7443214|96942400|765455439|65383615</v>
          </cell>
          <cell r="AR5021" t="str">
            <v>GASTO FISICO</v>
          </cell>
        </row>
        <row r="5022">
          <cell r="AQ5022" t="str">
            <v>7443214|96942400|765455450|765455450</v>
          </cell>
          <cell r="AR5022" t="str">
            <v>IMED SALUD</v>
          </cell>
        </row>
        <row r="5023">
          <cell r="AQ5023" t="str">
            <v>7443214|96942400|765455450|765455450</v>
          </cell>
          <cell r="AR5023" t="str">
            <v>IMED SALUD</v>
          </cell>
        </row>
        <row r="5024">
          <cell r="AQ5024" t="str">
            <v>7443214|96942400|765455450|65383616</v>
          </cell>
          <cell r="AR5024" t="str">
            <v>GASTO FISICO</v>
          </cell>
        </row>
        <row r="5025">
          <cell r="AQ5025" t="str">
            <v>7510562|76853020|929877332|929877332</v>
          </cell>
          <cell r="AR5025" t="str">
            <v>IMED SALUD</v>
          </cell>
        </row>
        <row r="5026">
          <cell r="AQ5026" t="str">
            <v>7510562|76853020|929877332|929877332</v>
          </cell>
          <cell r="AR5026" t="str">
            <v>IMED SALUD</v>
          </cell>
        </row>
        <row r="5027">
          <cell r="AQ5027" t="str">
            <v>7510562|76853020|929877332|929877332</v>
          </cell>
          <cell r="AR5027" t="str">
            <v>IMED SALUD</v>
          </cell>
        </row>
        <row r="5028">
          <cell r="AQ5028" t="str">
            <v>7510562|76853020|929877332|929877332</v>
          </cell>
          <cell r="AR5028" t="str">
            <v>IMED SALUD</v>
          </cell>
        </row>
        <row r="5029">
          <cell r="AQ5029" t="str">
            <v>7510562|76853020|929877332|65383617</v>
          </cell>
          <cell r="AR5029" t="str">
            <v>GASTO FISICO</v>
          </cell>
        </row>
        <row r="5030">
          <cell r="AQ5030" t="str">
            <v>7510562|76853020|929877332|65383617</v>
          </cell>
          <cell r="AR5030" t="str">
            <v>GASTO FISICO</v>
          </cell>
        </row>
        <row r="5031">
          <cell r="AQ5031" t="str">
            <v>7624195|77774340|372394538|372394538</v>
          </cell>
          <cell r="AR5031" t="str">
            <v>IMED SALUD</v>
          </cell>
        </row>
        <row r="5032">
          <cell r="AQ5032" t="str">
            <v>7624195|77774340|372394538|372394538</v>
          </cell>
          <cell r="AR5032" t="str">
            <v>IMED SALUD</v>
          </cell>
        </row>
        <row r="5033">
          <cell r="AQ5033" t="str">
            <v>7624195|77774340|372394538|372394538</v>
          </cell>
          <cell r="AR5033" t="str">
            <v>IMED SALUD</v>
          </cell>
        </row>
        <row r="5034">
          <cell r="AQ5034" t="str">
            <v>7624195|77774340|372394538|372394538</v>
          </cell>
          <cell r="AR5034" t="str">
            <v>IMED SALUD</v>
          </cell>
        </row>
        <row r="5035">
          <cell r="AQ5035" t="str">
            <v>7624195|77774340|372394538|65383618</v>
          </cell>
          <cell r="AR5035" t="str">
            <v>GASTO FISICO</v>
          </cell>
        </row>
        <row r="5036">
          <cell r="AQ5036" t="str">
            <v>7624195|77774340|372394538|65383618</v>
          </cell>
          <cell r="AR5036" t="str">
            <v>GASTO FISICO</v>
          </cell>
        </row>
        <row r="5037">
          <cell r="AQ5037" t="str">
            <v>7693346|96986050|371935385|371935385</v>
          </cell>
          <cell r="AR5037" t="str">
            <v>IMED SALUD</v>
          </cell>
        </row>
        <row r="5038">
          <cell r="AQ5038" t="str">
            <v>7693346|96986050|371935385|371935385</v>
          </cell>
          <cell r="AR5038" t="str">
            <v>IMED SALUD</v>
          </cell>
        </row>
        <row r="5039">
          <cell r="AQ5039" t="str">
            <v>7693346|96986050|371935385|371935385</v>
          </cell>
          <cell r="AR5039" t="str">
            <v>IMED SALUD</v>
          </cell>
        </row>
        <row r="5040">
          <cell r="AQ5040" t="str">
            <v>7693346|96986050|371935385|371935385</v>
          </cell>
          <cell r="AR5040" t="str">
            <v>IMED SALUD</v>
          </cell>
        </row>
        <row r="5041">
          <cell r="AQ5041" t="str">
            <v>7693346|96986050|371935385|371935385</v>
          </cell>
          <cell r="AR5041" t="str">
            <v>IMED SALUD</v>
          </cell>
        </row>
        <row r="5042">
          <cell r="AQ5042" t="str">
            <v>7693346|96986050|371935385|371935385</v>
          </cell>
          <cell r="AR5042" t="str">
            <v>IMED SALUD</v>
          </cell>
        </row>
        <row r="5043">
          <cell r="AQ5043" t="str">
            <v>7693346|96986050|371935385|371935385</v>
          </cell>
          <cell r="AR5043" t="str">
            <v>IMED SALUD</v>
          </cell>
        </row>
        <row r="5044">
          <cell r="AQ5044" t="str">
            <v>7693346|96986050|371935385|371935385</v>
          </cell>
          <cell r="AR5044" t="str">
            <v>IMED SALUD</v>
          </cell>
        </row>
        <row r="5045">
          <cell r="AQ5045" t="str">
            <v>7693346|96986050|371935385|65383619</v>
          </cell>
          <cell r="AR5045" t="str">
            <v>GASTO FISICO</v>
          </cell>
        </row>
        <row r="5046">
          <cell r="AQ5046" t="str">
            <v>7693346|96986050|371935385|65383619</v>
          </cell>
          <cell r="AR5046" t="str">
            <v>GASTO FISICO</v>
          </cell>
        </row>
        <row r="5047">
          <cell r="AQ5047" t="str">
            <v>7693346|96986050|371935385|65383619</v>
          </cell>
          <cell r="AR5047" t="str">
            <v>GASTO FISICO</v>
          </cell>
        </row>
        <row r="5048">
          <cell r="AQ5048" t="str">
            <v>7693346|96986050|371935385|65383619</v>
          </cell>
          <cell r="AR5048" t="str">
            <v>GASTO FISICO</v>
          </cell>
        </row>
        <row r="5049">
          <cell r="AQ5049" t="str">
            <v>7693346|96986050|371935386|371935386</v>
          </cell>
          <cell r="AR5049" t="str">
            <v>IMED SALUD</v>
          </cell>
        </row>
        <row r="5050">
          <cell r="AQ5050" t="str">
            <v>7693346|96986050|371935386|371935386</v>
          </cell>
          <cell r="AR5050" t="str">
            <v>IMED SALUD</v>
          </cell>
        </row>
        <row r="5051">
          <cell r="AQ5051" t="str">
            <v>7693346|96986050|371935386|65383620</v>
          </cell>
          <cell r="AR5051" t="str">
            <v>GASTO FISICO</v>
          </cell>
        </row>
        <row r="5052">
          <cell r="AQ5052" t="str">
            <v>7813243|92051000|136781436|136781436</v>
          </cell>
          <cell r="AR5052" t="str">
            <v>IMED SALUD</v>
          </cell>
        </row>
        <row r="5053">
          <cell r="AQ5053" t="str">
            <v>7813243|92051000|136781436|136781436</v>
          </cell>
          <cell r="AR5053" t="str">
            <v>IMED SALUD</v>
          </cell>
        </row>
        <row r="5054">
          <cell r="AQ5054" t="str">
            <v>7813243|92051000|136781436|136781436</v>
          </cell>
          <cell r="AR5054" t="str">
            <v>IMED SALUD</v>
          </cell>
        </row>
        <row r="5055">
          <cell r="AQ5055" t="str">
            <v>7813243|92051000|136781436|136781436</v>
          </cell>
          <cell r="AR5055" t="str">
            <v>IMED SALUD</v>
          </cell>
        </row>
        <row r="5056">
          <cell r="AQ5056" t="str">
            <v>7813243|92051000|136781436|136781436</v>
          </cell>
          <cell r="AR5056" t="str">
            <v>IMED SALUD</v>
          </cell>
        </row>
        <row r="5057">
          <cell r="AQ5057" t="str">
            <v>7813243|92051000|136781436|136781436</v>
          </cell>
          <cell r="AR5057" t="str">
            <v>IMED SALUD</v>
          </cell>
        </row>
        <row r="5058">
          <cell r="AQ5058" t="str">
            <v>7813243|92051000|136781436|136781436</v>
          </cell>
          <cell r="AR5058" t="str">
            <v>IMED SALUD</v>
          </cell>
        </row>
        <row r="5059">
          <cell r="AQ5059" t="str">
            <v>7813243|92051000|136781436|136781436</v>
          </cell>
          <cell r="AR5059" t="str">
            <v>IMED SALUD</v>
          </cell>
        </row>
        <row r="5060">
          <cell r="AQ5060" t="str">
            <v>7813243|92051000|136781436|136781436</v>
          </cell>
          <cell r="AR5060" t="str">
            <v>IMED SALUD</v>
          </cell>
        </row>
        <row r="5061">
          <cell r="AQ5061" t="str">
            <v>7813243|92051000|136781436|136781436</v>
          </cell>
          <cell r="AR5061" t="str">
            <v>IMED SALUD</v>
          </cell>
        </row>
        <row r="5062">
          <cell r="AQ5062" t="str">
            <v>7813243|92051000|136781436|65383628</v>
          </cell>
          <cell r="AR5062" t="str">
            <v>GASTO FISICO</v>
          </cell>
        </row>
        <row r="5063">
          <cell r="AQ5063" t="str">
            <v>7813243|92051000|136781436|65383628</v>
          </cell>
          <cell r="AR5063" t="str">
            <v>GASTO FISICO</v>
          </cell>
        </row>
        <row r="5064">
          <cell r="AQ5064" t="str">
            <v>7813243|92051000|136781436|65383628</v>
          </cell>
          <cell r="AR5064" t="str">
            <v>GASTO FISICO</v>
          </cell>
        </row>
        <row r="5065">
          <cell r="AQ5065" t="str">
            <v>7813243|92051000|136781436|65383628</v>
          </cell>
          <cell r="AR5065" t="str">
            <v>GASTO FISICO</v>
          </cell>
        </row>
        <row r="5066">
          <cell r="AQ5066" t="str">
            <v>7813243|92051000|136781436|65383628</v>
          </cell>
          <cell r="AR5066" t="str">
            <v>GASTO FISICO</v>
          </cell>
        </row>
        <row r="5067">
          <cell r="AQ5067" t="str">
            <v>7813243|92051000|136781437|136781437</v>
          </cell>
          <cell r="AR5067" t="str">
            <v>IMED SALUD</v>
          </cell>
        </row>
        <row r="5068">
          <cell r="AQ5068" t="str">
            <v>7813243|92051000|136781437|136781437</v>
          </cell>
          <cell r="AR5068" t="str">
            <v>IMED SALUD</v>
          </cell>
        </row>
        <row r="5069">
          <cell r="AQ5069" t="str">
            <v>7813243|92051000|136781437|136781437</v>
          </cell>
          <cell r="AR5069" t="str">
            <v>IMED SALUD</v>
          </cell>
        </row>
        <row r="5070">
          <cell r="AQ5070" t="str">
            <v>7813243|92051000|136781437|136781437</v>
          </cell>
          <cell r="AR5070" t="str">
            <v>IMED SALUD</v>
          </cell>
        </row>
        <row r="5071">
          <cell r="AQ5071" t="str">
            <v>7813243|92051000|136781437|136781437</v>
          </cell>
          <cell r="AR5071" t="str">
            <v>IMED SALUD</v>
          </cell>
        </row>
        <row r="5072">
          <cell r="AQ5072" t="str">
            <v>7813243|92051000|136781437|136781437</v>
          </cell>
          <cell r="AR5072" t="str">
            <v>IMED SALUD</v>
          </cell>
        </row>
        <row r="5073">
          <cell r="AQ5073" t="str">
            <v>7813243|92051000|136781437|136781437</v>
          </cell>
          <cell r="AR5073" t="str">
            <v>IMED SALUD</v>
          </cell>
        </row>
        <row r="5074">
          <cell r="AQ5074" t="str">
            <v>7813243|92051000|136781437|136781437</v>
          </cell>
          <cell r="AR5074" t="str">
            <v>IMED SALUD</v>
          </cell>
        </row>
        <row r="5075">
          <cell r="AQ5075" t="str">
            <v>7813243|92051000|136781437|136781437</v>
          </cell>
          <cell r="AR5075" t="str">
            <v>IMED SALUD</v>
          </cell>
        </row>
        <row r="5076">
          <cell r="AQ5076" t="str">
            <v>7813243|92051000|136781437|136781437</v>
          </cell>
          <cell r="AR5076" t="str">
            <v>IMED SALUD</v>
          </cell>
        </row>
        <row r="5077">
          <cell r="AQ5077" t="str">
            <v>7813243|92051000|136781437|65383629</v>
          </cell>
          <cell r="AR5077" t="str">
            <v>GASTO FISICO</v>
          </cell>
        </row>
        <row r="5078">
          <cell r="AQ5078" t="str">
            <v>7813243|92051000|136781437|65383629</v>
          </cell>
          <cell r="AR5078" t="str">
            <v>GASTO FISICO</v>
          </cell>
        </row>
        <row r="5079">
          <cell r="AQ5079" t="str">
            <v>7813243|92051000|136781437|65383629</v>
          </cell>
          <cell r="AR5079" t="str">
            <v>GASTO FISICO</v>
          </cell>
        </row>
        <row r="5080">
          <cell r="AQ5080" t="str">
            <v>7813243|92051000|136781437|65383629</v>
          </cell>
          <cell r="AR5080" t="str">
            <v>GASTO FISICO</v>
          </cell>
        </row>
        <row r="5081">
          <cell r="AQ5081" t="str">
            <v>7813243|92051000|136781437|65383629</v>
          </cell>
          <cell r="AR5081" t="str">
            <v>GASTO FISICO</v>
          </cell>
        </row>
        <row r="5082">
          <cell r="AQ5082" t="str">
            <v>7813243|92051000|136781438|136781438</v>
          </cell>
          <cell r="AR5082" t="str">
            <v>IMED SALUD</v>
          </cell>
        </row>
        <row r="5083">
          <cell r="AQ5083" t="str">
            <v>7813243|92051000|136781438|136781438</v>
          </cell>
          <cell r="AR5083" t="str">
            <v>IMED SALUD</v>
          </cell>
        </row>
        <row r="5084">
          <cell r="AQ5084" t="str">
            <v>7813243|92051000|136781438|136781438</v>
          </cell>
          <cell r="AR5084" t="str">
            <v>IMED SALUD</v>
          </cell>
        </row>
        <row r="5085">
          <cell r="AQ5085" t="str">
            <v>7813243|92051000|136781438|136781438</v>
          </cell>
          <cell r="AR5085" t="str">
            <v>IMED SALUD</v>
          </cell>
        </row>
        <row r="5086">
          <cell r="AQ5086" t="str">
            <v>7813243|92051000|136781438|136781438</v>
          </cell>
          <cell r="AR5086" t="str">
            <v>IMED SALUD</v>
          </cell>
        </row>
        <row r="5087">
          <cell r="AQ5087" t="str">
            <v>7813243|92051000|136781438|136781438</v>
          </cell>
          <cell r="AR5087" t="str">
            <v>IMED SALUD</v>
          </cell>
        </row>
        <row r="5088">
          <cell r="AQ5088" t="str">
            <v>7813243|92051000|136781438|136781438</v>
          </cell>
          <cell r="AR5088" t="str">
            <v>IMED SALUD</v>
          </cell>
        </row>
        <row r="5089">
          <cell r="AQ5089" t="str">
            <v>7813243|92051000|136781438|136781438</v>
          </cell>
          <cell r="AR5089" t="str">
            <v>IMED SALUD</v>
          </cell>
        </row>
        <row r="5090">
          <cell r="AQ5090" t="str">
            <v>7813243|92051000|136781438|136781438</v>
          </cell>
          <cell r="AR5090" t="str">
            <v>IMED SALUD</v>
          </cell>
        </row>
        <row r="5091">
          <cell r="AQ5091" t="str">
            <v>7813243|92051000|136781438|136781438</v>
          </cell>
          <cell r="AR5091" t="str">
            <v>IMED SALUD</v>
          </cell>
        </row>
        <row r="5092">
          <cell r="AQ5092" t="str">
            <v>7813243|92051000|136781438|65383630</v>
          </cell>
          <cell r="AR5092" t="str">
            <v>GASTO FISICO</v>
          </cell>
        </row>
        <row r="5093">
          <cell r="AQ5093" t="str">
            <v>7813243|92051000|136781438|65383630</v>
          </cell>
          <cell r="AR5093" t="str">
            <v>GASTO FISICO</v>
          </cell>
        </row>
        <row r="5094">
          <cell r="AQ5094" t="str">
            <v>7813243|92051000|136781438|65383630</v>
          </cell>
          <cell r="AR5094" t="str">
            <v>GASTO FISICO</v>
          </cell>
        </row>
        <row r="5095">
          <cell r="AQ5095" t="str">
            <v>7813243|92051000|136781438|65383630</v>
          </cell>
          <cell r="AR5095" t="str">
            <v>GASTO FISICO</v>
          </cell>
        </row>
        <row r="5096">
          <cell r="AQ5096" t="str">
            <v>7813243|92051000|136781438|65383630</v>
          </cell>
          <cell r="AR5096" t="str">
            <v>GASTO FISICO</v>
          </cell>
        </row>
        <row r="5097">
          <cell r="AQ5097" t="str">
            <v>7813243|92051000|136781439|136781439</v>
          </cell>
          <cell r="AR5097" t="str">
            <v>IMED SALUD</v>
          </cell>
        </row>
        <row r="5098">
          <cell r="AQ5098" t="str">
            <v>7813243|92051000|136781439|136781439</v>
          </cell>
          <cell r="AR5098" t="str">
            <v>IMED SALUD</v>
          </cell>
        </row>
        <row r="5099">
          <cell r="AQ5099" t="str">
            <v>7813243|92051000|136781439|136781439</v>
          </cell>
          <cell r="AR5099" t="str">
            <v>IMED SALUD</v>
          </cell>
        </row>
        <row r="5100">
          <cell r="AQ5100" t="str">
            <v>7813243|92051000|136781439|136781439</v>
          </cell>
          <cell r="AR5100" t="str">
            <v>IMED SALUD</v>
          </cell>
        </row>
        <row r="5101">
          <cell r="AQ5101" t="str">
            <v>7813243|92051000|136781439|65383631</v>
          </cell>
          <cell r="AR5101" t="str">
            <v>GASTO FISICO</v>
          </cell>
        </row>
        <row r="5102">
          <cell r="AQ5102" t="str">
            <v>7820720|96986050|929666151|929666151</v>
          </cell>
          <cell r="AR5102" t="str">
            <v>IMED SALUD</v>
          </cell>
        </row>
        <row r="5103">
          <cell r="AQ5103" t="str">
            <v>7820720|96986050|929666151|929666151</v>
          </cell>
          <cell r="AR5103" t="str">
            <v>IMED SALUD</v>
          </cell>
        </row>
        <row r="5104">
          <cell r="AQ5104" t="str">
            <v>7820720|96986050|929666151|929666151</v>
          </cell>
          <cell r="AR5104" t="str">
            <v>IMED SALUD</v>
          </cell>
        </row>
        <row r="5105">
          <cell r="AQ5105" t="str">
            <v>7820720|96986050|929666151|929666151</v>
          </cell>
          <cell r="AR5105" t="str">
            <v>IMED SALUD</v>
          </cell>
        </row>
        <row r="5106">
          <cell r="AQ5106" t="str">
            <v>7820720|96986050|929666151|65383632</v>
          </cell>
          <cell r="AR5106" t="str">
            <v>GASTO FISICO</v>
          </cell>
        </row>
        <row r="5107">
          <cell r="AQ5107" t="str">
            <v>7820720|96986050|929666151|65383632</v>
          </cell>
          <cell r="AR5107" t="str">
            <v>GASTO FISICO</v>
          </cell>
        </row>
        <row r="5108">
          <cell r="AQ5108" t="str">
            <v>7820720|96986050|929666152|929666152</v>
          </cell>
          <cell r="AR5108" t="str">
            <v>IMED SALUD</v>
          </cell>
        </row>
        <row r="5109">
          <cell r="AQ5109" t="str">
            <v>7820720|96986050|929666152|929666152</v>
          </cell>
          <cell r="AR5109" t="str">
            <v>IMED SALUD</v>
          </cell>
        </row>
        <row r="5110">
          <cell r="AQ5110" t="str">
            <v>7820720|96986050|929666152|929666152</v>
          </cell>
          <cell r="AR5110" t="str">
            <v>IMED SALUD</v>
          </cell>
        </row>
        <row r="5111">
          <cell r="AQ5111" t="str">
            <v>7820720|96986050|929666152|929666152</v>
          </cell>
          <cell r="AR5111" t="str">
            <v>IMED SALUD</v>
          </cell>
        </row>
        <row r="5112">
          <cell r="AQ5112" t="str">
            <v>7820720|96986050|929666152|929666152</v>
          </cell>
          <cell r="AR5112" t="str">
            <v>IMED SALUD</v>
          </cell>
        </row>
        <row r="5113">
          <cell r="AQ5113" t="str">
            <v>7820720|96986050|929666152|929666152</v>
          </cell>
          <cell r="AR5113" t="str">
            <v>IMED SALUD</v>
          </cell>
        </row>
        <row r="5114">
          <cell r="AQ5114" t="str">
            <v>7820720|96986050|929666152|929666152</v>
          </cell>
          <cell r="AR5114" t="str">
            <v>IMED SALUD</v>
          </cell>
        </row>
        <row r="5115">
          <cell r="AQ5115" t="str">
            <v>7820720|96986050|929666152|929666152</v>
          </cell>
          <cell r="AR5115" t="str">
            <v>IMED SALUD</v>
          </cell>
        </row>
        <row r="5116">
          <cell r="AQ5116" t="str">
            <v>7820720|96986050|929666152|929666152</v>
          </cell>
          <cell r="AR5116" t="str">
            <v>IMED SALUD</v>
          </cell>
        </row>
        <row r="5117">
          <cell r="AQ5117" t="str">
            <v>7820720|96986050|929666152|929666152</v>
          </cell>
          <cell r="AR5117" t="str">
            <v>IMED SALUD</v>
          </cell>
        </row>
        <row r="5118">
          <cell r="AQ5118" t="str">
            <v>7820720|96986050|929666152|65383633</v>
          </cell>
          <cell r="AR5118" t="str">
            <v>GASTO FISICO</v>
          </cell>
        </row>
        <row r="5119">
          <cell r="AQ5119" t="str">
            <v>7820720|96986050|929666152|65383633</v>
          </cell>
          <cell r="AR5119" t="str">
            <v>GASTO FISICO</v>
          </cell>
        </row>
        <row r="5120">
          <cell r="AQ5120" t="str">
            <v>7820720|96986050|929666153|929666153</v>
          </cell>
          <cell r="AR5120" t="str">
            <v>IMED SALUD</v>
          </cell>
        </row>
        <row r="5121">
          <cell r="AQ5121" t="str">
            <v>7820720|96986050|929666153|929666153</v>
          </cell>
          <cell r="AR5121" t="str">
            <v>IMED SALUD</v>
          </cell>
        </row>
        <row r="5122">
          <cell r="AQ5122" t="str">
            <v>7820720|96986050|929666153|929666153</v>
          </cell>
          <cell r="AR5122" t="str">
            <v>IMED SALUD</v>
          </cell>
        </row>
        <row r="5123">
          <cell r="AQ5123" t="str">
            <v>7820720|96986050|929666153|929666153</v>
          </cell>
          <cell r="AR5123" t="str">
            <v>IMED SALUD</v>
          </cell>
        </row>
        <row r="5124">
          <cell r="AQ5124" t="str">
            <v>7820720|96986050|929666153|929666153</v>
          </cell>
          <cell r="AR5124" t="str">
            <v>IMED SALUD</v>
          </cell>
        </row>
        <row r="5125">
          <cell r="AQ5125" t="str">
            <v>7820720|96986050|929666153|929666153</v>
          </cell>
          <cell r="AR5125" t="str">
            <v>IMED SALUD</v>
          </cell>
        </row>
        <row r="5126">
          <cell r="AQ5126" t="str">
            <v>7820720|96986050|929666153|929666153</v>
          </cell>
          <cell r="AR5126" t="str">
            <v>IMED SALUD</v>
          </cell>
        </row>
        <row r="5127">
          <cell r="AQ5127" t="str">
            <v>7820720|96986050|929666153|929666153</v>
          </cell>
          <cell r="AR5127" t="str">
            <v>IMED SALUD</v>
          </cell>
        </row>
        <row r="5128">
          <cell r="AQ5128" t="str">
            <v>7820720|96986050|929666153|65383634</v>
          </cell>
          <cell r="AR5128" t="str">
            <v>GASTO FISICO</v>
          </cell>
        </row>
        <row r="5129">
          <cell r="AQ5129" t="str">
            <v>7820720|96986050|929666153|65383634</v>
          </cell>
          <cell r="AR5129" t="str">
            <v>GASTO FISICO</v>
          </cell>
        </row>
        <row r="5130">
          <cell r="AQ5130" t="str">
            <v>7820720|96986050|929666153|65383634</v>
          </cell>
          <cell r="AR5130" t="str">
            <v>GASTO FISICO</v>
          </cell>
        </row>
        <row r="5131">
          <cell r="AQ5131" t="str">
            <v>7849980|96617350|372127324|372127324</v>
          </cell>
          <cell r="AR5131" t="str">
            <v>IMED SALUD</v>
          </cell>
        </row>
        <row r="5132">
          <cell r="AQ5132" t="str">
            <v>7849980|96617350|372127324|372127324</v>
          </cell>
          <cell r="AR5132" t="str">
            <v>IMED SALUD</v>
          </cell>
        </row>
        <row r="5133">
          <cell r="AQ5133" t="str">
            <v>7849980|96617350|372127324|65383635</v>
          </cell>
          <cell r="AR5133" t="str">
            <v>GASTO FISICO</v>
          </cell>
        </row>
        <row r="5134">
          <cell r="AQ5134" t="str">
            <v>7849980|96617350|372127325|372127325</v>
          </cell>
          <cell r="AR5134" t="str">
            <v>IMED SALUD</v>
          </cell>
        </row>
        <row r="5135">
          <cell r="AQ5135" t="str">
            <v>7849980|96617350|372127325|372127325</v>
          </cell>
          <cell r="AR5135" t="str">
            <v>IMED SALUD</v>
          </cell>
        </row>
        <row r="5136">
          <cell r="AQ5136" t="str">
            <v>7849980|96617350|372127325|65383636</v>
          </cell>
          <cell r="AR5136" t="str">
            <v>GASTO FISICO</v>
          </cell>
        </row>
        <row r="5137">
          <cell r="AQ5137" t="str">
            <v>7895144|96986050|136814362|136814362</v>
          </cell>
          <cell r="AR5137" t="str">
            <v>IMED SALUD</v>
          </cell>
        </row>
        <row r="5138">
          <cell r="AQ5138" t="str">
            <v>7895144|96986050|136814362|136814362</v>
          </cell>
          <cell r="AR5138" t="str">
            <v>IMED SALUD</v>
          </cell>
        </row>
        <row r="5139">
          <cell r="AQ5139" t="str">
            <v>7895144|96986050|136814362|136814362</v>
          </cell>
          <cell r="AR5139" t="str">
            <v>IMED SALUD</v>
          </cell>
        </row>
        <row r="5140">
          <cell r="AQ5140" t="str">
            <v>7895144|96986050|136814362|136814362</v>
          </cell>
          <cell r="AR5140" t="str">
            <v>IMED SALUD</v>
          </cell>
        </row>
        <row r="5141">
          <cell r="AQ5141" t="str">
            <v>7895144|96986050|136814362|136814362</v>
          </cell>
          <cell r="AR5141" t="str">
            <v>IMED SALUD</v>
          </cell>
        </row>
        <row r="5142">
          <cell r="AQ5142" t="str">
            <v>7895144|96986050|136814362|136814362</v>
          </cell>
          <cell r="AR5142" t="str">
            <v>IMED SALUD</v>
          </cell>
        </row>
        <row r="5143">
          <cell r="AQ5143" t="str">
            <v>7895144|96986050|136814362|136814362</v>
          </cell>
          <cell r="AR5143" t="str">
            <v>IMED SALUD</v>
          </cell>
        </row>
        <row r="5144">
          <cell r="AQ5144" t="str">
            <v>7895144|96986050|136814362|136814362</v>
          </cell>
          <cell r="AR5144" t="str">
            <v>IMED SALUD</v>
          </cell>
        </row>
        <row r="5145">
          <cell r="AQ5145" t="str">
            <v>7895144|96986050|136814362|136814362</v>
          </cell>
          <cell r="AR5145" t="str">
            <v>IMED SALUD</v>
          </cell>
        </row>
        <row r="5146">
          <cell r="AQ5146" t="str">
            <v>7895144|96986050|136814362|136814362</v>
          </cell>
          <cell r="AR5146" t="str">
            <v>IMED SALUD</v>
          </cell>
        </row>
        <row r="5147">
          <cell r="AQ5147" t="str">
            <v>7895144|96986050|136814362|65383637</v>
          </cell>
          <cell r="AR5147" t="str">
            <v>GASTO FISICO</v>
          </cell>
        </row>
        <row r="5148">
          <cell r="AQ5148" t="str">
            <v>7895144|96986050|136814362|65383637</v>
          </cell>
          <cell r="AR5148" t="str">
            <v>GASTO FISICO</v>
          </cell>
        </row>
        <row r="5149">
          <cell r="AQ5149" t="str">
            <v>7895144|96986050|136814362|65383637</v>
          </cell>
          <cell r="AR5149" t="str">
            <v>GASTO FISICO</v>
          </cell>
        </row>
        <row r="5150">
          <cell r="AQ5150" t="str">
            <v>7895144|96986050|136814362|65383637</v>
          </cell>
          <cell r="AR5150" t="str">
            <v>GASTO FISICO</v>
          </cell>
        </row>
        <row r="5151">
          <cell r="AQ5151" t="str">
            <v>7895144|96986050|136814362|65383637</v>
          </cell>
          <cell r="AR5151" t="str">
            <v>GASTO FISICO</v>
          </cell>
        </row>
        <row r="5152">
          <cell r="AQ5152" t="str">
            <v>7895144|96986050|136814363|136814363</v>
          </cell>
          <cell r="AR5152" t="str">
            <v>IMED SALUD</v>
          </cell>
        </row>
        <row r="5153">
          <cell r="AQ5153" t="str">
            <v>7895144|96986050|136814363|136814363</v>
          </cell>
          <cell r="AR5153" t="str">
            <v>IMED SALUD</v>
          </cell>
        </row>
        <row r="5154">
          <cell r="AQ5154" t="str">
            <v>7895144|96986050|136814363|136814363</v>
          </cell>
          <cell r="AR5154" t="str">
            <v>IMED SALUD</v>
          </cell>
        </row>
        <row r="5155">
          <cell r="AQ5155" t="str">
            <v>7895144|96986050|136814363|136814363</v>
          </cell>
          <cell r="AR5155" t="str">
            <v>IMED SALUD</v>
          </cell>
        </row>
        <row r="5156">
          <cell r="AQ5156" t="str">
            <v>7895144|96986050|136814363|136814363</v>
          </cell>
          <cell r="AR5156" t="str">
            <v>IMED SALUD</v>
          </cell>
        </row>
        <row r="5157">
          <cell r="AQ5157" t="str">
            <v>7895144|96986050|136814363|136814363</v>
          </cell>
          <cell r="AR5157" t="str">
            <v>IMED SALUD</v>
          </cell>
        </row>
        <row r="5158">
          <cell r="AQ5158" t="str">
            <v>7895144|96986050|136814363|136814363</v>
          </cell>
          <cell r="AR5158" t="str">
            <v>IMED SALUD</v>
          </cell>
        </row>
        <row r="5159">
          <cell r="AQ5159" t="str">
            <v>7895144|96986050|136814363|136814363</v>
          </cell>
          <cell r="AR5159" t="str">
            <v>IMED SALUD</v>
          </cell>
        </row>
        <row r="5160">
          <cell r="AQ5160" t="str">
            <v>7895144|96986050|136814363|136814363</v>
          </cell>
          <cell r="AR5160" t="str">
            <v>IMED SALUD</v>
          </cell>
        </row>
        <row r="5161">
          <cell r="AQ5161" t="str">
            <v>7895144|96986050|136814363|136814363</v>
          </cell>
          <cell r="AR5161" t="str">
            <v>IMED SALUD</v>
          </cell>
        </row>
        <row r="5162">
          <cell r="AQ5162" t="str">
            <v>7895144|96986050|136814363|65383638</v>
          </cell>
          <cell r="AR5162" t="str">
            <v>GASTO FISICO</v>
          </cell>
        </row>
        <row r="5163">
          <cell r="AQ5163" t="str">
            <v>7895144|96986050|136814363|65383638</v>
          </cell>
          <cell r="AR5163" t="str">
            <v>GASTO FISICO</v>
          </cell>
        </row>
        <row r="5164">
          <cell r="AQ5164" t="str">
            <v>7895144|96986050|136814363|65383638</v>
          </cell>
          <cell r="AR5164" t="str">
            <v>GASTO FISICO</v>
          </cell>
        </row>
        <row r="5165">
          <cell r="AQ5165" t="str">
            <v>7895144|96986050|136814363|65383638</v>
          </cell>
          <cell r="AR5165" t="str">
            <v>GASTO FISICO</v>
          </cell>
        </row>
        <row r="5166">
          <cell r="AQ5166" t="str">
            <v>7895144|96986050|136814363|65383638</v>
          </cell>
          <cell r="AR5166" t="str">
            <v>GASTO FISICO</v>
          </cell>
        </row>
        <row r="5167">
          <cell r="AQ5167" t="str">
            <v>8090641|70335000|8119829|22012677</v>
          </cell>
          <cell r="AR5167" t="str">
            <v>GASTO FISICO</v>
          </cell>
        </row>
        <row r="5168">
          <cell r="AQ5168" t="str">
            <v>8090641|70335000|8119829|22012677</v>
          </cell>
          <cell r="AR5168" t="str">
            <v>GASTO FISICO</v>
          </cell>
        </row>
        <row r="5169">
          <cell r="AQ5169" t="str">
            <v>8090641|70335000|8119829|22012677</v>
          </cell>
          <cell r="AR5169" t="str">
            <v>GASTO FISICO</v>
          </cell>
        </row>
        <row r="5170">
          <cell r="AQ5170" t="str">
            <v>8090641|70335000|8119829|985151</v>
          </cell>
          <cell r="AR5170" t="str">
            <v>GASTO FISICO</v>
          </cell>
        </row>
        <row r="5171">
          <cell r="AQ5171" t="str">
            <v>8090641|70335000|8119829|985151</v>
          </cell>
          <cell r="AR5171" t="str">
            <v>GASTO FISICO</v>
          </cell>
        </row>
        <row r="5172">
          <cell r="AQ5172" t="str">
            <v>8090641|70335000|8119829|985151</v>
          </cell>
          <cell r="AR5172" t="str">
            <v>GASTO FISICO</v>
          </cell>
        </row>
        <row r="5173">
          <cell r="AQ5173" t="str">
            <v>8090641|70335000|8119829|65212910</v>
          </cell>
          <cell r="AR5173" t="str">
            <v>GASTO FISICO</v>
          </cell>
        </row>
        <row r="5174">
          <cell r="AQ5174" t="str">
            <v>8090641|70335000|8119829|65212910</v>
          </cell>
          <cell r="AR5174" t="str">
            <v>GASTO FISICO</v>
          </cell>
        </row>
        <row r="5175">
          <cell r="AQ5175" t="str">
            <v>8090641|70335000|8119829|65212910</v>
          </cell>
          <cell r="AR5175" t="str">
            <v>GASTO FISICO</v>
          </cell>
        </row>
        <row r="5176">
          <cell r="AQ5176" t="str">
            <v>8090641|77687110|920826914|920826914</v>
          </cell>
          <cell r="AR5176" t="str">
            <v>IMED SALUD</v>
          </cell>
        </row>
        <row r="5177">
          <cell r="AQ5177" t="str">
            <v>8090641|77687110|920826914|920826914</v>
          </cell>
          <cell r="AR5177" t="str">
            <v>IMED SALUD</v>
          </cell>
        </row>
        <row r="5178">
          <cell r="AQ5178" t="str">
            <v>8090641|77687110|920826914|920826914</v>
          </cell>
          <cell r="AR5178" t="str">
            <v>IMED SALUD</v>
          </cell>
        </row>
        <row r="5179">
          <cell r="AQ5179" t="str">
            <v>8090641|77687110|920826914|920826914</v>
          </cell>
          <cell r="AR5179" t="str">
            <v>IMED SALUD</v>
          </cell>
        </row>
        <row r="5180">
          <cell r="AQ5180" t="str">
            <v>8090641|77687110|920826914|920826914</v>
          </cell>
          <cell r="AR5180" t="str">
            <v>IMED SALUD</v>
          </cell>
        </row>
        <row r="5181">
          <cell r="AQ5181" t="str">
            <v>8090641|77687110|920826914|920826914</v>
          </cell>
          <cell r="AR5181" t="str">
            <v>IMED SALUD</v>
          </cell>
        </row>
        <row r="5182">
          <cell r="AQ5182" t="str">
            <v>8090641|77687110|920826914|920826914</v>
          </cell>
          <cell r="AR5182" t="str">
            <v>IMED SALUD</v>
          </cell>
        </row>
        <row r="5183">
          <cell r="AQ5183" t="str">
            <v>8090641|77687110|920826914|920826914</v>
          </cell>
          <cell r="AR5183" t="str">
            <v>IMED SALUD</v>
          </cell>
        </row>
        <row r="5184">
          <cell r="AQ5184" t="str">
            <v>8090641|77687110|920826914|920826914</v>
          </cell>
          <cell r="AR5184" t="str">
            <v>IMED SALUD</v>
          </cell>
        </row>
        <row r="5185">
          <cell r="AQ5185" t="str">
            <v>8090641|77687110|920826914|920826914</v>
          </cell>
          <cell r="AR5185" t="str">
            <v>IMED SALUD</v>
          </cell>
        </row>
        <row r="5186">
          <cell r="AQ5186" t="str">
            <v>8090641|77687110|920826914|65383639</v>
          </cell>
          <cell r="AR5186" t="str">
            <v>GASTO FISICO</v>
          </cell>
        </row>
        <row r="5187">
          <cell r="AQ5187" t="str">
            <v>8090641|77687110|920826914|65383639</v>
          </cell>
          <cell r="AR5187" t="str">
            <v>GASTO FISICO</v>
          </cell>
        </row>
        <row r="5188">
          <cell r="AQ5188" t="str">
            <v>8090641|77687110|920826914|65383639</v>
          </cell>
          <cell r="AR5188" t="str">
            <v>GASTO FISICO</v>
          </cell>
        </row>
        <row r="5189">
          <cell r="AQ5189" t="str">
            <v>8090641|77687110|920826914|65383639</v>
          </cell>
          <cell r="AR5189" t="str">
            <v>GASTO FISICO</v>
          </cell>
        </row>
        <row r="5190">
          <cell r="AQ5190" t="str">
            <v>8090641|77687110|920826914|65383639</v>
          </cell>
          <cell r="AR5190" t="str">
            <v>GASTO FISICO</v>
          </cell>
        </row>
        <row r="5191">
          <cell r="AQ5191" t="str">
            <v>8112419|93915000|930178609|930178609</v>
          </cell>
          <cell r="AR5191" t="str">
            <v>IMED SALUD</v>
          </cell>
        </row>
        <row r="5192">
          <cell r="AQ5192" t="str">
            <v>8112419|93915000|930178609|930178609</v>
          </cell>
          <cell r="AR5192" t="str">
            <v>IMED SALUD</v>
          </cell>
        </row>
        <row r="5193">
          <cell r="AQ5193" t="str">
            <v>8112419|93915000|930178609|65383640</v>
          </cell>
          <cell r="AR5193" t="str">
            <v>GASTO FISICO</v>
          </cell>
        </row>
        <row r="5194">
          <cell r="AQ5194" t="str">
            <v>8174278|77200240|370923527|370923527</v>
          </cell>
          <cell r="AR5194" t="str">
            <v>IMED SALUD</v>
          </cell>
        </row>
        <row r="5195">
          <cell r="AQ5195" t="str">
            <v>8174278|77200240|370923527|370923527</v>
          </cell>
          <cell r="AR5195" t="str">
            <v>IMED SALUD</v>
          </cell>
        </row>
        <row r="5196">
          <cell r="AQ5196" t="str">
            <v>8174278|77200240|370923527|65383641</v>
          </cell>
          <cell r="AR5196" t="str">
            <v>GASTO FISICO</v>
          </cell>
        </row>
        <row r="5197">
          <cell r="AQ5197" t="str">
            <v>8174278|77200240|372069479|372069479</v>
          </cell>
          <cell r="AR5197" t="str">
            <v>IMED SALUD</v>
          </cell>
        </row>
        <row r="5198">
          <cell r="AQ5198" t="str">
            <v>8174278|77200240|372069479|372069479</v>
          </cell>
          <cell r="AR5198" t="str">
            <v>IMED SALUD</v>
          </cell>
        </row>
        <row r="5199">
          <cell r="AQ5199" t="str">
            <v>8174278|77200240|372069479|372069479</v>
          </cell>
          <cell r="AR5199" t="str">
            <v>IMED SALUD</v>
          </cell>
        </row>
        <row r="5200">
          <cell r="AQ5200" t="str">
            <v>8174278|77200240|372069479|372069479</v>
          </cell>
          <cell r="AR5200" t="str">
            <v>IMED SALUD</v>
          </cell>
        </row>
        <row r="5201">
          <cell r="AQ5201" t="str">
            <v>8174278|77200240|372069479|65383642</v>
          </cell>
          <cell r="AR5201" t="str">
            <v>GASTO FISICO</v>
          </cell>
        </row>
        <row r="5202">
          <cell r="AQ5202" t="str">
            <v>8174278|77200240|372069479|65383642</v>
          </cell>
          <cell r="AR5202" t="str">
            <v>GASTO FISICO</v>
          </cell>
        </row>
        <row r="5203">
          <cell r="AQ5203" t="str">
            <v>8179361|96986050|371351490|371351490</v>
          </cell>
          <cell r="AR5203" t="str">
            <v>IMED SALUD</v>
          </cell>
        </row>
        <row r="5204">
          <cell r="AQ5204" t="str">
            <v>8179361|96986050|371351490|371351490</v>
          </cell>
          <cell r="AR5204" t="str">
            <v>IMED SALUD</v>
          </cell>
        </row>
        <row r="5205">
          <cell r="AQ5205" t="str">
            <v>8179361|96986050|371351490|371351490</v>
          </cell>
          <cell r="AR5205" t="str">
            <v>IMED SALUD</v>
          </cell>
        </row>
        <row r="5206">
          <cell r="AQ5206" t="str">
            <v>8179361|96986050|371351490|371351490</v>
          </cell>
          <cell r="AR5206" t="str">
            <v>IMED SALUD</v>
          </cell>
        </row>
        <row r="5207">
          <cell r="AQ5207" t="str">
            <v>8179361|96986050|371351490|371351490</v>
          </cell>
          <cell r="AR5207" t="str">
            <v>IMED SALUD</v>
          </cell>
        </row>
        <row r="5208">
          <cell r="AQ5208" t="str">
            <v>8179361|96986050|371351490|371351490</v>
          </cell>
          <cell r="AR5208" t="str">
            <v>IMED SALUD</v>
          </cell>
        </row>
        <row r="5209">
          <cell r="AQ5209" t="str">
            <v>8179361|96986050|371351490|371351490</v>
          </cell>
          <cell r="AR5209" t="str">
            <v>IMED SALUD</v>
          </cell>
        </row>
        <row r="5210">
          <cell r="AQ5210" t="str">
            <v>8179361|96986050|371351490|371351490</v>
          </cell>
          <cell r="AR5210" t="str">
            <v>IMED SALUD</v>
          </cell>
        </row>
        <row r="5211">
          <cell r="AQ5211" t="str">
            <v>8179361|96986050|371351490|371351490</v>
          </cell>
          <cell r="AR5211" t="str">
            <v>IMED SALUD</v>
          </cell>
        </row>
        <row r="5212">
          <cell r="AQ5212" t="str">
            <v>8179361|96986050|371351490|371351490</v>
          </cell>
          <cell r="AR5212" t="str">
            <v>IMED SALUD</v>
          </cell>
        </row>
        <row r="5213">
          <cell r="AQ5213" t="str">
            <v>8179361|96986050|371351490|65383644</v>
          </cell>
          <cell r="AR5213" t="str">
            <v>GASTO FISICO</v>
          </cell>
        </row>
        <row r="5214">
          <cell r="AQ5214" t="str">
            <v>8179361|96986050|371351490|65383644</v>
          </cell>
          <cell r="AR5214" t="str">
            <v>GASTO FISICO</v>
          </cell>
        </row>
        <row r="5215">
          <cell r="AQ5215" t="str">
            <v>8179361|96986050|371351490|65383644</v>
          </cell>
          <cell r="AR5215" t="str">
            <v>GASTO FISICO</v>
          </cell>
        </row>
        <row r="5216">
          <cell r="AQ5216" t="str">
            <v>8179361|96986050|371351490|65383644</v>
          </cell>
          <cell r="AR5216" t="str">
            <v>GASTO FISICO</v>
          </cell>
        </row>
        <row r="5217">
          <cell r="AQ5217" t="str">
            <v>8179361|96986050|371351490|65383644</v>
          </cell>
          <cell r="AR5217" t="str">
            <v>GASTO FISICO</v>
          </cell>
        </row>
        <row r="5218">
          <cell r="AQ5218" t="str">
            <v>8179361|96986050|371351491|371351491</v>
          </cell>
          <cell r="AR5218" t="str">
            <v>IMED SALUD</v>
          </cell>
        </row>
        <row r="5219">
          <cell r="AQ5219" t="str">
            <v>8179361|96986050|371351491|371351491</v>
          </cell>
          <cell r="AR5219" t="str">
            <v>IMED SALUD</v>
          </cell>
        </row>
        <row r="5220">
          <cell r="AQ5220" t="str">
            <v>8179361|96986050|371351491|371351491</v>
          </cell>
          <cell r="AR5220" t="str">
            <v>IMED SALUD</v>
          </cell>
        </row>
        <row r="5221">
          <cell r="AQ5221" t="str">
            <v>8179361|96986050|371351491|371351491</v>
          </cell>
          <cell r="AR5221" t="str">
            <v>IMED SALUD</v>
          </cell>
        </row>
        <row r="5222">
          <cell r="AQ5222" t="str">
            <v>8179361|96986050|371351491|371351491</v>
          </cell>
          <cell r="AR5222" t="str">
            <v>IMED SALUD</v>
          </cell>
        </row>
        <row r="5223">
          <cell r="AQ5223" t="str">
            <v>8179361|96986050|371351491|371351491</v>
          </cell>
          <cell r="AR5223" t="str">
            <v>IMED SALUD</v>
          </cell>
        </row>
        <row r="5224">
          <cell r="AQ5224" t="str">
            <v>8179361|96986050|371351491|371351491</v>
          </cell>
          <cell r="AR5224" t="str">
            <v>IMED SALUD</v>
          </cell>
        </row>
        <row r="5225">
          <cell r="AQ5225" t="str">
            <v>8179361|96986050|371351491|371351491</v>
          </cell>
          <cell r="AR5225" t="str">
            <v>IMED SALUD</v>
          </cell>
        </row>
        <row r="5226">
          <cell r="AQ5226" t="str">
            <v>8179361|96986050|371351491|65383645</v>
          </cell>
          <cell r="AR5226" t="str">
            <v>GASTO FISICO</v>
          </cell>
        </row>
        <row r="5227">
          <cell r="AQ5227" t="str">
            <v>8179361|96986050|371351491|65383645</v>
          </cell>
          <cell r="AR5227" t="str">
            <v>GASTO FISICO</v>
          </cell>
        </row>
        <row r="5228">
          <cell r="AQ5228" t="str">
            <v>8179361|96986050|371351491|65383645</v>
          </cell>
          <cell r="AR5228" t="str">
            <v>GASTO FISICO</v>
          </cell>
        </row>
        <row r="5229">
          <cell r="AQ5229" t="str">
            <v>8179361|96986050|371351491|65383645</v>
          </cell>
          <cell r="AR5229" t="str">
            <v>GASTO FISICO</v>
          </cell>
        </row>
        <row r="5230">
          <cell r="AQ5230" t="str">
            <v>8249085|70835200|245205|22005202</v>
          </cell>
          <cell r="AR5230" t="str">
            <v>GASTO FISICO</v>
          </cell>
        </row>
        <row r="5231">
          <cell r="AQ5231" t="str">
            <v>8249085|70835200|245205|22022696</v>
          </cell>
          <cell r="AR5231" t="str">
            <v>GASTO FISICO</v>
          </cell>
        </row>
        <row r="5232">
          <cell r="AQ5232" t="str">
            <v>8249085|70835200|245205|22022696</v>
          </cell>
          <cell r="AR5232" t="str">
            <v>GASTO FISICO</v>
          </cell>
        </row>
        <row r="5233">
          <cell r="AQ5233" t="str">
            <v>8249085|70835200|245205|994313</v>
          </cell>
          <cell r="AR5233" t="str">
            <v>GASTO FISICO</v>
          </cell>
        </row>
        <row r="5234">
          <cell r="AQ5234" t="str">
            <v>8249085|70835200|245205|994313</v>
          </cell>
          <cell r="AR5234" t="str">
            <v>GASTO FISICO</v>
          </cell>
        </row>
        <row r="5235">
          <cell r="AQ5235" t="str">
            <v>8249085|70835200|245205|992454</v>
          </cell>
          <cell r="AR5235" t="str">
            <v>GASTO FISICO</v>
          </cell>
        </row>
        <row r="5236">
          <cell r="AQ5236" t="str">
            <v>8249085|70835200|245205|992454</v>
          </cell>
          <cell r="AR5236" t="str">
            <v>GASTO FISICO</v>
          </cell>
        </row>
        <row r="5237">
          <cell r="AQ5237" t="str">
            <v>8249085|70835200|245205|65383646</v>
          </cell>
          <cell r="AR5237" t="str">
            <v>GASTO FISICO</v>
          </cell>
        </row>
        <row r="5238">
          <cell r="AQ5238" t="str">
            <v>8249085|70835200|245205|65383646</v>
          </cell>
          <cell r="AR5238" t="str">
            <v>GASTO FISICO</v>
          </cell>
        </row>
        <row r="5239">
          <cell r="AQ5239" t="str">
            <v>8330037|76098454|915355249|915355249</v>
          </cell>
          <cell r="AR5239" t="str">
            <v>IMED SALUD</v>
          </cell>
        </row>
        <row r="5240">
          <cell r="AQ5240" t="str">
            <v>8330037|76098454|915355249|915355249</v>
          </cell>
          <cell r="AR5240" t="str">
            <v>IMED SALUD</v>
          </cell>
        </row>
        <row r="5241">
          <cell r="AQ5241" t="str">
            <v>8330037|76098454|915355249|65383647</v>
          </cell>
          <cell r="AR5241" t="str">
            <v>GASTO FISICO</v>
          </cell>
        </row>
        <row r="5242">
          <cell r="AQ5242" t="str">
            <v>8330037|96986050|915866088|915866088</v>
          </cell>
          <cell r="AR5242" t="str">
            <v>IMED SALUD</v>
          </cell>
        </row>
        <row r="5243">
          <cell r="AQ5243" t="str">
            <v>8330037|96986050|915866088|915866088</v>
          </cell>
          <cell r="AR5243" t="str">
            <v>IMED SALUD</v>
          </cell>
        </row>
        <row r="5244">
          <cell r="AQ5244" t="str">
            <v>8330037|96986050|915866088|915866088</v>
          </cell>
          <cell r="AR5244" t="str">
            <v>IMED SALUD</v>
          </cell>
        </row>
        <row r="5245">
          <cell r="AQ5245" t="str">
            <v>8330037|96986050|915866088|915866088</v>
          </cell>
          <cell r="AR5245" t="str">
            <v>IMED SALUD</v>
          </cell>
        </row>
        <row r="5246">
          <cell r="AQ5246" t="str">
            <v>8330037|96986050|915866088|915866088</v>
          </cell>
          <cell r="AR5246" t="str">
            <v>IMED SALUD</v>
          </cell>
        </row>
        <row r="5247">
          <cell r="AQ5247" t="str">
            <v>8330037|96986050|915866088|915866088</v>
          </cell>
          <cell r="AR5247" t="str">
            <v>IMED SALUD</v>
          </cell>
        </row>
        <row r="5248">
          <cell r="AQ5248" t="str">
            <v>8330037|96986050|915866088|915866088</v>
          </cell>
          <cell r="AR5248" t="str">
            <v>IMED SALUD</v>
          </cell>
        </row>
        <row r="5249">
          <cell r="AQ5249" t="str">
            <v>8330037|96986050|915866088|915866088</v>
          </cell>
          <cell r="AR5249" t="str">
            <v>IMED SALUD</v>
          </cell>
        </row>
        <row r="5250">
          <cell r="AQ5250" t="str">
            <v>8330037|96986050|915866088|65383648</v>
          </cell>
          <cell r="AR5250" t="str">
            <v>GASTO FISICO</v>
          </cell>
        </row>
        <row r="5251">
          <cell r="AQ5251" t="str">
            <v>8330037|96986050|915866088|65383648</v>
          </cell>
          <cell r="AR5251" t="str">
            <v>GASTO FISICO</v>
          </cell>
        </row>
        <row r="5252">
          <cell r="AQ5252" t="str">
            <v>8330037|96986050|915866088|65383648</v>
          </cell>
          <cell r="AR5252" t="str">
            <v>GASTO FISICO</v>
          </cell>
        </row>
        <row r="5253">
          <cell r="AQ5253" t="str">
            <v>8330037|96986050|918136820|918136820</v>
          </cell>
          <cell r="AR5253" t="str">
            <v>IMED SALUD</v>
          </cell>
        </row>
        <row r="5254">
          <cell r="AQ5254" t="str">
            <v>8330037|96986050|918136820|918136820</v>
          </cell>
          <cell r="AR5254" t="str">
            <v>IMED SALUD</v>
          </cell>
        </row>
        <row r="5255">
          <cell r="AQ5255" t="str">
            <v>8330037|96986050|918136820|918136820</v>
          </cell>
          <cell r="AR5255" t="str">
            <v>IMED SALUD</v>
          </cell>
        </row>
        <row r="5256">
          <cell r="AQ5256" t="str">
            <v>8330037|96986050|918136820|918136820</v>
          </cell>
          <cell r="AR5256" t="str">
            <v>IMED SALUD</v>
          </cell>
        </row>
        <row r="5257">
          <cell r="AQ5257" t="str">
            <v>8330037|96986050|918136820|918136820</v>
          </cell>
          <cell r="AR5257" t="str">
            <v>IMED SALUD</v>
          </cell>
        </row>
        <row r="5258">
          <cell r="AQ5258" t="str">
            <v>8330037|96986050|918136820|918136820</v>
          </cell>
          <cell r="AR5258" t="str">
            <v>IMED SALUD</v>
          </cell>
        </row>
        <row r="5259">
          <cell r="AQ5259" t="str">
            <v>8330037|96986050|918136820|918136820</v>
          </cell>
          <cell r="AR5259" t="str">
            <v>IMED SALUD</v>
          </cell>
        </row>
        <row r="5260">
          <cell r="AQ5260" t="str">
            <v>8330037|96986050|918136820|918136820</v>
          </cell>
          <cell r="AR5260" t="str">
            <v>IMED SALUD</v>
          </cell>
        </row>
        <row r="5261">
          <cell r="AQ5261" t="str">
            <v>8330037|96986050|918136820|918136820</v>
          </cell>
          <cell r="AR5261" t="str">
            <v>IMED SALUD</v>
          </cell>
        </row>
        <row r="5262">
          <cell r="AQ5262" t="str">
            <v>8330037|96986050|918136820|918136820</v>
          </cell>
          <cell r="AR5262" t="str">
            <v>IMED SALUD</v>
          </cell>
        </row>
        <row r="5263">
          <cell r="AQ5263" t="str">
            <v>8330037|96986050|918136820|65383649</v>
          </cell>
          <cell r="AR5263" t="str">
            <v>GASTO FISICO</v>
          </cell>
        </row>
        <row r="5264">
          <cell r="AQ5264" t="str">
            <v>8330037|96986050|918136820|65383649</v>
          </cell>
          <cell r="AR5264" t="str">
            <v>GASTO FISICO</v>
          </cell>
        </row>
        <row r="5265">
          <cell r="AQ5265" t="str">
            <v>8330037|96986050|918136820|65383649</v>
          </cell>
          <cell r="AR5265" t="str">
            <v>GASTO FISICO</v>
          </cell>
        </row>
        <row r="5266">
          <cell r="AQ5266" t="str">
            <v>8330037|96986050|918136820|65383649</v>
          </cell>
          <cell r="AR5266" t="str">
            <v>GASTO FISICO</v>
          </cell>
        </row>
        <row r="5267">
          <cell r="AQ5267" t="str">
            <v>8330037|96986050|918136821|918136821</v>
          </cell>
          <cell r="AR5267" t="str">
            <v>IMED SALUD</v>
          </cell>
        </row>
        <row r="5268">
          <cell r="AQ5268" t="str">
            <v>8330037|96986050|918136821|918136821</v>
          </cell>
          <cell r="AR5268" t="str">
            <v>IMED SALUD</v>
          </cell>
        </row>
        <row r="5269">
          <cell r="AQ5269" t="str">
            <v>8330037|96986050|918136821|65383650</v>
          </cell>
          <cell r="AR5269" t="str">
            <v>GASTO FISICO</v>
          </cell>
        </row>
        <row r="5270">
          <cell r="AQ5270" t="str">
            <v>8330037|76098454|918145278|918145278</v>
          </cell>
          <cell r="AR5270" t="str">
            <v>IMED SALUD</v>
          </cell>
        </row>
        <row r="5271">
          <cell r="AQ5271" t="str">
            <v>8330037|76098454|918145278|918145278</v>
          </cell>
          <cell r="AR5271" t="str">
            <v>IMED SALUD</v>
          </cell>
        </row>
        <row r="5272">
          <cell r="AQ5272" t="str">
            <v>8330037|76098454|918145278|65383651</v>
          </cell>
          <cell r="AR5272" t="str">
            <v>GASTO FISICO</v>
          </cell>
        </row>
        <row r="5273">
          <cell r="AQ5273" t="str">
            <v>8330037|76098454|918881699|918881699</v>
          </cell>
          <cell r="AR5273" t="str">
            <v>IMED SALUD</v>
          </cell>
        </row>
        <row r="5274">
          <cell r="AQ5274" t="str">
            <v>8330037|76098454|918881699|918881699</v>
          </cell>
          <cell r="AR5274" t="str">
            <v>IMED SALUD</v>
          </cell>
        </row>
        <row r="5275">
          <cell r="AQ5275" t="str">
            <v>8330037|76098454|918881699|65383652</v>
          </cell>
          <cell r="AR5275" t="str">
            <v>GASTO FISICO</v>
          </cell>
        </row>
        <row r="5276">
          <cell r="AQ5276" t="str">
            <v>8330037|96986050|919791704|919791704</v>
          </cell>
          <cell r="AR5276" t="str">
            <v>IMED SALUD</v>
          </cell>
        </row>
        <row r="5277">
          <cell r="AQ5277" t="str">
            <v>8330037|96986050|919791704|919791704</v>
          </cell>
          <cell r="AR5277" t="str">
            <v>IMED SALUD</v>
          </cell>
        </row>
        <row r="5278">
          <cell r="AQ5278" t="str">
            <v>8330037|96986050|919791704|919791704</v>
          </cell>
          <cell r="AR5278" t="str">
            <v>IMED SALUD</v>
          </cell>
        </row>
        <row r="5279">
          <cell r="AQ5279" t="str">
            <v>8330037|96986050|919791704|919791704</v>
          </cell>
          <cell r="AR5279" t="str">
            <v>IMED SALUD</v>
          </cell>
        </row>
        <row r="5280">
          <cell r="AQ5280" t="str">
            <v>8330037|96986050|919791704|919791704</v>
          </cell>
          <cell r="AR5280" t="str">
            <v>IMED SALUD</v>
          </cell>
        </row>
        <row r="5281">
          <cell r="AQ5281" t="str">
            <v>8330037|96986050|919791704|919791704</v>
          </cell>
          <cell r="AR5281" t="str">
            <v>IMED SALUD</v>
          </cell>
        </row>
        <row r="5282">
          <cell r="AQ5282" t="str">
            <v>8330037|96986050|919791704|919791704</v>
          </cell>
          <cell r="AR5282" t="str">
            <v>IMED SALUD</v>
          </cell>
        </row>
        <row r="5283">
          <cell r="AQ5283" t="str">
            <v>8330037|96986050|919791704|919791704</v>
          </cell>
          <cell r="AR5283" t="str">
            <v>IMED SALUD</v>
          </cell>
        </row>
        <row r="5284">
          <cell r="AQ5284" t="str">
            <v>8330037|96986050|919791704|919791704</v>
          </cell>
          <cell r="AR5284" t="str">
            <v>IMED SALUD</v>
          </cell>
        </row>
        <row r="5285">
          <cell r="AQ5285" t="str">
            <v>8330037|96986050|919791704|919791704</v>
          </cell>
          <cell r="AR5285" t="str">
            <v>IMED SALUD</v>
          </cell>
        </row>
        <row r="5286">
          <cell r="AQ5286" t="str">
            <v>8330037|96986050|919791704|65383653</v>
          </cell>
          <cell r="AR5286" t="str">
            <v>GASTO FISICO</v>
          </cell>
        </row>
        <row r="5287">
          <cell r="AQ5287" t="str">
            <v>8330037|96986050|919791704|65383653</v>
          </cell>
          <cell r="AR5287" t="str">
            <v>GASTO FISICO</v>
          </cell>
        </row>
        <row r="5288">
          <cell r="AQ5288" t="str">
            <v>8330037|96986050|919791704|65383653</v>
          </cell>
          <cell r="AR5288" t="str">
            <v>GASTO FISICO</v>
          </cell>
        </row>
        <row r="5289">
          <cell r="AQ5289" t="str">
            <v>8330037|96986050|919791704|65383653</v>
          </cell>
          <cell r="AR5289" t="str">
            <v>GASTO FISICO</v>
          </cell>
        </row>
        <row r="5290">
          <cell r="AQ5290" t="str">
            <v>8330037|96986050|919791705|919791705</v>
          </cell>
          <cell r="AR5290" t="str">
            <v>IMED SALUD</v>
          </cell>
        </row>
        <row r="5291">
          <cell r="AQ5291" t="str">
            <v>8330037|96986050|919791705|919791705</v>
          </cell>
          <cell r="AR5291" t="str">
            <v>IMED SALUD</v>
          </cell>
        </row>
        <row r="5292">
          <cell r="AQ5292" t="str">
            <v>8330037|96986050|919791705|919791705</v>
          </cell>
          <cell r="AR5292" t="str">
            <v>IMED SALUD</v>
          </cell>
        </row>
        <row r="5293">
          <cell r="AQ5293" t="str">
            <v>8330037|96986050|919791705|919791705</v>
          </cell>
          <cell r="AR5293" t="str">
            <v>IMED SALUD</v>
          </cell>
        </row>
        <row r="5294">
          <cell r="AQ5294" t="str">
            <v>8330037|96986050|919791705|65383654</v>
          </cell>
          <cell r="AR5294" t="str">
            <v>GASTO FISICO</v>
          </cell>
        </row>
        <row r="5295">
          <cell r="AQ5295" t="str">
            <v>8330037|76098454|919800343|919800343</v>
          </cell>
          <cell r="AR5295" t="str">
            <v>IMED SALUD</v>
          </cell>
        </row>
        <row r="5296">
          <cell r="AQ5296" t="str">
            <v>8330037|76098454|919800343|919800343</v>
          </cell>
          <cell r="AR5296" t="str">
            <v>IMED SALUD</v>
          </cell>
        </row>
        <row r="5297">
          <cell r="AQ5297" t="str">
            <v>8330037|76098454|919800343|65383655</v>
          </cell>
          <cell r="AR5297" t="str">
            <v>GASTO FISICO</v>
          </cell>
        </row>
        <row r="5298">
          <cell r="AQ5298" t="str">
            <v>8376812|77040170|370124354|370124354</v>
          </cell>
          <cell r="AR5298" t="str">
            <v>IMED SALUD</v>
          </cell>
        </row>
        <row r="5299">
          <cell r="AQ5299" t="str">
            <v>8376812|77040170|370124354|370124354</v>
          </cell>
          <cell r="AR5299" t="str">
            <v>IMED SALUD</v>
          </cell>
        </row>
        <row r="5300">
          <cell r="AQ5300" t="str">
            <v>8376812|77040170|370124354|370124354</v>
          </cell>
          <cell r="AR5300" t="str">
            <v>IMED SALUD</v>
          </cell>
        </row>
        <row r="5301">
          <cell r="AQ5301" t="str">
            <v>8376812|77040170|370124354|370124354</v>
          </cell>
          <cell r="AR5301" t="str">
            <v>IMED SALUD</v>
          </cell>
        </row>
        <row r="5302">
          <cell r="AQ5302" t="str">
            <v>8376812|77040170|370124354|370124354</v>
          </cell>
          <cell r="AR5302" t="str">
            <v>IMED SALUD</v>
          </cell>
        </row>
        <row r="5303">
          <cell r="AQ5303" t="str">
            <v>8376812|77040170|370124354|370124354</v>
          </cell>
          <cell r="AR5303" t="str">
            <v>IMED SALUD</v>
          </cell>
        </row>
        <row r="5304">
          <cell r="AQ5304" t="str">
            <v>8376812|77040170|370124354|370124354</v>
          </cell>
          <cell r="AR5304" t="str">
            <v>IMED SALUD</v>
          </cell>
        </row>
        <row r="5305">
          <cell r="AQ5305" t="str">
            <v>8376812|77040170|370124354|370124354</v>
          </cell>
          <cell r="AR5305" t="str">
            <v>IMED SALUD</v>
          </cell>
        </row>
        <row r="5306">
          <cell r="AQ5306" t="str">
            <v>8376812|77040170|370124354|370124354</v>
          </cell>
          <cell r="AR5306" t="str">
            <v>IMED SALUD</v>
          </cell>
        </row>
        <row r="5307">
          <cell r="AQ5307" t="str">
            <v>8376812|77040170|370124354|370124354</v>
          </cell>
          <cell r="AR5307" t="str">
            <v>IMED SALUD</v>
          </cell>
        </row>
        <row r="5308">
          <cell r="AQ5308" t="str">
            <v>8376812|77040170|370124354|65383657</v>
          </cell>
          <cell r="AR5308" t="str">
            <v>GASTO FISICO</v>
          </cell>
        </row>
        <row r="5309">
          <cell r="AQ5309" t="str">
            <v>8376812|77040170|370124354|65383657</v>
          </cell>
          <cell r="AR5309" t="str">
            <v>GASTO FISICO</v>
          </cell>
        </row>
        <row r="5310">
          <cell r="AQ5310" t="str">
            <v>8376812|77040170|370124354|65383657</v>
          </cell>
          <cell r="AR5310" t="str">
            <v>GASTO FISICO</v>
          </cell>
        </row>
        <row r="5311">
          <cell r="AQ5311" t="str">
            <v>8376812|77040170|370124354|65383657</v>
          </cell>
          <cell r="AR5311" t="str">
            <v>GASTO FISICO</v>
          </cell>
        </row>
        <row r="5312">
          <cell r="AQ5312" t="str">
            <v>8376812|77040170|370124354|65383657</v>
          </cell>
          <cell r="AR5312" t="str">
            <v>GASTO FISICO</v>
          </cell>
        </row>
        <row r="5313">
          <cell r="AQ5313" t="str">
            <v>8376812|77040170|370124355|370124355</v>
          </cell>
          <cell r="AR5313" t="str">
            <v>IMED SALUD</v>
          </cell>
        </row>
        <row r="5314">
          <cell r="AQ5314" t="str">
            <v>8376812|77040170|370124355|370124355</v>
          </cell>
          <cell r="AR5314" t="str">
            <v>IMED SALUD</v>
          </cell>
        </row>
        <row r="5315">
          <cell r="AQ5315" t="str">
            <v>8376812|77040170|370124355|370124355</v>
          </cell>
          <cell r="AR5315" t="str">
            <v>IMED SALUD</v>
          </cell>
        </row>
        <row r="5316">
          <cell r="AQ5316" t="str">
            <v>8376812|77040170|370124355|370124355</v>
          </cell>
          <cell r="AR5316" t="str">
            <v>IMED SALUD</v>
          </cell>
        </row>
        <row r="5317">
          <cell r="AQ5317" t="str">
            <v>8376812|77040170|370124355|370124355</v>
          </cell>
          <cell r="AR5317" t="str">
            <v>IMED SALUD</v>
          </cell>
        </row>
        <row r="5318">
          <cell r="AQ5318" t="str">
            <v>8376812|77040170|370124355|370124355</v>
          </cell>
          <cell r="AR5318" t="str">
            <v>IMED SALUD</v>
          </cell>
        </row>
        <row r="5319">
          <cell r="AQ5319" t="str">
            <v>8376812|77040170|370124355|370124355</v>
          </cell>
          <cell r="AR5319" t="str">
            <v>IMED SALUD</v>
          </cell>
        </row>
        <row r="5320">
          <cell r="AQ5320" t="str">
            <v>8376812|77040170|370124355|370124355</v>
          </cell>
          <cell r="AR5320" t="str">
            <v>IMED SALUD</v>
          </cell>
        </row>
        <row r="5321">
          <cell r="AQ5321" t="str">
            <v>8376812|77040170|370124355|370124355</v>
          </cell>
          <cell r="AR5321" t="str">
            <v>IMED SALUD</v>
          </cell>
        </row>
        <row r="5322">
          <cell r="AQ5322" t="str">
            <v>8376812|77040170|370124355|370124355</v>
          </cell>
          <cell r="AR5322" t="str">
            <v>IMED SALUD</v>
          </cell>
        </row>
        <row r="5323">
          <cell r="AQ5323" t="str">
            <v>8376812|77040170|370124355|65383658</v>
          </cell>
          <cell r="AR5323" t="str">
            <v>GASTO FISICO</v>
          </cell>
        </row>
        <row r="5324">
          <cell r="AQ5324" t="str">
            <v>8376812|77040170|370124355|65383658</v>
          </cell>
          <cell r="AR5324" t="str">
            <v>GASTO FISICO</v>
          </cell>
        </row>
        <row r="5325">
          <cell r="AQ5325" t="str">
            <v>8376812|77040170|370124355|65383658</v>
          </cell>
          <cell r="AR5325" t="str">
            <v>GASTO FISICO</v>
          </cell>
        </row>
        <row r="5326">
          <cell r="AQ5326" t="str">
            <v>8376812|77040170|370124355|65383658</v>
          </cell>
          <cell r="AR5326" t="str">
            <v>GASTO FISICO</v>
          </cell>
        </row>
        <row r="5327">
          <cell r="AQ5327" t="str">
            <v>8376812|77040170|370124355|65383658</v>
          </cell>
          <cell r="AR5327" t="str">
            <v>GASTO FISICO</v>
          </cell>
        </row>
        <row r="5328">
          <cell r="AQ5328" t="str">
            <v>8376812|77040170|370124356|370124356</v>
          </cell>
          <cell r="AR5328" t="str">
            <v>IMED SALUD</v>
          </cell>
        </row>
        <row r="5329">
          <cell r="AQ5329" t="str">
            <v>8376812|77040170|370124356|370124356</v>
          </cell>
          <cell r="AR5329" t="str">
            <v>IMED SALUD</v>
          </cell>
        </row>
        <row r="5330">
          <cell r="AQ5330" t="str">
            <v>8376812|77040170|370124356|65383659</v>
          </cell>
          <cell r="AR5330" t="str">
            <v>GASTO FISICO</v>
          </cell>
        </row>
        <row r="5331">
          <cell r="AQ5331" t="str">
            <v>8376812|76055963|371561787|371561787</v>
          </cell>
          <cell r="AR5331" t="str">
            <v>IMED SALUD</v>
          </cell>
        </row>
        <row r="5332">
          <cell r="AQ5332" t="str">
            <v>8376812|76055963|371561787|371561787</v>
          </cell>
          <cell r="AR5332" t="str">
            <v>IMED SALUD</v>
          </cell>
        </row>
        <row r="5333">
          <cell r="AQ5333" t="str">
            <v>8376812|76055963|371561787|65383656</v>
          </cell>
          <cell r="AR5333" t="str">
            <v>GASTO FISICO</v>
          </cell>
        </row>
        <row r="5334">
          <cell r="AQ5334" t="str">
            <v>8378249|79980070|370262588|370262588</v>
          </cell>
          <cell r="AR5334" t="str">
            <v>IMED SALUD</v>
          </cell>
        </row>
        <row r="5335">
          <cell r="AQ5335" t="str">
            <v>8378249|79980070|370262588|370262588</v>
          </cell>
          <cell r="AR5335" t="str">
            <v>IMED SALUD</v>
          </cell>
        </row>
        <row r="5336">
          <cell r="AQ5336" t="str">
            <v>8378249|79980070|370262588|370262588</v>
          </cell>
          <cell r="AR5336" t="str">
            <v>IMED SALUD</v>
          </cell>
        </row>
        <row r="5337">
          <cell r="AQ5337" t="str">
            <v>8378249|79980070|370262588|370262588</v>
          </cell>
          <cell r="AR5337" t="str">
            <v>IMED SALUD</v>
          </cell>
        </row>
        <row r="5338">
          <cell r="AQ5338" t="str">
            <v>8378249|79980070|370262588|65383660</v>
          </cell>
          <cell r="AR5338" t="str">
            <v>GASTO FISICO</v>
          </cell>
        </row>
        <row r="5339">
          <cell r="AQ5339" t="str">
            <v>8378249|79980070|370262588|65383660</v>
          </cell>
          <cell r="AR5339" t="str">
            <v>GASTO FISICO</v>
          </cell>
        </row>
        <row r="5340">
          <cell r="AQ5340" t="str">
            <v>8378249|79980070|370262686|370262686</v>
          </cell>
          <cell r="AR5340" t="str">
            <v>IMED SALUD</v>
          </cell>
        </row>
        <row r="5341">
          <cell r="AQ5341" t="str">
            <v>8378249|79980070|370262686|370262686</v>
          </cell>
          <cell r="AR5341" t="str">
            <v>IMED SALUD</v>
          </cell>
        </row>
        <row r="5342">
          <cell r="AQ5342" t="str">
            <v>8378249|79980070|370262686|370262686</v>
          </cell>
          <cell r="AR5342" t="str">
            <v>IMED SALUD</v>
          </cell>
        </row>
        <row r="5343">
          <cell r="AQ5343" t="str">
            <v>8378249|79980070|370262686|370262686</v>
          </cell>
          <cell r="AR5343" t="str">
            <v>IMED SALUD</v>
          </cell>
        </row>
        <row r="5344">
          <cell r="AQ5344" t="str">
            <v>8378249|79980070|370262686|65383661</v>
          </cell>
          <cell r="AR5344" t="str">
            <v>GASTO FISICO</v>
          </cell>
        </row>
        <row r="5345">
          <cell r="AQ5345" t="str">
            <v>8378249|79980070|370262686|65383661</v>
          </cell>
          <cell r="AR5345" t="str">
            <v>GASTO FISICO</v>
          </cell>
        </row>
        <row r="5346">
          <cell r="AQ5346" t="str">
            <v>8378249|99573490|371344875|371344875</v>
          </cell>
          <cell r="AR5346" t="str">
            <v>IMED SALUD</v>
          </cell>
        </row>
        <row r="5347">
          <cell r="AQ5347" t="str">
            <v>8378249|99573490|371344875|371344875</v>
          </cell>
          <cell r="AR5347" t="str">
            <v>IMED SALUD</v>
          </cell>
        </row>
        <row r="5348">
          <cell r="AQ5348" t="str">
            <v>8378249|99573490|371344875|371344875</v>
          </cell>
          <cell r="AR5348" t="str">
            <v>IMED SALUD</v>
          </cell>
        </row>
        <row r="5349">
          <cell r="AQ5349" t="str">
            <v>8378249|99573490|371344875|371344875</v>
          </cell>
          <cell r="AR5349" t="str">
            <v>IMED SALUD</v>
          </cell>
        </row>
        <row r="5350">
          <cell r="AQ5350" t="str">
            <v>8378249|99573490|371344875|371344875</v>
          </cell>
          <cell r="AR5350" t="str">
            <v>IMED SALUD</v>
          </cell>
        </row>
        <row r="5351">
          <cell r="AQ5351" t="str">
            <v>8378249|99573490|371344875|371344875</v>
          </cell>
          <cell r="AR5351" t="str">
            <v>IMED SALUD</v>
          </cell>
        </row>
        <row r="5352">
          <cell r="AQ5352" t="str">
            <v>8378249|99573490|371344875|371344875</v>
          </cell>
          <cell r="AR5352" t="str">
            <v>IMED SALUD</v>
          </cell>
        </row>
        <row r="5353">
          <cell r="AQ5353" t="str">
            <v>8378249|99573490|371344875|371344875</v>
          </cell>
          <cell r="AR5353" t="str">
            <v>IMED SALUD</v>
          </cell>
        </row>
        <row r="5354">
          <cell r="AQ5354" t="str">
            <v>8378249|99573490|371344875|371344875</v>
          </cell>
          <cell r="AR5354" t="str">
            <v>IMED SALUD</v>
          </cell>
        </row>
        <row r="5355">
          <cell r="AQ5355" t="str">
            <v>8378249|99573490|371344875|371344875</v>
          </cell>
          <cell r="AR5355" t="str">
            <v>IMED SALUD</v>
          </cell>
        </row>
        <row r="5356">
          <cell r="AQ5356" t="str">
            <v>8378249|99573490|371344875|65383662</v>
          </cell>
          <cell r="AR5356" t="str">
            <v>GASTO FISICO</v>
          </cell>
        </row>
        <row r="5357">
          <cell r="AQ5357" t="str">
            <v>8378249|99573490|371344875|65383662</v>
          </cell>
          <cell r="AR5357" t="str">
            <v>GASTO FISICO</v>
          </cell>
        </row>
        <row r="5358">
          <cell r="AQ5358" t="str">
            <v>8378249|99573490|371344875|65383662</v>
          </cell>
          <cell r="AR5358" t="str">
            <v>GASTO FISICO</v>
          </cell>
        </row>
        <row r="5359">
          <cell r="AQ5359" t="str">
            <v>8378249|99573490|371344875|65383662</v>
          </cell>
          <cell r="AR5359" t="str">
            <v>GASTO FISICO</v>
          </cell>
        </row>
        <row r="5360">
          <cell r="AQ5360" t="str">
            <v>8378249|99573490|371344876|371344876</v>
          </cell>
          <cell r="AR5360" t="str">
            <v>IMED SALUD</v>
          </cell>
        </row>
        <row r="5361">
          <cell r="AQ5361" t="str">
            <v>8378249|99573490|371344876|371344876</v>
          </cell>
          <cell r="AR5361" t="str">
            <v>IMED SALUD</v>
          </cell>
        </row>
        <row r="5362">
          <cell r="AQ5362" t="str">
            <v>8378249|99573490|371344876|371344876</v>
          </cell>
          <cell r="AR5362" t="str">
            <v>IMED SALUD</v>
          </cell>
        </row>
        <row r="5363">
          <cell r="AQ5363" t="str">
            <v>8378249|99573490|371344876|371344876</v>
          </cell>
          <cell r="AR5363" t="str">
            <v>IMED SALUD</v>
          </cell>
        </row>
        <row r="5364">
          <cell r="AQ5364" t="str">
            <v>8378249|99573490|371344876|371344876</v>
          </cell>
          <cell r="AR5364" t="str">
            <v>IMED SALUD</v>
          </cell>
        </row>
        <row r="5365">
          <cell r="AQ5365" t="str">
            <v>8378249|99573490|371344876|371344876</v>
          </cell>
          <cell r="AR5365" t="str">
            <v>IMED SALUD</v>
          </cell>
        </row>
        <row r="5366">
          <cell r="AQ5366" t="str">
            <v>8378249|99573490|371344876|371344876</v>
          </cell>
          <cell r="AR5366" t="str">
            <v>IMED SALUD</v>
          </cell>
        </row>
        <row r="5367">
          <cell r="AQ5367" t="str">
            <v>8378249|99573490|371344876|371344876</v>
          </cell>
          <cell r="AR5367" t="str">
            <v>IMED SALUD</v>
          </cell>
        </row>
        <row r="5368">
          <cell r="AQ5368" t="str">
            <v>8378249|99573490|371344876|371344876</v>
          </cell>
          <cell r="AR5368" t="str">
            <v>IMED SALUD</v>
          </cell>
        </row>
        <row r="5369">
          <cell r="AQ5369" t="str">
            <v>8378249|99573490|371344876|371344876</v>
          </cell>
          <cell r="AR5369" t="str">
            <v>IMED SALUD</v>
          </cell>
        </row>
        <row r="5370">
          <cell r="AQ5370" t="str">
            <v>8378249|99573490|371344876|65383663</v>
          </cell>
          <cell r="AR5370" t="str">
            <v>GASTO FISICO</v>
          </cell>
        </row>
        <row r="5371">
          <cell r="AQ5371" t="str">
            <v>8378249|99573490|371344876|65383663</v>
          </cell>
          <cell r="AR5371" t="str">
            <v>GASTO FISICO</v>
          </cell>
        </row>
        <row r="5372">
          <cell r="AQ5372" t="str">
            <v>8378249|99573490|371344876|65383663</v>
          </cell>
          <cell r="AR5372" t="str">
            <v>GASTO FISICO</v>
          </cell>
        </row>
        <row r="5373">
          <cell r="AQ5373" t="str">
            <v>8378249|99573490|371344876|65383663</v>
          </cell>
          <cell r="AR5373" t="str">
            <v>GASTO FISICO</v>
          </cell>
        </row>
        <row r="5374">
          <cell r="AQ5374" t="str">
            <v>8378249|99573490|371344876|65383663</v>
          </cell>
          <cell r="AR5374" t="str">
            <v>GASTO FISICO</v>
          </cell>
        </row>
        <row r="5375">
          <cell r="AQ5375" t="str">
            <v>8378249|99573490|371344877|371344877</v>
          </cell>
          <cell r="AR5375" t="str">
            <v>IMED SALUD</v>
          </cell>
        </row>
        <row r="5376">
          <cell r="AQ5376" t="str">
            <v>8378249|99573490|371344877|371344877</v>
          </cell>
          <cell r="AR5376" t="str">
            <v>IMED SALUD</v>
          </cell>
        </row>
        <row r="5377">
          <cell r="AQ5377" t="str">
            <v>8378249|99573490|371344877|371344877</v>
          </cell>
          <cell r="AR5377" t="str">
            <v>IMED SALUD</v>
          </cell>
        </row>
        <row r="5378">
          <cell r="AQ5378" t="str">
            <v>8378249|99573490|371344877|371344877</v>
          </cell>
          <cell r="AR5378" t="str">
            <v>IMED SALUD</v>
          </cell>
        </row>
        <row r="5379">
          <cell r="AQ5379" t="str">
            <v>8378249|99573490|371344877|371344877</v>
          </cell>
          <cell r="AR5379" t="str">
            <v>IMED SALUD</v>
          </cell>
        </row>
        <row r="5380">
          <cell r="AQ5380" t="str">
            <v>8378249|99573490|371344877|371344877</v>
          </cell>
          <cell r="AR5380" t="str">
            <v>IMED SALUD</v>
          </cell>
        </row>
        <row r="5381">
          <cell r="AQ5381" t="str">
            <v>8378249|99573490|371344877|371344877</v>
          </cell>
          <cell r="AR5381" t="str">
            <v>IMED SALUD</v>
          </cell>
        </row>
        <row r="5382">
          <cell r="AQ5382" t="str">
            <v>8378249|99573490|371344877|371344877</v>
          </cell>
          <cell r="AR5382" t="str">
            <v>IMED SALUD</v>
          </cell>
        </row>
        <row r="5383">
          <cell r="AQ5383" t="str">
            <v>8378249|99573490|371344877|371344877</v>
          </cell>
          <cell r="AR5383" t="str">
            <v>IMED SALUD</v>
          </cell>
        </row>
        <row r="5384">
          <cell r="AQ5384" t="str">
            <v>8378249|99573490|371344877|371344877</v>
          </cell>
          <cell r="AR5384" t="str">
            <v>IMED SALUD</v>
          </cell>
        </row>
        <row r="5385">
          <cell r="AQ5385" t="str">
            <v>8378249|99573490|371344877|65383664</v>
          </cell>
          <cell r="AR5385" t="str">
            <v>GASTO FISICO</v>
          </cell>
        </row>
        <row r="5386">
          <cell r="AQ5386" t="str">
            <v>8378249|99573490|371344877|65383664</v>
          </cell>
          <cell r="AR5386" t="str">
            <v>GASTO FISICO</v>
          </cell>
        </row>
        <row r="5387">
          <cell r="AQ5387" t="str">
            <v>8378249|99573490|371344877|65383664</v>
          </cell>
          <cell r="AR5387" t="str">
            <v>GASTO FISICO</v>
          </cell>
        </row>
        <row r="5388">
          <cell r="AQ5388" t="str">
            <v>8378249|99573490|371344877|65383664</v>
          </cell>
          <cell r="AR5388" t="str">
            <v>GASTO FISICO</v>
          </cell>
        </row>
        <row r="5389">
          <cell r="AQ5389" t="str">
            <v>8378249|99573490|371344877|65383664</v>
          </cell>
          <cell r="AR5389" t="str">
            <v>GASTO FISICO</v>
          </cell>
        </row>
        <row r="5390">
          <cell r="AQ5390" t="str">
            <v>8378249|99573490|371344878|371344878</v>
          </cell>
          <cell r="AR5390" t="str">
            <v>IMED SALUD</v>
          </cell>
        </row>
        <row r="5391">
          <cell r="AQ5391" t="str">
            <v>8378249|99573490|371344878|371344878</v>
          </cell>
          <cell r="AR5391" t="str">
            <v>IMED SALUD</v>
          </cell>
        </row>
        <row r="5392">
          <cell r="AQ5392" t="str">
            <v>8378249|99573490|371344878|371344878</v>
          </cell>
          <cell r="AR5392" t="str">
            <v>IMED SALUD</v>
          </cell>
        </row>
        <row r="5393">
          <cell r="AQ5393" t="str">
            <v>8378249|99573490|371344878|371344878</v>
          </cell>
          <cell r="AR5393" t="str">
            <v>IMED SALUD</v>
          </cell>
        </row>
        <row r="5394">
          <cell r="AQ5394" t="str">
            <v>8378249|99573490|371344878|371344878</v>
          </cell>
          <cell r="AR5394" t="str">
            <v>IMED SALUD</v>
          </cell>
        </row>
        <row r="5395">
          <cell r="AQ5395" t="str">
            <v>8378249|99573490|371344878|371344878</v>
          </cell>
          <cell r="AR5395" t="str">
            <v>IMED SALUD</v>
          </cell>
        </row>
        <row r="5396">
          <cell r="AQ5396" t="str">
            <v>8378249|99573490|371344878|371344878</v>
          </cell>
          <cell r="AR5396" t="str">
            <v>IMED SALUD</v>
          </cell>
        </row>
        <row r="5397">
          <cell r="AQ5397" t="str">
            <v>8378249|99573490|371344878|371344878</v>
          </cell>
          <cell r="AR5397" t="str">
            <v>IMED SALUD</v>
          </cell>
        </row>
        <row r="5398">
          <cell r="AQ5398" t="str">
            <v>8378249|99573490|371344878|65383665</v>
          </cell>
          <cell r="AR5398" t="str">
            <v>GASTO FISICO</v>
          </cell>
        </row>
        <row r="5399">
          <cell r="AQ5399" t="str">
            <v>8378249|99573490|371344878|65383665</v>
          </cell>
          <cell r="AR5399" t="str">
            <v>GASTO FISICO</v>
          </cell>
        </row>
        <row r="5400">
          <cell r="AQ5400" t="str">
            <v>8378249|99573490|371344878|65383665</v>
          </cell>
          <cell r="AR5400" t="str">
            <v>GASTO FISICO</v>
          </cell>
        </row>
        <row r="5401">
          <cell r="AQ5401" t="str">
            <v>8378249|99573490|371344878|65383665</v>
          </cell>
          <cell r="AR5401" t="str">
            <v>GASTO FISICO</v>
          </cell>
        </row>
        <row r="5402">
          <cell r="AQ5402" t="str">
            <v>8496046|96942400|371513133|371513133</v>
          </cell>
          <cell r="AR5402" t="str">
            <v>IMED SALUD</v>
          </cell>
        </row>
        <row r="5403">
          <cell r="AQ5403" t="str">
            <v>8496046|96942400|371513133|371513133</v>
          </cell>
          <cell r="AR5403" t="str">
            <v>IMED SALUD</v>
          </cell>
        </row>
        <row r="5404">
          <cell r="AQ5404" t="str">
            <v>8496046|96942400|371513133|371513133</v>
          </cell>
          <cell r="AR5404" t="str">
            <v>IMED SALUD</v>
          </cell>
        </row>
        <row r="5405">
          <cell r="AQ5405" t="str">
            <v>8496046|96942400|371513133|371513133</v>
          </cell>
          <cell r="AR5405" t="str">
            <v>IMED SALUD</v>
          </cell>
        </row>
        <row r="5406">
          <cell r="AQ5406" t="str">
            <v>8496046|96942400|371513133|371513133</v>
          </cell>
          <cell r="AR5406" t="str">
            <v>IMED SALUD</v>
          </cell>
        </row>
        <row r="5407">
          <cell r="AQ5407" t="str">
            <v>8496046|96942400|371513133|371513133</v>
          </cell>
          <cell r="AR5407" t="str">
            <v>IMED SALUD</v>
          </cell>
        </row>
        <row r="5408">
          <cell r="AQ5408" t="str">
            <v>8496046|96942400|371513133|371513133</v>
          </cell>
          <cell r="AR5408" t="str">
            <v>IMED SALUD</v>
          </cell>
        </row>
        <row r="5409">
          <cell r="AQ5409" t="str">
            <v>8496046|96942400|371513133|371513133</v>
          </cell>
          <cell r="AR5409" t="str">
            <v>IMED SALUD</v>
          </cell>
        </row>
        <row r="5410">
          <cell r="AQ5410" t="str">
            <v>8496046|96942400|371513133|371513133</v>
          </cell>
          <cell r="AR5410" t="str">
            <v>IMED SALUD</v>
          </cell>
        </row>
        <row r="5411">
          <cell r="AQ5411" t="str">
            <v>8496046|96942400|371513133|371513133</v>
          </cell>
          <cell r="AR5411" t="str">
            <v>IMED SALUD</v>
          </cell>
        </row>
        <row r="5412">
          <cell r="AQ5412" t="str">
            <v>8496046|96942400|371513133|65383666</v>
          </cell>
          <cell r="AR5412" t="str">
            <v>GASTO FISICO</v>
          </cell>
        </row>
        <row r="5413">
          <cell r="AQ5413" t="str">
            <v>8496046|96942400|371513133|65383666</v>
          </cell>
          <cell r="AR5413" t="str">
            <v>GASTO FISICO</v>
          </cell>
        </row>
        <row r="5414">
          <cell r="AQ5414" t="str">
            <v>8496046|96942400|371513133|65383666</v>
          </cell>
          <cell r="AR5414" t="str">
            <v>GASTO FISICO</v>
          </cell>
        </row>
        <row r="5415">
          <cell r="AQ5415" t="str">
            <v>8496046|96942400|371513133|65383666</v>
          </cell>
          <cell r="AR5415" t="str">
            <v>GASTO FISICO</v>
          </cell>
        </row>
        <row r="5416">
          <cell r="AQ5416" t="str">
            <v>8496046|96942400|371513133|65383666</v>
          </cell>
          <cell r="AR5416" t="str">
            <v>GASTO FISICO</v>
          </cell>
        </row>
        <row r="5417">
          <cell r="AQ5417" t="str">
            <v>8496046|96942400|371513134|371513134</v>
          </cell>
          <cell r="AR5417" t="str">
            <v>IMED SALUD</v>
          </cell>
        </row>
        <row r="5418">
          <cell r="AQ5418" t="str">
            <v>8496046|96942400|371513134|371513134</v>
          </cell>
          <cell r="AR5418" t="str">
            <v>IMED SALUD</v>
          </cell>
        </row>
        <row r="5419">
          <cell r="AQ5419" t="str">
            <v>8496046|96942400|371513134|371513134</v>
          </cell>
          <cell r="AR5419" t="str">
            <v>IMED SALUD</v>
          </cell>
        </row>
        <row r="5420">
          <cell r="AQ5420" t="str">
            <v>8496046|96942400|371513134|371513134</v>
          </cell>
          <cell r="AR5420" t="str">
            <v>IMED SALUD</v>
          </cell>
        </row>
        <row r="5421">
          <cell r="AQ5421" t="str">
            <v>8496046|96942400|371513134|371513134</v>
          </cell>
          <cell r="AR5421" t="str">
            <v>IMED SALUD</v>
          </cell>
        </row>
        <row r="5422">
          <cell r="AQ5422" t="str">
            <v>8496046|96942400|371513134|371513134</v>
          </cell>
          <cell r="AR5422" t="str">
            <v>IMED SALUD</v>
          </cell>
        </row>
        <row r="5423">
          <cell r="AQ5423" t="str">
            <v>8496046|96942400|371513134|371513134</v>
          </cell>
          <cell r="AR5423" t="str">
            <v>IMED SALUD</v>
          </cell>
        </row>
        <row r="5424">
          <cell r="AQ5424" t="str">
            <v>8496046|96942400|371513134|371513134</v>
          </cell>
          <cell r="AR5424" t="str">
            <v>IMED SALUD</v>
          </cell>
        </row>
        <row r="5425">
          <cell r="AQ5425" t="str">
            <v>8496046|96942400|371513134|65383667</v>
          </cell>
          <cell r="AR5425" t="str">
            <v>GASTO FISICO</v>
          </cell>
        </row>
        <row r="5426">
          <cell r="AQ5426" t="str">
            <v>8496046|96942400|371513134|65383667</v>
          </cell>
          <cell r="AR5426" t="str">
            <v>GASTO FISICO</v>
          </cell>
        </row>
        <row r="5427">
          <cell r="AQ5427" t="str">
            <v>8496046|96942400|371513134|65383667</v>
          </cell>
          <cell r="AR5427" t="str">
            <v>GASTO FISICO</v>
          </cell>
        </row>
        <row r="5428">
          <cell r="AQ5428" t="str">
            <v>8496046|96942400|371513134|65383667</v>
          </cell>
          <cell r="AR5428" t="str">
            <v>GASTO FISICO</v>
          </cell>
        </row>
        <row r="5429">
          <cell r="AQ5429" t="str">
            <v>8496046|96942400|371513175|371513175</v>
          </cell>
          <cell r="AR5429" t="str">
            <v>IMED SALUD</v>
          </cell>
        </row>
        <row r="5430">
          <cell r="AQ5430" t="str">
            <v>8496046|96942400|371513175|371513175</v>
          </cell>
          <cell r="AR5430" t="str">
            <v>IMED SALUD</v>
          </cell>
        </row>
        <row r="5431">
          <cell r="AQ5431" t="str">
            <v>8496046|96942400|371513175|371513175</v>
          </cell>
          <cell r="AR5431" t="str">
            <v>IMED SALUD</v>
          </cell>
        </row>
        <row r="5432">
          <cell r="AQ5432" t="str">
            <v>8496046|96942400|371513175|371513175</v>
          </cell>
          <cell r="AR5432" t="str">
            <v>IMED SALUD</v>
          </cell>
        </row>
        <row r="5433">
          <cell r="AQ5433" t="str">
            <v>8496046|96942400|371513175|65383668</v>
          </cell>
          <cell r="AR5433" t="str">
            <v>GASTO FISICO</v>
          </cell>
        </row>
        <row r="5434">
          <cell r="AQ5434" t="str">
            <v>8496046|96942400|371513175|65383668</v>
          </cell>
          <cell r="AR5434" t="str">
            <v>GASTO FISICO</v>
          </cell>
        </row>
        <row r="5435">
          <cell r="AQ5435" t="str">
            <v>8536609|96617350|371854567|371854567</v>
          </cell>
          <cell r="AR5435" t="str">
            <v>IMED SALUD</v>
          </cell>
        </row>
        <row r="5436">
          <cell r="AQ5436" t="str">
            <v>8536609|96617350|371854567|371854567</v>
          </cell>
          <cell r="AR5436" t="str">
            <v>IMED SALUD</v>
          </cell>
        </row>
        <row r="5437">
          <cell r="AQ5437" t="str">
            <v>8536609|96617350|371854567|371854567</v>
          </cell>
          <cell r="AR5437" t="str">
            <v>IMED SALUD</v>
          </cell>
        </row>
        <row r="5438">
          <cell r="AQ5438" t="str">
            <v>8536609|96617350|371854567|371854567</v>
          </cell>
          <cell r="AR5438" t="str">
            <v>IMED SALUD</v>
          </cell>
        </row>
        <row r="5439">
          <cell r="AQ5439" t="str">
            <v>8536609|96617350|371854567|371854567</v>
          </cell>
          <cell r="AR5439" t="str">
            <v>IMED SALUD</v>
          </cell>
        </row>
        <row r="5440">
          <cell r="AQ5440" t="str">
            <v>8536609|96617350|371854567|371854567</v>
          </cell>
          <cell r="AR5440" t="str">
            <v>IMED SALUD</v>
          </cell>
        </row>
        <row r="5441">
          <cell r="AQ5441" t="str">
            <v>8536609|96617350|371854567|371854567</v>
          </cell>
          <cell r="AR5441" t="str">
            <v>IMED SALUD</v>
          </cell>
        </row>
        <row r="5442">
          <cell r="AQ5442" t="str">
            <v>8536609|96617350|371854567|371854567</v>
          </cell>
          <cell r="AR5442" t="str">
            <v>IMED SALUD</v>
          </cell>
        </row>
        <row r="5443">
          <cell r="AQ5443" t="str">
            <v>8536609|96617350|371854567|371854567</v>
          </cell>
          <cell r="AR5443" t="str">
            <v>IMED SALUD</v>
          </cell>
        </row>
        <row r="5444">
          <cell r="AQ5444" t="str">
            <v>8536609|96617350|371854567|371854567</v>
          </cell>
          <cell r="AR5444" t="str">
            <v>IMED SALUD</v>
          </cell>
        </row>
        <row r="5445">
          <cell r="AQ5445" t="str">
            <v>8536609|96617350|371854567|65383669</v>
          </cell>
          <cell r="AR5445" t="str">
            <v>GASTO FISICO</v>
          </cell>
        </row>
        <row r="5446">
          <cell r="AQ5446" t="str">
            <v>8536609|96617350|371854567|65383669</v>
          </cell>
          <cell r="AR5446" t="str">
            <v>GASTO FISICO</v>
          </cell>
        </row>
        <row r="5447">
          <cell r="AQ5447" t="str">
            <v>8536609|96617350|371854567|65383669</v>
          </cell>
          <cell r="AR5447" t="str">
            <v>GASTO FISICO</v>
          </cell>
        </row>
        <row r="5448">
          <cell r="AQ5448" t="str">
            <v>8536609|96617350|371854567|65383669</v>
          </cell>
          <cell r="AR5448" t="str">
            <v>GASTO FISICO</v>
          </cell>
        </row>
        <row r="5449">
          <cell r="AQ5449" t="str">
            <v>8536609|96617350|371854567|65383669</v>
          </cell>
          <cell r="AR5449" t="str">
            <v>GASTO FISICO</v>
          </cell>
        </row>
        <row r="5450">
          <cell r="AQ5450" t="str">
            <v>8536609|96617350|371854568|371854568</v>
          </cell>
          <cell r="AR5450" t="str">
            <v>IMED SALUD</v>
          </cell>
        </row>
        <row r="5451">
          <cell r="AQ5451" t="str">
            <v>8536609|96617350|371854568|371854568</v>
          </cell>
          <cell r="AR5451" t="str">
            <v>IMED SALUD</v>
          </cell>
        </row>
        <row r="5452">
          <cell r="AQ5452" t="str">
            <v>8536609|96617350|371854568|371854568</v>
          </cell>
          <cell r="AR5452" t="str">
            <v>IMED SALUD</v>
          </cell>
        </row>
        <row r="5453">
          <cell r="AQ5453" t="str">
            <v>8536609|96617350|371854568|371854568</v>
          </cell>
          <cell r="AR5453" t="str">
            <v>IMED SALUD</v>
          </cell>
        </row>
        <row r="5454">
          <cell r="AQ5454" t="str">
            <v>8536609|96617350|371854568|371854568</v>
          </cell>
          <cell r="AR5454" t="str">
            <v>IMED SALUD</v>
          </cell>
        </row>
        <row r="5455">
          <cell r="AQ5455" t="str">
            <v>8536609|96617350|371854568|371854568</v>
          </cell>
          <cell r="AR5455" t="str">
            <v>IMED SALUD</v>
          </cell>
        </row>
        <row r="5456">
          <cell r="AQ5456" t="str">
            <v>8536609|96617350|371854568|65383670</v>
          </cell>
          <cell r="AR5456" t="str">
            <v>GASTO FISICO</v>
          </cell>
        </row>
        <row r="5457">
          <cell r="AQ5457" t="str">
            <v>8536609|96617350|371854569|371854569</v>
          </cell>
          <cell r="AR5457" t="str">
            <v>IMED SALUD</v>
          </cell>
        </row>
        <row r="5458">
          <cell r="AQ5458" t="str">
            <v>8536609|96617350|371854569|371854569</v>
          </cell>
          <cell r="AR5458" t="str">
            <v>IMED SALUD</v>
          </cell>
        </row>
        <row r="5459">
          <cell r="AQ5459" t="str">
            <v>8536609|96617350|371854569|371854569</v>
          </cell>
          <cell r="AR5459" t="str">
            <v>IMED SALUD</v>
          </cell>
        </row>
        <row r="5460">
          <cell r="AQ5460" t="str">
            <v>8536609|96617350|371854569|371854569</v>
          </cell>
          <cell r="AR5460" t="str">
            <v>IMED SALUD</v>
          </cell>
        </row>
        <row r="5461">
          <cell r="AQ5461" t="str">
            <v>8536609|96617350|371854569|371854569</v>
          </cell>
          <cell r="AR5461" t="str">
            <v>IMED SALUD</v>
          </cell>
        </row>
        <row r="5462">
          <cell r="AQ5462" t="str">
            <v>8536609|96617350|371854569|371854569</v>
          </cell>
          <cell r="AR5462" t="str">
            <v>IMED SALUD</v>
          </cell>
        </row>
        <row r="5463">
          <cell r="AQ5463" t="str">
            <v>8536609|96617350|371854569|65383671</v>
          </cell>
          <cell r="AR5463" t="str">
            <v>GASTO FISICO</v>
          </cell>
        </row>
        <row r="5464">
          <cell r="AQ5464" t="str">
            <v>8536609|96617350|371854569|65383671</v>
          </cell>
          <cell r="AR5464" t="str">
            <v>GASTO FISICO</v>
          </cell>
        </row>
        <row r="5465">
          <cell r="AQ5465" t="str">
            <v>8536609|96617350|371854569|65383671</v>
          </cell>
          <cell r="AR5465" t="str">
            <v>GASTO FISICO</v>
          </cell>
        </row>
        <row r="5466">
          <cell r="AQ5466" t="str">
            <v>8536609|96617350|371854852|371854852</v>
          </cell>
          <cell r="AR5466" t="str">
            <v>IMED SALUD</v>
          </cell>
        </row>
        <row r="5467">
          <cell r="AQ5467" t="str">
            <v>8536609|96617350|371854852|371854852</v>
          </cell>
          <cell r="AR5467" t="str">
            <v>IMED SALUD</v>
          </cell>
        </row>
        <row r="5468">
          <cell r="AQ5468" t="str">
            <v>8536609|96617350|371854852|65383672</v>
          </cell>
          <cell r="AR5468" t="str">
            <v>GASTO FISICO</v>
          </cell>
        </row>
        <row r="5469">
          <cell r="AQ5469" t="str">
            <v>8536609|76098454|371863769|371863769</v>
          </cell>
          <cell r="AR5469" t="str">
            <v>IMED SALUD</v>
          </cell>
        </row>
        <row r="5470">
          <cell r="AQ5470" t="str">
            <v>8536609|76098454|371863769|371863769</v>
          </cell>
          <cell r="AR5470" t="str">
            <v>IMED SALUD</v>
          </cell>
        </row>
        <row r="5471">
          <cell r="AQ5471" t="str">
            <v>8536609|76098454|371863769|65383673</v>
          </cell>
          <cell r="AR5471" t="str">
            <v>GASTO FISICO</v>
          </cell>
        </row>
        <row r="5472">
          <cell r="AQ5472" t="str">
            <v>8536609|76098454|371865457|371865457</v>
          </cell>
          <cell r="AR5472" t="str">
            <v>IMED SALUD</v>
          </cell>
        </row>
        <row r="5473">
          <cell r="AQ5473" t="str">
            <v>8536609|76098454|371865457|371865457</v>
          </cell>
          <cell r="AR5473" t="str">
            <v>IMED SALUD</v>
          </cell>
        </row>
        <row r="5474">
          <cell r="AQ5474" t="str">
            <v>8536609|76098454|371865457|65383674</v>
          </cell>
          <cell r="AR5474" t="str">
            <v>GASTO FISICO</v>
          </cell>
        </row>
        <row r="5475">
          <cell r="AQ5475" t="str">
            <v>8573655|76098454|136704758|136704758</v>
          </cell>
          <cell r="AR5475" t="str">
            <v>IMED SALUD</v>
          </cell>
        </row>
        <row r="5476">
          <cell r="AQ5476" t="str">
            <v>8573655|76098454|136704758|136704758</v>
          </cell>
          <cell r="AR5476" t="str">
            <v>IMED SALUD</v>
          </cell>
        </row>
        <row r="5477">
          <cell r="AQ5477" t="str">
            <v>8573655|76098454|136704758|65383676</v>
          </cell>
          <cell r="AR5477" t="str">
            <v>GASTO FISICO</v>
          </cell>
        </row>
        <row r="5478">
          <cell r="AQ5478" t="str">
            <v>8573655|76098454|136886854|136886854</v>
          </cell>
          <cell r="AR5478" t="str">
            <v>IMED SALUD</v>
          </cell>
        </row>
        <row r="5479">
          <cell r="AQ5479" t="str">
            <v>8573655|76098454|136886854|136886854</v>
          </cell>
          <cell r="AR5479" t="str">
            <v>IMED SALUD</v>
          </cell>
        </row>
        <row r="5480">
          <cell r="AQ5480" t="str">
            <v>8573655|76098454|136886854|65383677</v>
          </cell>
          <cell r="AR5480" t="str">
            <v>GASTO FISICO</v>
          </cell>
        </row>
        <row r="5481">
          <cell r="AQ5481" t="str">
            <v>8573655|96719690|372373964|372373964</v>
          </cell>
          <cell r="AR5481" t="str">
            <v>IMED SALUD</v>
          </cell>
        </row>
        <row r="5482">
          <cell r="AQ5482" t="str">
            <v>8573655|96719690|372373964|372373964</v>
          </cell>
          <cell r="AR5482" t="str">
            <v>IMED SALUD</v>
          </cell>
        </row>
        <row r="5483">
          <cell r="AQ5483" t="str">
            <v>8573655|96719690|372373964|65383675</v>
          </cell>
          <cell r="AR5483" t="str">
            <v>GASTO FISICO</v>
          </cell>
        </row>
        <row r="5484">
          <cell r="AQ5484" t="str">
            <v>8576939|96986050|371780152|371780152</v>
          </cell>
          <cell r="AR5484" t="str">
            <v>IMED SALUD</v>
          </cell>
        </row>
        <row r="5485">
          <cell r="AQ5485" t="str">
            <v>8576939|96986050|371780152|371780152</v>
          </cell>
          <cell r="AR5485" t="str">
            <v>IMED SALUD</v>
          </cell>
        </row>
        <row r="5486">
          <cell r="AQ5486" t="str">
            <v>8576939|96986050|371780152|371780152</v>
          </cell>
          <cell r="AR5486" t="str">
            <v>IMED SALUD</v>
          </cell>
        </row>
        <row r="5487">
          <cell r="AQ5487" t="str">
            <v>8576939|96986050|371780152|371780152</v>
          </cell>
          <cell r="AR5487" t="str">
            <v>IMED SALUD</v>
          </cell>
        </row>
        <row r="5488">
          <cell r="AQ5488" t="str">
            <v>8576939|96986050|371780152|371780152</v>
          </cell>
          <cell r="AR5488" t="str">
            <v>IMED SALUD</v>
          </cell>
        </row>
        <row r="5489">
          <cell r="AQ5489" t="str">
            <v>8576939|96986050|371780152|371780152</v>
          </cell>
          <cell r="AR5489" t="str">
            <v>IMED SALUD</v>
          </cell>
        </row>
        <row r="5490">
          <cell r="AQ5490" t="str">
            <v>8576939|96986050|371780152|371780152</v>
          </cell>
          <cell r="AR5490" t="str">
            <v>IMED SALUD</v>
          </cell>
        </row>
        <row r="5491">
          <cell r="AQ5491" t="str">
            <v>8576939|96986050|371780152|371780152</v>
          </cell>
          <cell r="AR5491" t="str">
            <v>IMED SALUD</v>
          </cell>
        </row>
        <row r="5492">
          <cell r="AQ5492" t="str">
            <v>8576939|96986050|371780152|371780152</v>
          </cell>
          <cell r="AR5492" t="str">
            <v>IMED SALUD</v>
          </cell>
        </row>
        <row r="5493">
          <cell r="AQ5493" t="str">
            <v>8576939|96986050|371780152|371780152</v>
          </cell>
          <cell r="AR5493" t="str">
            <v>IMED SALUD</v>
          </cell>
        </row>
        <row r="5494">
          <cell r="AQ5494" t="str">
            <v>8576939|96986050|371780152|65383678</v>
          </cell>
          <cell r="AR5494" t="str">
            <v>GASTO FISICO</v>
          </cell>
        </row>
        <row r="5495">
          <cell r="AQ5495" t="str">
            <v>8576939|96986050|371780152|65383678</v>
          </cell>
          <cell r="AR5495" t="str">
            <v>GASTO FISICO</v>
          </cell>
        </row>
        <row r="5496">
          <cell r="AQ5496" t="str">
            <v>8576939|96986050|371780152|65383678</v>
          </cell>
          <cell r="AR5496" t="str">
            <v>GASTO FISICO</v>
          </cell>
        </row>
        <row r="5497">
          <cell r="AQ5497" t="str">
            <v>8576939|96986050|371780152|65383678</v>
          </cell>
          <cell r="AR5497" t="str">
            <v>GASTO FISICO</v>
          </cell>
        </row>
        <row r="5498">
          <cell r="AQ5498" t="str">
            <v>8576939|96986050|371780152|65383678</v>
          </cell>
          <cell r="AR5498" t="str">
            <v>GASTO FISICO</v>
          </cell>
        </row>
        <row r="5499">
          <cell r="AQ5499" t="str">
            <v>8576939|96617350|372072261|372072261</v>
          </cell>
          <cell r="AR5499" t="str">
            <v>IMED SALUD</v>
          </cell>
        </row>
        <row r="5500">
          <cell r="AQ5500" t="str">
            <v>8576939|96617350|372072261|372072261</v>
          </cell>
          <cell r="AR5500" t="str">
            <v>IMED SALUD</v>
          </cell>
        </row>
        <row r="5501">
          <cell r="AQ5501" t="str">
            <v>8576939|96617350|372072261|372072261</v>
          </cell>
          <cell r="AR5501" t="str">
            <v>IMED SALUD</v>
          </cell>
        </row>
        <row r="5502">
          <cell r="AQ5502" t="str">
            <v>8576939|96617350|372072261|372072261</v>
          </cell>
          <cell r="AR5502" t="str">
            <v>IMED SALUD</v>
          </cell>
        </row>
        <row r="5503">
          <cell r="AQ5503" t="str">
            <v>8576939|96617350|372072261|65383679</v>
          </cell>
          <cell r="AR5503" t="str">
            <v>GASTO FISICO</v>
          </cell>
        </row>
        <row r="5504">
          <cell r="AQ5504" t="str">
            <v>8576939|96617350|372072261|65383679</v>
          </cell>
          <cell r="AR5504" t="str">
            <v>GASTO FISICO</v>
          </cell>
        </row>
        <row r="5505">
          <cell r="AQ5505" t="str">
            <v>8577904|60910000|916507769|916507769</v>
          </cell>
          <cell r="AR5505" t="str">
            <v>IMED SALUD</v>
          </cell>
        </row>
        <row r="5506">
          <cell r="AQ5506" t="str">
            <v>8577904|60910000|916507769|916507769</v>
          </cell>
          <cell r="AR5506" t="str">
            <v>IMED SALUD</v>
          </cell>
        </row>
        <row r="5507">
          <cell r="AQ5507" t="str">
            <v>8577904|60910000|916507769|916507769</v>
          </cell>
          <cell r="AR5507" t="str">
            <v>IMED SALUD</v>
          </cell>
        </row>
        <row r="5508">
          <cell r="AQ5508" t="str">
            <v>8577904|60910000|916507769|916507769</v>
          </cell>
          <cell r="AR5508" t="str">
            <v>IMED SALUD</v>
          </cell>
        </row>
        <row r="5509">
          <cell r="AQ5509" t="str">
            <v>8577904|60910000|916507769|65383680</v>
          </cell>
          <cell r="AR5509" t="str">
            <v>GASTO FISICO</v>
          </cell>
        </row>
        <row r="5510">
          <cell r="AQ5510" t="str">
            <v>8577904|60910000|916507769|65383680</v>
          </cell>
          <cell r="AR5510" t="str">
            <v>GASTO FISICO</v>
          </cell>
        </row>
        <row r="5511">
          <cell r="AQ5511" t="str">
            <v>8586053|96942400|917614541|917614541</v>
          </cell>
          <cell r="AR5511" t="str">
            <v>IMED SALUD</v>
          </cell>
        </row>
        <row r="5512">
          <cell r="AQ5512" t="str">
            <v>8586053|96942400|917614541|917614541</v>
          </cell>
          <cell r="AR5512" t="str">
            <v>IMED SALUD</v>
          </cell>
        </row>
        <row r="5513">
          <cell r="AQ5513" t="str">
            <v>8586053|96942400|917614541|65383684</v>
          </cell>
          <cell r="AR5513" t="str">
            <v>GASTO FISICO</v>
          </cell>
        </row>
        <row r="5514">
          <cell r="AQ5514" t="str">
            <v>8586053|96942400|918783008|918783008</v>
          </cell>
          <cell r="AR5514" t="str">
            <v>IMED SALUD</v>
          </cell>
        </row>
        <row r="5515">
          <cell r="AQ5515" t="str">
            <v>8586053|96942400|918783008|918783008</v>
          </cell>
          <cell r="AR5515" t="str">
            <v>IMED SALUD</v>
          </cell>
        </row>
        <row r="5516">
          <cell r="AQ5516" t="str">
            <v>8586053|96942400|918783008|65383685</v>
          </cell>
          <cell r="AR5516" t="str">
            <v>GASTO FISICO</v>
          </cell>
        </row>
        <row r="5517">
          <cell r="AQ5517" t="str">
            <v>8592614|96680980|371556218|371556218</v>
          </cell>
          <cell r="AR5517" t="str">
            <v>IMED SALUD</v>
          </cell>
        </row>
        <row r="5518">
          <cell r="AQ5518" t="str">
            <v>8592614|96680980|371556218|371556218</v>
          </cell>
          <cell r="AR5518" t="str">
            <v>IMED SALUD</v>
          </cell>
        </row>
        <row r="5519">
          <cell r="AQ5519" t="str">
            <v>8592614|96680980|371556218|65383687</v>
          </cell>
          <cell r="AR5519" t="str">
            <v>GASTO FISICO</v>
          </cell>
        </row>
        <row r="5520">
          <cell r="AQ5520" t="str">
            <v>8622610|76098454|919842619|919842619</v>
          </cell>
          <cell r="AR5520" t="str">
            <v>IMED SALUD</v>
          </cell>
        </row>
        <row r="5521">
          <cell r="AQ5521" t="str">
            <v>8622610|76098454|919842619|919842619</v>
          </cell>
          <cell r="AR5521" t="str">
            <v>IMED SALUD</v>
          </cell>
        </row>
        <row r="5522">
          <cell r="AQ5522" t="str">
            <v>8622610|76098454|919842619|65383688</v>
          </cell>
          <cell r="AR5522" t="str">
            <v>GASTO FISICO</v>
          </cell>
        </row>
        <row r="5523">
          <cell r="AQ5523" t="str">
            <v>8656744|78471820|921687531|921687531</v>
          </cell>
          <cell r="AR5523" t="str">
            <v>IMED SALUD</v>
          </cell>
        </row>
        <row r="5524">
          <cell r="AQ5524" t="str">
            <v>8656744|78471820|921687531|921687531</v>
          </cell>
          <cell r="AR5524" t="str">
            <v>IMED SALUD</v>
          </cell>
        </row>
        <row r="5525">
          <cell r="AQ5525" t="str">
            <v>8656744|78471820|921687531|65383689</v>
          </cell>
          <cell r="AR5525" t="str">
            <v>GASTO FISICO</v>
          </cell>
        </row>
        <row r="5526">
          <cell r="AQ5526" t="str">
            <v>8665623|99573490|765176294|765176294</v>
          </cell>
          <cell r="AR5526" t="str">
            <v>IMED SALUD</v>
          </cell>
        </row>
        <row r="5527">
          <cell r="AQ5527" t="str">
            <v>8665623|99573490|765176294|765176294</v>
          </cell>
          <cell r="AR5527" t="str">
            <v>IMED SALUD</v>
          </cell>
        </row>
        <row r="5528">
          <cell r="AQ5528" t="str">
            <v>8665623|99573490|765176294|765176294</v>
          </cell>
          <cell r="AR5528" t="str">
            <v>IMED SALUD</v>
          </cell>
        </row>
        <row r="5529">
          <cell r="AQ5529" t="str">
            <v>8665623|99573490|765176294|765176294</v>
          </cell>
          <cell r="AR5529" t="str">
            <v>IMED SALUD</v>
          </cell>
        </row>
        <row r="5530">
          <cell r="AQ5530" t="str">
            <v>8665623|99573490|765176294|765176294</v>
          </cell>
          <cell r="AR5530" t="str">
            <v>IMED SALUD</v>
          </cell>
        </row>
        <row r="5531">
          <cell r="AQ5531" t="str">
            <v>8665623|99573490|765176294|765176294</v>
          </cell>
          <cell r="AR5531" t="str">
            <v>IMED SALUD</v>
          </cell>
        </row>
        <row r="5532">
          <cell r="AQ5532" t="str">
            <v>8665623|99573490|765176294|765176294</v>
          </cell>
          <cell r="AR5532" t="str">
            <v>IMED SALUD</v>
          </cell>
        </row>
        <row r="5533">
          <cell r="AQ5533" t="str">
            <v>8665623|99573490|765176294|765176294</v>
          </cell>
          <cell r="AR5533" t="str">
            <v>IMED SALUD</v>
          </cell>
        </row>
        <row r="5534">
          <cell r="AQ5534" t="str">
            <v>8665623|99573490|765176294|65383690</v>
          </cell>
          <cell r="AR5534" t="str">
            <v>GASTO FISICO</v>
          </cell>
        </row>
        <row r="5535">
          <cell r="AQ5535" t="str">
            <v>8665623|99573490|765176294|65383690</v>
          </cell>
          <cell r="AR5535" t="str">
            <v>GASTO FISICO</v>
          </cell>
        </row>
        <row r="5536">
          <cell r="AQ5536" t="str">
            <v>8665623|99573490|765176294|65383690</v>
          </cell>
          <cell r="AR5536" t="str">
            <v>GASTO FISICO</v>
          </cell>
        </row>
        <row r="5537">
          <cell r="AQ5537" t="str">
            <v>8665623|99573490|765176294|65383690</v>
          </cell>
          <cell r="AR5537" t="str">
            <v>GASTO FISICO</v>
          </cell>
        </row>
        <row r="5538">
          <cell r="AQ5538" t="str">
            <v>8665623|99573490|765192599|765192599</v>
          </cell>
          <cell r="AR5538" t="str">
            <v>IMED SALUD</v>
          </cell>
        </row>
        <row r="5539">
          <cell r="AQ5539" t="str">
            <v>8665623|99573490|765192599|765192599</v>
          </cell>
          <cell r="AR5539" t="str">
            <v>IMED SALUD</v>
          </cell>
        </row>
        <row r="5540">
          <cell r="AQ5540" t="str">
            <v>8665623|99573490|765192599|765192599</v>
          </cell>
          <cell r="AR5540" t="str">
            <v>IMED SALUD</v>
          </cell>
        </row>
        <row r="5541">
          <cell r="AQ5541" t="str">
            <v>8665623|99573490|765192599|765192599</v>
          </cell>
          <cell r="AR5541" t="str">
            <v>IMED SALUD</v>
          </cell>
        </row>
        <row r="5542">
          <cell r="AQ5542" t="str">
            <v>8665623|99573490|765192599|765192599</v>
          </cell>
          <cell r="AR5542" t="str">
            <v>IMED SALUD</v>
          </cell>
        </row>
        <row r="5543">
          <cell r="AQ5543" t="str">
            <v>8665623|99573490|765192599|765192599</v>
          </cell>
          <cell r="AR5543" t="str">
            <v>IMED SALUD</v>
          </cell>
        </row>
        <row r="5544">
          <cell r="AQ5544" t="str">
            <v>8665623|99573490|765192599|765192599</v>
          </cell>
          <cell r="AR5544" t="str">
            <v>IMED SALUD</v>
          </cell>
        </row>
        <row r="5545">
          <cell r="AQ5545" t="str">
            <v>8665623|99573490|765192599|765192599</v>
          </cell>
          <cell r="AR5545" t="str">
            <v>IMED SALUD</v>
          </cell>
        </row>
        <row r="5546">
          <cell r="AQ5546" t="str">
            <v>8665623|99573490|765192599|765192599</v>
          </cell>
          <cell r="AR5546" t="str">
            <v>IMED SALUD</v>
          </cell>
        </row>
        <row r="5547">
          <cell r="AQ5547" t="str">
            <v>8665623|99573490|765192599|765192599</v>
          </cell>
          <cell r="AR5547" t="str">
            <v>IMED SALUD</v>
          </cell>
        </row>
        <row r="5548">
          <cell r="AQ5548" t="str">
            <v>8665623|99573490|765192599|65383691</v>
          </cell>
          <cell r="AR5548" t="str">
            <v>GASTO FISICO</v>
          </cell>
        </row>
        <row r="5549">
          <cell r="AQ5549" t="str">
            <v>8665623|99573490|765192599|65383691</v>
          </cell>
          <cell r="AR5549" t="str">
            <v>GASTO FISICO</v>
          </cell>
        </row>
        <row r="5550">
          <cell r="AQ5550" t="str">
            <v>8665623|99573490|765192599|65383691</v>
          </cell>
          <cell r="AR5550" t="str">
            <v>GASTO FISICO</v>
          </cell>
        </row>
        <row r="5551">
          <cell r="AQ5551" t="str">
            <v>8665623|99573490|765192599|65383691</v>
          </cell>
          <cell r="AR5551" t="str">
            <v>GASTO FISICO</v>
          </cell>
        </row>
        <row r="5552">
          <cell r="AQ5552" t="str">
            <v>8665623|99573490|765192599|65383691</v>
          </cell>
          <cell r="AR5552" t="str">
            <v>GASTO FISICO</v>
          </cell>
        </row>
        <row r="5553">
          <cell r="AQ5553" t="str">
            <v>8665623|99573490|765192600|765192600</v>
          </cell>
          <cell r="AR5553" t="str">
            <v>IMED SALUD</v>
          </cell>
        </row>
        <row r="5554">
          <cell r="AQ5554" t="str">
            <v>8665623|99573490|765192600|765192600</v>
          </cell>
          <cell r="AR5554" t="str">
            <v>IMED SALUD</v>
          </cell>
        </row>
        <row r="5555">
          <cell r="AQ5555" t="str">
            <v>8665623|99573490|765192600|765192600</v>
          </cell>
          <cell r="AR5555" t="str">
            <v>IMED SALUD</v>
          </cell>
        </row>
        <row r="5556">
          <cell r="AQ5556" t="str">
            <v>8665623|99573490|765192600|765192600</v>
          </cell>
          <cell r="AR5556" t="str">
            <v>IMED SALUD</v>
          </cell>
        </row>
        <row r="5557">
          <cell r="AQ5557" t="str">
            <v>8665623|99573490|765192600|765192600</v>
          </cell>
          <cell r="AR5557" t="str">
            <v>IMED SALUD</v>
          </cell>
        </row>
        <row r="5558">
          <cell r="AQ5558" t="str">
            <v>8665623|99573490|765192600|765192600</v>
          </cell>
          <cell r="AR5558" t="str">
            <v>IMED SALUD</v>
          </cell>
        </row>
        <row r="5559">
          <cell r="AQ5559" t="str">
            <v>8665623|99573490|765192600|765192600</v>
          </cell>
          <cell r="AR5559" t="str">
            <v>IMED SALUD</v>
          </cell>
        </row>
        <row r="5560">
          <cell r="AQ5560" t="str">
            <v>8665623|99573490|765192600|765192600</v>
          </cell>
          <cell r="AR5560" t="str">
            <v>IMED SALUD</v>
          </cell>
        </row>
        <row r="5561">
          <cell r="AQ5561" t="str">
            <v>8665623|99573490|765192600|765192600</v>
          </cell>
          <cell r="AR5561" t="str">
            <v>IMED SALUD</v>
          </cell>
        </row>
        <row r="5562">
          <cell r="AQ5562" t="str">
            <v>8665623|99573490|765192600|765192600</v>
          </cell>
          <cell r="AR5562" t="str">
            <v>IMED SALUD</v>
          </cell>
        </row>
        <row r="5563">
          <cell r="AQ5563" t="str">
            <v>8665623|99573490|765192600|65383692</v>
          </cell>
          <cell r="AR5563" t="str">
            <v>GASTO FISICO</v>
          </cell>
        </row>
        <row r="5564">
          <cell r="AQ5564" t="str">
            <v>8665623|99573490|765192600|65383692</v>
          </cell>
          <cell r="AR5564" t="str">
            <v>GASTO FISICO</v>
          </cell>
        </row>
        <row r="5565">
          <cell r="AQ5565" t="str">
            <v>8665623|99573490|765192600|65383692</v>
          </cell>
          <cell r="AR5565" t="str">
            <v>GASTO FISICO</v>
          </cell>
        </row>
        <row r="5566">
          <cell r="AQ5566" t="str">
            <v>8665623|99573490|765192600|65383692</v>
          </cell>
          <cell r="AR5566" t="str">
            <v>GASTO FISICO</v>
          </cell>
        </row>
        <row r="5567">
          <cell r="AQ5567" t="str">
            <v>8665623|99573490|765192600|65383692</v>
          </cell>
          <cell r="AR5567" t="str">
            <v>GASTO FISICO</v>
          </cell>
        </row>
        <row r="5568">
          <cell r="AQ5568" t="str">
            <v>8665623|99573490|765192601|765192601</v>
          </cell>
          <cell r="AR5568" t="str">
            <v>IMED SALUD</v>
          </cell>
        </row>
        <row r="5569">
          <cell r="AQ5569" t="str">
            <v>8665623|99573490|765192601|765192601</v>
          </cell>
          <cell r="AR5569" t="str">
            <v>IMED SALUD</v>
          </cell>
        </row>
        <row r="5570">
          <cell r="AQ5570" t="str">
            <v>8665623|99573490|765192601|65383693</v>
          </cell>
          <cell r="AR5570" t="str">
            <v>GASTO FISICO</v>
          </cell>
        </row>
        <row r="5571">
          <cell r="AQ5571" t="str">
            <v>8665623|99540210|765227284|765227284</v>
          </cell>
          <cell r="AR5571" t="str">
            <v>IMED SALUD</v>
          </cell>
        </row>
        <row r="5572">
          <cell r="AQ5572" t="str">
            <v>8665623|99540210|765227284|765227284</v>
          </cell>
          <cell r="AR5572" t="str">
            <v>IMED SALUD</v>
          </cell>
        </row>
        <row r="5573">
          <cell r="AQ5573" t="str">
            <v>8665623|99540210|765227284|765227284</v>
          </cell>
          <cell r="AR5573" t="str">
            <v>IMED SALUD</v>
          </cell>
        </row>
        <row r="5574">
          <cell r="AQ5574" t="str">
            <v>8665623|99540210|765227284|765227284</v>
          </cell>
          <cell r="AR5574" t="str">
            <v>IMED SALUD</v>
          </cell>
        </row>
        <row r="5575">
          <cell r="AQ5575" t="str">
            <v>8665623|99540210|765227284|65383694</v>
          </cell>
          <cell r="AR5575" t="str">
            <v>GASTO FISICO</v>
          </cell>
        </row>
        <row r="5576">
          <cell r="AQ5576" t="str">
            <v>8665623|99540210|765227284|65383694</v>
          </cell>
          <cell r="AR5576" t="str">
            <v>GASTO FISICO</v>
          </cell>
        </row>
        <row r="5577">
          <cell r="AQ5577" t="str">
            <v>8665623|99540210|765227285|765227285</v>
          </cell>
          <cell r="AR5577" t="str">
            <v>IMED SALUD</v>
          </cell>
        </row>
        <row r="5578">
          <cell r="AQ5578" t="str">
            <v>8665623|99540210|765227285|765227285</v>
          </cell>
          <cell r="AR5578" t="str">
            <v>IMED SALUD</v>
          </cell>
        </row>
        <row r="5579">
          <cell r="AQ5579" t="str">
            <v>8665623|99540210|765227285|65383695</v>
          </cell>
          <cell r="AR5579" t="str">
            <v>GASTO FISICO</v>
          </cell>
        </row>
        <row r="5580">
          <cell r="AQ5580" t="str">
            <v>8665623|70335000|8187703|22012631</v>
          </cell>
          <cell r="AR5580" t="str">
            <v>GASTO FISICO</v>
          </cell>
        </row>
        <row r="5581">
          <cell r="AQ5581" t="str">
            <v>8665623|70335000|8187703|985477</v>
          </cell>
          <cell r="AR5581" t="str">
            <v>GASTO FISICO</v>
          </cell>
        </row>
        <row r="5582">
          <cell r="AQ5582" t="str">
            <v>8665623|70335000|8187703|65212912</v>
          </cell>
          <cell r="AR5582" t="str">
            <v>GASTO FISICO</v>
          </cell>
        </row>
        <row r="5583">
          <cell r="AQ5583" t="str">
            <v>8850540|96942400|765258467|765258467</v>
          </cell>
          <cell r="AR5583" t="str">
            <v>IMED SALUD</v>
          </cell>
        </row>
        <row r="5584">
          <cell r="AQ5584" t="str">
            <v>8850540|96942400|765258467|765258467</v>
          </cell>
          <cell r="AR5584" t="str">
            <v>IMED SALUD</v>
          </cell>
        </row>
        <row r="5585">
          <cell r="AQ5585" t="str">
            <v>8850540|96942400|765258467|65383696</v>
          </cell>
          <cell r="AR5585" t="str">
            <v>GASTO FISICO</v>
          </cell>
        </row>
        <row r="5586">
          <cell r="AQ5586" t="str">
            <v>8956787|76031071|643188985|22000309</v>
          </cell>
          <cell r="AR5586" t="str">
            <v>GASTO FISICO</v>
          </cell>
        </row>
        <row r="5587">
          <cell r="AQ5587" t="str">
            <v>8956787|76031071|643188985|22000309</v>
          </cell>
          <cell r="AR5587" t="str">
            <v>GASTO FISICO</v>
          </cell>
        </row>
        <row r="5588">
          <cell r="AQ5588" t="str">
            <v>8956787|76031071|643188985|22000309</v>
          </cell>
          <cell r="AR5588" t="str">
            <v>GASTO FISICO</v>
          </cell>
        </row>
        <row r="5589">
          <cell r="AQ5589" t="str">
            <v>8956787|76031071|643188985|984555</v>
          </cell>
          <cell r="AR5589" t="str">
            <v>GASTO FISICO</v>
          </cell>
        </row>
        <row r="5590">
          <cell r="AQ5590" t="str">
            <v>8956787|76031071|643188985|65212933</v>
          </cell>
          <cell r="AR5590" t="str">
            <v>GASTO FISICO</v>
          </cell>
        </row>
        <row r="5591">
          <cell r="AQ5591" t="str">
            <v>8956787|76031071|643188985|65212933</v>
          </cell>
          <cell r="AR5591" t="str">
            <v>GASTO FISICO</v>
          </cell>
        </row>
        <row r="5592">
          <cell r="AQ5592" t="str">
            <v>8956787|76098454|916639740|21971987</v>
          </cell>
          <cell r="AR5592" t="str">
            <v>GASTO FISICO</v>
          </cell>
        </row>
        <row r="5593">
          <cell r="AQ5593" t="str">
            <v>8956787|76098454|916639740|22009866</v>
          </cell>
          <cell r="AR5593" t="str">
            <v>GASTO FISICO</v>
          </cell>
        </row>
        <row r="5594">
          <cell r="AQ5594" t="str">
            <v>8956787|76098454|916639740|916639740</v>
          </cell>
          <cell r="AR5594" t="str">
            <v>IMED SALUD</v>
          </cell>
        </row>
        <row r="5595">
          <cell r="AQ5595" t="str">
            <v>8956787|76098454|916639740|65383697</v>
          </cell>
          <cell r="AR5595" t="str">
            <v>GASTO FISICO</v>
          </cell>
        </row>
        <row r="5596">
          <cell r="AQ5596" t="str">
            <v>8956787|76098454|916640109|21971987</v>
          </cell>
          <cell r="AR5596" t="str">
            <v>GASTO FISICO</v>
          </cell>
        </row>
        <row r="5597">
          <cell r="AQ5597" t="str">
            <v>8956787|76098454|916640109|22009866</v>
          </cell>
          <cell r="AR5597" t="str">
            <v>GASTO FISICO</v>
          </cell>
        </row>
        <row r="5598">
          <cell r="AQ5598" t="str">
            <v>8956787|76098454|916640109|916640109</v>
          </cell>
          <cell r="AR5598" t="str">
            <v>IMED SALUD</v>
          </cell>
        </row>
        <row r="5599">
          <cell r="AQ5599" t="str">
            <v>8956787|76098454|916640109|65383697</v>
          </cell>
          <cell r="AR5599" t="str">
            <v>GASTO FISICO</v>
          </cell>
        </row>
        <row r="5600">
          <cell r="AQ5600" t="str">
            <v>8995724|76573076|2169165|21985975</v>
          </cell>
          <cell r="AR5600" t="str">
            <v>GASTO FISICO</v>
          </cell>
        </row>
        <row r="5601">
          <cell r="AQ5601" t="str">
            <v>8995724|76573076|2169165|983720</v>
          </cell>
          <cell r="AR5601" t="str">
            <v>GASTO FISICO</v>
          </cell>
        </row>
        <row r="5602">
          <cell r="AQ5602" t="str">
            <v>8995724|76573076|2169165|65212934</v>
          </cell>
          <cell r="AR5602" t="str">
            <v>GASTO FISICO</v>
          </cell>
        </row>
        <row r="5603">
          <cell r="AQ5603" t="str">
            <v>9004627|96942400|917405017|917405017</v>
          </cell>
          <cell r="AR5603" t="str">
            <v>IMED SALUD</v>
          </cell>
        </row>
        <row r="5604">
          <cell r="AQ5604" t="str">
            <v>9004627|96942400|917405017|917405017</v>
          </cell>
          <cell r="AR5604" t="str">
            <v>IMED SALUD</v>
          </cell>
        </row>
        <row r="5605">
          <cell r="AQ5605" t="str">
            <v>9004627|96942400|917405017|65383698</v>
          </cell>
          <cell r="AR5605" t="str">
            <v>GASTO FISICO</v>
          </cell>
        </row>
        <row r="5606">
          <cell r="AQ5606" t="str">
            <v>9004627|96530470|919800905|919800905</v>
          </cell>
          <cell r="AR5606" t="str">
            <v>IMED SALUD</v>
          </cell>
        </row>
        <row r="5607">
          <cell r="AQ5607" t="str">
            <v>9004627|96530470|919800905|919800905</v>
          </cell>
          <cell r="AR5607" t="str">
            <v>IMED SALUD</v>
          </cell>
        </row>
        <row r="5608">
          <cell r="AQ5608" t="str">
            <v>9004627|96530470|919800905|919800905</v>
          </cell>
          <cell r="AR5608" t="str">
            <v>IMED SALUD</v>
          </cell>
        </row>
        <row r="5609">
          <cell r="AQ5609" t="str">
            <v>9004627|96530470|919800905|919800905</v>
          </cell>
          <cell r="AR5609" t="str">
            <v>IMED SALUD</v>
          </cell>
        </row>
        <row r="5610">
          <cell r="AQ5610" t="str">
            <v>9004627|96530470|919800905|919800905</v>
          </cell>
          <cell r="AR5610" t="str">
            <v>IMED SALUD</v>
          </cell>
        </row>
        <row r="5611">
          <cell r="AQ5611" t="str">
            <v>9004627|96530470|919800905|919800905</v>
          </cell>
          <cell r="AR5611" t="str">
            <v>IMED SALUD</v>
          </cell>
        </row>
        <row r="5612">
          <cell r="AQ5612" t="str">
            <v>9004627|96530470|919800905|919800905</v>
          </cell>
          <cell r="AR5612" t="str">
            <v>IMED SALUD</v>
          </cell>
        </row>
        <row r="5613">
          <cell r="AQ5613" t="str">
            <v>9004627|96530470|919800905|919800905</v>
          </cell>
          <cell r="AR5613" t="str">
            <v>IMED SALUD</v>
          </cell>
        </row>
        <row r="5614">
          <cell r="AQ5614" t="str">
            <v>9004627|96530470|919800905|919800905</v>
          </cell>
          <cell r="AR5614" t="str">
            <v>IMED SALUD</v>
          </cell>
        </row>
        <row r="5615">
          <cell r="AQ5615" t="str">
            <v>9004627|96530470|919800905|919800905</v>
          </cell>
          <cell r="AR5615" t="str">
            <v>IMED SALUD</v>
          </cell>
        </row>
        <row r="5616">
          <cell r="AQ5616" t="str">
            <v>9004627|96530470|919800905|65383703</v>
          </cell>
          <cell r="AR5616" t="str">
            <v>GASTO FISICO</v>
          </cell>
        </row>
        <row r="5617">
          <cell r="AQ5617" t="str">
            <v>9004627|96530470|919800905|65383703</v>
          </cell>
          <cell r="AR5617" t="str">
            <v>GASTO FISICO</v>
          </cell>
        </row>
        <row r="5618">
          <cell r="AQ5618" t="str">
            <v>9004627|96530470|919800905|65383703</v>
          </cell>
          <cell r="AR5618" t="str">
            <v>GASTO FISICO</v>
          </cell>
        </row>
        <row r="5619">
          <cell r="AQ5619" t="str">
            <v>9004627|96530470|919800905|65383703</v>
          </cell>
          <cell r="AR5619" t="str">
            <v>GASTO FISICO</v>
          </cell>
        </row>
        <row r="5620">
          <cell r="AQ5620" t="str">
            <v>9004627|96530470|919800905|65383703</v>
          </cell>
          <cell r="AR5620" t="str">
            <v>GASTO FISICO</v>
          </cell>
        </row>
        <row r="5621">
          <cell r="AQ5621" t="str">
            <v>9004627|79980070|919807200|919807200</v>
          </cell>
          <cell r="AR5621" t="str">
            <v>IMED SALUD</v>
          </cell>
        </row>
        <row r="5622">
          <cell r="AQ5622" t="str">
            <v>9004627|79980070|919807200|919807200</v>
          </cell>
          <cell r="AR5622" t="str">
            <v>IMED SALUD</v>
          </cell>
        </row>
        <row r="5623">
          <cell r="AQ5623" t="str">
            <v>9004627|79980070|919807200|65383704</v>
          </cell>
          <cell r="AR5623" t="str">
            <v>GASTO FISICO</v>
          </cell>
        </row>
        <row r="5624">
          <cell r="AQ5624" t="str">
            <v>9004627|96530470|920737202|920737202</v>
          </cell>
          <cell r="AR5624" t="str">
            <v>IMED SALUD</v>
          </cell>
        </row>
        <row r="5625">
          <cell r="AQ5625" t="str">
            <v>9004627|96530470|920737202|920737202</v>
          </cell>
          <cell r="AR5625" t="str">
            <v>IMED SALUD</v>
          </cell>
        </row>
        <row r="5626">
          <cell r="AQ5626" t="str">
            <v>9004627|96530470|920737202|920737202</v>
          </cell>
          <cell r="AR5626" t="str">
            <v>IMED SALUD</v>
          </cell>
        </row>
        <row r="5627">
          <cell r="AQ5627" t="str">
            <v>9004627|96530470|920737202|920737202</v>
          </cell>
          <cell r="AR5627" t="str">
            <v>IMED SALUD</v>
          </cell>
        </row>
        <row r="5628">
          <cell r="AQ5628" t="str">
            <v>9004627|96530470|920737202|920737202</v>
          </cell>
          <cell r="AR5628" t="str">
            <v>IMED SALUD</v>
          </cell>
        </row>
        <row r="5629">
          <cell r="AQ5629" t="str">
            <v>9004627|96530470|920737202|920737202</v>
          </cell>
          <cell r="AR5629" t="str">
            <v>IMED SALUD</v>
          </cell>
        </row>
        <row r="5630">
          <cell r="AQ5630" t="str">
            <v>9004627|96530470|920737202|920737202</v>
          </cell>
          <cell r="AR5630" t="str">
            <v>IMED SALUD</v>
          </cell>
        </row>
        <row r="5631">
          <cell r="AQ5631" t="str">
            <v>9004627|96530470|920737202|920737202</v>
          </cell>
          <cell r="AR5631" t="str">
            <v>IMED SALUD</v>
          </cell>
        </row>
        <row r="5632">
          <cell r="AQ5632" t="str">
            <v>9004627|96530470|920737202|920737202</v>
          </cell>
          <cell r="AR5632" t="str">
            <v>IMED SALUD</v>
          </cell>
        </row>
        <row r="5633">
          <cell r="AQ5633" t="str">
            <v>9004627|96530470|920737202|920737202</v>
          </cell>
          <cell r="AR5633" t="str">
            <v>IMED SALUD</v>
          </cell>
        </row>
        <row r="5634">
          <cell r="AQ5634" t="str">
            <v>9004627|96530470|920737202|65383699</v>
          </cell>
          <cell r="AR5634" t="str">
            <v>GASTO FISICO</v>
          </cell>
        </row>
        <row r="5635">
          <cell r="AQ5635" t="str">
            <v>9004627|96530470|920737202|65383699</v>
          </cell>
          <cell r="AR5635" t="str">
            <v>GASTO FISICO</v>
          </cell>
        </row>
        <row r="5636">
          <cell r="AQ5636" t="str">
            <v>9004627|96530470|920737202|65383699</v>
          </cell>
          <cell r="AR5636" t="str">
            <v>GASTO FISICO</v>
          </cell>
        </row>
        <row r="5637">
          <cell r="AQ5637" t="str">
            <v>9004627|96530470|920737202|65383699</v>
          </cell>
          <cell r="AR5637" t="str">
            <v>GASTO FISICO</v>
          </cell>
        </row>
        <row r="5638">
          <cell r="AQ5638" t="str">
            <v>9004627|96530470|920737202|65383699</v>
          </cell>
          <cell r="AR5638" t="str">
            <v>GASTO FISICO</v>
          </cell>
        </row>
        <row r="5639">
          <cell r="AQ5639" t="str">
            <v>9004627|96530470|920737203|920737203</v>
          </cell>
          <cell r="AR5639" t="str">
            <v>IMED SALUD</v>
          </cell>
        </row>
        <row r="5640">
          <cell r="AQ5640" t="str">
            <v>9004627|96530470|920737203|920737203</v>
          </cell>
          <cell r="AR5640" t="str">
            <v>IMED SALUD</v>
          </cell>
        </row>
        <row r="5641">
          <cell r="AQ5641" t="str">
            <v>9004627|96530470|920737203|920737203</v>
          </cell>
          <cell r="AR5641" t="str">
            <v>IMED SALUD</v>
          </cell>
        </row>
        <row r="5642">
          <cell r="AQ5642" t="str">
            <v>9004627|96530470|920737203|920737203</v>
          </cell>
          <cell r="AR5642" t="str">
            <v>IMED SALUD</v>
          </cell>
        </row>
        <row r="5643">
          <cell r="AQ5643" t="str">
            <v>9004627|96530470|920737203|920737203</v>
          </cell>
          <cell r="AR5643" t="str">
            <v>IMED SALUD</v>
          </cell>
        </row>
        <row r="5644">
          <cell r="AQ5644" t="str">
            <v>9004627|96530470|920737203|920737203</v>
          </cell>
          <cell r="AR5644" t="str">
            <v>IMED SALUD</v>
          </cell>
        </row>
        <row r="5645">
          <cell r="AQ5645" t="str">
            <v>9004627|96530470|920737203|920737203</v>
          </cell>
          <cell r="AR5645" t="str">
            <v>IMED SALUD</v>
          </cell>
        </row>
        <row r="5646">
          <cell r="AQ5646" t="str">
            <v>9004627|96530470|920737203|920737203</v>
          </cell>
          <cell r="AR5646" t="str">
            <v>IMED SALUD</v>
          </cell>
        </row>
        <row r="5647">
          <cell r="AQ5647" t="str">
            <v>9004627|96530470|920737203|920737203</v>
          </cell>
          <cell r="AR5647" t="str">
            <v>IMED SALUD</v>
          </cell>
        </row>
        <row r="5648">
          <cell r="AQ5648" t="str">
            <v>9004627|96530470|920737203|920737203</v>
          </cell>
          <cell r="AR5648" t="str">
            <v>IMED SALUD</v>
          </cell>
        </row>
        <row r="5649">
          <cell r="AQ5649" t="str">
            <v>9004627|96530470|920737203|65383700</v>
          </cell>
          <cell r="AR5649" t="str">
            <v>GASTO FISICO</v>
          </cell>
        </row>
        <row r="5650">
          <cell r="AQ5650" t="str">
            <v>9004627|96530470|920737203|65383700</v>
          </cell>
          <cell r="AR5650" t="str">
            <v>GASTO FISICO</v>
          </cell>
        </row>
        <row r="5651">
          <cell r="AQ5651" t="str">
            <v>9004627|96530470|920737203|65383700</v>
          </cell>
          <cell r="AR5651" t="str">
            <v>GASTO FISICO</v>
          </cell>
        </row>
        <row r="5652">
          <cell r="AQ5652" t="str">
            <v>9004627|96530470|920737203|65383700</v>
          </cell>
          <cell r="AR5652" t="str">
            <v>GASTO FISICO</v>
          </cell>
        </row>
        <row r="5653">
          <cell r="AQ5653" t="str">
            <v>9004627|96530470|920737203|65383700</v>
          </cell>
          <cell r="AR5653" t="str">
            <v>GASTO FISICO</v>
          </cell>
        </row>
        <row r="5654">
          <cell r="AQ5654" t="str">
            <v>9004627|96530470|920737204|920737204</v>
          </cell>
          <cell r="AR5654" t="str">
            <v>IMED SALUD</v>
          </cell>
        </row>
        <row r="5655">
          <cell r="AQ5655" t="str">
            <v>9004627|96530470|920737204|920737204</v>
          </cell>
          <cell r="AR5655" t="str">
            <v>IMED SALUD</v>
          </cell>
        </row>
        <row r="5656">
          <cell r="AQ5656" t="str">
            <v>9004627|96530470|920737204|920737204</v>
          </cell>
          <cell r="AR5656" t="str">
            <v>IMED SALUD</v>
          </cell>
        </row>
        <row r="5657">
          <cell r="AQ5657" t="str">
            <v>9004627|96530470|920737204|920737204</v>
          </cell>
          <cell r="AR5657" t="str">
            <v>IMED SALUD</v>
          </cell>
        </row>
        <row r="5658">
          <cell r="AQ5658" t="str">
            <v>9004627|96530470|920737204|920737204</v>
          </cell>
          <cell r="AR5658" t="str">
            <v>IMED SALUD</v>
          </cell>
        </row>
        <row r="5659">
          <cell r="AQ5659" t="str">
            <v>9004627|96530470|920737204|920737204</v>
          </cell>
          <cell r="AR5659" t="str">
            <v>IMED SALUD</v>
          </cell>
        </row>
        <row r="5660">
          <cell r="AQ5660" t="str">
            <v>9004627|96530470|920737204|920737204</v>
          </cell>
          <cell r="AR5660" t="str">
            <v>IMED SALUD</v>
          </cell>
        </row>
        <row r="5661">
          <cell r="AQ5661" t="str">
            <v>9004627|96530470|920737204|920737204</v>
          </cell>
          <cell r="AR5661" t="str">
            <v>IMED SALUD</v>
          </cell>
        </row>
        <row r="5662">
          <cell r="AQ5662" t="str">
            <v>9004627|96530470|920737204|920737204</v>
          </cell>
          <cell r="AR5662" t="str">
            <v>IMED SALUD</v>
          </cell>
        </row>
        <row r="5663">
          <cell r="AQ5663" t="str">
            <v>9004627|96530470|920737204|920737204</v>
          </cell>
          <cell r="AR5663" t="str">
            <v>IMED SALUD</v>
          </cell>
        </row>
        <row r="5664">
          <cell r="AQ5664" t="str">
            <v>9004627|96530470|920737204|65383701</v>
          </cell>
          <cell r="AR5664" t="str">
            <v>GASTO FISICO</v>
          </cell>
        </row>
        <row r="5665">
          <cell r="AQ5665" t="str">
            <v>9004627|96530470|920737204|65383701</v>
          </cell>
          <cell r="AR5665" t="str">
            <v>GASTO FISICO</v>
          </cell>
        </row>
        <row r="5666">
          <cell r="AQ5666" t="str">
            <v>9004627|96530470|920737204|65383701</v>
          </cell>
          <cell r="AR5666" t="str">
            <v>GASTO FISICO</v>
          </cell>
        </row>
        <row r="5667">
          <cell r="AQ5667" t="str">
            <v>9004627|96530470|920737204|65383701</v>
          </cell>
          <cell r="AR5667" t="str">
            <v>GASTO FISICO</v>
          </cell>
        </row>
        <row r="5668">
          <cell r="AQ5668" t="str">
            <v>9004627|96530470|920737204|65383701</v>
          </cell>
          <cell r="AR5668" t="str">
            <v>GASTO FISICO</v>
          </cell>
        </row>
        <row r="5669">
          <cell r="AQ5669" t="str">
            <v>9004627|96530470|920822944|920822944</v>
          </cell>
          <cell r="AR5669" t="str">
            <v>IMED SALUD</v>
          </cell>
        </row>
        <row r="5670">
          <cell r="AQ5670" t="str">
            <v>9004627|96530470|920822944|920822944</v>
          </cell>
          <cell r="AR5670" t="str">
            <v>IMED SALUD</v>
          </cell>
        </row>
        <row r="5671">
          <cell r="AQ5671" t="str">
            <v>9004627|96530470|920822944|920822944</v>
          </cell>
          <cell r="AR5671" t="str">
            <v>IMED SALUD</v>
          </cell>
        </row>
        <row r="5672">
          <cell r="AQ5672" t="str">
            <v>9004627|96530470|920822944|920822944</v>
          </cell>
          <cell r="AR5672" t="str">
            <v>IMED SALUD</v>
          </cell>
        </row>
        <row r="5673">
          <cell r="AQ5673" t="str">
            <v>9004627|96530470|920822944|920822944</v>
          </cell>
          <cell r="AR5673" t="str">
            <v>IMED SALUD</v>
          </cell>
        </row>
        <row r="5674">
          <cell r="AQ5674" t="str">
            <v>9004627|96530470|920822944|920822944</v>
          </cell>
          <cell r="AR5674" t="str">
            <v>IMED SALUD</v>
          </cell>
        </row>
        <row r="5675">
          <cell r="AQ5675" t="str">
            <v>9004627|96530470|920822944|65383702</v>
          </cell>
          <cell r="AR5675" t="str">
            <v>GASTO FISICO</v>
          </cell>
        </row>
        <row r="5676">
          <cell r="AQ5676" t="str">
            <v>9004627|96530470|920822944|65383702</v>
          </cell>
          <cell r="AR5676" t="str">
            <v>GASTO FISICO</v>
          </cell>
        </row>
        <row r="5677">
          <cell r="AQ5677" t="str">
            <v>9004627|96530470|920822944|65383702</v>
          </cell>
          <cell r="AR5677" t="str">
            <v>GASTO FISICO</v>
          </cell>
        </row>
        <row r="5678">
          <cell r="AQ5678" t="str">
            <v>9073369|71614000|135518797|135518797</v>
          </cell>
          <cell r="AR5678" t="str">
            <v>IMED SALUD</v>
          </cell>
        </row>
        <row r="5679">
          <cell r="AQ5679" t="str">
            <v>9073369|71614000|135518797|135518797</v>
          </cell>
          <cell r="AR5679" t="str">
            <v>IMED SALUD</v>
          </cell>
        </row>
        <row r="5680">
          <cell r="AQ5680" t="str">
            <v>9073369|71614000|135518797|135518797</v>
          </cell>
          <cell r="AR5680" t="str">
            <v>IMED SALUD</v>
          </cell>
        </row>
        <row r="5681">
          <cell r="AQ5681" t="str">
            <v>9073369|71614000|135518797|135518797</v>
          </cell>
          <cell r="AR5681" t="str">
            <v>IMED SALUD</v>
          </cell>
        </row>
        <row r="5682">
          <cell r="AQ5682" t="str">
            <v>9073369|71614000|135518797|135518797</v>
          </cell>
          <cell r="AR5682" t="str">
            <v>IMED SALUD</v>
          </cell>
        </row>
        <row r="5683">
          <cell r="AQ5683" t="str">
            <v>9073369|71614000|135518797|135518797</v>
          </cell>
          <cell r="AR5683" t="str">
            <v>IMED SALUD</v>
          </cell>
        </row>
        <row r="5684">
          <cell r="AQ5684" t="str">
            <v>9073369|71614000|135518797|135518797</v>
          </cell>
          <cell r="AR5684" t="str">
            <v>IMED SALUD</v>
          </cell>
        </row>
        <row r="5685">
          <cell r="AQ5685" t="str">
            <v>9073369|71614000|135518797|135518797</v>
          </cell>
          <cell r="AR5685" t="str">
            <v>IMED SALUD</v>
          </cell>
        </row>
        <row r="5686">
          <cell r="AQ5686" t="str">
            <v>9073369|71614000|135518797|135518797</v>
          </cell>
          <cell r="AR5686" t="str">
            <v>IMED SALUD</v>
          </cell>
        </row>
        <row r="5687">
          <cell r="AQ5687" t="str">
            <v>9073369|71614000|135518797|135518797</v>
          </cell>
          <cell r="AR5687" t="str">
            <v>IMED SALUD</v>
          </cell>
        </row>
        <row r="5688">
          <cell r="AQ5688" t="str">
            <v>9073369|71614000|135518797|65383708</v>
          </cell>
          <cell r="AR5688" t="str">
            <v>GASTO FISICO</v>
          </cell>
        </row>
        <row r="5689">
          <cell r="AQ5689" t="str">
            <v>9073369|71614000|135518797|65383708</v>
          </cell>
          <cell r="AR5689" t="str">
            <v>GASTO FISICO</v>
          </cell>
        </row>
        <row r="5690">
          <cell r="AQ5690" t="str">
            <v>9073369|71614000|135518797|65383708</v>
          </cell>
          <cell r="AR5690" t="str">
            <v>GASTO FISICO</v>
          </cell>
        </row>
        <row r="5691">
          <cell r="AQ5691" t="str">
            <v>9073369|71614000|135518797|65383708</v>
          </cell>
          <cell r="AR5691" t="str">
            <v>GASTO FISICO</v>
          </cell>
        </row>
        <row r="5692">
          <cell r="AQ5692" t="str">
            <v>9073369|71614000|135518797|65383708</v>
          </cell>
          <cell r="AR5692" t="str">
            <v>GASTO FISICO</v>
          </cell>
        </row>
        <row r="5693">
          <cell r="AQ5693" t="str">
            <v>9073369|71614000|135518798|135518798</v>
          </cell>
          <cell r="AR5693" t="str">
            <v>IMED SALUD</v>
          </cell>
        </row>
        <row r="5694">
          <cell r="AQ5694" t="str">
            <v>9073369|71614000|135518798|135518798</v>
          </cell>
          <cell r="AR5694" t="str">
            <v>IMED SALUD</v>
          </cell>
        </row>
        <row r="5695">
          <cell r="AQ5695" t="str">
            <v>9073369|71614000|135518798|135518798</v>
          </cell>
          <cell r="AR5695" t="str">
            <v>IMED SALUD</v>
          </cell>
        </row>
        <row r="5696">
          <cell r="AQ5696" t="str">
            <v>9073369|71614000|135518798|135518798</v>
          </cell>
          <cell r="AR5696" t="str">
            <v>IMED SALUD</v>
          </cell>
        </row>
        <row r="5697">
          <cell r="AQ5697" t="str">
            <v>9073369|71614000|135518798|135518798</v>
          </cell>
          <cell r="AR5697" t="str">
            <v>IMED SALUD</v>
          </cell>
        </row>
        <row r="5698">
          <cell r="AQ5698" t="str">
            <v>9073369|71614000|135518798|135518798</v>
          </cell>
          <cell r="AR5698" t="str">
            <v>IMED SALUD</v>
          </cell>
        </row>
        <row r="5699">
          <cell r="AQ5699" t="str">
            <v>9073369|71614000|135518798|135518798</v>
          </cell>
          <cell r="AR5699" t="str">
            <v>IMED SALUD</v>
          </cell>
        </row>
        <row r="5700">
          <cell r="AQ5700" t="str">
            <v>9073369|71614000|135518798|135518798</v>
          </cell>
          <cell r="AR5700" t="str">
            <v>IMED SALUD</v>
          </cell>
        </row>
        <row r="5701">
          <cell r="AQ5701" t="str">
            <v>9073369|71614000|135518798|135518798</v>
          </cell>
          <cell r="AR5701" t="str">
            <v>IMED SALUD</v>
          </cell>
        </row>
        <row r="5702">
          <cell r="AQ5702" t="str">
            <v>9073369|71614000|135518798|135518798</v>
          </cell>
          <cell r="AR5702" t="str">
            <v>IMED SALUD</v>
          </cell>
        </row>
        <row r="5703">
          <cell r="AQ5703" t="str">
            <v>9073369|71614000|135518798|65383709</v>
          </cell>
          <cell r="AR5703" t="str">
            <v>GASTO FISICO</v>
          </cell>
        </row>
        <row r="5704">
          <cell r="AQ5704" t="str">
            <v>9073369|71614000|135518798|65383709</v>
          </cell>
          <cell r="AR5704" t="str">
            <v>GASTO FISICO</v>
          </cell>
        </row>
        <row r="5705">
          <cell r="AQ5705" t="str">
            <v>9073369|71614000|135518798|65383709</v>
          </cell>
          <cell r="AR5705" t="str">
            <v>GASTO FISICO</v>
          </cell>
        </row>
        <row r="5706">
          <cell r="AQ5706" t="str">
            <v>9073369|71614000|135518798|65383709</v>
          </cell>
          <cell r="AR5706" t="str">
            <v>GASTO FISICO</v>
          </cell>
        </row>
        <row r="5707">
          <cell r="AQ5707" t="str">
            <v>9073369|71614000|135518798|65383709</v>
          </cell>
          <cell r="AR5707" t="str">
            <v>GASTO FISICO</v>
          </cell>
        </row>
        <row r="5708">
          <cell r="AQ5708" t="str">
            <v>9073369|71614000|135518936|135518936</v>
          </cell>
          <cell r="AR5708" t="str">
            <v>IMED SALUD</v>
          </cell>
        </row>
        <row r="5709">
          <cell r="AQ5709" t="str">
            <v>9073369|71614000|135518936|135518936</v>
          </cell>
          <cell r="AR5709" t="str">
            <v>IMED SALUD</v>
          </cell>
        </row>
        <row r="5710">
          <cell r="AQ5710" t="str">
            <v>9073369|71614000|135518936|135518936</v>
          </cell>
          <cell r="AR5710" t="str">
            <v>IMED SALUD</v>
          </cell>
        </row>
        <row r="5711">
          <cell r="AQ5711" t="str">
            <v>9073369|71614000|135518936|135518936</v>
          </cell>
          <cell r="AR5711" t="str">
            <v>IMED SALUD</v>
          </cell>
        </row>
        <row r="5712">
          <cell r="AQ5712" t="str">
            <v>9073369|71614000|135518936|135518936</v>
          </cell>
          <cell r="AR5712" t="str">
            <v>IMED SALUD</v>
          </cell>
        </row>
        <row r="5713">
          <cell r="AQ5713" t="str">
            <v>9073369|71614000|135518936|135518936</v>
          </cell>
          <cell r="AR5713" t="str">
            <v>IMED SALUD</v>
          </cell>
        </row>
        <row r="5714">
          <cell r="AQ5714" t="str">
            <v>9073369|71614000|135518936|135518936</v>
          </cell>
          <cell r="AR5714" t="str">
            <v>IMED SALUD</v>
          </cell>
        </row>
        <row r="5715">
          <cell r="AQ5715" t="str">
            <v>9073369|71614000|135518936|135518936</v>
          </cell>
          <cell r="AR5715" t="str">
            <v>IMED SALUD</v>
          </cell>
        </row>
        <row r="5716">
          <cell r="AQ5716" t="str">
            <v>9073369|71614000|135518936|135518936</v>
          </cell>
          <cell r="AR5716" t="str">
            <v>IMED SALUD</v>
          </cell>
        </row>
        <row r="5717">
          <cell r="AQ5717" t="str">
            <v>9073369|71614000|135518936|135518936</v>
          </cell>
          <cell r="AR5717" t="str">
            <v>IMED SALUD</v>
          </cell>
        </row>
        <row r="5718">
          <cell r="AQ5718" t="str">
            <v>9073369|71614000|135518936|65383705</v>
          </cell>
          <cell r="AR5718" t="str">
            <v>GASTO FISICO</v>
          </cell>
        </row>
        <row r="5719">
          <cell r="AQ5719" t="str">
            <v>9073369|71614000|135518936|65383705</v>
          </cell>
          <cell r="AR5719" t="str">
            <v>GASTO FISICO</v>
          </cell>
        </row>
        <row r="5720">
          <cell r="AQ5720" t="str">
            <v>9073369|71614000|135518936|65383705</v>
          </cell>
          <cell r="AR5720" t="str">
            <v>GASTO FISICO</v>
          </cell>
        </row>
        <row r="5721">
          <cell r="AQ5721" t="str">
            <v>9073369|71614000|135518936|65383705</v>
          </cell>
          <cell r="AR5721" t="str">
            <v>GASTO FISICO</v>
          </cell>
        </row>
        <row r="5722">
          <cell r="AQ5722" t="str">
            <v>9073369|71614000|135518936|65383705</v>
          </cell>
          <cell r="AR5722" t="str">
            <v>GASTO FISICO</v>
          </cell>
        </row>
        <row r="5723">
          <cell r="AQ5723" t="str">
            <v>9073369|71614000|135518937|135518937</v>
          </cell>
          <cell r="AR5723" t="str">
            <v>IMED SALUD</v>
          </cell>
        </row>
        <row r="5724">
          <cell r="AQ5724" t="str">
            <v>9073369|71614000|135518937|135518937</v>
          </cell>
          <cell r="AR5724" t="str">
            <v>IMED SALUD</v>
          </cell>
        </row>
        <row r="5725">
          <cell r="AQ5725" t="str">
            <v>9073369|71614000|135518937|135518937</v>
          </cell>
          <cell r="AR5725" t="str">
            <v>IMED SALUD</v>
          </cell>
        </row>
        <row r="5726">
          <cell r="AQ5726" t="str">
            <v>9073369|71614000|135518937|135518937</v>
          </cell>
          <cell r="AR5726" t="str">
            <v>IMED SALUD</v>
          </cell>
        </row>
        <row r="5727">
          <cell r="AQ5727" t="str">
            <v>9073369|71614000|135518937|135518937</v>
          </cell>
          <cell r="AR5727" t="str">
            <v>IMED SALUD</v>
          </cell>
        </row>
        <row r="5728">
          <cell r="AQ5728" t="str">
            <v>9073369|71614000|135518937|135518937</v>
          </cell>
          <cell r="AR5728" t="str">
            <v>IMED SALUD</v>
          </cell>
        </row>
        <row r="5729">
          <cell r="AQ5729" t="str">
            <v>9073369|71614000|135518937|135518937</v>
          </cell>
          <cell r="AR5729" t="str">
            <v>IMED SALUD</v>
          </cell>
        </row>
        <row r="5730">
          <cell r="AQ5730" t="str">
            <v>9073369|71614000|135518937|135518937</v>
          </cell>
          <cell r="AR5730" t="str">
            <v>IMED SALUD</v>
          </cell>
        </row>
        <row r="5731">
          <cell r="AQ5731" t="str">
            <v>9073369|71614000|135518937|65383706</v>
          </cell>
          <cell r="AR5731" t="str">
            <v>GASTO FISICO</v>
          </cell>
        </row>
        <row r="5732">
          <cell r="AQ5732" t="str">
            <v>9073369|71614000|135518937|65383706</v>
          </cell>
          <cell r="AR5732" t="str">
            <v>GASTO FISICO</v>
          </cell>
        </row>
        <row r="5733">
          <cell r="AQ5733" t="str">
            <v>9073369|71614000|135518937|65383706</v>
          </cell>
          <cell r="AR5733" t="str">
            <v>GASTO FISICO</v>
          </cell>
        </row>
        <row r="5734">
          <cell r="AQ5734" t="str">
            <v>9073369|71614000|135518937|65383706</v>
          </cell>
          <cell r="AR5734" t="str">
            <v>GASTO FISICO</v>
          </cell>
        </row>
        <row r="5735">
          <cell r="AQ5735" t="str">
            <v>9073369|71614000|136263488|136263488</v>
          </cell>
          <cell r="AR5735" t="str">
            <v>IMED SALUD</v>
          </cell>
        </row>
        <row r="5736">
          <cell r="AQ5736" t="str">
            <v>9073369|71614000|136263488|136263488</v>
          </cell>
          <cell r="AR5736" t="str">
            <v>IMED SALUD</v>
          </cell>
        </row>
        <row r="5737">
          <cell r="AQ5737" t="str">
            <v>9073369|71614000|136263488|65383707</v>
          </cell>
          <cell r="AR5737" t="str">
            <v>GASTO FISICO</v>
          </cell>
        </row>
        <row r="5738">
          <cell r="AQ5738" t="str">
            <v>9120124|76110809|918761161|918761161</v>
          </cell>
          <cell r="AR5738" t="str">
            <v>IMED SALUD</v>
          </cell>
        </row>
        <row r="5739">
          <cell r="AQ5739" t="str">
            <v>9120124|76110809|918761161|918761161</v>
          </cell>
          <cell r="AR5739" t="str">
            <v>IMED SALUD</v>
          </cell>
        </row>
        <row r="5740">
          <cell r="AQ5740" t="str">
            <v>9120124|76110809|918761161|918761161</v>
          </cell>
          <cell r="AR5740" t="str">
            <v>IMED SALUD</v>
          </cell>
        </row>
        <row r="5741">
          <cell r="AQ5741" t="str">
            <v>9120124|76110809|918761161|918761161</v>
          </cell>
          <cell r="AR5741" t="str">
            <v>IMED SALUD</v>
          </cell>
        </row>
        <row r="5742">
          <cell r="AQ5742" t="str">
            <v>9120124|76110809|918761161|65383713</v>
          </cell>
          <cell r="AR5742" t="str">
            <v>GASTO FISICO</v>
          </cell>
        </row>
        <row r="5743">
          <cell r="AQ5743" t="str">
            <v>9120124|76110809|918761161|65383713</v>
          </cell>
          <cell r="AR5743" t="str">
            <v>GASTO FISICO</v>
          </cell>
        </row>
        <row r="5744">
          <cell r="AQ5744" t="str">
            <v>9153222|76098454|930158241|930158241</v>
          </cell>
          <cell r="AR5744" t="str">
            <v>IMED SALUD</v>
          </cell>
        </row>
        <row r="5745">
          <cell r="AQ5745" t="str">
            <v>9153222|76098454|930158241|930158241</v>
          </cell>
          <cell r="AR5745" t="str">
            <v>IMED SALUD</v>
          </cell>
        </row>
        <row r="5746">
          <cell r="AQ5746" t="str">
            <v>9153222|76098454|930158241|65383714</v>
          </cell>
          <cell r="AR5746" t="str">
            <v>GASTO FISICO</v>
          </cell>
        </row>
        <row r="5747">
          <cell r="AQ5747" t="str">
            <v>9177419|89807200|1579874258|22142942</v>
          </cell>
          <cell r="AR5747" t="str">
            <v>GASTO FISICO</v>
          </cell>
        </row>
        <row r="5748">
          <cell r="AQ5748" t="str">
            <v>9177419|89807200|1579874258|22142942</v>
          </cell>
          <cell r="AR5748" t="str">
            <v>GASTO FISICO</v>
          </cell>
        </row>
        <row r="5749">
          <cell r="AQ5749" t="str">
            <v>9177419|89807200|1579874258|1040661</v>
          </cell>
          <cell r="AR5749" t="str">
            <v>GASTO FISICO</v>
          </cell>
        </row>
        <row r="5750">
          <cell r="AQ5750" t="str">
            <v>9177419|89807200|1579874258|1040661</v>
          </cell>
          <cell r="AR5750" t="str">
            <v>GASTO FISICO</v>
          </cell>
        </row>
        <row r="5751">
          <cell r="AQ5751" t="str">
            <v>9177419|89807200|1579874258|66380941</v>
          </cell>
          <cell r="AR5751" t="str">
            <v>GASTO FISICO</v>
          </cell>
        </row>
        <row r="5752">
          <cell r="AQ5752" t="str">
            <v>9177419|89807200|1579874258|66380941</v>
          </cell>
          <cell r="AR5752" t="str">
            <v>GASTO FISICO</v>
          </cell>
        </row>
        <row r="5753">
          <cell r="AQ5753" t="str">
            <v>9183962|96942400|916709141|916709141</v>
          </cell>
          <cell r="AR5753" t="str">
            <v>IMED SALUD</v>
          </cell>
        </row>
        <row r="5754">
          <cell r="AQ5754" t="str">
            <v>9183962|96942400|916709141|916709141</v>
          </cell>
          <cell r="AR5754" t="str">
            <v>IMED SALUD</v>
          </cell>
        </row>
        <row r="5755">
          <cell r="AQ5755" t="str">
            <v>9183962|96942400|916709141|916709141</v>
          </cell>
          <cell r="AR5755" t="str">
            <v>IMED SALUD</v>
          </cell>
        </row>
        <row r="5756">
          <cell r="AQ5756" t="str">
            <v>9183962|96942400|916709141|916709141</v>
          </cell>
          <cell r="AR5756" t="str">
            <v>IMED SALUD</v>
          </cell>
        </row>
        <row r="5757">
          <cell r="AQ5757" t="str">
            <v>9183962|96942400|916709141|65383715</v>
          </cell>
          <cell r="AR5757" t="str">
            <v>GASTO FISICO</v>
          </cell>
        </row>
        <row r="5758">
          <cell r="AQ5758" t="str">
            <v>9183962|96942400|916709141|65383715</v>
          </cell>
          <cell r="AR5758" t="str">
            <v>GASTO FISICO</v>
          </cell>
        </row>
        <row r="5759">
          <cell r="AQ5759" t="str">
            <v>9209607|96617350|371063126|371063126</v>
          </cell>
          <cell r="AR5759" t="str">
            <v>IMED SALUD</v>
          </cell>
        </row>
        <row r="5760">
          <cell r="AQ5760" t="str">
            <v>9209607|96617350|371063126|371063126</v>
          </cell>
          <cell r="AR5760" t="str">
            <v>IMED SALUD</v>
          </cell>
        </row>
        <row r="5761">
          <cell r="AQ5761" t="str">
            <v>9209607|96617350|371063126|371063126</v>
          </cell>
          <cell r="AR5761" t="str">
            <v>IMED SALUD</v>
          </cell>
        </row>
        <row r="5762">
          <cell r="AQ5762" t="str">
            <v>9209607|96617350|371063126|371063126</v>
          </cell>
          <cell r="AR5762" t="str">
            <v>IMED SALUD</v>
          </cell>
        </row>
        <row r="5763">
          <cell r="AQ5763" t="str">
            <v>9209607|96617350|371063126|65383716</v>
          </cell>
          <cell r="AR5763" t="str">
            <v>GASTO FISICO</v>
          </cell>
        </row>
        <row r="5764">
          <cell r="AQ5764" t="str">
            <v>9209607|96617350|371063126|65383716</v>
          </cell>
          <cell r="AR5764" t="str">
            <v>GASTO FISICO</v>
          </cell>
        </row>
        <row r="5765">
          <cell r="AQ5765" t="str">
            <v>9209607|96617350|371096865|371096865</v>
          </cell>
          <cell r="AR5765" t="str">
            <v>IMED SALUD</v>
          </cell>
        </row>
        <row r="5766">
          <cell r="AQ5766" t="str">
            <v>9209607|96617350|371096865|371096865</v>
          </cell>
          <cell r="AR5766" t="str">
            <v>IMED SALUD</v>
          </cell>
        </row>
        <row r="5767">
          <cell r="AQ5767" t="str">
            <v>9209607|96617350|371096865|65383717</v>
          </cell>
          <cell r="AR5767" t="str">
            <v>GASTO FISICO</v>
          </cell>
        </row>
        <row r="5768">
          <cell r="AQ5768" t="str">
            <v>9258274|99573490|929800516|929800516</v>
          </cell>
          <cell r="AR5768" t="str">
            <v>IMED SALUD</v>
          </cell>
        </row>
        <row r="5769">
          <cell r="AQ5769" t="str">
            <v>9258274|99573490|929800516|929800516</v>
          </cell>
          <cell r="AR5769" t="str">
            <v>IMED SALUD</v>
          </cell>
        </row>
        <row r="5770">
          <cell r="AQ5770" t="str">
            <v>9258274|99573490|929800516|929800516</v>
          </cell>
          <cell r="AR5770" t="str">
            <v>IMED SALUD</v>
          </cell>
        </row>
        <row r="5771">
          <cell r="AQ5771" t="str">
            <v>9258274|99573490|929800516|929800516</v>
          </cell>
          <cell r="AR5771" t="str">
            <v>IMED SALUD</v>
          </cell>
        </row>
        <row r="5772">
          <cell r="AQ5772" t="str">
            <v>9258274|99573490|929800516|929800516</v>
          </cell>
          <cell r="AR5772" t="str">
            <v>IMED SALUD</v>
          </cell>
        </row>
        <row r="5773">
          <cell r="AQ5773" t="str">
            <v>9258274|99573490|929800516|929800516</v>
          </cell>
          <cell r="AR5773" t="str">
            <v>IMED SALUD</v>
          </cell>
        </row>
        <row r="5774">
          <cell r="AQ5774" t="str">
            <v>9258274|99573490|929800516|929800516</v>
          </cell>
          <cell r="AR5774" t="str">
            <v>IMED SALUD</v>
          </cell>
        </row>
        <row r="5775">
          <cell r="AQ5775" t="str">
            <v>9258274|99573490|929800516|929800516</v>
          </cell>
          <cell r="AR5775" t="str">
            <v>IMED SALUD</v>
          </cell>
        </row>
        <row r="5776">
          <cell r="AQ5776" t="str">
            <v>9258274|99573490|929800516|929800516</v>
          </cell>
          <cell r="AR5776" t="str">
            <v>IMED SALUD</v>
          </cell>
        </row>
        <row r="5777">
          <cell r="AQ5777" t="str">
            <v>9258274|99573490|929800516|929800516</v>
          </cell>
          <cell r="AR5777" t="str">
            <v>IMED SALUD</v>
          </cell>
        </row>
        <row r="5778">
          <cell r="AQ5778" t="str">
            <v>9258274|99573490|929800516|65383718</v>
          </cell>
          <cell r="AR5778" t="str">
            <v>GASTO FISICO</v>
          </cell>
        </row>
        <row r="5779">
          <cell r="AQ5779" t="str">
            <v>9258274|99573490|929800516|65383718</v>
          </cell>
          <cell r="AR5779" t="str">
            <v>GASTO FISICO</v>
          </cell>
        </row>
        <row r="5780">
          <cell r="AQ5780" t="str">
            <v>9258274|99573490|929800516|65383718</v>
          </cell>
          <cell r="AR5780" t="str">
            <v>GASTO FISICO</v>
          </cell>
        </row>
        <row r="5781">
          <cell r="AQ5781" t="str">
            <v>9258274|99573490|929800516|65383718</v>
          </cell>
          <cell r="AR5781" t="str">
            <v>GASTO FISICO</v>
          </cell>
        </row>
        <row r="5782">
          <cell r="AQ5782" t="str">
            <v>9258274|99573490|929800516|65383718</v>
          </cell>
          <cell r="AR5782" t="str">
            <v>GASTO FISICO</v>
          </cell>
        </row>
        <row r="5783">
          <cell r="AQ5783" t="str">
            <v>9304885|77061480|915674184|915674184</v>
          </cell>
          <cell r="AR5783" t="str">
            <v>IMED SALUD</v>
          </cell>
        </row>
        <row r="5784">
          <cell r="AQ5784" t="str">
            <v>9304885|77061480|915674184|915674184</v>
          </cell>
          <cell r="AR5784" t="str">
            <v>IMED SALUD</v>
          </cell>
        </row>
        <row r="5785">
          <cell r="AQ5785" t="str">
            <v>9304885|77061480|915674184|65383719</v>
          </cell>
          <cell r="AR5785" t="str">
            <v>GASTO FISICO</v>
          </cell>
        </row>
        <row r="5786">
          <cell r="AQ5786" t="str">
            <v>9304885|52003490|916311355|916311355</v>
          </cell>
          <cell r="AR5786" t="str">
            <v>IMED SALUD</v>
          </cell>
        </row>
        <row r="5787">
          <cell r="AQ5787" t="str">
            <v>9304885|52003490|916311355|916311355</v>
          </cell>
          <cell r="AR5787" t="str">
            <v>IMED SALUD</v>
          </cell>
        </row>
        <row r="5788">
          <cell r="AQ5788" t="str">
            <v>9304885|52003490|916311355|916311355</v>
          </cell>
          <cell r="AR5788" t="str">
            <v>IMED SALUD</v>
          </cell>
        </row>
        <row r="5789">
          <cell r="AQ5789" t="str">
            <v>9304885|52003490|916311355|916311355</v>
          </cell>
          <cell r="AR5789" t="str">
            <v>IMED SALUD</v>
          </cell>
        </row>
        <row r="5790">
          <cell r="AQ5790" t="str">
            <v>9304885|52003490|916311355|916311355</v>
          </cell>
          <cell r="AR5790" t="str">
            <v>IMED SALUD</v>
          </cell>
        </row>
        <row r="5791">
          <cell r="AQ5791" t="str">
            <v>9304885|52003490|916311355|916311355</v>
          </cell>
          <cell r="AR5791" t="str">
            <v>IMED SALUD</v>
          </cell>
        </row>
        <row r="5792">
          <cell r="AQ5792" t="str">
            <v>9304885|52003490|916311355|916311355</v>
          </cell>
          <cell r="AR5792" t="str">
            <v>IMED SALUD</v>
          </cell>
        </row>
        <row r="5793">
          <cell r="AQ5793" t="str">
            <v>9304885|52003490|916311355|916311355</v>
          </cell>
          <cell r="AR5793" t="str">
            <v>IMED SALUD</v>
          </cell>
        </row>
        <row r="5794">
          <cell r="AQ5794" t="str">
            <v>9304885|52003490|916311355|65383720</v>
          </cell>
          <cell r="AR5794" t="str">
            <v>GASTO FISICO</v>
          </cell>
        </row>
        <row r="5795">
          <cell r="AQ5795" t="str">
            <v>9304885|52003490|916311355|65383720</v>
          </cell>
          <cell r="AR5795" t="str">
            <v>GASTO FISICO</v>
          </cell>
        </row>
        <row r="5796">
          <cell r="AQ5796" t="str">
            <v>9304885|52003490|916311355|65383720</v>
          </cell>
          <cell r="AR5796" t="str">
            <v>GASTO FISICO</v>
          </cell>
        </row>
        <row r="5797">
          <cell r="AQ5797" t="str">
            <v>9304885|52003490|916311355|65383720</v>
          </cell>
          <cell r="AR5797" t="str">
            <v>GASTO FISICO</v>
          </cell>
        </row>
        <row r="5798">
          <cell r="AQ5798" t="str">
            <v>9347751|96986050|372022402|372022402</v>
          </cell>
          <cell r="AR5798" t="str">
            <v>IMED SALUD</v>
          </cell>
        </row>
        <row r="5799">
          <cell r="AQ5799" t="str">
            <v>9347751|96986050|372022402|372022402</v>
          </cell>
          <cell r="AR5799" t="str">
            <v>IMED SALUD</v>
          </cell>
        </row>
        <row r="5800">
          <cell r="AQ5800" t="str">
            <v>9347751|96986050|372022402|372022402</v>
          </cell>
          <cell r="AR5800" t="str">
            <v>IMED SALUD</v>
          </cell>
        </row>
        <row r="5801">
          <cell r="AQ5801" t="str">
            <v>9347751|96986050|372022402|372022402</v>
          </cell>
          <cell r="AR5801" t="str">
            <v>IMED SALUD</v>
          </cell>
        </row>
        <row r="5802">
          <cell r="AQ5802" t="str">
            <v>9347751|96986050|372022402|372022402</v>
          </cell>
          <cell r="AR5802" t="str">
            <v>IMED SALUD</v>
          </cell>
        </row>
        <row r="5803">
          <cell r="AQ5803" t="str">
            <v>9347751|96986050|372022402|372022402</v>
          </cell>
          <cell r="AR5803" t="str">
            <v>IMED SALUD</v>
          </cell>
        </row>
        <row r="5804">
          <cell r="AQ5804" t="str">
            <v>9347751|96986050|372022402|65383721</v>
          </cell>
          <cell r="AR5804" t="str">
            <v>GASTO FISICO</v>
          </cell>
        </row>
        <row r="5805">
          <cell r="AQ5805" t="str">
            <v>9347751|96986050|372022402|65383721</v>
          </cell>
          <cell r="AR5805" t="str">
            <v>GASTO FISICO</v>
          </cell>
        </row>
        <row r="5806">
          <cell r="AQ5806" t="str">
            <v>9347751|96986050|372022402|65383721</v>
          </cell>
          <cell r="AR5806" t="str">
            <v>GASTO FISICO</v>
          </cell>
        </row>
        <row r="5807">
          <cell r="AQ5807" t="str">
            <v>9382290|76098454|921018325|921018325</v>
          </cell>
          <cell r="AR5807" t="str">
            <v>IMED SALUD</v>
          </cell>
        </row>
        <row r="5808">
          <cell r="AQ5808" t="str">
            <v>9382290|76098454|921018325|921018325</v>
          </cell>
          <cell r="AR5808" t="str">
            <v>IMED SALUD</v>
          </cell>
        </row>
        <row r="5809">
          <cell r="AQ5809" t="str">
            <v>9382290|76098454|921018325|921018325</v>
          </cell>
          <cell r="AR5809" t="str">
            <v>IMED SALUD</v>
          </cell>
        </row>
        <row r="5810">
          <cell r="AQ5810" t="str">
            <v>9382290|76098454|921018325|921018325</v>
          </cell>
          <cell r="AR5810" t="str">
            <v>IMED SALUD</v>
          </cell>
        </row>
        <row r="5811">
          <cell r="AQ5811" t="str">
            <v>9382290|76098454|921018325|65383722</v>
          </cell>
          <cell r="AR5811" t="str">
            <v>GASTO FISICO</v>
          </cell>
        </row>
        <row r="5812">
          <cell r="AQ5812" t="str">
            <v>9382290|76098454|921018325|65383722</v>
          </cell>
          <cell r="AR5812" t="str">
            <v>GASTO FISICO</v>
          </cell>
        </row>
        <row r="5813">
          <cell r="AQ5813" t="str">
            <v>9401001|96942400|765042001|765042001</v>
          </cell>
          <cell r="AR5813" t="str">
            <v>IMED SALUD</v>
          </cell>
        </row>
        <row r="5814">
          <cell r="AQ5814" t="str">
            <v>9401001|96942400|765042001|765042001</v>
          </cell>
          <cell r="AR5814" t="str">
            <v>IMED SALUD</v>
          </cell>
        </row>
        <row r="5815">
          <cell r="AQ5815" t="str">
            <v>9401001|96942400|765042001|765042001</v>
          </cell>
          <cell r="AR5815" t="str">
            <v>IMED SALUD</v>
          </cell>
        </row>
        <row r="5816">
          <cell r="AQ5816" t="str">
            <v>9401001|96942400|765042001|765042001</v>
          </cell>
          <cell r="AR5816" t="str">
            <v>IMED SALUD</v>
          </cell>
        </row>
        <row r="5817">
          <cell r="AQ5817" t="str">
            <v>9401001|96942400|765042001|765042001</v>
          </cell>
          <cell r="AR5817" t="str">
            <v>IMED SALUD</v>
          </cell>
        </row>
        <row r="5818">
          <cell r="AQ5818" t="str">
            <v>9401001|96942400|765042001|765042001</v>
          </cell>
          <cell r="AR5818" t="str">
            <v>IMED SALUD</v>
          </cell>
        </row>
        <row r="5819">
          <cell r="AQ5819" t="str">
            <v>9401001|96942400|765042001|765042001</v>
          </cell>
          <cell r="AR5819" t="str">
            <v>IMED SALUD</v>
          </cell>
        </row>
        <row r="5820">
          <cell r="AQ5820" t="str">
            <v>9401001|96942400|765042001|765042001</v>
          </cell>
          <cell r="AR5820" t="str">
            <v>IMED SALUD</v>
          </cell>
        </row>
        <row r="5821">
          <cell r="AQ5821" t="str">
            <v>9401001|96942400|765042001|65383724</v>
          </cell>
          <cell r="AR5821" t="str">
            <v>GASTO FISICO</v>
          </cell>
        </row>
        <row r="5822">
          <cell r="AQ5822" t="str">
            <v>9401001|96942400|765042001|65383724</v>
          </cell>
          <cell r="AR5822" t="str">
            <v>GASTO FISICO</v>
          </cell>
        </row>
        <row r="5823">
          <cell r="AQ5823" t="str">
            <v>9401001|96942400|765042001|65383724</v>
          </cell>
          <cell r="AR5823" t="str">
            <v>GASTO FISICO</v>
          </cell>
        </row>
        <row r="5824">
          <cell r="AQ5824" t="str">
            <v>9401001|96942400|765042001|65383724</v>
          </cell>
          <cell r="AR5824" t="str">
            <v>GASTO FISICO</v>
          </cell>
        </row>
        <row r="5825">
          <cell r="AQ5825" t="str">
            <v>9401001|96942400|765065047|765065047</v>
          </cell>
          <cell r="AR5825" t="str">
            <v>IMED SALUD</v>
          </cell>
        </row>
        <row r="5826">
          <cell r="AQ5826" t="str">
            <v>9401001|96942400|765065047|765065047</v>
          </cell>
          <cell r="AR5826" t="str">
            <v>IMED SALUD</v>
          </cell>
        </row>
        <row r="5827">
          <cell r="AQ5827" t="str">
            <v>9401001|96942400|765065047|65383725</v>
          </cell>
          <cell r="AR5827" t="str">
            <v>GASTO FISICO</v>
          </cell>
        </row>
        <row r="5828">
          <cell r="AQ5828" t="str">
            <v>9401001|78040520|765183163|765183163</v>
          </cell>
          <cell r="AR5828" t="str">
            <v>IMED SALUD</v>
          </cell>
        </row>
        <row r="5829">
          <cell r="AQ5829" t="str">
            <v>9401001|78040520|765183163|22004775</v>
          </cell>
          <cell r="AR5829" t="str">
            <v>GASTO FISICO</v>
          </cell>
        </row>
        <row r="5830">
          <cell r="AQ5830" t="str">
            <v>9401001|78040520|765183163|765183163</v>
          </cell>
          <cell r="AR5830" t="str">
            <v>IMED SALUD</v>
          </cell>
        </row>
        <row r="5831">
          <cell r="AQ5831" t="str">
            <v>9401001|78040520|765183163|65383726</v>
          </cell>
          <cell r="AR5831" t="str">
            <v>GASTO FISICO</v>
          </cell>
        </row>
        <row r="5832">
          <cell r="AQ5832" t="str">
            <v>9401001|96942400|765613665|765613665</v>
          </cell>
          <cell r="AR5832" t="str">
            <v>IMED SALUD</v>
          </cell>
        </row>
        <row r="5833">
          <cell r="AQ5833" t="str">
            <v>9401001|96942400|765613665|765613665</v>
          </cell>
          <cell r="AR5833" t="str">
            <v>IMED SALUD</v>
          </cell>
        </row>
        <row r="5834">
          <cell r="AQ5834" t="str">
            <v>9401001|96942400|765613665|765613665</v>
          </cell>
          <cell r="AR5834" t="str">
            <v>IMED SALUD</v>
          </cell>
        </row>
        <row r="5835">
          <cell r="AQ5835" t="str">
            <v>9401001|96942400|765613665|765613665</v>
          </cell>
          <cell r="AR5835" t="str">
            <v>IMED SALUD</v>
          </cell>
        </row>
        <row r="5836">
          <cell r="AQ5836" t="str">
            <v>9401001|96942400|765613665|765613665</v>
          </cell>
          <cell r="AR5836" t="str">
            <v>IMED SALUD</v>
          </cell>
        </row>
        <row r="5837">
          <cell r="AQ5837" t="str">
            <v>9401001|96942400|765613665|765613665</v>
          </cell>
          <cell r="AR5837" t="str">
            <v>IMED SALUD</v>
          </cell>
        </row>
        <row r="5838">
          <cell r="AQ5838" t="str">
            <v>9401001|96942400|765613665|765613665</v>
          </cell>
          <cell r="AR5838" t="str">
            <v>IMED SALUD</v>
          </cell>
        </row>
        <row r="5839">
          <cell r="AQ5839" t="str">
            <v>9401001|96942400|765613665|765613665</v>
          </cell>
          <cell r="AR5839" t="str">
            <v>IMED SALUD</v>
          </cell>
        </row>
        <row r="5840">
          <cell r="AQ5840" t="str">
            <v>9401001|96942400|765613665|765613665</v>
          </cell>
          <cell r="AR5840" t="str">
            <v>IMED SALUD</v>
          </cell>
        </row>
        <row r="5841">
          <cell r="AQ5841" t="str">
            <v>9401001|96942400|765613665|765613665</v>
          </cell>
          <cell r="AR5841" t="str">
            <v>IMED SALUD</v>
          </cell>
        </row>
        <row r="5842">
          <cell r="AQ5842" t="str">
            <v>9401001|96942400|765613665|65383727</v>
          </cell>
          <cell r="AR5842" t="str">
            <v>GASTO FISICO</v>
          </cell>
        </row>
        <row r="5843">
          <cell r="AQ5843" t="str">
            <v>9401001|96942400|765613665|65383727</v>
          </cell>
          <cell r="AR5843" t="str">
            <v>GASTO FISICO</v>
          </cell>
        </row>
        <row r="5844">
          <cell r="AQ5844" t="str">
            <v>9401001|96942400|765613665|65383727</v>
          </cell>
          <cell r="AR5844" t="str">
            <v>GASTO FISICO</v>
          </cell>
        </row>
        <row r="5845">
          <cell r="AQ5845" t="str">
            <v>9401001|96942400|765613665|65383727</v>
          </cell>
          <cell r="AR5845" t="str">
            <v>GASTO FISICO</v>
          </cell>
        </row>
        <row r="5846">
          <cell r="AQ5846" t="str">
            <v>9401001|96942400|765613665|65383727</v>
          </cell>
          <cell r="AR5846" t="str">
            <v>GASTO FISICO</v>
          </cell>
        </row>
        <row r="5847">
          <cell r="AQ5847" t="str">
            <v>9401001|96942400|765613666|765613666</v>
          </cell>
          <cell r="AR5847" t="str">
            <v>IMED SALUD</v>
          </cell>
        </row>
        <row r="5848">
          <cell r="AQ5848" t="str">
            <v>9401001|96942400|765613666|765613666</v>
          </cell>
          <cell r="AR5848" t="str">
            <v>IMED SALUD</v>
          </cell>
        </row>
        <row r="5849">
          <cell r="AQ5849" t="str">
            <v>9401001|96942400|765613666|765613666</v>
          </cell>
          <cell r="AR5849" t="str">
            <v>IMED SALUD</v>
          </cell>
        </row>
        <row r="5850">
          <cell r="AQ5850" t="str">
            <v>9401001|96942400|765613666|765613666</v>
          </cell>
          <cell r="AR5850" t="str">
            <v>IMED SALUD</v>
          </cell>
        </row>
        <row r="5851">
          <cell r="AQ5851" t="str">
            <v>9401001|96942400|765613666|765613666</v>
          </cell>
          <cell r="AR5851" t="str">
            <v>IMED SALUD</v>
          </cell>
        </row>
        <row r="5852">
          <cell r="AQ5852" t="str">
            <v>9401001|96942400|765613666|765613666</v>
          </cell>
          <cell r="AR5852" t="str">
            <v>IMED SALUD</v>
          </cell>
        </row>
        <row r="5853">
          <cell r="AQ5853" t="str">
            <v>9401001|96942400|765613666|765613666</v>
          </cell>
          <cell r="AR5853" t="str">
            <v>IMED SALUD</v>
          </cell>
        </row>
        <row r="5854">
          <cell r="AQ5854" t="str">
            <v>9401001|96942400|765613666|765613666</v>
          </cell>
          <cell r="AR5854" t="str">
            <v>IMED SALUD</v>
          </cell>
        </row>
        <row r="5855">
          <cell r="AQ5855" t="str">
            <v>9401001|96942400|765613666|765613666</v>
          </cell>
          <cell r="AR5855" t="str">
            <v>IMED SALUD</v>
          </cell>
        </row>
        <row r="5856">
          <cell r="AQ5856" t="str">
            <v>9401001|96942400|765613666|765613666</v>
          </cell>
          <cell r="AR5856" t="str">
            <v>IMED SALUD</v>
          </cell>
        </row>
        <row r="5857">
          <cell r="AQ5857" t="str">
            <v>9401001|96942400|765613666|65383728</v>
          </cell>
          <cell r="AR5857" t="str">
            <v>GASTO FISICO</v>
          </cell>
        </row>
        <row r="5858">
          <cell r="AQ5858" t="str">
            <v>9401001|96942400|765613666|65383728</v>
          </cell>
          <cell r="AR5858" t="str">
            <v>GASTO FISICO</v>
          </cell>
        </row>
        <row r="5859">
          <cell r="AQ5859" t="str">
            <v>9401001|96942400|765613666|65383728</v>
          </cell>
          <cell r="AR5859" t="str">
            <v>GASTO FISICO</v>
          </cell>
        </row>
        <row r="5860">
          <cell r="AQ5860" t="str">
            <v>9401001|96942400|765613666|65383728</v>
          </cell>
          <cell r="AR5860" t="str">
            <v>GASTO FISICO</v>
          </cell>
        </row>
        <row r="5861">
          <cell r="AQ5861" t="str">
            <v>9401001|96942400|765613666|65383728</v>
          </cell>
          <cell r="AR5861" t="str">
            <v>GASTO FISICO</v>
          </cell>
        </row>
        <row r="5862">
          <cell r="AQ5862" t="str">
            <v>9401001|96942400|765613667|765613667</v>
          </cell>
          <cell r="AR5862" t="str">
            <v>IMED SALUD</v>
          </cell>
        </row>
        <row r="5863">
          <cell r="AQ5863" t="str">
            <v>9401001|96942400|765613667|765613667</v>
          </cell>
          <cell r="AR5863" t="str">
            <v>IMED SALUD</v>
          </cell>
        </row>
        <row r="5864">
          <cell r="AQ5864" t="str">
            <v>9401001|96942400|765613667|765613667</v>
          </cell>
          <cell r="AR5864" t="str">
            <v>IMED SALUD</v>
          </cell>
        </row>
        <row r="5865">
          <cell r="AQ5865" t="str">
            <v>9401001|96942400|765613667|765613667</v>
          </cell>
          <cell r="AR5865" t="str">
            <v>IMED SALUD</v>
          </cell>
        </row>
        <row r="5866">
          <cell r="AQ5866" t="str">
            <v>9401001|96942400|765613667|765613667</v>
          </cell>
          <cell r="AR5866" t="str">
            <v>IMED SALUD</v>
          </cell>
        </row>
        <row r="5867">
          <cell r="AQ5867" t="str">
            <v>9401001|96942400|765613667|765613667</v>
          </cell>
          <cell r="AR5867" t="str">
            <v>IMED SALUD</v>
          </cell>
        </row>
        <row r="5868">
          <cell r="AQ5868" t="str">
            <v>9401001|96942400|765613667|765613667</v>
          </cell>
          <cell r="AR5868" t="str">
            <v>IMED SALUD</v>
          </cell>
        </row>
        <row r="5869">
          <cell r="AQ5869" t="str">
            <v>9401001|96942400|765613667|765613667</v>
          </cell>
          <cell r="AR5869" t="str">
            <v>IMED SALUD</v>
          </cell>
        </row>
        <row r="5870">
          <cell r="AQ5870" t="str">
            <v>9401001|96942400|765613667|765613667</v>
          </cell>
          <cell r="AR5870" t="str">
            <v>IMED SALUD</v>
          </cell>
        </row>
        <row r="5871">
          <cell r="AQ5871" t="str">
            <v>9401001|96942400|765613667|765613667</v>
          </cell>
          <cell r="AR5871" t="str">
            <v>IMED SALUD</v>
          </cell>
        </row>
        <row r="5872">
          <cell r="AQ5872" t="str">
            <v>9401001|96942400|765613667|65383729</v>
          </cell>
          <cell r="AR5872" t="str">
            <v>GASTO FISICO</v>
          </cell>
        </row>
        <row r="5873">
          <cell r="AQ5873" t="str">
            <v>9401001|96942400|765613667|65383729</v>
          </cell>
          <cell r="AR5873" t="str">
            <v>GASTO FISICO</v>
          </cell>
        </row>
        <row r="5874">
          <cell r="AQ5874" t="str">
            <v>9401001|96942400|765613667|65383729</v>
          </cell>
          <cell r="AR5874" t="str">
            <v>GASTO FISICO</v>
          </cell>
        </row>
        <row r="5875">
          <cell r="AQ5875" t="str">
            <v>9401001|96942400|765613667|65383729</v>
          </cell>
          <cell r="AR5875" t="str">
            <v>GASTO FISICO</v>
          </cell>
        </row>
        <row r="5876">
          <cell r="AQ5876" t="str">
            <v>9401001|96942400|765613668|765613668</v>
          </cell>
          <cell r="AR5876" t="str">
            <v>IMED SALUD</v>
          </cell>
        </row>
        <row r="5877">
          <cell r="AQ5877" t="str">
            <v>9401001|96942400|765613668|765613668</v>
          </cell>
          <cell r="AR5877" t="str">
            <v>IMED SALUD</v>
          </cell>
        </row>
        <row r="5878">
          <cell r="AQ5878" t="str">
            <v>9401001|96942400|765613668|765613668</v>
          </cell>
          <cell r="AR5878" t="str">
            <v>IMED SALUD</v>
          </cell>
        </row>
        <row r="5879">
          <cell r="AQ5879" t="str">
            <v>9401001|96942400|765613668|765613668</v>
          </cell>
          <cell r="AR5879" t="str">
            <v>IMED SALUD</v>
          </cell>
        </row>
        <row r="5880">
          <cell r="AQ5880" t="str">
            <v>9401001|96942400|765613668|65383730</v>
          </cell>
          <cell r="AR5880" t="str">
            <v>GASTO FISICO</v>
          </cell>
        </row>
        <row r="5881">
          <cell r="AQ5881" t="str">
            <v>9401001|96942400|765613668|65383730</v>
          </cell>
          <cell r="AR5881" t="str">
            <v>GASTO FISICO</v>
          </cell>
        </row>
        <row r="5882">
          <cell r="AQ5882" t="str">
            <v>9401001|96942400|765641908|765641908</v>
          </cell>
          <cell r="AR5882" t="str">
            <v>IMED SALUD</v>
          </cell>
        </row>
        <row r="5883">
          <cell r="AQ5883" t="str">
            <v>9401001|96942400|765641908|765641908</v>
          </cell>
          <cell r="AR5883" t="str">
            <v>IMED SALUD</v>
          </cell>
        </row>
        <row r="5884">
          <cell r="AQ5884" t="str">
            <v>9401001|96942400|765641908|65383731</v>
          </cell>
          <cell r="AR5884" t="str">
            <v>GASTO FISICO</v>
          </cell>
        </row>
        <row r="5885">
          <cell r="AQ5885" t="str">
            <v>9401001|96942400|765642032|765642032</v>
          </cell>
          <cell r="AR5885" t="str">
            <v>IMED SALUD</v>
          </cell>
        </row>
        <row r="5886">
          <cell r="AQ5886" t="str">
            <v>9401001|96942400|765642032|765642032</v>
          </cell>
          <cell r="AR5886" t="str">
            <v>IMED SALUD</v>
          </cell>
        </row>
        <row r="5887">
          <cell r="AQ5887" t="str">
            <v>9401001|96942400|765642032|65383732</v>
          </cell>
          <cell r="AR5887" t="str">
            <v>GASTO FISICO</v>
          </cell>
        </row>
        <row r="5888">
          <cell r="AQ5888" t="str">
            <v>9424037|76098454|930188484|930188484</v>
          </cell>
          <cell r="AR5888" t="str">
            <v>IMED SALUD</v>
          </cell>
        </row>
        <row r="5889">
          <cell r="AQ5889" t="str">
            <v>9424037|76098454|930188484|930188484</v>
          </cell>
          <cell r="AR5889" t="str">
            <v>IMED SALUD</v>
          </cell>
        </row>
        <row r="5890">
          <cell r="AQ5890" t="str">
            <v>9424037|76098454|930188484|65383734</v>
          </cell>
          <cell r="AR5890" t="str">
            <v>GASTO FISICO</v>
          </cell>
        </row>
        <row r="5891">
          <cell r="AQ5891" t="str">
            <v>9424037|76098454|930188907|930188907</v>
          </cell>
          <cell r="AR5891" t="str">
            <v>IMED SALUD</v>
          </cell>
        </row>
        <row r="5892">
          <cell r="AQ5892" t="str">
            <v>9424037|76098454|930188907|930188907</v>
          </cell>
          <cell r="AR5892" t="str">
            <v>IMED SALUD</v>
          </cell>
        </row>
        <row r="5893">
          <cell r="AQ5893" t="str">
            <v>9424037|76098454|930188907|930188907</v>
          </cell>
          <cell r="AR5893" t="str">
            <v>IMED SALUD</v>
          </cell>
        </row>
        <row r="5894">
          <cell r="AQ5894" t="str">
            <v>9424037|76098454|930188907|930188907</v>
          </cell>
          <cell r="AR5894" t="str">
            <v>IMED SALUD</v>
          </cell>
        </row>
        <row r="5895">
          <cell r="AQ5895" t="str">
            <v>9424037|76098454|930188907|65383735</v>
          </cell>
          <cell r="AR5895" t="str">
            <v>GASTO FISICO</v>
          </cell>
        </row>
        <row r="5896">
          <cell r="AQ5896" t="str">
            <v>9424037|76098454|930188907|65383735</v>
          </cell>
          <cell r="AR5896" t="str">
            <v>GASTO FISICO</v>
          </cell>
        </row>
        <row r="5897">
          <cell r="AQ5897" t="str">
            <v>9424037|76098454|930189040|930189040</v>
          </cell>
          <cell r="AR5897" t="str">
            <v>IMED SALUD</v>
          </cell>
        </row>
        <row r="5898">
          <cell r="AQ5898" t="str">
            <v>9424037|76098454|930189040|930189040</v>
          </cell>
          <cell r="AR5898" t="str">
            <v>IMED SALUD</v>
          </cell>
        </row>
        <row r="5899">
          <cell r="AQ5899" t="str">
            <v>9424037|76098454|930189040|65383736</v>
          </cell>
          <cell r="AR5899" t="str">
            <v>GASTO FISICO</v>
          </cell>
        </row>
        <row r="5900">
          <cell r="AQ5900" t="str">
            <v>9424037|76098454|930189166|930189166</v>
          </cell>
          <cell r="AR5900" t="str">
            <v>IMED SALUD</v>
          </cell>
        </row>
        <row r="5901">
          <cell r="AQ5901" t="str">
            <v>9424037|76098454|930189166|930189166</v>
          </cell>
          <cell r="AR5901" t="str">
            <v>IMED SALUD</v>
          </cell>
        </row>
        <row r="5902">
          <cell r="AQ5902" t="str">
            <v>9424037|76098454|930189166|65383737</v>
          </cell>
          <cell r="AR5902" t="str">
            <v>GASTO FISICO</v>
          </cell>
        </row>
        <row r="5903">
          <cell r="AQ5903" t="str">
            <v>9484485|71023600|765367934|765367934</v>
          </cell>
          <cell r="AR5903" t="str">
            <v>IMED SALUD</v>
          </cell>
        </row>
        <row r="5904">
          <cell r="AQ5904" t="str">
            <v>9484485|71023600|765367934|765367934</v>
          </cell>
          <cell r="AR5904" t="str">
            <v>IMED SALUD</v>
          </cell>
        </row>
        <row r="5905">
          <cell r="AQ5905" t="str">
            <v>9484485|71023600|765367934|65383739</v>
          </cell>
          <cell r="AR5905" t="str">
            <v>GASTO FISICO</v>
          </cell>
        </row>
        <row r="5906">
          <cell r="AQ5906" t="str">
            <v>9484485|82332100|765547220|765547220</v>
          </cell>
          <cell r="AR5906" t="str">
            <v>IMED SALUD</v>
          </cell>
        </row>
        <row r="5907">
          <cell r="AQ5907" t="str">
            <v>9484485|82332100|765547220|765547220</v>
          </cell>
          <cell r="AR5907" t="str">
            <v>IMED SALUD</v>
          </cell>
        </row>
        <row r="5908">
          <cell r="AQ5908" t="str">
            <v>9484485|82332100|765547220|65383740</v>
          </cell>
          <cell r="AR5908" t="str">
            <v>GASTO FISICO</v>
          </cell>
        </row>
        <row r="5909">
          <cell r="AQ5909" t="str">
            <v>9486641|96631140|765595226|765595226</v>
          </cell>
          <cell r="AR5909" t="str">
            <v>IMED SALUD</v>
          </cell>
        </row>
        <row r="5910">
          <cell r="AQ5910" t="str">
            <v>9486641|96631140|765595226|765595226</v>
          </cell>
          <cell r="AR5910" t="str">
            <v>IMED SALUD</v>
          </cell>
        </row>
        <row r="5911">
          <cell r="AQ5911" t="str">
            <v>9486641|96631140|765595226|65383741</v>
          </cell>
          <cell r="AR5911" t="str">
            <v>GASTO FISICO</v>
          </cell>
        </row>
        <row r="5912">
          <cell r="AQ5912" t="str">
            <v>9486641|96631140|765637451|765637451</v>
          </cell>
          <cell r="AR5912" t="str">
            <v>IMED SALUD</v>
          </cell>
        </row>
        <row r="5913">
          <cell r="AQ5913" t="str">
            <v>9486641|96631140|765637451|765637451</v>
          </cell>
          <cell r="AR5913" t="str">
            <v>IMED SALUD</v>
          </cell>
        </row>
        <row r="5914">
          <cell r="AQ5914" t="str">
            <v>9486641|96631140|765637451|765637451</v>
          </cell>
          <cell r="AR5914" t="str">
            <v>IMED SALUD</v>
          </cell>
        </row>
        <row r="5915">
          <cell r="AQ5915" t="str">
            <v>9486641|96631140|765637451|22024706</v>
          </cell>
          <cell r="AR5915" t="str">
            <v>GASTO FISICO</v>
          </cell>
        </row>
        <row r="5916">
          <cell r="AQ5916" t="str">
            <v>9486641|96631140|765637451|22024706</v>
          </cell>
          <cell r="AR5916" t="str">
            <v>GASTO FISICO</v>
          </cell>
        </row>
        <row r="5917">
          <cell r="AQ5917" t="str">
            <v>9486641|96631140|765637451|22024706</v>
          </cell>
          <cell r="AR5917" t="str">
            <v>GASTO FISICO</v>
          </cell>
        </row>
        <row r="5918">
          <cell r="AQ5918" t="str">
            <v>9486641|96631140|765637451|765637451</v>
          </cell>
          <cell r="AR5918" t="str">
            <v>IMED SALUD</v>
          </cell>
        </row>
        <row r="5919">
          <cell r="AQ5919" t="str">
            <v>9486641|96631140|765637451|765637451</v>
          </cell>
          <cell r="AR5919" t="str">
            <v>IMED SALUD</v>
          </cell>
        </row>
        <row r="5920">
          <cell r="AQ5920" t="str">
            <v>9486641|96631140|765637451|765637451</v>
          </cell>
          <cell r="AR5920" t="str">
            <v>IMED SALUD</v>
          </cell>
        </row>
        <row r="5921">
          <cell r="AQ5921" t="str">
            <v>9486641|96631140|765637451|65383742</v>
          </cell>
          <cell r="AR5921" t="str">
            <v>GASTO FISICO</v>
          </cell>
        </row>
        <row r="5922">
          <cell r="AQ5922" t="str">
            <v>9486641|96631140|765637451|65383742</v>
          </cell>
          <cell r="AR5922" t="str">
            <v>GASTO FISICO</v>
          </cell>
        </row>
        <row r="5923">
          <cell r="AQ5923" t="str">
            <v>9486641|96631140|765637451|65383742</v>
          </cell>
          <cell r="AR5923" t="str">
            <v>GASTO FISICO</v>
          </cell>
        </row>
        <row r="5924">
          <cell r="AQ5924" t="str">
            <v>9486641|96631140|765683786|765683786</v>
          </cell>
          <cell r="AR5924" t="str">
            <v>IMED SALUD</v>
          </cell>
        </row>
        <row r="5925">
          <cell r="AQ5925" t="str">
            <v>9486641|96631140|765683786|765683786</v>
          </cell>
          <cell r="AR5925" t="str">
            <v>IMED SALUD</v>
          </cell>
        </row>
        <row r="5926">
          <cell r="AQ5926" t="str">
            <v>9486641|96631140|765683786|765683786</v>
          </cell>
          <cell r="AR5926" t="str">
            <v>IMED SALUD</v>
          </cell>
        </row>
        <row r="5927">
          <cell r="AQ5927" t="str">
            <v>9486641|96631140|765683786|765683786</v>
          </cell>
          <cell r="AR5927" t="str">
            <v>IMED SALUD</v>
          </cell>
        </row>
        <row r="5928">
          <cell r="AQ5928" t="str">
            <v>9486641|96631140|765683786|65383743</v>
          </cell>
          <cell r="AR5928" t="str">
            <v>GASTO FISICO</v>
          </cell>
        </row>
        <row r="5929">
          <cell r="AQ5929" t="str">
            <v>9486641|96631140|765683786|65383743</v>
          </cell>
          <cell r="AR5929" t="str">
            <v>GASTO FISICO</v>
          </cell>
        </row>
        <row r="5930">
          <cell r="AQ5930" t="str">
            <v>9571406|96942400|765472066|765472066</v>
          </cell>
          <cell r="AR5930" t="str">
            <v>IMED SALUD</v>
          </cell>
        </row>
        <row r="5931">
          <cell r="AQ5931" t="str">
            <v>9571406|96942400|765472066|765472066</v>
          </cell>
          <cell r="AR5931" t="str">
            <v>IMED SALUD</v>
          </cell>
        </row>
        <row r="5932">
          <cell r="AQ5932" t="str">
            <v>9571406|96942400|765472066|65383744</v>
          </cell>
          <cell r="AR5932" t="str">
            <v>GASTO FISICO</v>
          </cell>
        </row>
        <row r="5933">
          <cell r="AQ5933" t="str">
            <v>9583535|96942400|370916180|370916180</v>
          </cell>
          <cell r="AR5933" t="str">
            <v>IMED SALUD</v>
          </cell>
        </row>
        <row r="5934">
          <cell r="AQ5934" t="str">
            <v>9583535|96942400|370916180|370916180</v>
          </cell>
          <cell r="AR5934" t="str">
            <v>IMED SALUD</v>
          </cell>
        </row>
        <row r="5935">
          <cell r="AQ5935" t="str">
            <v>9583535|96942400|370916180|370916180</v>
          </cell>
          <cell r="AR5935" t="str">
            <v>IMED SALUD</v>
          </cell>
        </row>
        <row r="5936">
          <cell r="AQ5936" t="str">
            <v>9583535|96942400|370916180|370916180</v>
          </cell>
          <cell r="AR5936" t="str">
            <v>IMED SALUD</v>
          </cell>
        </row>
        <row r="5937">
          <cell r="AQ5937" t="str">
            <v>9583535|96942400|370916180|370916180</v>
          </cell>
          <cell r="AR5937" t="str">
            <v>IMED SALUD</v>
          </cell>
        </row>
        <row r="5938">
          <cell r="AQ5938" t="str">
            <v>9583535|96942400|370916180|370916180</v>
          </cell>
          <cell r="AR5938" t="str">
            <v>IMED SALUD</v>
          </cell>
        </row>
        <row r="5939">
          <cell r="AQ5939" t="str">
            <v>9583535|96942400|370916180|370916180</v>
          </cell>
          <cell r="AR5939" t="str">
            <v>IMED SALUD</v>
          </cell>
        </row>
        <row r="5940">
          <cell r="AQ5940" t="str">
            <v>9583535|96942400|370916180|370916180</v>
          </cell>
          <cell r="AR5940" t="str">
            <v>IMED SALUD</v>
          </cell>
        </row>
        <row r="5941">
          <cell r="AQ5941" t="str">
            <v>9583535|96942400|370916180|65383746</v>
          </cell>
          <cell r="AR5941" t="str">
            <v>GASTO FISICO</v>
          </cell>
        </row>
        <row r="5942">
          <cell r="AQ5942" t="str">
            <v>9583535|96942400|370916180|65383746</v>
          </cell>
          <cell r="AR5942" t="str">
            <v>GASTO FISICO</v>
          </cell>
        </row>
        <row r="5943">
          <cell r="AQ5943" t="str">
            <v>9583535|96942400|370916180|65383746</v>
          </cell>
          <cell r="AR5943" t="str">
            <v>GASTO FISICO</v>
          </cell>
        </row>
        <row r="5944">
          <cell r="AQ5944" t="str">
            <v>9583535|96942400|370916180|65383746</v>
          </cell>
          <cell r="AR5944" t="str">
            <v>GASTO FISICO</v>
          </cell>
        </row>
        <row r="5945">
          <cell r="AQ5945" t="str">
            <v>9583535|96942400|370916278|370916278</v>
          </cell>
          <cell r="AR5945" t="str">
            <v>IMED SALUD</v>
          </cell>
        </row>
        <row r="5946">
          <cell r="AQ5946" t="str">
            <v>9583535|96942400|370916278|370916278</v>
          </cell>
          <cell r="AR5946" t="str">
            <v>IMED SALUD</v>
          </cell>
        </row>
        <row r="5947">
          <cell r="AQ5947" t="str">
            <v>9583535|96942400|370916278|370916278</v>
          </cell>
          <cell r="AR5947" t="str">
            <v>IMED SALUD</v>
          </cell>
        </row>
        <row r="5948">
          <cell r="AQ5948" t="str">
            <v>9583535|96942400|370916278|370916278</v>
          </cell>
          <cell r="AR5948" t="str">
            <v>IMED SALUD</v>
          </cell>
        </row>
        <row r="5949">
          <cell r="AQ5949" t="str">
            <v>9583535|96942400|370916278|65383747</v>
          </cell>
          <cell r="AR5949" t="str">
            <v>GASTO FISICO</v>
          </cell>
        </row>
        <row r="5950">
          <cell r="AQ5950" t="str">
            <v>9583535|96942400|370916278|65383747</v>
          </cell>
          <cell r="AR5950" t="str">
            <v>GASTO FISICO</v>
          </cell>
        </row>
        <row r="5951">
          <cell r="AQ5951" t="str">
            <v>9583535|76098454|371354816|371354816</v>
          </cell>
          <cell r="AR5951" t="str">
            <v>IMED SALUD</v>
          </cell>
        </row>
        <row r="5952">
          <cell r="AQ5952" t="str">
            <v>9583535|76098454|371354816|371354816</v>
          </cell>
          <cell r="AR5952" t="str">
            <v>IMED SALUD</v>
          </cell>
        </row>
        <row r="5953">
          <cell r="AQ5953" t="str">
            <v>9583535|76098454|371354816|65383748</v>
          </cell>
          <cell r="AR5953" t="str">
            <v>GASTO FISICO</v>
          </cell>
        </row>
        <row r="5954">
          <cell r="AQ5954" t="str">
            <v>9583535|76098454|371355019|371355019</v>
          </cell>
          <cell r="AR5954" t="str">
            <v>IMED SALUD</v>
          </cell>
        </row>
        <row r="5955">
          <cell r="AQ5955" t="str">
            <v>9583535|76098454|371355019|371355019</v>
          </cell>
          <cell r="AR5955" t="str">
            <v>IMED SALUD</v>
          </cell>
        </row>
        <row r="5956">
          <cell r="AQ5956" t="str">
            <v>9583535|76098454|371355019|371355019</v>
          </cell>
          <cell r="AR5956" t="str">
            <v>IMED SALUD</v>
          </cell>
        </row>
        <row r="5957">
          <cell r="AQ5957" t="str">
            <v>9583535|76098454|371355019|371355019</v>
          </cell>
          <cell r="AR5957" t="str">
            <v>IMED SALUD</v>
          </cell>
        </row>
        <row r="5958">
          <cell r="AQ5958" t="str">
            <v>9583535|76098454|371355019|65383749</v>
          </cell>
          <cell r="AR5958" t="str">
            <v>GASTO FISICO</v>
          </cell>
        </row>
        <row r="5959">
          <cell r="AQ5959" t="str">
            <v>9583535|76098454|371355019|65383749</v>
          </cell>
          <cell r="AR5959" t="str">
            <v>GASTO FISICO</v>
          </cell>
        </row>
        <row r="5960">
          <cell r="AQ5960" t="str">
            <v>9583535|99573490|372213608|372213608</v>
          </cell>
          <cell r="AR5960" t="str">
            <v>IMED SALUD</v>
          </cell>
        </row>
        <row r="5961">
          <cell r="AQ5961" t="str">
            <v>9583535|99573490|372213608|372213608</v>
          </cell>
          <cell r="AR5961" t="str">
            <v>IMED SALUD</v>
          </cell>
        </row>
        <row r="5962">
          <cell r="AQ5962" t="str">
            <v>9583535|99573490|372213608|372213608</v>
          </cell>
          <cell r="AR5962" t="str">
            <v>IMED SALUD</v>
          </cell>
        </row>
        <row r="5963">
          <cell r="AQ5963" t="str">
            <v>9583535|99573490|372213608|372213608</v>
          </cell>
          <cell r="AR5963" t="str">
            <v>IMED SALUD</v>
          </cell>
        </row>
        <row r="5964">
          <cell r="AQ5964" t="str">
            <v>9583535|99573490|372213608|372213608</v>
          </cell>
          <cell r="AR5964" t="str">
            <v>IMED SALUD</v>
          </cell>
        </row>
        <row r="5965">
          <cell r="AQ5965" t="str">
            <v>9583535|99573490|372213608|372213608</v>
          </cell>
          <cell r="AR5965" t="str">
            <v>IMED SALUD</v>
          </cell>
        </row>
        <row r="5966">
          <cell r="AQ5966" t="str">
            <v>9583535|99573490|372213608|372213608</v>
          </cell>
          <cell r="AR5966" t="str">
            <v>IMED SALUD</v>
          </cell>
        </row>
        <row r="5967">
          <cell r="AQ5967" t="str">
            <v>9583535|99573490|372213608|372213608</v>
          </cell>
          <cell r="AR5967" t="str">
            <v>IMED SALUD</v>
          </cell>
        </row>
        <row r="5968">
          <cell r="AQ5968" t="str">
            <v>9583535|99573490|372213608|372213608</v>
          </cell>
          <cell r="AR5968" t="str">
            <v>IMED SALUD</v>
          </cell>
        </row>
        <row r="5969">
          <cell r="AQ5969" t="str">
            <v>9583535|99573490|372213608|372213608</v>
          </cell>
          <cell r="AR5969" t="str">
            <v>IMED SALUD</v>
          </cell>
        </row>
        <row r="5970">
          <cell r="AQ5970" t="str">
            <v>9583535|99573490|372213608|65383750</v>
          </cell>
          <cell r="AR5970" t="str">
            <v>GASTO FISICO</v>
          </cell>
        </row>
        <row r="5971">
          <cell r="AQ5971" t="str">
            <v>9583535|99573490|372213608|65383750</v>
          </cell>
          <cell r="AR5971" t="str">
            <v>GASTO FISICO</v>
          </cell>
        </row>
        <row r="5972">
          <cell r="AQ5972" t="str">
            <v>9583535|99573490|372213608|65383750</v>
          </cell>
          <cell r="AR5972" t="str">
            <v>GASTO FISICO</v>
          </cell>
        </row>
        <row r="5973">
          <cell r="AQ5973" t="str">
            <v>9583535|99573490|372213608|65383750</v>
          </cell>
          <cell r="AR5973" t="str">
            <v>GASTO FISICO</v>
          </cell>
        </row>
        <row r="5974">
          <cell r="AQ5974" t="str">
            <v>9583535|99573490|372213608|65383750</v>
          </cell>
          <cell r="AR5974" t="str">
            <v>GASTO FISICO</v>
          </cell>
        </row>
        <row r="5975">
          <cell r="AQ5975" t="str">
            <v>9583535|99573490|372213609|372213609</v>
          </cell>
          <cell r="AR5975" t="str">
            <v>IMED SALUD</v>
          </cell>
        </row>
        <row r="5976">
          <cell r="AQ5976" t="str">
            <v>9583535|99573490|372213609|372213609</v>
          </cell>
          <cell r="AR5976" t="str">
            <v>IMED SALUD</v>
          </cell>
        </row>
        <row r="5977">
          <cell r="AQ5977" t="str">
            <v>9583535|99573490|372213609|372213609</v>
          </cell>
          <cell r="AR5977" t="str">
            <v>IMED SALUD</v>
          </cell>
        </row>
        <row r="5978">
          <cell r="AQ5978" t="str">
            <v>9583535|99573490|372213609|372213609</v>
          </cell>
          <cell r="AR5978" t="str">
            <v>IMED SALUD</v>
          </cell>
        </row>
        <row r="5979">
          <cell r="AQ5979" t="str">
            <v>9583535|99573490|372213609|372213609</v>
          </cell>
          <cell r="AR5979" t="str">
            <v>IMED SALUD</v>
          </cell>
        </row>
        <row r="5980">
          <cell r="AQ5980" t="str">
            <v>9583535|99573490|372213609|372213609</v>
          </cell>
          <cell r="AR5980" t="str">
            <v>IMED SALUD</v>
          </cell>
        </row>
        <row r="5981">
          <cell r="AQ5981" t="str">
            <v>9583535|99573490|372213609|372213609</v>
          </cell>
          <cell r="AR5981" t="str">
            <v>IMED SALUD</v>
          </cell>
        </row>
        <row r="5982">
          <cell r="AQ5982" t="str">
            <v>9583535|99573490|372213609|372213609</v>
          </cell>
          <cell r="AR5982" t="str">
            <v>IMED SALUD</v>
          </cell>
        </row>
        <row r="5983">
          <cell r="AQ5983" t="str">
            <v>9583535|99573490|372213609|372213609</v>
          </cell>
          <cell r="AR5983" t="str">
            <v>IMED SALUD</v>
          </cell>
        </row>
        <row r="5984">
          <cell r="AQ5984" t="str">
            <v>9583535|99573490|372213609|372213609</v>
          </cell>
          <cell r="AR5984" t="str">
            <v>IMED SALUD</v>
          </cell>
        </row>
        <row r="5985">
          <cell r="AQ5985" t="str">
            <v>9583535|99573490|372213609|65383751</v>
          </cell>
          <cell r="AR5985" t="str">
            <v>GASTO FISICO</v>
          </cell>
        </row>
        <row r="5986">
          <cell r="AQ5986" t="str">
            <v>9583535|99573490|372213609|65383751</v>
          </cell>
          <cell r="AR5986" t="str">
            <v>GASTO FISICO</v>
          </cell>
        </row>
        <row r="5987">
          <cell r="AQ5987" t="str">
            <v>9583535|99573490|372213609|65383751</v>
          </cell>
          <cell r="AR5987" t="str">
            <v>GASTO FISICO</v>
          </cell>
        </row>
        <row r="5988">
          <cell r="AQ5988" t="str">
            <v>9583535|99573490|372213609|65383751</v>
          </cell>
          <cell r="AR5988" t="str">
            <v>GASTO FISICO</v>
          </cell>
        </row>
        <row r="5989">
          <cell r="AQ5989" t="str">
            <v>9583535|99573490|372213609|65383751</v>
          </cell>
          <cell r="AR5989" t="str">
            <v>GASTO FISICO</v>
          </cell>
        </row>
        <row r="5990">
          <cell r="AQ5990" t="str">
            <v>9583535|99573490|372213610|372213610</v>
          </cell>
          <cell r="AR5990" t="str">
            <v>IMED SALUD</v>
          </cell>
        </row>
        <row r="5991">
          <cell r="AQ5991" t="str">
            <v>9583535|99573490|372213610|372213610</v>
          </cell>
          <cell r="AR5991" t="str">
            <v>IMED SALUD</v>
          </cell>
        </row>
        <row r="5992">
          <cell r="AQ5992" t="str">
            <v>9583535|99573490|372213610|372213610</v>
          </cell>
          <cell r="AR5992" t="str">
            <v>IMED SALUD</v>
          </cell>
        </row>
        <row r="5993">
          <cell r="AQ5993" t="str">
            <v>9583535|99573490|372213610|372213610</v>
          </cell>
          <cell r="AR5993" t="str">
            <v>IMED SALUD</v>
          </cell>
        </row>
        <row r="5994">
          <cell r="AQ5994" t="str">
            <v>9583535|99573490|372213610|372213610</v>
          </cell>
          <cell r="AR5994" t="str">
            <v>IMED SALUD</v>
          </cell>
        </row>
        <row r="5995">
          <cell r="AQ5995" t="str">
            <v>9583535|99573490|372213610|372213610</v>
          </cell>
          <cell r="AR5995" t="str">
            <v>IMED SALUD</v>
          </cell>
        </row>
        <row r="5996">
          <cell r="AQ5996" t="str">
            <v>9583535|99573490|372213610|372213610</v>
          </cell>
          <cell r="AR5996" t="str">
            <v>IMED SALUD</v>
          </cell>
        </row>
        <row r="5997">
          <cell r="AQ5997" t="str">
            <v>9583535|99573490|372213610|372213610</v>
          </cell>
          <cell r="AR5997" t="str">
            <v>IMED SALUD</v>
          </cell>
        </row>
        <row r="5998">
          <cell r="AQ5998" t="str">
            <v>9583535|99573490|372213610|372213610</v>
          </cell>
          <cell r="AR5998" t="str">
            <v>IMED SALUD</v>
          </cell>
        </row>
        <row r="5999">
          <cell r="AQ5999" t="str">
            <v>9583535|99573490|372213610|372213610</v>
          </cell>
          <cell r="AR5999" t="str">
            <v>IMED SALUD</v>
          </cell>
        </row>
        <row r="6000">
          <cell r="AQ6000" t="str">
            <v>9583535|99573490|372213610|65383752</v>
          </cell>
          <cell r="AR6000" t="str">
            <v>GASTO FISICO</v>
          </cell>
        </row>
        <row r="6001">
          <cell r="AQ6001" t="str">
            <v>9583535|99573490|372213610|65383752</v>
          </cell>
          <cell r="AR6001" t="str">
            <v>GASTO FISICO</v>
          </cell>
        </row>
        <row r="6002">
          <cell r="AQ6002" t="str">
            <v>9583535|99573490|372213610|65383752</v>
          </cell>
          <cell r="AR6002" t="str">
            <v>GASTO FISICO</v>
          </cell>
        </row>
        <row r="6003">
          <cell r="AQ6003" t="str">
            <v>9583535|99573490|372213610|65383752</v>
          </cell>
          <cell r="AR6003" t="str">
            <v>GASTO FISICO</v>
          </cell>
        </row>
        <row r="6004">
          <cell r="AQ6004" t="str">
            <v>9583535|99573490|372213610|65383752</v>
          </cell>
          <cell r="AR6004" t="str">
            <v>GASTO FISICO</v>
          </cell>
        </row>
        <row r="6005">
          <cell r="AQ6005" t="str">
            <v>9583535|99573490|372213611|372213611</v>
          </cell>
          <cell r="AR6005" t="str">
            <v>IMED SALUD</v>
          </cell>
        </row>
        <row r="6006">
          <cell r="AQ6006" t="str">
            <v>9583535|99573490|372213611|372213611</v>
          </cell>
          <cell r="AR6006" t="str">
            <v>IMED SALUD</v>
          </cell>
        </row>
        <row r="6007">
          <cell r="AQ6007" t="str">
            <v>9583535|99573490|372213611|65383753</v>
          </cell>
          <cell r="AR6007" t="str">
            <v>GASTO FISICO</v>
          </cell>
        </row>
        <row r="6008">
          <cell r="AQ6008" t="str">
            <v>9636764|99573490|95778177|95778177</v>
          </cell>
          <cell r="AR6008" t="str">
            <v>IMED SALUD</v>
          </cell>
        </row>
        <row r="6009">
          <cell r="AQ6009" t="str">
            <v>9636764|99573490|95778177|95778177</v>
          </cell>
          <cell r="AR6009" t="str">
            <v>IMED SALUD</v>
          </cell>
        </row>
        <row r="6010">
          <cell r="AQ6010" t="str">
            <v>9636764|99573490|95778177|95778177</v>
          </cell>
          <cell r="AR6010" t="str">
            <v>IMED SALUD</v>
          </cell>
        </row>
        <row r="6011">
          <cell r="AQ6011" t="str">
            <v>9636764|99573490|95778177|95778177</v>
          </cell>
          <cell r="AR6011" t="str">
            <v>IMED SALUD</v>
          </cell>
        </row>
        <row r="6012">
          <cell r="AQ6012" t="str">
            <v>9636764|99573490|95778177|95778177</v>
          </cell>
          <cell r="AR6012" t="str">
            <v>IMED SALUD</v>
          </cell>
        </row>
        <row r="6013">
          <cell r="AQ6013" t="str">
            <v>9636764|99573490|95778177|95778177</v>
          </cell>
          <cell r="AR6013" t="str">
            <v>IMED SALUD</v>
          </cell>
        </row>
        <row r="6014">
          <cell r="AQ6014" t="str">
            <v>9636764|99573490|95778177|95778177</v>
          </cell>
          <cell r="AR6014" t="str">
            <v>IMED SALUD</v>
          </cell>
        </row>
        <row r="6015">
          <cell r="AQ6015" t="str">
            <v>9636764|99573490|95778177|95778177</v>
          </cell>
          <cell r="AR6015" t="str">
            <v>IMED SALUD</v>
          </cell>
        </row>
        <row r="6016">
          <cell r="AQ6016" t="str">
            <v>9636764|99573490|95778177|95778177</v>
          </cell>
          <cell r="AR6016" t="str">
            <v>IMED SALUD</v>
          </cell>
        </row>
        <row r="6017">
          <cell r="AQ6017" t="str">
            <v>9636764|99573490|95778177|95778177</v>
          </cell>
          <cell r="AR6017" t="str">
            <v>IMED SALUD</v>
          </cell>
        </row>
        <row r="6018">
          <cell r="AQ6018" t="str">
            <v>9636764|99573490|95778177|65383754</v>
          </cell>
          <cell r="AR6018" t="str">
            <v>GASTO FISICO</v>
          </cell>
        </row>
        <row r="6019">
          <cell r="AQ6019" t="str">
            <v>9636764|99573490|95778177|65383754</v>
          </cell>
          <cell r="AR6019" t="str">
            <v>GASTO FISICO</v>
          </cell>
        </row>
        <row r="6020">
          <cell r="AQ6020" t="str">
            <v>9636764|99573490|95778177|65383754</v>
          </cell>
          <cell r="AR6020" t="str">
            <v>GASTO FISICO</v>
          </cell>
        </row>
        <row r="6021">
          <cell r="AQ6021" t="str">
            <v>9636764|99573490|95778177|65383754</v>
          </cell>
          <cell r="AR6021" t="str">
            <v>GASTO FISICO</v>
          </cell>
        </row>
        <row r="6022">
          <cell r="AQ6022" t="str">
            <v>9636764|99573490|95778177|65383754</v>
          </cell>
          <cell r="AR6022" t="str">
            <v>GASTO FISICO</v>
          </cell>
        </row>
        <row r="6023">
          <cell r="AQ6023" t="str">
            <v>9643668|76940110|765217627|765217627</v>
          </cell>
          <cell r="AR6023" t="str">
            <v>IMED SALUD</v>
          </cell>
        </row>
        <row r="6024">
          <cell r="AQ6024" t="str">
            <v>9643668|76940110|765217627|765217627</v>
          </cell>
          <cell r="AR6024" t="str">
            <v>IMED SALUD</v>
          </cell>
        </row>
        <row r="6025">
          <cell r="AQ6025" t="str">
            <v>9643668|76940110|765217627|65383755</v>
          </cell>
          <cell r="AR6025" t="str">
            <v>GASTO FISICO</v>
          </cell>
        </row>
        <row r="6026">
          <cell r="AQ6026" t="str">
            <v>9643668|79749170|765461284|765461284</v>
          </cell>
          <cell r="AR6026" t="str">
            <v>IMED SALUD</v>
          </cell>
        </row>
        <row r="6027">
          <cell r="AQ6027" t="str">
            <v>9643668|79749170|765461284|765461284</v>
          </cell>
          <cell r="AR6027" t="str">
            <v>IMED SALUD</v>
          </cell>
        </row>
        <row r="6028">
          <cell r="AQ6028" t="str">
            <v>9643668|79749170|765461284|765461284</v>
          </cell>
          <cell r="AR6028" t="str">
            <v>IMED SALUD</v>
          </cell>
        </row>
        <row r="6029">
          <cell r="AQ6029" t="str">
            <v>9643668|79749170|765461284|765461284</v>
          </cell>
          <cell r="AR6029" t="str">
            <v>IMED SALUD</v>
          </cell>
        </row>
        <row r="6030">
          <cell r="AQ6030" t="str">
            <v>9643668|79749170|765461284|765461284</v>
          </cell>
          <cell r="AR6030" t="str">
            <v>IMED SALUD</v>
          </cell>
        </row>
        <row r="6031">
          <cell r="AQ6031" t="str">
            <v>9643668|79749170|765461284|765461284</v>
          </cell>
          <cell r="AR6031" t="str">
            <v>IMED SALUD</v>
          </cell>
        </row>
        <row r="6032">
          <cell r="AQ6032" t="str">
            <v>9643668|79749170|765461284|65383756</v>
          </cell>
          <cell r="AR6032" t="str">
            <v>GASTO FISICO</v>
          </cell>
        </row>
        <row r="6033">
          <cell r="AQ6033" t="str">
            <v>9643668|79749170|765461284|65383756</v>
          </cell>
          <cell r="AR6033" t="str">
            <v>GASTO FISICO</v>
          </cell>
        </row>
        <row r="6034">
          <cell r="AQ6034" t="str">
            <v>9643668|79749170|765461284|65383756</v>
          </cell>
          <cell r="AR6034" t="str">
            <v>GASTO FISICO</v>
          </cell>
        </row>
        <row r="6035">
          <cell r="AQ6035" t="str">
            <v>9643668|76055963|765509052|765509052</v>
          </cell>
          <cell r="AR6035" t="str">
            <v>IMED SALUD</v>
          </cell>
        </row>
        <row r="6036">
          <cell r="AQ6036" t="str">
            <v>9643668|76055963|765509052|765509052</v>
          </cell>
          <cell r="AR6036" t="str">
            <v>IMED SALUD</v>
          </cell>
        </row>
        <row r="6037">
          <cell r="AQ6037" t="str">
            <v>9643668|76055963|765509052|65383757</v>
          </cell>
          <cell r="AR6037" t="str">
            <v>GASTO FISICO</v>
          </cell>
        </row>
        <row r="6038">
          <cell r="AQ6038" t="str">
            <v>9643668|79749170|765562729|765562729</v>
          </cell>
          <cell r="AR6038" t="str">
            <v>IMED SALUD</v>
          </cell>
        </row>
        <row r="6039">
          <cell r="AQ6039" t="str">
            <v>9643668|79749170|765562729|765562729</v>
          </cell>
          <cell r="AR6039" t="str">
            <v>IMED SALUD</v>
          </cell>
        </row>
        <row r="6040">
          <cell r="AQ6040" t="str">
            <v>9643668|79749170|765562729|765562729</v>
          </cell>
          <cell r="AR6040" t="str">
            <v>IMED SALUD</v>
          </cell>
        </row>
        <row r="6041">
          <cell r="AQ6041" t="str">
            <v>9643668|79749170|765562729|765562729</v>
          </cell>
          <cell r="AR6041" t="str">
            <v>IMED SALUD</v>
          </cell>
        </row>
        <row r="6042">
          <cell r="AQ6042" t="str">
            <v>9643668|79749170|765562729|65383758</v>
          </cell>
          <cell r="AR6042" t="str">
            <v>GASTO FISICO</v>
          </cell>
        </row>
        <row r="6043">
          <cell r="AQ6043" t="str">
            <v>9643668|79749170|765562729|65383758</v>
          </cell>
          <cell r="AR6043" t="str">
            <v>GASTO FISICO</v>
          </cell>
        </row>
        <row r="6044">
          <cell r="AQ6044" t="str">
            <v>9709390|99573490|929846576|929846576</v>
          </cell>
          <cell r="AR6044" t="str">
            <v>IMED SALUD</v>
          </cell>
        </row>
        <row r="6045">
          <cell r="AQ6045" t="str">
            <v>9709390|99573490|929846576|929846576</v>
          </cell>
          <cell r="AR6045" t="str">
            <v>IMED SALUD</v>
          </cell>
        </row>
        <row r="6046">
          <cell r="AQ6046" t="str">
            <v>9709390|99573490|929846576|929846576</v>
          </cell>
          <cell r="AR6046" t="str">
            <v>IMED SALUD</v>
          </cell>
        </row>
        <row r="6047">
          <cell r="AQ6047" t="str">
            <v>9709390|99573490|929846576|929846576</v>
          </cell>
          <cell r="AR6047" t="str">
            <v>IMED SALUD</v>
          </cell>
        </row>
        <row r="6048">
          <cell r="AQ6048" t="str">
            <v>9709390|99573490|929846576|65383759</v>
          </cell>
          <cell r="AR6048" t="str">
            <v>GASTO FISICO</v>
          </cell>
        </row>
        <row r="6049">
          <cell r="AQ6049" t="str">
            <v>9709390|99573490|929846576|65383759</v>
          </cell>
          <cell r="AR6049" t="str">
            <v>GASTO FISICO</v>
          </cell>
        </row>
        <row r="6050">
          <cell r="AQ6050" t="str">
            <v>9733227|77040170|136011045|136011045</v>
          </cell>
          <cell r="AR6050" t="str">
            <v>IMED SALUD</v>
          </cell>
        </row>
        <row r="6051">
          <cell r="AQ6051" t="str">
            <v>9733227|77040170|136011045|136011045</v>
          </cell>
          <cell r="AR6051" t="str">
            <v>IMED SALUD</v>
          </cell>
        </row>
        <row r="6052">
          <cell r="AQ6052" t="str">
            <v>9733227|77040170|136011045|136011045</v>
          </cell>
          <cell r="AR6052" t="str">
            <v>IMED SALUD</v>
          </cell>
        </row>
        <row r="6053">
          <cell r="AQ6053" t="str">
            <v>9733227|77040170|136011045|136011045</v>
          </cell>
          <cell r="AR6053" t="str">
            <v>IMED SALUD</v>
          </cell>
        </row>
        <row r="6054">
          <cell r="AQ6054" t="str">
            <v>9733227|77040170|136011045|136011045</v>
          </cell>
          <cell r="AR6054" t="str">
            <v>IMED SALUD</v>
          </cell>
        </row>
        <row r="6055">
          <cell r="AQ6055" t="str">
            <v>9733227|77040170|136011045|136011045</v>
          </cell>
          <cell r="AR6055" t="str">
            <v>IMED SALUD</v>
          </cell>
        </row>
        <row r="6056">
          <cell r="AQ6056" t="str">
            <v>9733227|77040170|136011045|136011045</v>
          </cell>
          <cell r="AR6056" t="str">
            <v>IMED SALUD</v>
          </cell>
        </row>
        <row r="6057">
          <cell r="AQ6057" t="str">
            <v>9733227|77040170|136011045|136011045</v>
          </cell>
          <cell r="AR6057" t="str">
            <v>IMED SALUD</v>
          </cell>
        </row>
        <row r="6058">
          <cell r="AQ6058" t="str">
            <v>9733227|77040170|136011045|65383760</v>
          </cell>
          <cell r="AR6058" t="str">
            <v>GASTO FISICO</v>
          </cell>
        </row>
        <row r="6059">
          <cell r="AQ6059" t="str">
            <v>9733227|77040170|136011045|65383760</v>
          </cell>
          <cell r="AR6059" t="str">
            <v>GASTO FISICO</v>
          </cell>
        </row>
        <row r="6060">
          <cell r="AQ6060" t="str">
            <v>9733227|77040170|136011045|65383760</v>
          </cell>
          <cell r="AR6060" t="str">
            <v>GASTO FISICO</v>
          </cell>
        </row>
        <row r="6061">
          <cell r="AQ6061" t="str">
            <v>9733227|77040170|136011045|65383760</v>
          </cell>
          <cell r="AR6061" t="str">
            <v>GASTO FISICO</v>
          </cell>
        </row>
        <row r="6062">
          <cell r="AQ6062" t="str">
            <v>9733227|77040170|136011046|136011046</v>
          </cell>
          <cell r="AR6062" t="str">
            <v>IMED SALUD</v>
          </cell>
        </row>
        <row r="6063">
          <cell r="AQ6063" t="str">
            <v>9733227|77040170|136011046|136011046</v>
          </cell>
          <cell r="AR6063" t="str">
            <v>IMED SALUD</v>
          </cell>
        </row>
        <row r="6064">
          <cell r="AQ6064" t="str">
            <v>9733227|77040170|136011046|136011046</v>
          </cell>
          <cell r="AR6064" t="str">
            <v>IMED SALUD</v>
          </cell>
        </row>
        <row r="6065">
          <cell r="AQ6065" t="str">
            <v>9733227|77040170|136011046|136011046</v>
          </cell>
          <cell r="AR6065" t="str">
            <v>IMED SALUD</v>
          </cell>
        </row>
        <row r="6066">
          <cell r="AQ6066" t="str">
            <v>9733227|77040170|136011046|136011046</v>
          </cell>
          <cell r="AR6066" t="str">
            <v>IMED SALUD</v>
          </cell>
        </row>
        <row r="6067">
          <cell r="AQ6067" t="str">
            <v>9733227|77040170|136011046|136011046</v>
          </cell>
          <cell r="AR6067" t="str">
            <v>IMED SALUD</v>
          </cell>
        </row>
        <row r="6068">
          <cell r="AQ6068" t="str">
            <v>9733227|77040170|136011046|136011046</v>
          </cell>
          <cell r="AR6068" t="str">
            <v>IMED SALUD</v>
          </cell>
        </row>
        <row r="6069">
          <cell r="AQ6069" t="str">
            <v>9733227|77040170|136011046|136011046</v>
          </cell>
          <cell r="AR6069" t="str">
            <v>IMED SALUD</v>
          </cell>
        </row>
        <row r="6070">
          <cell r="AQ6070" t="str">
            <v>9733227|77040170|136011046|65383761</v>
          </cell>
          <cell r="AR6070" t="str">
            <v>GASTO FISICO</v>
          </cell>
        </row>
        <row r="6071">
          <cell r="AQ6071" t="str">
            <v>9733227|77040170|136011046|65383761</v>
          </cell>
          <cell r="AR6071" t="str">
            <v>GASTO FISICO</v>
          </cell>
        </row>
        <row r="6072">
          <cell r="AQ6072" t="str">
            <v>9733227|77040170|136011046|65383761</v>
          </cell>
          <cell r="AR6072" t="str">
            <v>GASTO FISICO</v>
          </cell>
        </row>
        <row r="6073">
          <cell r="AQ6073" t="str">
            <v>9733227|77040170|136011046|65383761</v>
          </cell>
          <cell r="AR6073" t="str">
            <v>GASTO FISICO</v>
          </cell>
        </row>
        <row r="6074">
          <cell r="AQ6074" t="str">
            <v>9768115|7461821|3923|21974036</v>
          </cell>
          <cell r="AR6074" t="str">
            <v>GASTO FISICO</v>
          </cell>
        </row>
        <row r="6075">
          <cell r="AQ6075" t="str">
            <v>9768115|7461821|3923|983013</v>
          </cell>
          <cell r="AR6075" t="str">
            <v>GASTO FISICO</v>
          </cell>
        </row>
        <row r="6076">
          <cell r="AQ6076" t="str">
            <v>9768115|7461821|3923|994305</v>
          </cell>
          <cell r="AR6076" t="str">
            <v>GASTO FISICO</v>
          </cell>
        </row>
        <row r="6077">
          <cell r="AQ6077" t="str">
            <v>9768115|7461821|3923|65212960</v>
          </cell>
          <cell r="AR6077" t="str">
            <v>GASTO FISICO</v>
          </cell>
        </row>
        <row r="6078">
          <cell r="AQ6078" t="str">
            <v>9768115|76031071|644951015|21986273</v>
          </cell>
          <cell r="AR6078" t="str">
            <v>GASTO FISICO</v>
          </cell>
        </row>
        <row r="6079">
          <cell r="AQ6079" t="str">
            <v>9768115|76031071|644951015|21986273</v>
          </cell>
          <cell r="AR6079" t="str">
            <v>GASTO FISICO</v>
          </cell>
        </row>
        <row r="6080">
          <cell r="AQ6080" t="str">
            <v>9768115|76031071|644951015|21986273</v>
          </cell>
          <cell r="AR6080" t="str">
            <v>GASTO FISICO</v>
          </cell>
        </row>
        <row r="6081">
          <cell r="AQ6081" t="str">
            <v>9768115|76031071|644951015|983006</v>
          </cell>
          <cell r="AR6081" t="str">
            <v>GASTO FISICO</v>
          </cell>
        </row>
        <row r="6082">
          <cell r="AQ6082" t="str">
            <v>9768115|76031071|644951015|983006</v>
          </cell>
          <cell r="AR6082" t="str">
            <v>GASTO FISICO</v>
          </cell>
        </row>
        <row r="6083">
          <cell r="AQ6083" t="str">
            <v>9768115|76031071|644951015|983006</v>
          </cell>
          <cell r="AR6083" t="str">
            <v>GASTO FISICO</v>
          </cell>
        </row>
        <row r="6084">
          <cell r="AQ6084" t="str">
            <v>9768115|76031071|644951015|65212961</v>
          </cell>
          <cell r="AR6084" t="str">
            <v>GASTO FISICO</v>
          </cell>
        </row>
        <row r="6085">
          <cell r="AQ6085" t="str">
            <v>9768115|76031071|644951015|65212961</v>
          </cell>
          <cell r="AR6085" t="str">
            <v>GASTO FISICO</v>
          </cell>
        </row>
        <row r="6086">
          <cell r="AQ6086" t="str">
            <v>9768115|76031071|644951015|65212961</v>
          </cell>
          <cell r="AR6086" t="str">
            <v>GASTO FISICO</v>
          </cell>
        </row>
        <row r="6087">
          <cell r="AQ6087" t="str">
            <v>9811159|96617350|372294355|372294355</v>
          </cell>
          <cell r="AR6087" t="str">
            <v>IMED SALUD</v>
          </cell>
        </row>
        <row r="6088">
          <cell r="AQ6088" t="str">
            <v>9811159|96617350|372294355|372294355</v>
          </cell>
          <cell r="AR6088" t="str">
            <v>IMED SALUD</v>
          </cell>
        </row>
        <row r="6089">
          <cell r="AQ6089" t="str">
            <v>9811159|96617350|372294355|372294355</v>
          </cell>
          <cell r="AR6089" t="str">
            <v>IMED SALUD</v>
          </cell>
        </row>
        <row r="6090">
          <cell r="AQ6090" t="str">
            <v>9811159|96617350|372294355|372294355</v>
          </cell>
          <cell r="AR6090" t="str">
            <v>IMED SALUD</v>
          </cell>
        </row>
        <row r="6091">
          <cell r="AQ6091" t="str">
            <v>9811159|96617350|372294355|372294355</v>
          </cell>
          <cell r="AR6091" t="str">
            <v>IMED SALUD</v>
          </cell>
        </row>
        <row r="6092">
          <cell r="AQ6092" t="str">
            <v>9811159|96617350|372294355|372294355</v>
          </cell>
          <cell r="AR6092" t="str">
            <v>IMED SALUD</v>
          </cell>
        </row>
        <row r="6093">
          <cell r="AQ6093" t="str">
            <v>9811159|96617350|372294355|372294355</v>
          </cell>
          <cell r="AR6093" t="str">
            <v>IMED SALUD</v>
          </cell>
        </row>
        <row r="6094">
          <cell r="AQ6094" t="str">
            <v>9811159|96617350|372294355|372294355</v>
          </cell>
          <cell r="AR6094" t="str">
            <v>IMED SALUD</v>
          </cell>
        </row>
        <row r="6095">
          <cell r="AQ6095" t="str">
            <v>9811159|96617350|372294355|372294355</v>
          </cell>
          <cell r="AR6095" t="str">
            <v>IMED SALUD</v>
          </cell>
        </row>
        <row r="6096">
          <cell r="AQ6096" t="str">
            <v>9811159|96617350|372294355|372294355</v>
          </cell>
          <cell r="AR6096" t="str">
            <v>IMED SALUD</v>
          </cell>
        </row>
        <row r="6097">
          <cell r="AQ6097" t="str">
            <v>9811159|96617350|372294355|65383762</v>
          </cell>
          <cell r="AR6097" t="str">
            <v>GASTO FISICO</v>
          </cell>
        </row>
        <row r="6098">
          <cell r="AQ6098" t="str">
            <v>9811159|96617350|372294355|65383762</v>
          </cell>
          <cell r="AR6098" t="str">
            <v>GASTO FISICO</v>
          </cell>
        </row>
        <row r="6099">
          <cell r="AQ6099" t="str">
            <v>9811159|96617350|372294355|65383762</v>
          </cell>
          <cell r="AR6099" t="str">
            <v>GASTO FISICO</v>
          </cell>
        </row>
        <row r="6100">
          <cell r="AQ6100" t="str">
            <v>9811159|96617350|372294355|65383762</v>
          </cell>
          <cell r="AR6100" t="str">
            <v>GASTO FISICO</v>
          </cell>
        </row>
        <row r="6101">
          <cell r="AQ6101" t="str">
            <v>9811159|96617350|372294355|65383762</v>
          </cell>
          <cell r="AR6101" t="str">
            <v>GASTO FISICO</v>
          </cell>
        </row>
        <row r="6102">
          <cell r="AQ6102" t="str">
            <v>9811159|96617350|372294356|372294356</v>
          </cell>
          <cell r="AR6102" t="str">
            <v>IMED SALUD</v>
          </cell>
        </row>
        <row r="6103">
          <cell r="AQ6103" t="str">
            <v>9811159|96617350|372294356|372294356</v>
          </cell>
          <cell r="AR6103" t="str">
            <v>IMED SALUD</v>
          </cell>
        </row>
        <row r="6104">
          <cell r="AQ6104" t="str">
            <v>9811159|96617350|372294356|372294356</v>
          </cell>
          <cell r="AR6104" t="str">
            <v>IMED SALUD</v>
          </cell>
        </row>
        <row r="6105">
          <cell r="AQ6105" t="str">
            <v>9811159|96617350|372294356|372294356</v>
          </cell>
          <cell r="AR6105" t="str">
            <v>IMED SALUD</v>
          </cell>
        </row>
        <row r="6106">
          <cell r="AQ6106" t="str">
            <v>9811159|96617350|372294356|372294356</v>
          </cell>
          <cell r="AR6106" t="str">
            <v>IMED SALUD</v>
          </cell>
        </row>
        <row r="6107">
          <cell r="AQ6107" t="str">
            <v>9811159|96617350|372294356|372294356</v>
          </cell>
          <cell r="AR6107" t="str">
            <v>IMED SALUD</v>
          </cell>
        </row>
        <row r="6108">
          <cell r="AQ6108" t="str">
            <v>9811159|96617350|372294356|372294356</v>
          </cell>
          <cell r="AR6108" t="str">
            <v>IMED SALUD</v>
          </cell>
        </row>
        <row r="6109">
          <cell r="AQ6109" t="str">
            <v>9811159|96617350|372294356|372294356</v>
          </cell>
          <cell r="AR6109" t="str">
            <v>IMED SALUD</v>
          </cell>
        </row>
        <row r="6110">
          <cell r="AQ6110" t="str">
            <v>9811159|96617350|372294356|65383763</v>
          </cell>
          <cell r="AR6110" t="str">
            <v>GASTO FISICO</v>
          </cell>
        </row>
        <row r="6111">
          <cell r="AQ6111" t="str">
            <v>9811159|96617350|372294356|65383763</v>
          </cell>
          <cell r="AR6111" t="str">
            <v>GASTO FISICO</v>
          </cell>
        </row>
        <row r="6112">
          <cell r="AQ6112" t="str">
            <v>9811159|96617350|372294356|65383763</v>
          </cell>
          <cell r="AR6112" t="str">
            <v>GASTO FISICO</v>
          </cell>
        </row>
        <row r="6113">
          <cell r="AQ6113" t="str">
            <v>9811159|96617350|372294356|65383763</v>
          </cell>
          <cell r="AR6113" t="str">
            <v>GASTO FISICO</v>
          </cell>
        </row>
        <row r="6114">
          <cell r="AQ6114" t="str">
            <v>9811159|96617350|372294358|372294358</v>
          </cell>
          <cell r="AR6114" t="str">
            <v>IMED SALUD</v>
          </cell>
        </row>
        <row r="6115">
          <cell r="AQ6115" t="str">
            <v>9811159|96617350|372294358|372294358</v>
          </cell>
          <cell r="AR6115" t="str">
            <v>IMED SALUD</v>
          </cell>
        </row>
        <row r="6116">
          <cell r="AQ6116" t="str">
            <v>9811159|96617350|372294358|372294358</v>
          </cell>
          <cell r="AR6116" t="str">
            <v>IMED SALUD</v>
          </cell>
        </row>
        <row r="6117">
          <cell r="AQ6117" t="str">
            <v>9811159|96617350|372294358|372294358</v>
          </cell>
          <cell r="AR6117" t="str">
            <v>IMED SALUD</v>
          </cell>
        </row>
        <row r="6118">
          <cell r="AQ6118" t="str">
            <v>9811159|96617350|372294358|372294358</v>
          </cell>
          <cell r="AR6118" t="str">
            <v>IMED SALUD</v>
          </cell>
        </row>
        <row r="6119">
          <cell r="AQ6119" t="str">
            <v>9811159|96617350|372294358|372294358</v>
          </cell>
          <cell r="AR6119" t="str">
            <v>IMED SALUD</v>
          </cell>
        </row>
        <row r="6120">
          <cell r="AQ6120" t="str">
            <v>9811159|96617350|372294358|65383764</v>
          </cell>
          <cell r="AR6120" t="str">
            <v>GASTO FISICO</v>
          </cell>
        </row>
        <row r="6121">
          <cell r="AQ6121" t="str">
            <v>9811159|96617350|372294358|65383764</v>
          </cell>
          <cell r="AR6121" t="str">
            <v>GASTO FISICO</v>
          </cell>
        </row>
        <row r="6122">
          <cell r="AQ6122" t="str">
            <v>9811159|96617350|372294358|65383764</v>
          </cell>
          <cell r="AR6122" t="str">
            <v>GASTO FISICO</v>
          </cell>
        </row>
        <row r="6123">
          <cell r="AQ6123" t="str">
            <v>9830180|96986050|371622933|371622933</v>
          </cell>
          <cell r="AR6123" t="str">
            <v>IMED SALUD</v>
          </cell>
        </row>
        <row r="6124">
          <cell r="AQ6124" t="str">
            <v>9830180|96986050|371622933|371622933</v>
          </cell>
          <cell r="AR6124" t="str">
            <v>IMED SALUD</v>
          </cell>
        </row>
        <row r="6125">
          <cell r="AQ6125" t="str">
            <v>9830180|96986050|371622933|371622933</v>
          </cell>
          <cell r="AR6125" t="str">
            <v>IMED SALUD</v>
          </cell>
        </row>
        <row r="6126">
          <cell r="AQ6126" t="str">
            <v>9830180|96986050|371622933|371622933</v>
          </cell>
          <cell r="AR6126" t="str">
            <v>IMED SALUD</v>
          </cell>
        </row>
        <row r="6127">
          <cell r="AQ6127" t="str">
            <v>9830180|96986050|371622933|371622933</v>
          </cell>
          <cell r="AR6127" t="str">
            <v>IMED SALUD</v>
          </cell>
        </row>
        <row r="6128">
          <cell r="AQ6128" t="str">
            <v>9830180|96986050|371622933|371622933</v>
          </cell>
          <cell r="AR6128" t="str">
            <v>IMED SALUD</v>
          </cell>
        </row>
        <row r="6129">
          <cell r="AQ6129" t="str">
            <v>9830180|96986050|371622933|371622933</v>
          </cell>
          <cell r="AR6129" t="str">
            <v>IMED SALUD</v>
          </cell>
        </row>
        <row r="6130">
          <cell r="AQ6130" t="str">
            <v>9830180|96986050|371622933|371622933</v>
          </cell>
          <cell r="AR6130" t="str">
            <v>IMED SALUD</v>
          </cell>
        </row>
        <row r="6131">
          <cell r="AQ6131" t="str">
            <v>9830180|96986050|371622933|65383765</v>
          </cell>
          <cell r="AR6131" t="str">
            <v>GASTO FISICO</v>
          </cell>
        </row>
        <row r="6132">
          <cell r="AQ6132" t="str">
            <v>9830180|96986050|371622933|65383765</v>
          </cell>
          <cell r="AR6132" t="str">
            <v>GASTO FISICO</v>
          </cell>
        </row>
        <row r="6133">
          <cell r="AQ6133" t="str">
            <v>9830180|96986050|371622933|65383765</v>
          </cell>
          <cell r="AR6133" t="str">
            <v>GASTO FISICO</v>
          </cell>
        </row>
        <row r="6134">
          <cell r="AQ6134" t="str">
            <v>9830180|96986050|371622933|65383765</v>
          </cell>
          <cell r="AR6134" t="str">
            <v>GASTO FISICO</v>
          </cell>
        </row>
        <row r="6135">
          <cell r="AQ6135" t="str">
            <v>9830180|96986050|371622934|371622934</v>
          </cell>
          <cell r="AR6135" t="str">
            <v>IMED SALUD</v>
          </cell>
        </row>
        <row r="6136">
          <cell r="AQ6136" t="str">
            <v>9830180|96986050|371622934|371622934</v>
          </cell>
          <cell r="AR6136" t="str">
            <v>IMED SALUD</v>
          </cell>
        </row>
        <row r="6137">
          <cell r="AQ6137" t="str">
            <v>9830180|96986050|371622934|65383766</v>
          </cell>
          <cell r="AR6137" t="str">
            <v>GASTO FISICO</v>
          </cell>
        </row>
        <row r="6138">
          <cell r="AQ6138" t="str">
            <v>9859164|96942400|765223815|765223815</v>
          </cell>
          <cell r="AR6138" t="str">
            <v>IMED SALUD</v>
          </cell>
        </row>
        <row r="6139">
          <cell r="AQ6139" t="str">
            <v>9859164|96942400|765223815|765223815</v>
          </cell>
          <cell r="AR6139" t="str">
            <v>IMED SALUD</v>
          </cell>
        </row>
        <row r="6140">
          <cell r="AQ6140" t="str">
            <v>9859164|96942400|765223815|765223815</v>
          </cell>
          <cell r="AR6140" t="str">
            <v>IMED SALUD</v>
          </cell>
        </row>
        <row r="6141">
          <cell r="AQ6141" t="str">
            <v>9859164|96942400|765223815|765223815</v>
          </cell>
          <cell r="AR6141" t="str">
            <v>IMED SALUD</v>
          </cell>
        </row>
        <row r="6142">
          <cell r="AQ6142" t="str">
            <v>9859164|96942400|765223815|65383767</v>
          </cell>
          <cell r="AR6142" t="str">
            <v>GASTO FISICO</v>
          </cell>
        </row>
        <row r="6143">
          <cell r="AQ6143" t="str">
            <v>9859164|96942400|765223815|65383767</v>
          </cell>
          <cell r="AR6143" t="str">
            <v>GASTO FISICO</v>
          </cell>
        </row>
        <row r="6144">
          <cell r="AQ6144" t="str">
            <v>9859164|96942400|765293001|765293001</v>
          </cell>
          <cell r="AR6144" t="str">
            <v>IMED SALUD</v>
          </cell>
        </row>
        <row r="6145">
          <cell r="AQ6145" t="str">
            <v>9859164|96942400|765293001|765293001</v>
          </cell>
          <cell r="AR6145" t="str">
            <v>IMED SALUD</v>
          </cell>
        </row>
        <row r="6146">
          <cell r="AQ6146" t="str">
            <v>9859164|96942400|765293001|765293001</v>
          </cell>
          <cell r="AR6146" t="str">
            <v>IMED SALUD</v>
          </cell>
        </row>
        <row r="6147">
          <cell r="AQ6147" t="str">
            <v>9859164|96942400|765293001|765293001</v>
          </cell>
          <cell r="AR6147" t="str">
            <v>IMED SALUD</v>
          </cell>
        </row>
        <row r="6148">
          <cell r="AQ6148" t="str">
            <v>9859164|96942400|765293001|65383768</v>
          </cell>
          <cell r="AR6148" t="str">
            <v>GASTO FISICO</v>
          </cell>
        </row>
        <row r="6149">
          <cell r="AQ6149" t="str">
            <v>9859164|96942400|765293001|65383768</v>
          </cell>
          <cell r="AR6149" t="str">
            <v>GASTO FISICO</v>
          </cell>
        </row>
        <row r="6150">
          <cell r="AQ6150" t="str">
            <v>9905386|77200240|372438326|372438326</v>
          </cell>
          <cell r="AR6150" t="str">
            <v>IMED SALUD</v>
          </cell>
        </row>
        <row r="6151">
          <cell r="AQ6151" t="str">
            <v>9905386|77200240|372438326|372438326</v>
          </cell>
          <cell r="AR6151" t="str">
            <v>IMED SALUD</v>
          </cell>
        </row>
        <row r="6152">
          <cell r="AQ6152" t="str">
            <v>9905386|77200240|372438326|372438326</v>
          </cell>
          <cell r="AR6152" t="str">
            <v>IMED SALUD</v>
          </cell>
        </row>
        <row r="6153">
          <cell r="AQ6153" t="str">
            <v>9905386|77200240|372438326|372438326</v>
          </cell>
          <cell r="AR6153" t="str">
            <v>IMED SALUD</v>
          </cell>
        </row>
        <row r="6154">
          <cell r="AQ6154" t="str">
            <v>9905386|77200240|372438326|65383769</v>
          </cell>
          <cell r="AR6154" t="str">
            <v>GASTO FISICO</v>
          </cell>
        </row>
        <row r="6155">
          <cell r="AQ6155" t="str">
            <v>9905386|77200240|372438326|65383769</v>
          </cell>
          <cell r="AR6155" t="str">
            <v>GASTO FISICO</v>
          </cell>
        </row>
        <row r="6156">
          <cell r="AQ6156" t="str">
            <v>9905386|77200240|372442165|372442165</v>
          </cell>
          <cell r="AR6156" t="str">
            <v>IMED SALUD</v>
          </cell>
        </row>
        <row r="6157">
          <cell r="AQ6157" t="str">
            <v>9905386|77200240|372442165|372442165</v>
          </cell>
          <cell r="AR6157" t="str">
            <v>IMED SALUD</v>
          </cell>
        </row>
        <row r="6158">
          <cell r="AQ6158" t="str">
            <v>9905386|77200240|372442165|65383770</v>
          </cell>
          <cell r="AR6158" t="str">
            <v>GASTO FISICO</v>
          </cell>
        </row>
        <row r="6159">
          <cell r="AQ6159" t="str">
            <v>9905386|90753000|372444005|372444005</v>
          </cell>
          <cell r="AR6159" t="str">
            <v>IMED SALUD</v>
          </cell>
        </row>
        <row r="6160">
          <cell r="AQ6160" t="str">
            <v>9905386|90753000|372444005|372444005</v>
          </cell>
          <cell r="AR6160" t="str">
            <v>IMED SALUD</v>
          </cell>
        </row>
        <row r="6161">
          <cell r="AQ6161" t="str">
            <v>9905386|90753000|372444005|372444005</v>
          </cell>
          <cell r="AR6161" t="str">
            <v>IMED SALUD</v>
          </cell>
        </row>
        <row r="6162">
          <cell r="AQ6162" t="str">
            <v>9905386|90753000|372444005|372444005</v>
          </cell>
          <cell r="AR6162" t="str">
            <v>IMED SALUD</v>
          </cell>
        </row>
        <row r="6163">
          <cell r="AQ6163" t="str">
            <v>9905386|90753000|372444005|372444005</v>
          </cell>
          <cell r="AR6163" t="str">
            <v>IMED SALUD</v>
          </cell>
        </row>
        <row r="6164">
          <cell r="AQ6164" t="str">
            <v>9905386|90753000|372444005|372444005</v>
          </cell>
          <cell r="AR6164" t="str">
            <v>IMED SALUD</v>
          </cell>
        </row>
        <row r="6165">
          <cell r="AQ6165" t="str">
            <v>9905386|90753000|372444005|372444005</v>
          </cell>
          <cell r="AR6165" t="str">
            <v>IMED SALUD</v>
          </cell>
        </row>
        <row r="6166">
          <cell r="AQ6166" t="str">
            <v>9905386|90753000|372444005|372444005</v>
          </cell>
          <cell r="AR6166" t="str">
            <v>IMED SALUD</v>
          </cell>
        </row>
        <row r="6167">
          <cell r="AQ6167" t="str">
            <v>9905386|90753000|372444005|372444005</v>
          </cell>
          <cell r="AR6167" t="str">
            <v>IMED SALUD</v>
          </cell>
        </row>
        <row r="6168">
          <cell r="AQ6168" t="str">
            <v>9905386|90753000|372444005|372444005</v>
          </cell>
          <cell r="AR6168" t="str">
            <v>IMED SALUD</v>
          </cell>
        </row>
        <row r="6169">
          <cell r="AQ6169" t="str">
            <v>9905386|90753000|372444005|65383771</v>
          </cell>
          <cell r="AR6169" t="str">
            <v>GASTO FISICO</v>
          </cell>
        </row>
        <row r="6170">
          <cell r="AQ6170" t="str">
            <v>9905386|90753000|372444005|65383771</v>
          </cell>
          <cell r="AR6170" t="str">
            <v>GASTO FISICO</v>
          </cell>
        </row>
        <row r="6171">
          <cell r="AQ6171" t="str">
            <v>9905386|90753000|372444005|65383771</v>
          </cell>
          <cell r="AR6171" t="str">
            <v>GASTO FISICO</v>
          </cell>
        </row>
        <row r="6172">
          <cell r="AQ6172" t="str">
            <v>9905386|90753000|372444005|65383771</v>
          </cell>
          <cell r="AR6172" t="str">
            <v>GASTO FISICO</v>
          </cell>
        </row>
        <row r="6173">
          <cell r="AQ6173" t="str">
            <v>9905386|90753000|372444005|65383771</v>
          </cell>
          <cell r="AR6173" t="str">
            <v>GASTO FISICO</v>
          </cell>
        </row>
        <row r="6174">
          <cell r="AQ6174" t="str">
            <v>9905386|90753000|372444006|372444006</v>
          </cell>
          <cell r="AR6174" t="str">
            <v>IMED SALUD</v>
          </cell>
        </row>
        <row r="6175">
          <cell r="AQ6175" t="str">
            <v>9905386|90753000|372444006|372444006</v>
          </cell>
          <cell r="AR6175" t="str">
            <v>IMED SALUD</v>
          </cell>
        </row>
        <row r="6176">
          <cell r="AQ6176" t="str">
            <v>9905386|90753000|372444006|372444006</v>
          </cell>
          <cell r="AR6176" t="str">
            <v>IMED SALUD</v>
          </cell>
        </row>
        <row r="6177">
          <cell r="AQ6177" t="str">
            <v>9905386|90753000|372444006|372444006</v>
          </cell>
          <cell r="AR6177" t="str">
            <v>IMED SALUD</v>
          </cell>
        </row>
        <row r="6178">
          <cell r="AQ6178" t="str">
            <v>9905386|90753000|372444006|372444006</v>
          </cell>
          <cell r="AR6178" t="str">
            <v>IMED SALUD</v>
          </cell>
        </row>
        <row r="6179">
          <cell r="AQ6179" t="str">
            <v>9905386|90753000|372444006|372444006</v>
          </cell>
          <cell r="AR6179" t="str">
            <v>IMED SALUD</v>
          </cell>
        </row>
        <row r="6180">
          <cell r="AQ6180" t="str">
            <v>9905386|90753000|372444006|372444006</v>
          </cell>
          <cell r="AR6180" t="str">
            <v>IMED SALUD</v>
          </cell>
        </row>
        <row r="6181">
          <cell r="AQ6181" t="str">
            <v>9905386|90753000|372444006|372444006</v>
          </cell>
          <cell r="AR6181" t="str">
            <v>IMED SALUD</v>
          </cell>
        </row>
        <row r="6182">
          <cell r="AQ6182" t="str">
            <v>9905386|90753000|372444006|65383772</v>
          </cell>
          <cell r="AR6182" t="str">
            <v>GASTO FISICO</v>
          </cell>
        </row>
        <row r="6183">
          <cell r="AQ6183" t="str">
            <v>9905386|90753000|372444006|65383772</v>
          </cell>
          <cell r="AR6183" t="str">
            <v>GASTO FISICO</v>
          </cell>
        </row>
        <row r="6184">
          <cell r="AQ6184" t="str">
            <v>9905386|90753000|372444006|65383772</v>
          </cell>
          <cell r="AR6184" t="str">
            <v>GASTO FISICO</v>
          </cell>
        </row>
        <row r="6185">
          <cell r="AQ6185" t="str">
            <v>9942550|76018992|929666897|929666897</v>
          </cell>
          <cell r="AR6185" t="str">
            <v>IMED SALUD</v>
          </cell>
        </row>
        <row r="6186">
          <cell r="AQ6186" t="str">
            <v>9942550|76018992|929666897|929666897</v>
          </cell>
          <cell r="AR6186" t="str">
            <v>IMED SALUD</v>
          </cell>
        </row>
        <row r="6187">
          <cell r="AQ6187" t="str">
            <v>9942550|76018992|929666897|65383774</v>
          </cell>
          <cell r="AR6187" t="str">
            <v>GASTO FISICO</v>
          </cell>
        </row>
        <row r="6188">
          <cell r="AQ6188" t="str">
            <v>9942550|76018992|929666898|929666898</v>
          </cell>
          <cell r="AR6188" t="str">
            <v>IMED SALUD</v>
          </cell>
        </row>
        <row r="6189">
          <cell r="AQ6189" t="str">
            <v>9942550|76018992|929666898|929666898</v>
          </cell>
          <cell r="AR6189" t="str">
            <v>IMED SALUD</v>
          </cell>
        </row>
        <row r="6190">
          <cell r="AQ6190" t="str">
            <v>9942550|76018992|929666898|929666898</v>
          </cell>
          <cell r="AR6190" t="str">
            <v>IMED SALUD</v>
          </cell>
        </row>
        <row r="6191">
          <cell r="AQ6191" t="str">
            <v>9942550|76018992|929666898|929666898</v>
          </cell>
          <cell r="AR6191" t="str">
            <v>IMED SALUD</v>
          </cell>
        </row>
        <row r="6192">
          <cell r="AQ6192" t="str">
            <v>9942550|76018992|929666898|929666898</v>
          </cell>
          <cell r="AR6192" t="str">
            <v>IMED SALUD</v>
          </cell>
        </row>
        <row r="6193">
          <cell r="AQ6193" t="str">
            <v>9942550|76018992|929666898|929666898</v>
          </cell>
          <cell r="AR6193" t="str">
            <v>IMED SALUD</v>
          </cell>
        </row>
        <row r="6194">
          <cell r="AQ6194" t="str">
            <v>9942550|76018992|929666898|929666898</v>
          </cell>
          <cell r="AR6194" t="str">
            <v>IMED SALUD</v>
          </cell>
        </row>
        <row r="6195">
          <cell r="AQ6195" t="str">
            <v>9942550|76018992|929666898|929666898</v>
          </cell>
          <cell r="AR6195" t="str">
            <v>IMED SALUD</v>
          </cell>
        </row>
        <row r="6196">
          <cell r="AQ6196" t="str">
            <v>9942550|76018992|929666898|929666898</v>
          </cell>
          <cell r="AR6196" t="str">
            <v>IMED SALUD</v>
          </cell>
        </row>
        <row r="6197">
          <cell r="AQ6197" t="str">
            <v>9942550|76018992|929666898|929666898</v>
          </cell>
          <cell r="AR6197" t="str">
            <v>IMED SALUD</v>
          </cell>
        </row>
        <row r="6198">
          <cell r="AQ6198" t="str">
            <v>9942550|76018992|929666898|65383775</v>
          </cell>
          <cell r="AR6198" t="str">
            <v>GASTO FISICO</v>
          </cell>
        </row>
        <row r="6199">
          <cell r="AQ6199" t="str">
            <v>9942550|76018992|929666898|65383775</v>
          </cell>
          <cell r="AR6199" t="str">
            <v>GASTO FISICO</v>
          </cell>
        </row>
        <row r="6200">
          <cell r="AQ6200" t="str">
            <v>9942550|76018992|929666898|65383775</v>
          </cell>
          <cell r="AR6200" t="str">
            <v>GASTO FISICO</v>
          </cell>
        </row>
        <row r="6201">
          <cell r="AQ6201" t="str">
            <v>9942550|76018992|929666898|65383775</v>
          </cell>
          <cell r="AR6201" t="str">
            <v>GASTO FISICO</v>
          </cell>
        </row>
        <row r="6202">
          <cell r="AQ6202" t="str">
            <v>9942550|76018992|929666898|65383775</v>
          </cell>
          <cell r="AR6202" t="str">
            <v>GASTO FISICO</v>
          </cell>
        </row>
        <row r="6203">
          <cell r="AQ6203" t="str">
            <v>9942550|76098454|929934218|929934218</v>
          </cell>
          <cell r="AR6203" t="str">
            <v>IMED SALUD</v>
          </cell>
        </row>
        <row r="6204">
          <cell r="AQ6204" t="str">
            <v>9942550|76098454|929934218|929934218</v>
          </cell>
          <cell r="AR6204" t="str">
            <v>IMED SALUD</v>
          </cell>
        </row>
        <row r="6205">
          <cell r="AQ6205" t="str">
            <v>9942550|76098454|929934218|65383776</v>
          </cell>
          <cell r="AR6205" t="str">
            <v>GASTO FISICO</v>
          </cell>
        </row>
        <row r="6206">
          <cell r="AQ6206" t="str">
            <v>9942550|76098454|929934802|929934802</v>
          </cell>
          <cell r="AR6206" t="str">
            <v>IMED SALUD</v>
          </cell>
        </row>
        <row r="6207">
          <cell r="AQ6207" t="str">
            <v>9942550|76098454|929934802|929934802</v>
          </cell>
          <cell r="AR6207" t="str">
            <v>IMED SALUD</v>
          </cell>
        </row>
        <row r="6208">
          <cell r="AQ6208" t="str">
            <v>9942550|76098454|929934802|65383777</v>
          </cell>
          <cell r="AR6208" t="str">
            <v>GASTO FISICO</v>
          </cell>
        </row>
        <row r="6209">
          <cell r="AQ6209" t="str">
            <v>9969370|99573490|371229679|371229679</v>
          </cell>
          <cell r="AR6209" t="str">
            <v>IMED SALUD</v>
          </cell>
        </row>
        <row r="6210">
          <cell r="AQ6210" t="str">
            <v>9969370|99573490|371229679|371229679</v>
          </cell>
          <cell r="AR6210" t="str">
            <v>IMED SALUD</v>
          </cell>
        </row>
        <row r="6211">
          <cell r="AQ6211" t="str">
            <v>9969370|99573490|371229679|371229679</v>
          </cell>
          <cell r="AR6211" t="str">
            <v>IMED SALUD</v>
          </cell>
        </row>
        <row r="6212">
          <cell r="AQ6212" t="str">
            <v>9969370|99573490|371229679|371229679</v>
          </cell>
          <cell r="AR6212" t="str">
            <v>IMED SALUD</v>
          </cell>
        </row>
        <row r="6213">
          <cell r="AQ6213" t="str">
            <v>9969370|99573490|371229679|371229679</v>
          </cell>
          <cell r="AR6213" t="str">
            <v>IMED SALUD</v>
          </cell>
        </row>
        <row r="6214">
          <cell r="AQ6214" t="str">
            <v>9969370|99573490|371229679|371229679</v>
          </cell>
          <cell r="AR6214" t="str">
            <v>IMED SALUD</v>
          </cell>
        </row>
        <row r="6215">
          <cell r="AQ6215" t="str">
            <v>9969370|99573490|371229679|65383784</v>
          </cell>
          <cell r="AR6215" t="str">
            <v>GASTO FISICO</v>
          </cell>
        </row>
        <row r="6216">
          <cell r="AQ6216" t="str">
            <v>9969370|99573490|371229679|65383784</v>
          </cell>
          <cell r="AR6216" t="str">
            <v>GASTO FISICO</v>
          </cell>
        </row>
        <row r="6217">
          <cell r="AQ6217" t="str">
            <v>9969370|99573490|371229679|65383784</v>
          </cell>
          <cell r="AR6217" t="str">
            <v>GASTO FISICO</v>
          </cell>
        </row>
        <row r="6218">
          <cell r="AQ6218" t="str">
            <v>9969370|78317440|371655387|371655387</v>
          </cell>
          <cell r="AR6218" t="str">
            <v>IMED SALUD</v>
          </cell>
        </row>
        <row r="6219">
          <cell r="AQ6219" t="str">
            <v>9969370|78317440|371655387|371655387</v>
          </cell>
          <cell r="AR6219" t="str">
            <v>IMED SALUD</v>
          </cell>
        </row>
        <row r="6220">
          <cell r="AQ6220" t="str">
            <v>9969370|78317440|371655387|65383785</v>
          </cell>
          <cell r="AR6220" t="str">
            <v>GASTO FISICO</v>
          </cell>
        </row>
        <row r="6221">
          <cell r="AQ6221" t="str">
            <v>9999030|76031071|658150560|22136085</v>
          </cell>
          <cell r="AR6221" t="str">
            <v>GASTO FISICO</v>
          </cell>
        </row>
        <row r="6222">
          <cell r="AQ6222" t="str">
            <v>9999030|76031071|658150560|22136085</v>
          </cell>
          <cell r="AR6222" t="str">
            <v>GASTO FISICO</v>
          </cell>
        </row>
        <row r="6223">
          <cell r="AQ6223" t="str">
            <v>9999030|76031071|658150560|22136085</v>
          </cell>
          <cell r="AR6223" t="str">
            <v>GASTO FISICO</v>
          </cell>
        </row>
        <row r="6224">
          <cell r="AQ6224" t="str">
            <v>9999030|76031071|658150560|1039478</v>
          </cell>
          <cell r="AR6224" t="str">
            <v>GASTO FISICO</v>
          </cell>
        </row>
        <row r="6225">
          <cell r="AQ6225" t="str">
            <v>9999030|76031071|658150560|1039478</v>
          </cell>
          <cell r="AR6225" t="str">
            <v>GASTO FISICO</v>
          </cell>
        </row>
        <row r="6226">
          <cell r="AQ6226" t="str">
            <v>9999030|76031071|658150560|1039478</v>
          </cell>
          <cell r="AR6226" t="str">
            <v>GASTO FISICO</v>
          </cell>
        </row>
        <row r="6227">
          <cell r="AQ6227" t="str">
            <v>9999030|76031071|658150560|66380399</v>
          </cell>
          <cell r="AR6227" t="str">
            <v>GASTO FISICO</v>
          </cell>
        </row>
        <row r="6228">
          <cell r="AQ6228" t="str">
            <v>9999030|76031071|658150560|66380399</v>
          </cell>
          <cell r="AR6228" t="str">
            <v>GASTO FISICO</v>
          </cell>
        </row>
        <row r="6229">
          <cell r="AQ6229" t="str">
            <v>9999030|76031071|658150560|66380399</v>
          </cell>
          <cell r="AR6229" t="str">
            <v>GASTO FISICO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milo Salazar" refreshedDate="45912.60844664352" createdVersion="8" refreshedVersion="8" minRefreshableVersion="3" recordCount="1547" xr:uid="{618D871C-73A9-214E-B707-8315C675AC4C}">
  <cacheSource type="worksheet">
    <worksheetSource ref="A1:AQ1548" sheet="Sheet1"/>
  </cacheSource>
  <cacheFields count="43">
    <cacheField name="fecha" numFmtId="0">
      <sharedItems/>
    </cacheField>
    <cacheField name="Rut Asegurado" numFmtId="0">
      <sharedItems containsSemiMixedTypes="0" containsString="0" containsNumber="1" containsInteger="1" minValue="5666964" maxValue="26464544" count="254">
        <n v="18111371"/>
        <n v="16695748"/>
        <n v="17729073"/>
        <n v="15276164"/>
        <n v="13297684"/>
        <n v="20107537"/>
        <n v="19235091"/>
        <n v="25988041"/>
        <n v="15348500"/>
        <n v="17703525"/>
        <n v="12009863"/>
        <n v="17562258"/>
        <n v="10285711"/>
        <n v="13266639"/>
        <n v="15400638"/>
        <n v="12956502"/>
        <n v="18022530"/>
        <n v="17408534"/>
        <n v="11653820"/>
        <n v="8249085"/>
        <n v="15756857"/>
        <n v="14012986"/>
        <n v="14118544"/>
        <n v="11478198"/>
        <n v="12407583"/>
        <n v="8995724"/>
        <n v="13999930"/>
        <n v="18307619"/>
        <n v="10438932"/>
        <n v="16427949"/>
        <n v="8090641"/>
        <n v="8665623"/>
        <n v="26246811"/>
        <n v="15503930"/>
        <n v="14502516"/>
        <n v="15506883"/>
        <n v="19609316"/>
        <n v="9636764"/>
        <n v="11641940"/>
        <n v="17457276"/>
        <n v="10979169"/>
        <n v="11762547"/>
        <n v="16681059"/>
        <n v="11946769"/>
        <n v="13024964"/>
        <n v="19747908"/>
        <n v="13828290"/>
        <n v="13983202"/>
        <n v="11898667"/>
        <n v="10125251"/>
        <n v="13963498"/>
        <n v="13687859"/>
        <n v="12666564"/>
        <n v="11297522"/>
        <n v="19069393"/>
        <n v="16771325"/>
        <n v="10151614"/>
        <n v="13939234"/>
        <n v="12480709"/>
        <n v="15961242"/>
        <n v="6347523"/>
        <n v="11594083"/>
        <n v="8573655"/>
        <n v="13031474"/>
        <n v="14011130"/>
        <n v="15106738"/>
        <n v="7813243"/>
        <n v="7895144"/>
        <n v="21442073"/>
        <n v="13228306"/>
        <n v="8376812"/>
        <n v="15344033"/>
        <n v="13666280"/>
        <n v="12838615"/>
        <n v="8378249"/>
        <n v="12488563"/>
        <n v="15375295"/>
        <n v="7233912"/>
        <n v="12722154"/>
        <n v="14036485"/>
        <n v="11867573"/>
        <n v="17764749"/>
        <n v="9583535"/>
        <n v="9209607"/>
        <n v="15933075"/>
        <n v="19204324"/>
        <n v="12097117"/>
        <n v="15510748"/>
        <n v="17816435"/>
        <n v="12240014"/>
        <n v="8179361"/>
        <n v="11663256"/>
        <n v="14551107"/>
        <n v="11551746"/>
        <n v="11128784"/>
        <n v="8592614"/>
        <n v="15537243"/>
        <n v="9830180"/>
        <n v="13937747"/>
        <n v="8576939"/>
        <n v="8536609"/>
        <n v="7693346"/>
        <n v="13830966"/>
        <n v="9347751"/>
        <n v="10056123"/>
        <n v="13830329"/>
        <n v="7849980"/>
        <n v="14720057"/>
        <n v="17024209"/>
        <n v="9811159"/>
        <n v="13930390"/>
        <n v="7624195"/>
        <n v="9905386"/>
        <n v="6193637"/>
        <n v="18730398"/>
        <n v="8956787"/>
        <n v="13470864"/>
        <n v="17780739"/>
        <n v="9999030"/>
        <n v="15889855"/>
        <n v="17833560"/>
        <n v="9401001"/>
        <n v="15178550"/>
        <n v="15622250"/>
        <n v="12952727"/>
        <n v="12892012"/>
        <n v="9643668"/>
        <n v="26190532"/>
        <n v="9859164"/>
        <n v="11883982"/>
        <n v="6699584"/>
        <n v="10225415"/>
        <n v="12289972"/>
        <n v="8850540"/>
        <n v="14324544"/>
        <n v="13281122"/>
        <n v="11739910"/>
        <n v="5666964"/>
        <n v="9484485"/>
        <n v="11166332"/>
        <n v="19745778"/>
        <n v="16807810"/>
        <n v="7443214"/>
        <n v="9571406"/>
        <n v="10458253"/>
        <n v="11854294"/>
        <n v="6871191"/>
        <n v="14166339"/>
        <n v="9486641"/>
        <n v="12409984"/>
        <n v="14733348"/>
        <n v="18768930"/>
        <n v="17335923"/>
        <n v="14119217"/>
        <n v="15543105"/>
        <n v="17884354"/>
        <n v="8330037"/>
        <n v="10179673"/>
        <n v="15583792"/>
        <n v="15549922"/>
        <n v="9304885"/>
        <n v="17585933"/>
        <n v="13071799"/>
        <n v="10690510"/>
        <n v="10242781"/>
        <n v="19517789"/>
        <n v="14157190"/>
        <n v="8577904"/>
        <n v="16143311"/>
        <n v="9183962"/>
        <n v="15297793"/>
        <n v="10295620"/>
        <n v="13937515"/>
        <n v="16380701"/>
        <n v="15552230"/>
        <n v="11841687"/>
        <n v="26464544"/>
        <n v="13245307"/>
        <n v="12026051"/>
        <n v="9004627"/>
        <n v="11635877"/>
        <n v="8586053"/>
        <n v="12462191"/>
        <n v="10402393"/>
        <n v="7230416"/>
        <n v="10586495"/>
        <n v="18438475"/>
        <n v="11507708"/>
        <n v="10792213"/>
        <n v="17897672"/>
        <n v="16566260"/>
        <n v="9120124"/>
        <n v="13240926"/>
        <n v="15154446"/>
        <n v="11513719"/>
        <n v="18196635"/>
        <n v="10131449"/>
        <n v="10490905"/>
        <n v="13924168"/>
        <n v="15308884"/>
        <n v="16143227"/>
        <n v="13831839"/>
        <n v="8622610"/>
        <n v="11227555"/>
        <n v="25682071"/>
        <n v="11161648"/>
        <n v="17186397"/>
        <n v="10240460"/>
        <n v="18545062"/>
        <n v="9382290"/>
        <n v="13931711"/>
        <n v="16116767"/>
        <n v="10687543"/>
        <n v="18706804"/>
        <n v="14364605"/>
        <n v="14591267"/>
        <n v="11385748"/>
        <n v="11266109"/>
        <n v="11394861"/>
        <n v="8656744"/>
        <n v="15733515"/>
        <n v="7820720"/>
        <n v="10315539"/>
        <n v="9942550"/>
        <n v="14266557"/>
        <n v="10553575"/>
        <n v="10014102"/>
        <n v="6315763"/>
        <n v="16933109"/>
        <n v="9258274"/>
        <n v="13686106"/>
        <n v="14259765"/>
        <n v="10564729"/>
        <n v="7510562"/>
        <n v="7154522"/>
        <n v="18783812"/>
        <n v="17656664"/>
        <n v="15321086"/>
        <n v="12287508"/>
        <n v="16966495"/>
        <n v="14458519"/>
        <n v="12752688"/>
        <n v="12259330"/>
        <n v="9153222"/>
        <n v="10201208"/>
        <n v="15787825"/>
        <n v="8112419"/>
        <n v="11398255"/>
        <n v="9424037"/>
        <n v="17753710"/>
        <n v="11492055"/>
        <n v="12875970"/>
        <n v="15315135"/>
        <n v="9177419"/>
      </sharedItems>
    </cacheField>
    <cacheField name="Nombre Asegurado" numFmtId="0">
      <sharedItems/>
    </cacheField>
    <cacheField name="Rut Beneficiario" numFmtId="0">
      <sharedItems containsSemiMixedTypes="0" containsString="0" containsNumber="1" containsInteger="1" minValue="5666964" maxValue="28560684"/>
    </cacheField>
    <cacheField name="Nombre Beneficiario" numFmtId="0">
      <sharedItems/>
    </cacheField>
    <cacheField name="Periodo" numFmtId="17">
      <sharedItems containsSemiMixedTypes="0" containsNonDate="0" containsDate="1" containsString="0" minDate="2025-01-01T00:00:00" maxDate="2025-07-02T00:00:00"/>
    </cacheField>
    <cacheField name="ESTADO HISTORIA" numFmtId="17">
      <sharedItems/>
    </cacheField>
    <cacheField name="Historial Nro. Docto" numFmtId="1">
      <sharedItems containsSemiMixedTypes="0" containsString="0" containsNumber="1" containsInteger="1" minValue="8" maxValue="1585062482"/>
    </cacheField>
    <cacheField name="N° Sol. Ext. ESTA ES LA QUE TIENEN LOS ASEGURADOS" numFmtId="0">
      <sharedItems containsSemiMixedTypes="0" containsString="0" containsNumber="1" containsInteger="1" minValue="970932" maxValue="930213899"/>
    </cacheField>
    <cacheField name="Facturado" numFmtId="164">
      <sharedItems containsSemiMixedTypes="0" containsString="0" containsNumber="1" containsInteger="1" minValue="383" maxValue="748183"/>
    </cacheField>
    <cacheField name="Bon-Isapre" numFmtId="164">
      <sharedItems containsSemiMixedTypes="0" containsString="0" containsNumber="1" containsInteger="1" minValue="0" maxValue="585922"/>
    </cacheField>
    <cacheField name="Reclamado" numFmtId="164">
      <sharedItems containsSemiMixedTypes="0" containsString="0" containsNumber="1" containsInteger="1" minValue="230" maxValue="210129"/>
    </cacheField>
    <cacheField name="Deducible" numFmtId="164">
      <sharedItems containsSemiMixedTypes="0" containsString="0" containsNumber="1" containsInteger="1" minValue="0" maxValue="0"/>
    </cacheField>
    <cacheField name="Pago" numFmtId="164">
      <sharedItems containsSemiMixedTypes="0" containsString="0" containsNumber="1" containsInteger="1" minValue="230" maxValue="210129"/>
    </cacheField>
    <cacheField name="Nro Documento" numFmtId="1">
      <sharedItems containsSemiMixedTypes="0" containsString="0" containsNumber="1" containsInteger="1" minValue="8" maxValue="1585062482"/>
    </cacheField>
    <cacheField name="Póliza" numFmtId="0">
      <sharedItems containsSemiMixedTypes="0" containsString="0" containsNumber="1" containsInteger="1" minValue="285123" maxValue="285123"/>
    </cacheField>
    <cacheField name="Empresa" numFmtId="0">
      <sharedItems/>
    </cacheField>
    <cacheField name="Fecha Ingreso" numFmtId="14">
      <sharedItems containsSemiMixedTypes="0" containsNonDate="0" containsDate="1" containsString="0" minDate="2025-01-03T00:00:00" maxDate="2025-07-04T00:00:00"/>
    </cacheField>
    <cacheField name="Fecha Liquid" numFmtId="14">
      <sharedItems containsSemiMixedTypes="0" containsNonDate="0" containsDate="1" containsString="0" minDate="2025-01-03T00:00:00" maxDate="2025-07-12T00:00:00"/>
    </cacheField>
    <cacheField name="Fecha Evento" numFmtId="14">
      <sharedItems containsSemiMixedTypes="0" containsNonDate="0" containsDate="1" containsString="0" minDate="2025-01-03T00:00:00" maxDate="2025-06-05T00:00:00"/>
    </cacheField>
    <cacheField name="Fecha Prestacion" numFmtId="14">
      <sharedItems containsSemiMixedTypes="0" containsNonDate="0" containsDate="1" containsString="0" minDate="2025-01-03T00:00:00" maxDate="2025-06-05T00:00:00"/>
    </cacheField>
    <cacheField name="Tipo Gasto" numFmtId="0">
      <sharedItems containsBlank="1"/>
    </cacheField>
    <cacheField name="N° Liq" numFmtId="0">
      <sharedItems containsMixedTypes="1" containsNumber="1" containsInteger="1" minValue="22462205" maxValue="23307919"/>
    </cacheField>
    <cacheField name="N° Nom. Ext." numFmtId="0">
      <sharedItems containsMixedTypes="1" containsNumber="1" containsInteger="1" minValue="1061637" maxValue="7241739"/>
    </cacheField>
    <cacheField name="N° Sin. Ext." numFmtId="0">
      <sharedItems containsMixedTypes="1" containsNumber="1" containsInteger="1" minValue="68611505" maxValue="70359767"/>
    </cacheField>
    <cacheField name="Liquidador" numFmtId="0">
      <sharedItems/>
    </cacheField>
    <cacheField name=" N° Cheque" numFmtId="0">
      <sharedItems containsMixedTypes="1" containsNumber="1" containsInteger="1" minValue="0" maxValue="4330100043313"/>
    </cacheField>
    <cacheField name="Ficha" numFmtId="0">
      <sharedItems containsMixedTypes="1" containsNumber="1" containsInteger="1" minValue="77298" maxValue="79359"/>
    </cacheField>
    <cacheField name="Cobertura" numFmtId="0">
      <sharedItems/>
    </cacheField>
    <cacheField name="Cód-Prestac" numFmtId="0">
      <sharedItems/>
    </cacheField>
    <cacheField name="Descrip-Prestación" numFmtId="0">
      <sharedItems/>
    </cacheField>
    <cacheField name="Prestación Contrato" numFmtId="0">
      <sharedItems/>
    </cacheField>
    <cacheField name="PRESTACIÓN" numFmtId="0">
      <sharedItems/>
    </cacheField>
    <cacheField name="Convenio             " numFmtId="0">
      <sharedItems containsMixedTypes="1" containsNumber="1" containsInteger="1" minValue="0" maxValue="0"/>
    </cacheField>
    <cacheField name="NºRemesa" numFmtId="0">
      <sharedItems containsMixedTypes="1" containsNumber="1" containsInteger="1" minValue="0" maxValue="0"/>
    </cacheField>
    <cacheField name="RutPrestador" numFmtId="0">
      <sharedItems containsSemiMixedTypes="0" containsString="0" containsNumber="1" containsInteger="1" minValue="6779929" maxValue="99583690"/>
    </cacheField>
    <cacheField name="DvPrestador" numFmtId="0">
      <sharedItems containsMixedTypes="1" containsNumber="1" containsInteger="1" minValue="0" maxValue="9"/>
    </cacheField>
    <cacheField name="Isapre" numFmtId="0">
      <sharedItems/>
    </cacheField>
    <cacheField name="MAIL" numFmtId="0">
      <sharedItems/>
    </cacheField>
    <cacheField name="rut|rutprestador|nrodoc|nrosolic" numFmtId="14">
      <sharedItems/>
    </cacheField>
    <cacheField name="Convenio2" numFmtId="0">
      <sharedItems/>
    </cacheField>
    <cacheField name="Igualdad" numFmtId="0">
      <sharedItems/>
    </cacheField>
    <cacheField name="MODALIDAD REEMBOL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7">
  <r>
    <s v="12 DE SEPTIEMBRE DE 2025"/>
    <x v="0"/>
    <s v="VASQUEZ FLORES CRISTIAN"/>
    <n v="18111371"/>
    <s v="VASQUEZ FLORES CRISTIAN"/>
    <d v="2025-06-01T00:00:00"/>
    <s v="INICIAL"/>
    <n v="8"/>
    <n v="1040652"/>
    <n v="120000"/>
    <n v="0"/>
    <n v="120000"/>
    <n v="0"/>
    <n v="90000"/>
    <n v="8"/>
    <n v="285123"/>
    <s v="CORP DE BIENESTAR DEL PERSONAL DE A F P"/>
    <d v="2025-06-25T00:00:00"/>
    <d v="2025-06-25T16:05:33"/>
    <d v="2025-06-04T00:00:00"/>
    <d v="2025-06-04T00:00:00"/>
    <m/>
    <s v="-"/>
    <s v="-"/>
    <s v="-"/>
    <s v="TRASSA"/>
    <s v="-"/>
    <s v="-"/>
    <s v="SAL"/>
    <s v="AM10"/>
    <s v="KINESITERAPIA "/>
    <s v="KINESITERAPIA "/>
    <s v="KINESITERAPIA "/>
    <s v="GASTO FISICO"/>
    <s v="SCL20256959558"/>
    <n v="18776367"/>
    <s v="-"/>
    <s v="-"/>
    <s v="CRISTIAN.VASQUEZ@AFPHABITAT.CL"/>
    <s v="18111371|18776367|8|1040652"/>
    <s v="GASTO FISICO"/>
    <b v="1"/>
    <s v="DEPOSITADO EN CUENTA"/>
  </r>
  <r>
    <s v="12 DE SEPTIEMBRE DE 2025"/>
    <x v="0"/>
    <s v="CRISTIAN VASQUEZ FLORES"/>
    <n v="18111371"/>
    <s v="CRISTIAN VASQUEZ FLORES"/>
    <d v="2025-07-01T00:00:00"/>
    <s v="DUPLICADO"/>
    <n v="8"/>
    <n v="66381068"/>
    <n v="90000"/>
    <n v="0"/>
    <n v="90000"/>
    <n v="0"/>
    <n v="90000"/>
    <n v="8"/>
    <n v="285123"/>
    <s v="CORP DE BIENESTAR DEL PERSONAL DE A F P"/>
    <d v="2025-07-01T00:00:00"/>
    <d v="2025-07-01T00:00:00"/>
    <d v="2025-06-04T00:00:00"/>
    <d v="2025-06-04T00:00:00"/>
    <s v="AMBULATORIOS"/>
    <n v="23307198"/>
    <n v="7241739"/>
    <n v="70359767"/>
    <s v="TRASSA"/>
    <n v="98173340"/>
    <n v="79359"/>
    <s v="SAL"/>
    <s v="AM06"/>
    <s v="PROCEDIMIENTOS DE DIAGNOSTICO"/>
    <s v="PROCEDIMIENTO DE DIAGNOSTICO"/>
    <s v="PROCEDIMIENTO DE DIAGNOSTICO"/>
    <n v="0"/>
    <n v="0"/>
    <n v="18776367"/>
    <n v="3"/>
    <s v="SIN ISAPRE"/>
    <s v="CRISTIAN.VASQUEZ@AFPHABITAT.CL"/>
    <s v="18111371|18776367|8|66381068"/>
    <s v="GASTO FISICO"/>
    <b v="0"/>
    <s v="DEPOSITADO EN CUENTA"/>
  </r>
  <r>
    <s v="12 DE SEPTIEMBRE DE 2025"/>
    <x v="1"/>
    <s v="VILLAGRAN MUÑOZ NICOLAS"/>
    <n v="16695748"/>
    <s v="VILLAGRAN MUÑOZ NICOLAS"/>
    <d v="2025-06-01T00:00:00"/>
    <s v="INICIAL"/>
    <n v="29"/>
    <n v="1031761"/>
    <n v="128660"/>
    <n v="110871"/>
    <n v="17789"/>
    <n v="0"/>
    <n v="17789"/>
    <n v="29"/>
    <n v="285123"/>
    <s v="CORP DE BIENESTAR DEL PERSONAL DE A F P"/>
    <d v="2025-06-05T00:00:00"/>
    <d v="2025-06-11T14:54:21"/>
    <d v="2025-05-20T00:00:00"/>
    <d v="2025-05-20T00:00:00"/>
    <m/>
    <s v="-"/>
    <s v="-"/>
    <s v="-"/>
    <s v="TRASSA"/>
    <s v="-"/>
    <s v="-"/>
    <s v="SAL"/>
    <s v="SM02"/>
    <s v="CONSULTA PSICOLOGICA"/>
    <s v="CONSULTA PSICOLOGICA"/>
    <s v="CONSULTA PSICOLOGICA"/>
    <s v="GASTO FISICO"/>
    <s v="AMBUL20256923950"/>
    <n v="18356483"/>
    <s v="-"/>
    <s v="-"/>
    <s v="NVILLAGR@AFPHABITAT.CL"/>
    <s v="16695748|18356483|29|1031761"/>
    <s v="GASTO FISICO"/>
    <b v="1"/>
    <s v="DEPOSITADO EN CUENTA"/>
  </r>
  <r>
    <s v="12 DE SEPTIEMBRE DE 2025"/>
    <x v="1"/>
    <s v="NICOLAS VILLAGRAN MUÑOZ"/>
    <n v="16695748"/>
    <s v="NICOLAS VILLAGRAN MUÑOZ"/>
    <d v="2025-07-01T00:00:00"/>
    <s v="DUPLICADO"/>
    <n v="29"/>
    <n v="66381065"/>
    <n v="17789"/>
    <n v="0"/>
    <n v="17789"/>
    <n v="0"/>
    <n v="17789"/>
    <n v="29"/>
    <n v="285123"/>
    <s v="CORP DE BIENESTAR DEL PERSONAL DE A F P"/>
    <d v="2025-07-01T00:00:00"/>
    <d v="2025-07-01T00:00:00"/>
    <d v="2025-05-27T00:00:00"/>
    <d v="2025-05-27T00:00:00"/>
    <s v="AMBULATORIOS"/>
    <n v="23307176"/>
    <n v="7241739"/>
    <n v="70359765"/>
    <s v="TRASSA"/>
    <n v="76659184"/>
    <n v="79359"/>
    <s v="SAL"/>
    <s v="AM06"/>
    <s v="PROCEDIMIENTOS DE DIAGNOSTICO"/>
    <s v="PROCEDIMIENTO DE DIAGNOSTICO"/>
    <s v="PROCEDIMIENTO DE DIAGNOSTICO"/>
    <n v="0"/>
    <n v="0"/>
    <n v="18356483"/>
    <n v="8"/>
    <s v="SIN ISAPRE"/>
    <s v="NVILLAGR@AFPHABITAT.CL"/>
    <s v="16695748|18356483|29|66381065"/>
    <s v="GASTO FISICO"/>
    <b v="0"/>
    <s v="DEPOSITADO EN CUENTA"/>
  </r>
  <r>
    <s v="12 DE SEPTIEMBRE DE 2025"/>
    <x v="2"/>
    <s v="DANIELA ANDREA MENDEZ CASTILLO"/>
    <n v="27141392"/>
    <s v="OLIVER CORTES MENDEZ"/>
    <d v="2025-02-01T00:00:00"/>
    <s v="INICIAL"/>
    <n v="64"/>
    <n v="986663"/>
    <n v="35000"/>
    <n v="10500"/>
    <n v="24500"/>
    <n v="0"/>
    <n v="24500"/>
    <n v="64"/>
    <n v="285123"/>
    <s v="CORP DE BIENESTAR DEL PERSONAL DE A F P"/>
    <d v="2025-02-19T00:00:00"/>
    <d v="2025-02-28T00:00:00"/>
    <d v="2025-01-08T00:00:00"/>
    <d v="2025-01-08T00:00:00"/>
    <s v="SALUD MENTAL"/>
    <n v="22640372"/>
    <n v="3031016"/>
    <n v="68930285"/>
    <s v="TRASSA"/>
    <n v="4012349701"/>
    <n v="77739"/>
    <s v="SAL"/>
    <s v="SM02"/>
    <s v="CONSULTA O SESIONES PSICOLOGICAS"/>
    <s v="CONSULTA PSICOLOGICA"/>
    <s v="CONSULTA PSICOLOGICA"/>
    <n v="0"/>
    <n v="0"/>
    <n v="78076064"/>
    <n v="8"/>
    <s v="FONASA"/>
    <s v="DANIELA.MENDEZ@AFPHABITAT.CL"/>
    <s v="17729073|78076064|64|986663"/>
    <s v="GASTO FISICO"/>
    <b v="0"/>
    <s v="DEPOSITADO EN CUENTA"/>
  </r>
  <r>
    <s v="12 DE SEPTIEMBRE DE 2025"/>
    <x v="2"/>
    <s v="DANIELA ANDREA MENDEZ CASTILLO"/>
    <n v="27141392"/>
    <s v="OLIVER CORTES MENDEZ"/>
    <d v="2025-03-01T00:00:00"/>
    <s v="DUPLICADO"/>
    <n v="64"/>
    <n v="65213260"/>
    <n v="34961"/>
    <n v="0"/>
    <n v="34961"/>
    <n v="0"/>
    <n v="34961"/>
    <n v="64"/>
    <n v="285123"/>
    <s v="CORP DE BIENESTAR DEL PERSONAL DE A F P"/>
    <d v="2025-03-01T00:00:00"/>
    <d v="2025-03-17T00:00:00"/>
    <d v="2025-01-08T00:00:00"/>
    <d v="2025-01-08T00:00:00"/>
    <s v="SALUD MENTAL"/>
    <n v="22753583"/>
    <n v="3251558"/>
    <n v="69156633"/>
    <s v="TRASSA"/>
    <n v="4012349701"/>
    <n v="78017"/>
    <s v="SAL"/>
    <s v="SM02"/>
    <s v="CONSULTA O SESIONES PSICOLOGICAS"/>
    <s v="CONSULTA PSICOLOGICA"/>
    <s v="CONSULTA PSICOLOGICA"/>
    <n v="0"/>
    <n v="0"/>
    <n v="78076064"/>
    <n v="8"/>
    <s v="SIN ISAPRE"/>
    <s v="DANIELA.MENDEZ@AFPHABITAT.CL"/>
    <s v="17729073|78076064|64|65213260"/>
    <s v="GASTO FISICO"/>
    <b v="0"/>
    <s v="DEPOSITADO EN CUENTA"/>
  </r>
  <r>
    <s v="12 DE SEPTIEMBRE DE 2025"/>
    <x v="3"/>
    <s v="ISABEL MARGARITA LARRAIN LARRAIN"/>
    <n v="27575983"/>
    <s v="GUSTAVO SALGADO LARRAIN"/>
    <d v="2025-02-01T00:00:00"/>
    <s v="INICIAL"/>
    <n v="98"/>
    <n v="986476"/>
    <n v="25000"/>
    <n v="6250"/>
    <n v="18750"/>
    <n v="0"/>
    <n v="18750"/>
    <n v="98"/>
    <n v="285123"/>
    <s v="CORP DE BIENESTAR DEL PERSONAL DE A F P"/>
    <d v="2025-02-19T00:00:00"/>
    <d v="2025-02-19T00:00:00"/>
    <d v="2025-02-10T00:00:00"/>
    <d v="2025-02-10T00:00:00"/>
    <s v="AMBULATORIOS"/>
    <n v="22616409"/>
    <n v="2251257"/>
    <n v="68923091"/>
    <s v="TRASSA"/>
    <n v="45919038"/>
    <n v="77692"/>
    <s v="SAL"/>
    <s v="AM07"/>
    <s v="PROCEDIMIENTOS TERAPEUTICOS"/>
    <s v="PROCEDIMIENTOS TERAPEUTICOS"/>
    <s v="PROCEDIMIENTOS TERAPEUTICOS"/>
    <n v="0"/>
    <n v="0"/>
    <n v="15591056"/>
    <n v="9"/>
    <s v="FONASA"/>
    <s v="ISABEL.LARRAIN@AFPHABITAT.CL"/>
    <s v="15276164|15591056|98|986476"/>
    <s v="GASTO FISICO"/>
    <b v="0"/>
    <s v="DEPOSITADO EN CUENTA"/>
  </r>
  <r>
    <s v="12 DE SEPTIEMBRE DE 2025"/>
    <x v="3"/>
    <s v="ISABEL MARGARITA LARRAIN LARRAIN"/>
    <n v="27575983"/>
    <s v="GUSTAVO SALGADO LARRAIN"/>
    <d v="2025-04-01T00:00:00"/>
    <s v="DUPLICADO"/>
    <n v="98"/>
    <n v="65423813"/>
    <n v="24945"/>
    <n v="0"/>
    <n v="24945"/>
    <n v="0"/>
    <n v="24945"/>
    <n v="98"/>
    <n v="285123"/>
    <s v="CORP DE BIENESTAR DEL PERSONAL DE A F P"/>
    <d v="2025-04-01T00:00:00"/>
    <d v="2025-04-01T00:00:00"/>
    <d v="2025-02-10T00:00:00"/>
    <d v="2025-02-10T00:00:00"/>
    <s v="AMBULATORIOS"/>
    <n v="22805951"/>
    <n v="4071325"/>
    <n v="69335980"/>
    <s v="TRASSA"/>
    <n v="45919038"/>
    <n v="78193"/>
    <s v="SAL"/>
    <s v="AM06"/>
    <s v="PROCEDIMIENTOS DE DIAGNOSTICO"/>
    <s v="PROCEDIMIENTO DE DIAGNOSTICO"/>
    <s v="PROCEDIMIENTO DE DIAGNOSTICO"/>
    <n v="0"/>
    <n v="0"/>
    <n v="15591056"/>
    <n v="9"/>
    <s v="SIN ISAPRE"/>
    <s v="ISABEL.LARRAIN@AFPHABITAT.CL"/>
    <s v="15276164|15591056|98|65423813"/>
    <s v="GASTO FISICO"/>
    <b v="0"/>
    <s v="DEPOSITADO EN CUENTA"/>
  </r>
  <r>
    <s v="12 DE SEPTIEMBRE DE 2025"/>
    <x v="4"/>
    <s v="ANA ABARCA MEDINA"/>
    <n v="21402957"/>
    <s v="RODRIGO SILVA ABARCA"/>
    <d v="2025-02-01T00:00:00"/>
    <s v="INICIAL"/>
    <n v="109"/>
    <n v="986504"/>
    <n v="25000"/>
    <n v="22000"/>
    <n v="3000"/>
    <n v="0"/>
    <n v="3000"/>
    <n v="109"/>
    <n v="285123"/>
    <s v="CORP DE BIENESTAR DEL PERSONAL DE A F P"/>
    <d v="2025-02-19T00:00:00"/>
    <d v="2025-02-20T00:00:00"/>
    <d v="2025-01-09T00:00:00"/>
    <d v="2025-01-09T00:00:00"/>
    <s v="SALUD MENTAL"/>
    <n v="22616407"/>
    <n v="2251257"/>
    <n v="68923100"/>
    <s v="TRASSA"/>
    <n v="1420170364"/>
    <n v="77692"/>
    <s v="SAL"/>
    <s v="SM02"/>
    <s v="CONSULTA O SESIONES PSICOLOGICAS"/>
    <s v="CONSULTA PSICOLOGICA"/>
    <s v="CONSULTA PSICOLOGICA"/>
    <n v="0"/>
    <n v="0"/>
    <n v="19892445"/>
    <n v="8"/>
    <s v="COLMENA GOLDEN CROSS"/>
    <s v="ANA.ABARCA@AFPHABITAT.CL"/>
    <s v="13297684|19892445|109|986504"/>
    <s v="GASTO FISICO"/>
    <b v="0"/>
    <s v="DEPOSITADO EN CUENTA"/>
  </r>
  <r>
    <s v="12 DE SEPTIEMBRE DE 2025"/>
    <x v="4"/>
    <s v="ANA ABARCA MEDINA"/>
    <n v="21402957"/>
    <s v="RODRIGO SILVA ABARCA"/>
    <d v="2025-02-01T00:00:00"/>
    <s v="INICIAL"/>
    <n v="109"/>
    <n v="986504"/>
    <n v="25000"/>
    <n v="19303"/>
    <n v="5697"/>
    <n v="0"/>
    <n v="5697"/>
    <n v="109"/>
    <n v="285123"/>
    <s v="CORP DE BIENESTAR DEL PERSONAL DE A F P"/>
    <d v="2025-02-19T00:00:00"/>
    <d v="2025-02-20T00:00:00"/>
    <d v="2025-01-09T00:00:00"/>
    <d v="2025-01-15T00:00:00"/>
    <s v="SALUD MENTAL"/>
    <n v="22616407"/>
    <n v="2251257"/>
    <n v="68923100"/>
    <s v="TRASSA"/>
    <n v="1420170364"/>
    <n v="77692"/>
    <s v="SAL"/>
    <s v="SM02"/>
    <s v="CONSULTA O SESIONES PSICOLOGICAS"/>
    <s v="CONSULTA PSICOLOGICA"/>
    <s v="CONSULTA PSICOLOGICA"/>
    <n v="0"/>
    <n v="0"/>
    <n v="19892445"/>
    <n v="8"/>
    <s v="COLMENA GOLDEN CROSS"/>
    <s v="ANA.ABARCA@AFPHABITAT.CL"/>
    <s v="13297684|19892445|109|986504"/>
    <s v="GASTO FISICO"/>
    <b v="0"/>
    <s v="DEPOSITADO EN CUENTA"/>
  </r>
  <r>
    <s v="12 DE SEPTIEMBRE DE 2025"/>
    <x v="4"/>
    <s v="ANA ABARCA MEDINA"/>
    <n v="21402957"/>
    <s v="RODRIGO SILVA ABARCA"/>
    <d v="2025-03-01T00:00:00"/>
    <s v="DUPLICADO"/>
    <n v="109"/>
    <n v="65213095"/>
    <n v="21875"/>
    <n v="0"/>
    <n v="21875"/>
    <n v="0"/>
    <n v="21875"/>
    <n v="109"/>
    <n v="285123"/>
    <s v="CORP DE BIENESTAR DEL PERSONAL DE A F P"/>
    <d v="2025-03-01T00:00:00"/>
    <d v="2025-03-17T00:00:00"/>
    <d v="2025-01-09T00:00:00"/>
    <d v="2025-01-09T00:00:00"/>
    <s v="SALUD MENTAL"/>
    <n v="22753738"/>
    <n v="3251558"/>
    <n v="69156491"/>
    <s v="TRASSA"/>
    <n v="1420170364"/>
    <n v="78017"/>
    <s v="SAL"/>
    <s v="SM02"/>
    <s v="CONSULTA O SESIONES PSICOLOGICAS"/>
    <s v="CONSULTA PSICOLOGICA"/>
    <s v="CONSULTA PSICOLOGICA"/>
    <n v="0"/>
    <n v="0"/>
    <n v="19892445"/>
    <n v="8"/>
    <s v="SIN ISAPRE"/>
    <s v="ANA.ABARCA@AFPHABITAT.CL"/>
    <s v="13297684|19892445|109|65213095"/>
    <s v="GASTO FISICO"/>
    <b v="0"/>
    <s v="DEPOSITADO EN CUENTA"/>
  </r>
  <r>
    <s v="12 DE SEPTIEMBRE DE 2025"/>
    <x v="5"/>
    <s v="CAMILA MOYA SANHUEZA"/>
    <n v="20107537"/>
    <s v="CAMILA MOYA SANHUEZA"/>
    <d v="2025-02-01T00:00:00"/>
    <s v="INICIAL"/>
    <n v="665"/>
    <n v="983141"/>
    <n v="70000"/>
    <n v="6143"/>
    <n v="63857"/>
    <n v="0"/>
    <n v="63857"/>
    <n v="665"/>
    <n v="285123"/>
    <s v="CORP DE BIENESTAR DEL PERSONAL DE A F P"/>
    <d v="2025-02-10T00:00:00"/>
    <d v="2025-02-19T00:00:00"/>
    <d v="2025-01-07T00:00:00"/>
    <d v="2025-01-07T00:00:00"/>
    <s v="SALUD MENTAL"/>
    <n v="22616330"/>
    <n v="2251257"/>
    <n v="68921710"/>
    <s v="TRASSA"/>
    <n v="20107537"/>
    <n v="77692"/>
    <s v="SAL"/>
    <s v="SM01"/>
    <s v="CONSULTA O SESIONES PSIQUIATRICAS"/>
    <s v="CONSULTA PSIQUIATRICA"/>
    <s v="CONSULTA PSIQUIATRICA"/>
    <n v="0"/>
    <n v="0"/>
    <n v="77964384"/>
    <n v="0"/>
    <s v="FONASA"/>
    <s v="CAMILA.MOYA@AFPHABITAT.CL"/>
    <s v="20107537|77964384|665|983141"/>
    <s v="GASTO FISICO"/>
    <b v="0"/>
    <s v="DEPOSITADO EN CUENTA"/>
  </r>
  <r>
    <s v="12 DE SEPTIEMBRE DE 2025"/>
    <x v="5"/>
    <s v="CAMILA MOYA SANHUEZA"/>
    <n v="20107537"/>
    <s v="CAMILA MOYA SANHUEZA"/>
    <d v="2025-03-01T00:00:00"/>
    <s v="DUPLICADO"/>
    <n v="665"/>
    <n v="65213305"/>
    <n v="63747"/>
    <n v="0"/>
    <n v="63747"/>
    <n v="0"/>
    <n v="63747"/>
    <n v="665"/>
    <n v="285123"/>
    <s v="CORP DE BIENESTAR DEL PERSONAL DE A F P"/>
    <d v="2025-03-01T00:00:00"/>
    <d v="2025-03-17T00:00:00"/>
    <d v="2025-01-07T00:00:00"/>
    <d v="2025-01-07T00:00:00"/>
    <s v="SALUD MENTAL"/>
    <n v="22753639"/>
    <n v="3251558"/>
    <n v="69156672"/>
    <s v="TRASSA"/>
    <n v="20107537"/>
    <n v="78017"/>
    <s v="SAL"/>
    <s v="SM01"/>
    <s v="CONSULTA O SESIONES PSIQUIATRICAS"/>
    <s v="CONSULTA PSIQUIATRICA"/>
    <s v="CONSULTA PSIQUIATRICA"/>
    <n v="0"/>
    <n v="0"/>
    <n v="77964384"/>
    <n v="0"/>
    <s v="SIN ISAPRE"/>
    <s v="CAMILA.MOYA@AFPHABITAT.CL"/>
    <s v="20107537|77964384|665|65213305"/>
    <s v="GASTO FISICO"/>
    <b v="0"/>
    <s v="DEPOSITADO EN CUENTA"/>
  </r>
  <r>
    <s v="12 DE SEPTIEMBRE DE 2025"/>
    <x v="6"/>
    <s v="RODRIGO ALEXIS MARTINEZ RODRIGUEZ"/>
    <n v="19235091"/>
    <s v="RODRIGO ALEXIS MARTINEZ RODRIGUEZ"/>
    <d v="2025-03-01T00:00:00"/>
    <s v="INICIAL"/>
    <n v="1094"/>
    <n v="987180"/>
    <n v="350000"/>
    <n v="241782"/>
    <n v="108218"/>
    <n v="0"/>
    <n v="108218"/>
    <n v="1094"/>
    <n v="285123"/>
    <s v="CORP DE BIENESTAR DEL PERSONAL DE A F P"/>
    <d v="2025-03-01T00:00:00"/>
    <d v="2025-02-28T00:00:00"/>
    <d v="2025-01-29T00:00:00"/>
    <d v="2025-01-29T00:00:00"/>
    <s v="AMBULATORIOS"/>
    <n v="22669543"/>
    <n v="3101250"/>
    <n v="68970579"/>
    <s v="TRASSA"/>
    <n v="8011312806"/>
    <n v="77859"/>
    <s v="SAL"/>
    <s v="AM07"/>
    <s v="PROCEDIMIENTOS TERAPEUTICOS"/>
    <s v="PROCEDIMIENTOS TERAPEUTICOS"/>
    <s v="PROCEDIMIENTOS TERAPEUTICOS"/>
    <n v="0"/>
    <n v="0"/>
    <n v="77203222"/>
    <n v="6"/>
    <s v="COLMENA GOLDEN CROSS"/>
    <s v="RODRIGO.MARTINEZ@AFPHABITAT.CL"/>
    <s v="19235091|77203222|1094|987180"/>
    <s v="GASTO FISICO"/>
    <b v="0"/>
    <s v="DEPOSITADO EN CUENTA"/>
  </r>
  <r>
    <s v="12 DE SEPTIEMBRE DE 2025"/>
    <x v="6"/>
    <s v="RODRIGO ALEXIS MARTINEZ RODRIGUEZ"/>
    <n v="19235091"/>
    <s v="RODRIGO ALEXIS MARTINEZ RODRIGUEZ"/>
    <d v="2025-04-01T00:00:00"/>
    <s v="DUPLICADO"/>
    <n v="1094"/>
    <n v="65423840"/>
    <n v="121302"/>
    <n v="0"/>
    <n v="121302"/>
    <n v="0"/>
    <n v="121302"/>
    <n v="1094"/>
    <n v="285123"/>
    <s v="CORP DE BIENESTAR DEL PERSONAL DE A F P"/>
    <d v="2025-04-01T00:00:00"/>
    <d v="2025-04-01T00:00:00"/>
    <d v="2025-01-29T00:00:00"/>
    <d v="2025-01-29T00:00:00"/>
    <s v="AMBULATORIOS"/>
    <n v="22805940"/>
    <n v="4071325"/>
    <n v="69335996"/>
    <s v="TRASSA"/>
    <n v="8011312806"/>
    <n v="78193"/>
    <s v="SAL"/>
    <s v="AM06"/>
    <s v="PROCEDIMIENTOS DE DIAGNOSTICO"/>
    <s v="PROCEDIMIENTO DE DIAGNOSTICO"/>
    <s v="PROCEDIMIENTO DE DIAGNOSTICO"/>
    <n v="0"/>
    <n v="0"/>
    <n v="77203222"/>
    <n v="6"/>
    <s v="SIN ISAPRE"/>
    <s v="RODRIGO.MARTINEZ@AFPHABITAT.CL"/>
    <s v="19235091|77203222|1094|65423840"/>
    <s v="GASTO FISICO"/>
    <b v="0"/>
    <s v="DEPOSITADO EN CUENTA"/>
  </r>
  <r>
    <s v="12 DE SEPTIEMBRE DE 2025"/>
    <x v="7"/>
    <s v="DIANA PILLIGUA PILLIGUA"/>
    <n v="25988041"/>
    <s v="DIANA PILLIGUA PILLIGUA"/>
    <d v="2025-02-01T00:00:00"/>
    <s v="INICIAL"/>
    <n v="1201"/>
    <n v="984117"/>
    <n v="38000"/>
    <n v="26600"/>
    <n v="11400"/>
    <n v="0"/>
    <n v="11400"/>
    <n v="1201"/>
    <n v="285123"/>
    <s v="CORP DE BIENESTAR DEL PERSONAL DE A F P"/>
    <d v="2025-02-12T00:00:00"/>
    <d v="2025-02-20T00:00:00"/>
    <d v="2025-01-08T00:00:00"/>
    <d v="2025-01-08T00:00:00"/>
    <s v="SALUD MENTAL"/>
    <n v="22616360"/>
    <n v="2251257"/>
    <n v="68922218"/>
    <s v="TRASSA"/>
    <n v="982694515"/>
    <n v="77692"/>
    <s v="SAL"/>
    <s v="SM02"/>
    <s v="CONSULTA O SESIONES PSICOLOGICAS"/>
    <s v="CONSULTA PSICOLOGICA"/>
    <s v="CONSULTA PSICOLOGICA"/>
    <n v="0"/>
    <n v="0"/>
    <n v="15783031"/>
    <n v="7"/>
    <s v="BANMÉDICA"/>
    <s v="DPILLIGU@AFPHABITAT.CL"/>
    <s v="25988041|15783031|1201|984117"/>
    <s v="GASTO FISICO"/>
    <b v="0"/>
    <s v="DEPOSITADO EN CUENTA"/>
  </r>
  <r>
    <s v="12 DE SEPTIEMBRE DE 2025"/>
    <x v="7"/>
    <s v="DIANA PILLIGUA PILLIGUA"/>
    <n v="25988041"/>
    <s v="DIANA PILLIGUA PILLIGUA"/>
    <d v="2025-03-01T00:00:00"/>
    <s v="DUPLICADO"/>
    <n v="1201"/>
    <n v="65213313"/>
    <n v="11526"/>
    <n v="0"/>
    <n v="11526"/>
    <n v="0"/>
    <n v="11526"/>
    <n v="1201"/>
    <n v="285123"/>
    <s v="CORP DE BIENESTAR DEL PERSONAL DE A F P"/>
    <d v="2025-03-01T00:00:00"/>
    <d v="2025-03-17T00:00:00"/>
    <d v="2025-01-08T00:00:00"/>
    <d v="2025-01-08T00:00:00"/>
    <s v="SALUD MENTAL"/>
    <n v="22753586"/>
    <n v="3251558"/>
    <n v="69156679"/>
    <s v="TRASSA"/>
    <n v="982694515"/>
    <n v="78017"/>
    <s v="SAL"/>
    <s v="SM02"/>
    <s v="CONSULTA O SESIONES PSICOLOGICAS"/>
    <s v="CONSULTA PSICOLOGICA"/>
    <s v="CONSULTA PSICOLOGICA"/>
    <n v="0"/>
    <n v="0"/>
    <n v="15783031"/>
    <n v="7"/>
    <s v="SIN ISAPRE"/>
    <s v="DPILLIGU@AFPHABITAT.CL"/>
    <s v="25988041|15783031|1201|65213313"/>
    <s v="GASTO FISICO"/>
    <b v="0"/>
    <s v="DEPOSITADO EN CUENTA"/>
  </r>
  <r>
    <s v="12 DE SEPTIEMBRE DE 2025"/>
    <x v="7"/>
    <s v="DIANA PILLIGUA PILLIGUA"/>
    <n v="25988041"/>
    <s v="DIANA PILLIGUA PILLIGUA"/>
    <d v="2025-02-01T00:00:00"/>
    <s v="INICIAL"/>
    <n v="1213"/>
    <n v="984118"/>
    <n v="38000"/>
    <n v="31160"/>
    <n v="6840"/>
    <n v="0"/>
    <n v="6840"/>
    <n v="1213"/>
    <n v="285123"/>
    <s v="CORP DE BIENESTAR DEL PERSONAL DE A F P"/>
    <d v="2025-02-12T00:00:00"/>
    <d v="2025-02-20T00:00:00"/>
    <d v="2025-01-21T00:00:00"/>
    <d v="2025-01-21T00:00:00"/>
    <s v="SALUD MENTAL"/>
    <n v="22616360"/>
    <n v="2251257"/>
    <n v="68922219"/>
    <s v="TRASSA"/>
    <n v="982694515"/>
    <n v="77692"/>
    <s v="SAL"/>
    <s v="SM02"/>
    <s v="CONSULTA O SESIONES PSICOLOGICAS"/>
    <s v="CONSULTA PSICOLOGICA"/>
    <s v="CONSULTA PSICOLOGICA"/>
    <n v="0"/>
    <n v="0"/>
    <n v="15783031"/>
    <n v="7"/>
    <s v="BANMÉDICA"/>
    <s v="DPILLIGU@AFPHABITAT.CL"/>
    <s v="25988041|15783031|1213|984118"/>
    <s v="GASTO FISICO"/>
    <b v="0"/>
    <s v="DEPOSITADO EN CUENTA"/>
  </r>
  <r>
    <s v="12 DE SEPTIEMBRE DE 2025"/>
    <x v="7"/>
    <s v="DIANA PILLIGUA PILLIGUA"/>
    <n v="25988041"/>
    <s v="DIANA PILLIGUA PILLIGUA"/>
    <d v="2025-03-01T00:00:00"/>
    <s v="DUPLICADO"/>
    <n v="1213"/>
    <n v="65213314"/>
    <n v="11522"/>
    <n v="0"/>
    <n v="11522"/>
    <n v="0"/>
    <n v="11522"/>
    <n v="1213"/>
    <n v="285123"/>
    <s v="CORP DE BIENESTAR DEL PERSONAL DE A F P"/>
    <d v="2025-03-01T00:00:00"/>
    <d v="2025-03-17T00:00:00"/>
    <d v="2025-01-21T00:00:00"/>
    <d v="2025-01-21T00:00:00"/>
    <s v="SALUD MENTAL"/>
    <n v="22753631"/>
    <n v="3251558"/>
    <n v="69156680"/>
    <s v="TRASSA"/>
    <n v="982694515"/>
    <n v="78017"/>
    <s v="SAL"/>
    <s v="SM02"/>
    <s v="CONSULTA O SESIONES PSICOLOGICAS"/>
    <s v="CONSULTA PSICOLOGICA"/>
    <s v="CONSULTA PSICOLOGICA"/>
    <n v="0"/>
    <n v="0"/>
    <n v="15783031"/>
    <n v="7"/>
    <s v="SIN ISAPRE"/>
    <s v="DPILLIGU@AFPHABITAT.CL"/>
    <s v="25988041|15783031|1213|65213314"/>
    <s v="GASTO FISICO"/>
    <b v="0"/>
    <s v="DEPOSITADO EN CUENTA"/>
  </r>
  <r>
    <s v="12 DE SEPTIEMBRE DE 2025"/>
    <x v="8"/>
    <s v="BASAEZ REYES CLAUDIA"/>
    <n v="21648533"/>
    <s v="CABELLO BASAEZ MAGDALENA"/>
    <d v="2025-06-01T00:00:00"/>
    <s v="INICIAL"/>
    <n v="1347"/>
    <n v="1036616"/>
    <n v="10000"/>
    <n v="0"/>
    <n v="10000"/>
    <n v="0"/>
    <n v="10000"/>
    <n v="1347"/>
    <n v="285123"/>
    <s v="CORP DE BIENESTAR DEL PERSONAL DE A F P"/>
    <d v="2025-06-16T00:00:00"/>
    <d v="2025-06-19T13:44:37"/>
    <d v="2025-06-03T00:00:00"/>
    <d v="2025-06-03T00:00:00"/>
    <m/>
    <s v="-"/>
    <s v="-"/>
    <s v="-"/>
    <s v="TRASSA"/>
    <s v="-"/>
    <s v="-"/>
    <s v="SAL"/>
    <s v="SM02"/>
    <s v="CONSULTA PSICOLOGICA"/>
    <s v="CONSULTA PSICOLOGICA"/>
    <s v="CONSULTA PSICOLOGICA"/>
    <s v="GASTO FISICO"/>
    <s v="AMBUL20256943570"/>
    <n v="13103870"/>
    <s v="-"/>
    <s v="-"/>
    <s v="CBASAEZ@AFPHABITAT.CL"/>
    <s v="15348500|13103870|1347|1036616"/>
    <s v="GASTO FISICO"/>
    <b v="1"/>
    <s v="DEPOSITADO EN CUENTA"/>
  </r>
  <r>
    <s v="12 DE SEPTIEMBRE DE 2025"/>
    <x v="8"/>
    <s v="CLAUDIA BASAEZ REYES"/>
    <n v="21648533"/>
    <s v="MAGDALENA CABELLO BASAEZ"/>
    <d v="2025-07-01T00:00:00"/>
    <s v="DUPLICADO"/>
    <n v="1347"/>
    <n v="66380936"/>
    <n v="20000"/>
    <n v="0"/>
    <n v="20000"/>
    <n v="0"/>
    <n v="20000"/>
    <n v="1347"/>
    <n v="285123"/>
    <s v="CORP DE BIENESTAR DEL PERSONAL DE A F P"/>
    <d v="2025-07-01T00:00:00"/>
    <d v="2025-07-01T00:00:00"/>
    <d v="2025-06-03T00:00:00"/>
    <d v="2025-06-03T00:00:00"/>
    <s v="AMBULATORIOS"/>
    <n v="23307162"/>
    <n v="7241739"/>
    <n v="70359723"/>
    <s v="TRASSA"/>
    <n v="5400013332"/>
    <n v="79359"/>
    <s v="SAL"/>
    <s v="AM06"/>
    <s v="PROCEDIMIENTOS DE DIAGNOSTICO"/>
    <s v="PROCEDIMIENTO DE DIAGNOSTICO"/>
    <s v="PROCEDIMIENTO DE DIAGNOSTICO"/>
    <n v="0"/>
    <n v="0"/>
    <n v="13103870"/>
    <n v="4"/>
    <s v="SIN ISAPRE"/>
    <s v="CBASAEZ@AFPHABITAT.CL"/>
    <s v="15348500|13103870|1347|66380936"/>
    <s v="GASTO FISICO"/>
    <b v="0"/>
    <s v="DEPOSITADO EN CUENTA"/>
  </r>
  <r>
    <s v="12 DE SEPTIEMBRE DE 2025"/>
    <x v="9"/>
    <s v="CLAUDIO MAXIMILIANO BARRAZA HIDALGO"/>
    <n v="17703525"/>
    <s v="CLAUDIO MAXIMILIANO BARRAZA HIDALGO"/>
    <d v="2025-02-01T00:00:00"/>
    <s v="INICIAL"/>
    <n v="1363"/>
    <n v="983664"/>
    <n v="40000"/>
    <n v="26408"/>
    <n v="13592"/>
    <n v="0"/>
    <n v="13592"/>
    <n v="1363"/>
    <n v="285123"/>
    <s v="CORP DE BIENESTAR DEL PERSONAL DE A F P"/>
    <d v="2025-02-11T00:00:00"/>
    <d v="2025-02-11T00:00:00"/>
    <d v="2025-01-13T00:00:00"/>
    <d v="2025-01-13T00:00:00"/>
    <s v="SALUD MENTAL"/>
    <n v="22590872"/>
    <n v="2171726"/>
    <n v="68884986"/>
    <s v="TRASSA"/>
    <n v="19998479218"/>
    <n v="77628"/>
    <s v="SAL"/>
    <s v="SM02"/>
    <s v="CONSULTA O SESIONES PSICOLOGICAS"/>
    <s v="CONSULTA PSICOLOGICA"/>
    <s v="CONSULTA PSICOLOGICA"/>
    <n v="0"/>
    <n v="0"/>
    <n v="77559874"/>
    <n v="3"/>
    <s v="CRUZ BLANCA"/>
    <s v="CLAUDIO.BARRAZA@AFPHABITAT.CL"/>
    <s v="17703525|77559874|1363|983664"/>
    <s v="GASTO FISICO"/>
    <b v="0"/>
    <s v="DEPOSITADO EN CUENTA"/>
  </r>
  <r>
    <s v="12 DE SEPTIEMBRE DE 2025"/>
    <x v="9"/>
    <s v="CLAUDIO MAXIMILIANO BARRAZA HIDALGO"/>
    <n v="17703525"/>
    <s v="CLAUDIO MAXIMILIANO BARRAZA HIDALGO"/>
    <d v="2025-03-01T00:00:00"/>
    <s v="DUPLICADO"/>
    <n v="1363"/>
    <n v="65213257"/>
    <n v="13812"/>
    <n v="0"/>
    <n v="13812"/>
    <n v="0"/>
    <n v="13812"/>
    <n v="1363"/>
    <n v="285123"/>
    <s v="CORP DE BIENESTAR DEL PERSONAL DE A F P"/>
    <d v="2025-03-01T00:00:00"/>
    <d v="2025-03-17T00:00:00"/>
    <d v="2025-01-13T00:00:00"/>
    <d v="2025-01-13T00:00:00"/>
    <s v="SALUD MENTAL"/>
    <n v="22753721"/>
    <n v="3251558"/>
    <n v="69156632"/>
    <s v="TRASSA"/>
    <n v="19998479218"/>
    <n v="78017"/>
    <s v="SAL"/>
    <s v="SM02"/>
    <s v="CONSULTA O SESIONES PSICOLOGICAS"/>
    <s v="CONSULTA PSICOLOGICA"/>
    <s v="CONSULTA PSICOLOGICA"/>
    <n v="0"/>
    <n v="0"/>
    <n v="77559874"/>
    <n v="3"/>
    <s v="SIN ISAPRE"/>
    <s v="CLAUDIO.BARRAZA@AFPHABITAT.CL"/>
    <s v="17703525|77559874|1363|65213257"/>
    <s v="GASTO FISICO"/>
    <b v="0"/>
    <s v="DEPOSITADO EN CUENTA"/>
  </r>
  <r>
    <s v="12 DE SEPTIEMBRE DE 2025"/>
    <x v="10"/>
    <s v="ADOLFO HANS LANG NAVARRO"/>
    <n v="12096295"/>
    <s v="MARCELA ANGELICA BAEZA GARCES"/>
    <d v="2025-03-01T00:00:00"/>
    <s v="INICIAL"/>
    <n v="2364"/>
    <n v="987215"/>
    <n v="19233"/>
    <n v="4753"/>
    <n v="14480"/>
    <n v="0"/>
    <n v="14480"/>
    <n v="2364"/>
    <n v="285123"/>
    <s v="CORP DE BIENESTAR DEL PERSONAL DE A F P"/>
    <d v="2025-03-01T00:00:00"/>
    <d v="2025-03-04T00:00:00"/>
    <d v="2025-01-17T00:00:00"/>
    <d v="2025-01-17T00:00:00"/>
    <s v="AMBULATORIOS"/>
    <n v="22669538"/>
    <n v="3101250"/>
    <n v="68970586"/>
    <s v="TRASSA"/>
    <n v="27500073611"/>
    <n v="77859"/>
    <s v="SAL"/>
    <s v="AM06"/>
    <s v="PROCEDIMIENTOS DE DIAGNOSTICO"/>
    <s v="PROCEDIMIENTO DE DIAGNOSTICO"/>
    <s v="PROCEDIMIENTO DE DIAGNOSTICO"/>
    <n v="0"/>
    <n v="0"/>
    <n v="76660480"/>
    <n v="3"/>
    <s v="CONSALUD"/>
    <s v="ADOLFO.LANG@AFPHABITAT.CL"/>
    <s v="12009863|76660480|2364|987215"/>
    <s v="GASTO FISICO"/>
    <b v="0"/>
    <s v="DEPOSITADO EN CUENTA"/>
  </r>
  <r>
    <s v="12 DE SEPTIEMBRE DE 2025"/>
    <x v="10"/>
    <s v="ADOLFO HANS LANG NAVARRO"/>
    <n v="12096295"/>
    <s v="MARCELA ANGELICA BAEZA GARCES"/>
    <d v="2025-03-01T00:00:00"/>
    <s v="DUPLICADO"/>
    <n v="2364"/>
    <n v="65213058"/>
    <n v="14596"/>
    <n v="0"/>
    <n v="14596"/>
    <n v="0"/>
    <n v="14596"/>
    <n v="2364"/>
    <n v="285123"/>
    <s v="CORP DE BIENESTAR DEL PERSONAL DE A F P"/>
    <d v="2025-03-01T00:00:00"/>
    <d v="2025-03-17T00:00:00"/>
    <d v="2025-01-17T00:00:00"/>
    <d v="2025-01-17T00:00:00"/>
    <s v="AMBULATORIOS"/>
    <n v="22753598"/>
    <n v="3251558"/>
    <n v="69156457"/>
    <s v="TRASSA"/>
    <n v="27500073611"/>
    <n v="78017"/>
    <s v="SAL"/>
    <s v="AM06"/>
    <s v="PROCEDIMIENTOS DE DIAGNOSTICO"/>
    <s v="PROCEDIMIENTO DE DIAGNOSTICO"/>
    <s v="PROCEDIMIENTO DE DIAGNOSTICO"/>
    <n v="0"/>
    <n v="0"/>
    <n v="76660480"/>
    <n v="3"/>
    <s v="SIN ISAPRE"/>
    <s v="ADOLFO.LANG@AFPHABITAT.CL"/>
    <s v="12009863|76660480|2364|65213058"/>
    <s v="GASTO FISICO"/>
    <b v="0"/>
    <s v="DEPOSITADO EN CUENTA"/>
  </r>
  <r>
    <s v="12 DE SEPTIEMBRE DE 2025"/>
    <x v="11"/>
    <s v="RUTH MUÑOZ GUTIERREZ"/>
    <n v="17562258"/>
    <s v="RUTH MUÑOZ GUTIERREZ"/>
    <d v="2025-02-01T00:00:00"/>
    <s v="INICIAL"/>
    <n v="3095"/>
    <n v="985750"/>
    <n v="50000"/>
    <n v="24166"/>
    <n v="25834"/>
    <n v="0"/>
    <n v="25834"/>
    <n v="3095"/>
    <n v="285123"/>
    <s v="CORP DE BIENESTAR DEL PERSONAL DE A F P"/>
    <d v="2025-02-17T00:00:00"/>
    <d v="2025-02-24T00:00:00"/>
    <d v="2025-01-07T00:00:00"/>
    <d v="2025-01-07T00:00:00"/>
    <s v="SALUD MENTAL"/>
    <n v="22640335"/>
    <n v="3031016"/>
    <n v="68929718"/>
    <s v="TRASSA"/>
    <n v="410049078"/>
    <n v="77739"/>
    <s v="SAL"/>
    <s v="SM02"/>
    <s v="CONSULTA O SESIONES PSICOLOGICAS"/>
    <s v="CONSULTA PSICOLOGICA"/>
    <s v="CONSULTA PSICOLOGICA"/>
    <n v="0"/>
    <n v="0"/>
    <n v="6779929"/>
    <n v="1"/>
    <s v="CONSALUD"/>
    <s v="RUTH.MUNOZ@AFPHABITAT.CL"/>
    <s v="17562258|6779929|3095|985750"/>
    <s v="GASTO FISICO"/>
    <b v="0"/>
    <s v="DEPOSITADO EN CUENTA"/>
  </r>
  <r>
    <s v="12 DE SEPTIEMBRE DE 2025"/>
    <x v="11"/>
    <s v="RUTH MUÑOZ GUTIERREZ"/>
    <n v="17562258"/>
    <s v="RUTH MUÑOZ GUTIERREZ"/>
    <d v="2025-03-01T00:00:00"/>
    <s v="DUPLICADO"/>
    <n v="3095"/>
    <n v="65213245"/>
    <n v="43041"/>
    <n v="0"/>
    <n v="43041"/>
    <n v="0"/>
    <n v="43041"/>
    <n v="3095"/>
    <n v="285123"/>
    <s v="CORP DE BIENESTAR DEL PERSONAL DE A F P"/>
    <d v="2025-03-01T00:00:00"/>
    <d v="2025-03-17T00:00:00"/>
    <d v="2025-01-07T00:00:00"/>
    <d v="2025-01-07T00:00:00"/>
    <s v="SALUD MENTAL"/>
    <n v="22753548"/>
    <n v="3251558"/>
    <n v="69156620"/>
    <s v="TRASSA"/>
    <n v="410049078"/>
    <n v="78017"/>
    <s v="SAL"/>
    <s v="SM02"/>
    <s v="CONSULTA O SESIONES PSICOLOGICAS"/>
    <s v="CONSULTA PSICOLOGICA"/>
    <s v="CONSULTA PSICOLOGICA"/>
    <n v="0"/>
    <n v="0"/>
    <n v="6779929"/>
    <n v="1"/>
    <s v="SIN ISAPRE"/>
    <s v="RUTH.MUNOZ@AFPHABITAT.CL"/>
    <s v="17562258|6779929|3095|65213245"/>
    <s v="GASTO FISICO"/>
    <b v="0"/>
    <s v="DEPOSITADO EN CUENTA"/>
  </r>
  <r>
    <s v="12 DE SEPTIEMBRE DE 2025"/>
    <x v="11"/>
    <s v="RUTH MUÑOZ GUTIERREZ"/>
    <n v="17562258"/>
    <s v="RUTH MUÑOZ GUTIERREZ"/>
    <d v="2025-02-01T00:00:00"/>
    <s v="INICIAL"/>
    <n v="3113"/>
    <n v="985758"/>
    <n v="50000"/>
    <n v="32777"/>
    <n v="17223"/>
    <n v="0"/>
    <n v="17223"/>
    <n v="3113"/>
    <n v="285123"/>
    <s v="CORP DE BIENESTAR DEL PERSONAL DE A F P"/>
    <d v="2025-02-17T00:00:00"/>
    <d v="2025-02-24T00:00:00"/>
    <d v="2025-01-20T00:00:00"/>
    <d v="2025-01-20T00:00:00"/>
    <s v="SALUD MENTAL"/>
    <n v="22640335"/>
    <n v="3031016"/>
    <n v="68929721"/>
    <s v="TRASSA"/>
    <n v="410049078"/>
    <n v="77739"/>
    <s v="SAL"/>
    <s v="SM02"/>
    <s v="CONSULTA O SESIONES PSICOLOGICAS"/>
    <s v="CONSULTA PSICOLOGICA"/>
    <s v="CONSULTA PSICOLOGICA"/>
    <n v="0"/>
    <n v="0"/>
    <n v="6779929"/>
    <n v="1"/>
    <s v="CONSALUD"/>
    <s v="RUTH.MUNOZ@AFPHABITAT.CL"/>
    <s v="17562258|6779929|3113|985758"/>
    <s v="GASTO FISICO"/>
    <b v="0"/>
    <s v="DEPOSITADO EN CUENTA"/>
  </r>
  <r>
    <s v="12 DE SEPTIEMBRE DE 2025"/>
    <x v="11"/>
    <s v="RUTH MUÑOZ GUTIERREZ"/>
    <n v="17562258"/>
    <s v="RUTH MUÑOZ GUTIERREZ"/>
    <d v="2025-03-01T00:00:00"/>
    <s v="DUPLICADO"/>
    <n v="3113"/>
    <n v="65213247"/>
    <n v="43394"/>
    <n v="0"/>
    <n v="43394"/>
    <n v="0"/>
    <n v="43394"/>
    <n v="3113"/>
    <n v="285123"/>
    <s v="CORP DE BIENESTAR DEL PERSONAL DE A F P"/>
    <d v="2025-03-01T00:00:00"/>
    <d v="2025-03-17T00:00:00"/>
    <d v="2025-01-20T00:00:00"/>
    <d v="2025-01-20T00:00:00"/>
    <s v="SALUD MENTAL"/>
    <n v="22753638"/>
    <n v="3251558"/>
    <n v="69156622"/>
    <s v="TRASSA"/>
    <n v="410049078"/>
    <n v="78017"/>
    <s v="SAL"/>
    <s v="SM02"/>
    <s v="CONSULTA O SESIONES PSICOLOGICAS"/>
    <s v="CONSULTA PSICOLOGICA"/>
    <s v="CONSULTA PSICOLOGICA"/>
    <n v="0"/>
    <n v="0"/>
    <n v="6779929"/>
    <n v="1"/>
    <s v="SIN ISAPRE"/>
    <s v="RUTH.MUNOZ@AFPHABITAT.CL"/>
    <s v="17562258|6779929|3113|65213247"/>
    <s v="GASTO FISICO"/>
    <b v="0"/>
    <s v="DEPOSITADO EN CUENTA"/>
  </r>
  <r>
    <s v="12 DE SEPTIEMBRE DE 2025"/>
    <x v="11"/>
    <s v="RUTH MUÑOZ GUTIERREZ"/>
    <n v="17562258"/>
    <s v="RUTH MUÑOZ GUTIERREZ"/>
    <d v="2025-02-01T00:00:00"/>
    <s v="INICIAL"/>
    <n v="3123"/>
    <n v="985760"/>
    <n v="50000"/>
    <n v="6943"/>
    <n v="43057"/>
    <n v="0"/>
    <n v="43057"/>
    <n v="3123"/>
    <n v="285123"/>
    <s v="CORP DE BIENESTAR DEL PERSONAL DE A F P"/>
    <d v="2025-02-17T00:00:00"/>
    <d v="2025-02-18T00:00:00"/>
    <d v="2025-02-04T00:00:00"/>
    <d v="2025-02-04T00:00:00"/>
    <s v="SALUD MENTAL"/>
    <n v="22616389"/>
    <n v="2251257"/>
    <n v="68922864"/>
    <s v="TRASSA"/>
    <n v="410049078"/>
    <n v="77692"/>
    <s v="SAL"/>
    <s v="SM02"/>
    <s v="CONSULTA O SESIONES PSICOLOGICAS"/>
    <s v="CONSULTA PSICOLOGICA"/>
    <s v="CONSULTA PSICOLOGICA"/>
    <n v="0"/>
    <n v="0"/>
    <n v="6779929"/>
    <n v="1"/>
    <s v="CONSALUD"/>
    <s v="RUTH.MUNOZ@AFPHABITAT.CL"/>
    <s v="17562258|6779929|3123|985760"/>
    <s v="GASTO FISICO"/>
    <b v="0"/>
    <s v="DEPOSITADO EN CUENTA"/>
  </r>
  <r>
    <s v="12 DE SEPTIEMBRE DE 2025"/>
    <x v="11"/>
    <s v="RUTH MUÑOZ GUTIERREZ"/>
    <n v="17562258"/>
    <s v="RUTH MUÑOZ GUTIERREZ"/>
    <d v="2025-03-01T00:00:00"/>
    <s v="DUPLICADO"/>
    <n v="3123"/>
    <n v="65213248"/>
    <n v="21873"/>
    <n v="0"/>
    <n v="21873"/>
    <n v="0"/>
    <n v="21873"/>
    <n v="3123"/>
    <n v="285123"/>
    <s v="CORP DE BIENESTAR DEL PERSONAL DE A F P"/>
    <d v="2025-03-01T00:00:00"/>
    <d v="2025-03-17T00:00:00"/>
    <d v="2025-02-03T00:00:00"/>
    <d v="2025-02-03T00:00:00"/>
    <s v="SALUD MENTAL"/>
    <n v="22753708"/>
    <n v="3251558"/>
    <n v="69156623"/>
    <s v="TRASSA"/>
    <n v="410049078"/>
    <n v="78017"/>
    <s v="SAL"/>
    <s v="SM02"/>
    <s v="CONSULTA O SESIONES PSICOLOGICAS"/>
    <s v="CONSULTA PSICOLOGICA"/>
    <s v="CONSULTA PSICOLOGICA"/>
    <n v="0"/>
    <n v="0"/>
    <n v="6779929"/>
    <n v="1"/>
    <s v="SIN ISAPRE"/>
    <s v="RUTH.MUNOZ@AFPHABITAT.CL"/>
    <s v="17562258|6779929|3123|65213248"/>
    <s v="GASTO FISICO"/>
    <b v="0"/>
    <s v="DEPOSITADO EN CUENTA"/>
  </r>
  <r>
    <s v="12 DE SEPTIEMBRE DE 2025"/>
    <x v="11"/>
    <s v="RUTH MUÑOZ GUTIERREZ"/>
    <n v="17562258"/>
    <s v="RUTH MUÑOZ GUTIERREZ"/>
    <d v="2025-02-01T00:00:00"/>
    <s v="INICIAL"/>
    <n v="4172"/>
    <n v="978413"/>
    <n v="55000"/>
    <n v="42308"/>
    <n v="12692"/>
    <n v="0"/>
    <n v="12692"/>
    <n v="4172"/>
    <n v="285123"/>
    <s v="CORP DE BIENESTAR DEL PERSONAL DE A F P"/>
    <d v="2025-02-01T00:00:00"/>
    <d v="2025-02-06T00:00:00"/>
    <d v="2025-01-03T00:00:00"/>
    <d v="2025-01-03T00:00:00"/>
    <s v="SALUD MENTAL"/>
    <n v="22562391"/>
    <n v="2111044"/>
    <n v="68847703"/>
    <s v="TRASSA"/>
    <n v="410049078"/>
    <n v="77579"/>
    <s v="SAL"/>
    <s v="SM01"/>
    <s v="CONSULTA O SESIONES PSIQUIATRICAS"/>
    <s v="CONSULTA PSIQUIATRICA"/>
    <s v="CONSULTA PSIQUIATRICA"/>
    <n v="0"/>
    <n v="0"/>
    <n v="77427951"/>
    <n v="2"/>
    <s v="CONSALUD"/>
    <s v="RUTH.MUNOZ@AFPHABITAT.CL"/>
    <s v="17562258|77427951|4172|978413"/>
    <s v="GASTO FISICO"/>
    <b v="0"/>
    <s v="DEPOSITADO EN CUENTA"/>
  </r>
  <r>
    <s v="12 DE SEPTIEMBRE DE 2025"/>
    <x v="11"/>
    <s v="RUTH MUÑOZ GUTIERREZ"/>
    <n v="17562258"/>
    <s v="RUTH MUÑOZ GUTIERREZ"/>
    <d v="2025-03-01T00:00:00"/>
    <s v="DUPLICADO"/>
    <n v="4172"/>
    <n v="65213246"/>
    <n v="12681"/>
    <n v="0"/>
    <n v="12681"/>
    <n v="0"/>
    <n v="12681"/>
    <n v="4172"/>
    <n v="285123"/>
    <s v="CORP DE BIENESTAR DEL PERSONAL DE A F P"/>
    <d v="2025-03-01T00:00:00"/>
    <d v="2025-03-17T00:00:00"/>
    <d v="2025-01-03T00:00:00"/>
    <d v="2025-01-03T00:00:00"/>
    <s v="SALUD MENTAL"/>
    <n v="22753556"/>
    <n v="3251558"/>
    <n v="69156621"/>
    <s v="TRASSA"/>
    <n v="410049078"/>
    <n v="78017"/>
    <s v="SAL"/>
    <s v="SM01"/>
    <s v="CONSULTA O SESIONES PSIQUIATRICAS"/>
    <s v="CONSULTA PSIQUIATRICA"/>
    <s v="CONSULTA PSIQUIATRICA"/>
    <n v="0"/>
    <n v="0"/>
    <n v="77427951"/>
    <n v="2"/>
    <s v="SIN ISAPRE"/>
    <s v="RUTH.MUNOZ@AFPHABITAT.CL"/>
    <s v="17562258|77427951|4172|65213246"/>
    <s v="GASTO FISICO"/>
    <b v="0"/>
    <s v="DEPOSITADO EN CUENTA"/>
  </r>
  <r>
    <s v="12 DE SEPTIEMBRE DE 2025"/>
    <x v="1"/>
    <s v="VILLAGRAN MUÑOZ NICOLAS"/>
    <n v="16695748"/>
    <s v="VILLAGRAN MUÑOZ NICOLAS"/>
    <d v="2025-06-01T00:00:00"/>
    <s v="INICIAL"/>
    <n v="6049"/>
    <n v="1034827"/>
    <n v="42500"/>
    <n v="21250"/>
    <n v="21250"/>
    <n v="0"/>
    <n v="21250"/>
    <n v="6049"/>
    <n v="285123"/>
    <s v="CORP DE BIENESTAR DEL PERSONAL DE A F P"/>
    <d v="2025-06-11T00:00:00"/>
    <d v="2025-06-11T22:44:49"/>
    <d v="2025-05-28T00:00:00"/>
    <d v="2025-05-28T00:00:00"/>
    <m/>
    <s v="-"/>
    <s v="-"/>
    <s v="-"/>
    <s v="TRASSA"/>
    <s v="-"/>
    <s v="-"/>
    <s v="DEN"/>
    <s v="DPR3"/>
    <s v="ORTODONCIA"/>
    <s v="ORTODONCIA"/>
    <s v="DENTAL"/>
    <s v="GASTO FISICO"/>
    <s v="DENTAL20256936265"/>
    <n v="77532798"/>
    <s v="-"/>
    <s v="-"/>
    <s v="NVILLAGR@AFPHABITAT.CL"/>
    <s v="16695748|77532798|6049|1034827"/>
    <s v="GASTO FISICO"/>
    <b v="1"/>
    <s v="DEPOSITADO EN CUENTA"/>
  </r>
  <r>
    <s v="12 DE SEPTIEMBRE DE 2025"/>
    <x v="1"/>
    <s v="NICOLAS VILLAGRAN MUÑOZ"/>
    <n v="16695748"/>
    <s v="NICOLAS VILLAGRAN MUÑOZ"/>
    <d v="2025-07-01T00:00:00"/>
    <s v="DUPLICADO"/>
    <n v="6049"/>
    <n v="66381046"/>
    <n v="21250"/>
    <n v="0"/>
    <n v="21250"/>
    <n v="0"/>
    <n v="21250"/>
    <n v="6049"/>
    <n v="285123"/>
    <s v="CORP DE BIENESTAR DEL PERSONAL DE A F P"/>
    <d v="2025-07-01T00:00:00"/>
    <d v="2025-07-11T00:00:00"/>
    <d v="2025-05-28T00:00:00"/>
    <d v="2025-05-28T00:00:00"/>
    <s v="ORTODONCIA"/>
    <n v="23307919"/>
    <n v="7241739"/>
    <n v="70359758"/>
    <s v="TRASSA"/>
    <n v="76659184"/>
    <n v="79359"/>
    <s v="DEN"/>
    <s v="DPR3"/>
    <s v="ORTODONCIA"/>
    <s v="ORTODONCIA"/>
    <s v="DENTAL"/>
    <n v="0"/>
    <n v="0"/>
    <n v="77532798"/>
    <n v="7"/>
    <s v="SIN ISAPRE"/>
    <s v="NVILLAGR@AFPHABITAT.CL"/>
    <s v="16695748|77532798|6049|66381046"/>
    <s v="GASTO FISICO"/>
    <b v="0"/>
    <s v="DEPOSITADO EN CUENTA"/>
  </r>
  <r>
    <s v="12 DE SEPTIEMBRE DE 2025"/>
    <x v="10"/>
    <s v="ADOLFO HANS LANG NAVARRO"/>
    <n v="20788711"/>
    <s v="ADOLFO LANG BAEZA"/>
    <d v="2025-03-01T00:00:00"/>
    <s v="INICIAL"/>
    <n v="7576"/>
    <n v="994540"/>
    <n v="90000"/>
    <n v="72425"/>
    <n v="17575"/>
    <n v="0"/>
    <n v="17575"/>
    <n v="7576"/>
    <n v="285123"/>
    <s v="CORP DE BIENESTAR DEL PERSONAL DE A F P"/>
    <d v="2025-03-13T00:00:00"/>
    <d v="2025-03-18T00:00:00"/>
    <d v="2025-02-21T00:00:00"/>
    <d v="2025-02-21T00:00:00"/>
    <s v="SALUD MENTAL"/>
    <n v="22755317"/>
    <n v="3251558"/>
    <n v="69155418"/>
    <s v="TRASSA"/>
    <n v="27500073611"/>
    <n v="78017"/>
    <s v="SAL"/>
    <s v="SM02"/>
    <s v="CONSULTA O SESIONES PSICOLOGICAS"/>
    <s v="CONSULTA PSICOLOGICA"/>
    <s v="CONSULTA PSICOLOGICA"/>
    <n v="0"/>
    <n v="0"/>
    <n v="12692603"/>
    <n v="0"/>
    <s v="CONSALUD"/>
    <s v="ADOLFO.LANG@AFPHABITAT.CL"/>
    <s v="12009863|12692603|7576|994540"/>
    <s v="GASTO FISICO"/>
    <b v="0"/>
    <s v="DEPOSITADO EN CUENTA"/>
  </r>
  <r>
    <s v="12 DE SEPTIEMBRE DE 2025"/>
    <x v="10"/>
    <s v="ADOLFO HANS LANG NAVARRO"/>
    <n v="20788711"/>
    <s v="ADOLFO LANG BAEZA"/>
    <d v="2025-03-01T00:00:00"/>
    <s v="DUPLICADO"/>
    <n v="7576"/>
    <n v="65383983"/>
    <n v="43774"/>
    <n v="0"/>
    <n v="43774"/>
    <n v="0"/>
    <n v="43774"/>
    <n v="7576"/>
    <n v="285123"/>
    <s v="CORP DE BIENESTAR DEL PERSONAL DE A F P"/>
    <d v="2025-03-06T00:00:00"/>
    <d v="2025-03-26T00:00:00"/>
    <d v="2025-03-05T00:00:00"/>
    <d v="2025-03-05T00:00:00"/>
    <s v="SALUD MENTAL"/>
    <n v="22772427"/>
    <n v="3311105"/>
    <n v="69250871"/>
    <s v="TRASSA"/>
    <n v="27500073611"/>
    <n v="78070"/>
    <s v="SAL"/>
    <s v="SM02"/>
    <s v="CONSULTA O SESIONES PSICOLOGICAS"/>
    <s v="CONSULTA PSICOLOGICA"/>
    <s v="CONSULTA PSICOLOGICA"/>
    <n v="0"/>
    <n v="0"/>
    <n v="12692603"/>
    <n v="0"/>
    <s v="SIN ISAPRE"/>
    <s v="ADOLFO.LANG@AFPHABITAT.CL"/>
    <s v="12009863|12692603|7576|65383983"/>
    <s v="GASTO FISICO"/>
    <b v="0"/>
    <s v="DEPOSITADO EN CUENTA"/>
  </r>
  <r>
    <s v="12 DE SEPTIEMBRE DE 2025"/>
    <x v="12"/>
    <s v="VIDAL PEREZ DENISSE"/>
    <n v="10285711"/>
    <s v="VIDAL PEREZ DENISSE"/>
    <d v="2025-06-01T00:00:00"/>
    <s v="INICIAL"/>
    <n v="7873"/>
    <n v="1034272"/>
    <n v="48000"/>
    <n v="24000"/>
    <n v="24000"/>
    <n v="0"/>
    <n v="24000"/>
    <n v="7873"/>
    <n v="285123"/>
    <s v="CORP DE BIENESTAR DEL PERSONAL DE A F P"/>
    <d v="2025-06-10T00:00:00"/>
    <d v="2025-06-10T23:19:10"/>
    <d v="2025-05-15T00:00:00"/>
    <d v="2025-05-15T00:00:00"/>
    <m/>
    <s v="-"/>
    <s v="-"/>
    <s v="-"/>
    <s v="TRASSA"/>
    <s v="-"/>
    <s v="-"/>
    <s v="DEN"/>
    <s v="DPR5"/>
    <s v="CIRUGIA BUCAL"/>
    <s v="CIRUGIA BUCAL"/>
    <s v="DENTAL"/>
    <s v="GASTO FISICO"/>
    <s v="DENTAL20256934204"/>
    <n v="76076353"/>
    <s v="-"/>
    <s v="-"/>
    <s v="DENISSE.VIDAL@AFPHABITAT.CL"/>
    <s v="10285711|76076353|7873|1034272"/>
    <s v="GASTO FISICO"/>
    <b v="1"/>
    <s v="DEPOSITADO EN CUENTA"/>
  </r>
  <r>
    <s v="12 DE SEPTIEMBRE DE 2025"/>
    <x v="12"/>
    <s v="DENISSE PAMELA VIDAL PEREZ"/>
    <n v="10285711"/>
    <s v="DENISSE PAMELA VIDAL PEREZ"/>
    <d v="2025-07-01T00:00:00"/>
    <s v="DUPLICADO"/>
    <n v="7873"/>
    <n v="66380978"/>
    <n v="48000"/>
    <n v="0"/>
    <n v="48000"/>
    <n v="0"/>
    <n v="48000"/>
    <n v="7873"/>
    <n v="285123"/>
    <s v="CORP DE BIENESTAR DEL PERSONAL DE A F P"/>
    <d v="2025-07-01T00:00:00"/>
    <d v="2025-07-11T00:00:00"/>
    <d v="2025-05-15T00:00:00"/>
    <d v="2025-05-15T00:00:00"/>
    <s v="PROCEDIMIENTOS"/>
    <n v="23307898"/>
    <n v="7241739"/>
    <n v="70359746"/>
    <s v="TRASSA"/>
    <n v="83599740"/>
    <n v="79359"/>
    <s v="DEN"/>
    <s v="DPR5"/>
    <s v="CIRUGIA BUCAL"/>
    <s v="CIRUGIA BUCAL"/>
    <s v="DENTAL"/>
    <n v="0"/>
    <n v="0"/>
    <n v="76076353"/>
    <n v="5"/>
    <s v="SIN ISAPRE"/>
    <s v="DENISSE.VIDAL@AFPHABITAT.CL"/>
    <s v="10285711|76076353|7873|66380978"/>
    <s v="GASTO FISICO"/>
    <b v="0"/>
    <s v="DEPOSITADO EN CUENTA"/>
  </r>
  <r>
    <s v="12 DE SEPTIEMBRE DE 2025"/>
    <x v="12"/>
    <s v="VIDAL PEREZ DENISSE"/>
    <n v="23752741"/>
    <s v="CAMPOS VIDAL LUCIANO"/>
    <d v="2025-06-01T00:00:00"/>
    <s v="INICIAL"/>
    <n v="8000"/>
    <n v="1034274"/>
    <n v="30000"/>
    <n v="15000"/>
    <n v="15000"/>
    <n v="0"/>
    <n v="15000"/>
    <n v="8000"/>
    <n v="285123"/>
    <s v="CORP DE BIENESTAR DEL PERSONAL DE A F P"/>
    <d v="2025-06-10T00:00:00"/>
    <d v="2025-06-10T23:23:49"/>
    <d v="2025-05-28T00:00:00"/>
    <d v="2025-05-28T00:00:00"/>
    <m/>
    <s v="-"/>
    <s v="-"/>
    <s v="-"/>
    <s v="TRASSA"/>
    <s v="-"/>
    <s v="-"/>
    <s v="DEN"/>
    <s v="DPR9"/>
    <s v="ODONTOPEDIATRIA"/>
    <s v="PROFILAXIS"/>
    <s v="DENTAL"/>
    <s v="GASTO FISICO"/>
    <s v="DENTAL20256934204"/>
    <n v="76076353"/>
    <s v="-"/>
    <s v="-"/>
    <s v="DENISSE.VIDAL@AFPHABITAT.CL"/>
    <s v="10285711|76076353|8000|1034274"/>
    <s v="GASTO FISICO"/>
    <b v="1"/>
    <s v="DEPOSITADO EN CUENTA"/>
  </r>
  <r>
    <s v="12 DE SEPTIEMBRE DE 2025"/>
    <x v="12"/>
    <s v="DENISSE PAMELA VIDAL PEREZ"/>
    <n v="23752741"/>
    <s v="LUCIANO CAMPOS VIDAL"/>
    <d v="2025-07-01T00:00:00"/>
    <s v="DUPLICADO"/>
    <n v="8000"/>
    <n v="66380977"/>
    <n v="30000"/>
    <n v="0"/>
    <n v="30000"/>
    <n v="0"/>
    <n v="30000"/>
    <n v="8000"/>
    <n v="285123"/>
    <s v="CORP DE BIENESTAR DEL PERSONAL DE A F P"/>
    <d v="2025-07-01T00:00:00"/>
    <d v="2025-07-11T00:00:00"/>
    <d v="2025-05-28T00:00:00"/>
    <d v="2025-05-28T00:00:00"/>
    <s v="PROCEDIMIENTOS"/>
    <n v="23307899"/>
    <n v="7241739"/>
    <n v="70359745"/>
    <s v="TRASSA"/>
    <n v="83599740"/>
    <n v="79359"/>
    <s v="DEN"/>
    <s v="DPR9"/>
    <s v="ODONTOPEDIATRIA"/>
    <s v="PROFILAXIS"/>
    <s v="DENTAL"/>
    <n v="0"/>
    <n v="0"/>
    <n v="76076353"/>
    <n v="5"/>
    <s v="SIN ISAPRE"/>
    <s v="DENISSE.VIDAL@AFPHABITAT.CL"/>
    <s v="10285711|76076353|8000|66380977"/>
    <s v="GASTO FISICO"/>
    <b v="0"/>
    <s v="DEPOSITADO EN CUENTA"/>
  </r>
  <r>
    <s v="12 DE SEPTIEMBRE DE 2025"/>
    <x v="13"/>
    <s v="VILLALOBOS ZAMORA NATALIA ALEJANDRA"/>
    <n v="13266639"/>
    <s v="VILLALOBOS ZAMORA NATALIA ALEJANDRA"/>
    <d v="2025-06-01T00:00:00"/>
    <s v="INICIAL"/>
    <n v="37030"/>
    <n v="1037879"/>
    <n v="6000"/>
    <n v="0"/>
    <n v="6000"/>
    <n v="0"/>
    <n v="6000"/>
    <n v="37030"/>
    <n v="285123"/>
    <s v="CORP DE BIENESTAR DEL PERSONAL DE A F P"/>
    <d v="2025-06-18T00:00:00"/>
    <d v="2025-06-18T15:30:33"/>
    <d v="2025-05-23T00:00:00"/>
    <d v="2025-05-23T00:00:00"/>
    <m/>
    <s v="-"/>
    <s v="-"/>
    <s v="-"/>
    <s v="TRASSA"/>
    <s v="-"/>
    <s v="-"/>
    <s v="DEN"/>
    <s v="DRU2"/>
    <s v="RADIOLOGIA DENTAL"/>
    <s v="RADIOLOGIA DENTAL"/>
    <s v="DENTAL"/>
    <s v="GASTO FISICO"/>
    <s v="SCL20256948267"/>
    <n v="76197293"/>
    <s v="-"/>
    <s v="-"/>
    <s v="NVILLALO@AFPHABITAT.CL"/>
    <s v="13266639|76197293|37030|1037879"/>
    <s v="GASTO FISICO"/>
    <b v="1"/>
    <s v="DEPOSITADO EN CUENTA"/>
  </r>
  <r>
    <s v="12 DE SEPTIEMBRE DE 2025"/>
    <x v="13"/>
    <s v="VILLALOBOS ZAMORA NATALIA ALEJANDRA"/>
    <n v="13266639"/>
    <s v="VILLALOBOS ZAMORA NATALIA ALEJANDRA"/>
    <d v="2025-06-01T00:00:00"/>
    <s v="INICIAL"/>
    <n v="37030"/>
    <n v="1037879"/>
    <n v="20000"/>
    <n v="0"/>
    <n v="20000"/>
    <n v="0"/>
    <n v="20000"/>
    <n v="37030"/>
    <n v="285123"/>
    <s v="CORP DE BIENESTAR DEL PERSONAL DE A F P"/>
    <d v="2025-06-18T00:00:00"/>
    <d v="2025-06-18T15:30:33"/>
    <d v="2025-05-23T00:00:00"/>
    <d v="2025-05-23T00:00:00"/>
    <m/>
    <s v="-"/>
    <s v="-"/>
    <s v="-"/>
    <s v="TRASSA"/>
    <s v="-"/>
    <s v="-"/>
    <s v="DEN"/>
    <s v="DRU2"/>
    <s v="RADIOLOGIA DENTAL"/>
    <s v="RADIOLOGIA DENTAL"/>
    <s v="DENTAL"/>
    <s v="GASTO FISICO"/>
    <s v="SCL20256948267"/>
    <n v="76197293"/>
    <s v="-"/>
    <s v="-"/>
    <s v="NVILLALO@AFPHABITAT.CL"/>
    <s v="13266639|76197293|37030|1037879"/>
    <s v="GASTO FISICO"/>
    <b v="1"/>
    <s v="DEPOSITADO EN CUENTA"/>
  </r>
  <r>
    <s v="12 DE SEPTIEMBRE DE 2025"/>
    <x v="13"/>
    <s v="VILLALOBOS ZAMORA NATALIA ALEJANDRA"/>
    <n v="13266639"/>
    <s v="VILLALOBOS ZAMORA NATALIA ALEJANDRA"/>
    <d v="2025-06-01T00:00:00"/>
    <s v="INICIAL"/>
    <n v="37030"/>
    <n v="1037879"/>
    <n v="16000"/>
    <n v="2196"/>
    <n v="13804"/>
    <n v="0"/>
    <n v="13804"/>
    <n v="37030"/>
    <n v="285123"/>
    <s v="CORP DE BIENESTAR DEL PERSONAL DE A F P"/>
    <d v="2025-06-18T00:00:00"/>
    <d v="2025-06-18T15:30:33"/>
    <d v="2025-05-23T00:00:00"/>
    <d v="2025-05-23T00:00:00"/>
    <m/>
    <s v="-"/>
    <s v="-"/>
    <s v="-"/>
    <s v="TRASSA"/>
    <s v="-"/>
    <s v="-"/>
    <s v="DEN"/>
    <s v="DRU2"/>
    <s v="RADIOLOGIA DENTAL"/>
    <s v="RADIOLOGIA DENTAL"/>
    <s v="DENTAL"/>
    <s v="GASTO FISICO"/>
    <s v="SCL20256948267"/>
    <n v="76197293"/>
    <s v="-"/>
    <s v="-"/>
    <s v="NVILLALO@AFPHABITAT.CL"/>
    <s v="13266639|76197293|37030|1037879"/>
    <s v="GASTO FISICO"/>
    <b v="1"/>
    <s v="DEPOSITADO EN CUENTA"/>
  </r>
  <r>
    <s v="12 DE SEPTIEMBRE DE 2025"/>
    <x v="13"/>
    <s v="NATALIA ALEJANDRA VILLALOBOS ZAMORA"/>
    <n v="13266639"/>
    <s v="NATALIA ALEJANDRA VILLALOBOS ZAMORA"/>
    <d v="2025-07-01T00:00:00"/>
    <s v="DUPLICADO"/>
    <n v="37030"/>
    <n v="66379952"/>
    <n v="39804"/>
    <n v="0"/>
    <n v="39804"/>
    <n v="0"/>
    <n v="37306"/>
    <n v="37030"/>
    <n v="285123"/>
    <s v="CORP DE BIENESTAR DEL PERSONAL DE A F P"/>
    <d v="2025-07-01T00:00:00"/>
    <d v="2025-07-11T00:00:00"/>
    <d v="2025-05-23T00:00:00"/>
    <d v="2025-05-23T00:00:00"/>
    <s v="RUTINARIOS"/>
    <n v="23307909"/>
    <n v="7241739"/>
    <n v="70359643"/>
    <s v="TRASSA"/>
    <n v="81591390"/>
    <n v="79359"/>
    <s v="DEN"/>
    <s v="DRU2"/>
    <s v="RADIOLOGIA DENTAL (Cuidado Dental Rutinario)"/>
    <s v="RADIOLOGIA DENTAL"/>
    <s v="DENTAL"/>
    <n v="0"/>
    <n v="0"/>
    <n v="76197293"/>
    <n v="6"/>
    <s v="SIN ISAPRE"/>
    <s v="NVILLALO@AFPHABITAT.CL"/>
    <s v="13266639|76197293|37030|66379952"/>
    <s v="GASTO FISICO"/>
    <b v="0"/>
    <s v="DEPOSITADO EN CUENTA"/>
  </r>
  <r>
    <s v="12 DE SEPTIEMBRE DE 2025"/>
    <x v="14"/>
    <s v="JARA DIAZ EVELYN"/>
    <n v="25665186"/>
    <s v="ZAMBRANO JARA ISABELLA"/>
    <d v="2025-06-01T00:00:00"/>
    <s v="INICIAL"/>
    <n v="53923"/>
    <n v="1034254"/>
    <n v="30000"/>
    <n v="0"/>
    <n v="30000"/>
    <n v="0"/>
    <n v="30000"/>
    <n v="53923"/>
    <n v="285123"/>
    <s v="CORP DE BIENESTAR DEL PERSONAL DE A F P"/>
    <d v="2025-06-10T00:00:00"/>
    <d v="2025-06-10T21:25:35"/>
    <d v="2025-05-31T00:00:00"/>
    <d v="2025-05-31T00:00:00"/>
    <m/>
    <s v="-"/>
    <s v="-"/>
    <s v="-"/>
    <s v="TRASSA"/>
    <s v="-"/>
    <s v="-"/>
    <s v="SAL"/>
    <s v="OP01"/>
    <s v="CRISTALES OPTICOS ( GRUPO )"/>
    <s v="CRISTALES OPTICOS ( GRUPO )"/>
    <s v="CRISTALES OPTICOS ( GRUPO )"/>
    <s v="GASTO FISICO"/>
    <s v="AMBUL20256934128"/>
    <n v="77418913"/>
    <s v="-"/>
    <s v="-"/>
    <s v="EJARAD@AFPHABITAT.CL"/>
    <s v="15400638|77418913|53923|1034254"/>
    <s v="GASTO FISICO"/>
    <b v="1"/>
    <s v="DEPOSITADO EN CUENTA"/>
  </r>
  <r>
    <s v="12 DE SEPTIEMBRE DE 2025"/>
    <x v="14"/>
    <s v="JARA DIAZ EVELYN"/>
    <n v="25665186"/>
    <s v="ZAMBRANO JARA ISABELLA"/>
    <d v="2025-06-01T00:00:00"/>
    <s v="INICIAL"/>
    <n v="53923"/>
    <n v="1034254"/>
    <n v="12450"/>
    <n v="0"/>
    <n v="12450"/>
    <n v="0"/>
    <n v="12450"/>
    <n v="53923"/>
    <n v="285123"/>
    <s v="CORP DE BIENESTAR DEL PERSONAL DE A F P"/>
    <d v="2025-06-10T00:00:00"/>
    <d v="2025-06-10T21:25:35"/>
    <d v="2025-05-31T00:00:00"/>
    <d v="2025-05-31T00:00:00"/>
    <m/>
    <s v="-"/>
    <s v="-"/>
    <s v="-"/>
    <s v="TRASSA"/>
    <s v="-"/>
    <s v="-"/>
    <s v="SAL"/>
    <s v="OP01"/>
    <s v="MARCOS OPTICOS (GRUPO)"/>
    <s v="CRISTALES OPTICOS ( GRUPO )"/>
    <s v="CRISTALES OPTICOS ( GRUPO )"/>
    <s v="GASTO FISICO"/>
    <s v="AMBUL20256934128"/>
    <n v="77418913"/>
    <s v="-"/>
    <s v="-"/>
    <s v="EJARAD@AFPHABITAT.CL"/>
    <s v="15400638|77418913|53923|1034254"/>
    <s v="GASTO FISICO"/>
    <b v="1"/>
    <s v="DEPOSITADO EN CUENTA"/>
  </r>
  <r>
    <s v="12 DE SEPTIEMBRE DE 2025"/>
    <x v="14"/>
    <s v="EVELYN JARA DIAZ"/>
    <n v="25665186"/>
    <s v="ISABELLA ZAMBRANO JARA"/>
    <d v="2025-07-01T00:00:00"/>
    <s v="DUPLICADO"/>
    <n v="53923"/>
    <n v="66380940"/>
    <n v="42450"/>
    <n v="0"/>
    <n v="42450"/>
    <n v="0"/>
    <n v="42450"/>
    <n v="53923"/>
    <n v="285123"/>
    <s v="CORP DE BIENESTAR DEL PERSONAL DE A F P"/>
    <d v="2025-07-01T00:00:00"/>
    <d v="2025-07-01T00:00:00"/>
    <d v="2025-05-31T00:00:00"/>
    <d v="2025-05-31T00:00:00"/>
    <s v="OPTICA"/>
    <n v="23307163"/>
    <n v="7241739"/>
    <n v="70359726"/>
    <s v="TRASSA"/>
    <n v="1693122302"/>
    <n v="79359"/>
    <s v="SAL"/>
    <s v="OP01"/>
    <s v="MARCOS o CRISTALES OPTICOS o LENTE CONTACTO"/>
    <s v="CRISTALES OPTICOS ( GRUPO )"/>
    <s v="CRISTALES OPTICOS ( GRUPO )"/>
    <n v="0"/>
    <n v="0"/>
    <n v="77418913"/>
    <n v="0"/>
    <s v="SIN ISAPRE"/>
    <s v="EJARAD@AFPHABITAT.CL"/>
    <s v="15400638|77418913|53923|66380940"/>
    <s v="GASTO FISICO"/>
    <b v="0"/>
    <s v="DEPOSITADO EN CUENTA"/>
  </r>
  <r>
    <s v="12 DE SEPTIEMBRE DE 2025"/>
    <x v="15"/>
    <s v="VILLEGAS FLORES JORGE"/>
    <n v="12956502"/>
    <s v="VILLEGAS FLORES JORGE"/>
    <d v="2025-06-01T00:00:00"/>
    <s v="INICIAL"/>
    <n v="64445"/>
    <n v="1035521"/>
    <n v="5814"/>
    <n v="0"/>
    <n v="5814"/>
    <n v="0"/>
    <n v="5814"/>
    <n v="64445"/>
    <n v="285123"/>
    <s v="CORP DE BIENESTAR DEL PERSONAL DE A F P"/>
    <d v="2025-06-13T00:00:00"/>
    <d v="2025-06-18T08:47:52"/>
    <d v="2025-05-31T00:00:00"/>
    <d v="2025-05-31T00:00:00"/>
    <m/>
    <s v="-"/>
    <s v="-"/>
    <s v="-"/>
    <s v="TRASSA"/>
    <s v="-"/>
    <s v="-"/>
    <s v="SAL"/>
    <s v="AM20"/>
    <s v="MEDICAMENTO NO GENERICO ( GRUPO ) "/>
    <s v="MEDICAMENTO NO GENERICO ( GRUPO ) "/>
    <s v="MEDICAMENTO"/>
    <s v="GASTO FISICO"/>
    <s v="AMBUL20256939148"/>
    <n v="77312614"/>
    <s v="-"/>
    <s v="-"/>
    <s v="JVILLEGA@AFPHABITAT.CL"/>
    <s v="12956502|77312614|64445|1035521"/>
    <s v="GASTO FISICO"/>
    <b v="1"/>
    <s v="DEPOSITADO EN CUENTA"/>
  </r>
  <r>
    <s v="12 DE SEPTIEMBRE DE 2025"/>
    <x v="15"/>
    <s v="JORGE VILLEGAS FLORES"/>
    <n v="12956502"/>
    <s v="JORGE VILLEGAS FLORES"/>
    <d v="2025-07-01T00:00:00"/>
    <s v="DUPLICADO"/>
    <n v="64445"/>
    <n v="66380972"/>
    <n v="5814"/>
    <n v="0"/>
    <n v="5814"/>
    <n v="0"/>
    <n v="5814"/>
    <n v="64445"/>
    <n v="285123"/>
    <s v="CORP DE BIENESTAR DEL PERSONAL DE A F P"/>
    <d v="2025-07-01T00:00:00"/>
    <d v="2025-07-01T00:00:00"/>
    <d v="2025-05-31T00:00:00"/>
    <d v="2025-05-31T00:00:00"/>
    <s v="AMBULATORIOS"/>
    <n v="23307127"/>
    <n v="7241739"/>
    <n v="70359743"/>
    <s v="TRASSA"/>
    <n v="4041021424"/>
    <n v="79359"/>
    <s v="SAL"/>
    <s v="AM12"/>
    <s v="MEDICAMENTOS DE MARCA"/>
    <s v="MEDICAMENTO NO GENERICO ( GRUPO ) "/>
    <s v="MEDICAMENTO"/>
    <n v="0"/>
    <n v="0"/>
    <n v="77312614"/>
    <n v="3"/>
    <s v="SIN ISAPRE"/>
    <s v="JVILLEGA@AFPHABITAT.CL"/>
    <s v="12956502|77312614|64445|66380972"/>
    <s v="GASTO FISICO"/>
    <b v="0"/>
    <s v="DEPOSITADO EN CUENTA"/>
  </r>
  <r>
    <s v="12 DE SEPTIEMBRE DE 2025"/>
    <x v="10"/>
    <s v="ADOLFO HANS LANG NAVARRO"/>
    <n v="12096295"/>
    <s v="MARCELA ANGELICA BAEZA GARCES"/>
    <d v="2025-03-01T00:00:00"/>
    <s v="INICIAL"/>
    <n v="69741"/>
    <n v="987228"/>
    <n v="13134"/>
    <n v="0"/>
    <n v="13134"/>
    <n v="0"/>
    <n v="13134"/>
    <n v="69741"/>
    <n v="285123"/>
    <s v="CORP DE BIENESTAR DEL PERSONAL DE A F P"/>
    <d v="2025-03-01T00:00:00"/>
    <d v="2025-02-28T00:00:00"/>
    <d v="2025-01-29T00:00:00"/>
    <d v="2025-01-29T00:00:00"/>
    <s v="AMBULATORIOS"/>
    <n v="22669538"/>
    <n v="3101250"/>
    <n v="68970590"/>
    <s v="TRASSA"/>
    <n v="27500073611"/>
    <n v="77859"/>
    <s v="SAL"/>
    <s v="AM12"/>
    <s v="MEDICAMENTOS DE MARCA"/>
    <s v="MEDICAMENTO NO GENERICO ( GRUPO ) "/>
    <s v="MEDICAMENTO"/>
    <n v="0"/>
    <n v="0"/>
    <n v="76423422"/>
    <n v="7"/>
    <s v="SIN ISAPRE"/>
    <s v="ADOLFO.LANG@AFPHABITAT.CL"/>
    <s v="12009863|76423422|69741|987228"/>
    <s v="GASTO FISICO"/>
    <b v="0"/>
    <s v="DEPOSITADO EN CUENTA"/>
  </r>
  <r>
    <s v="12 DE SEPTIEMBRE DE 2025"/>
    <x v="10"/>
    <s v="ADOLFO HANS LANG NAVARRO"/>
    <n v="12096295"/>
    <s v="MARCELA ANGELICA BAEZA GARCES"/>
    <d v="2025-03-01T00:00:00"/>
    <s v="DUPLICADO"/>
    <n v="69741"/>
    <n v="65213059"/>
    <n v="21873"/>
    <n v="0"/>
    <n v="21873"/>
    <n v="0"/>
    <n v="21873"/>
    <n v="69741"/>
    <n v="285123"/>
    <s v="CORP DE BIENESTAR DEL PERSONAL DE A F P"/>
    <d v="2025-03-01T00:00:00"/>
    <d v="2025-03-17T00:00:00"/>
    <d v="2025-01-29T00:00:00"/>
    <d v="2025-01-29T00:00:00"/>
    <s v="AMBULATORIOS"/>
    <n v="22753705"/>
    <n v="3251558"/>
    <n v="69156458"/>
    <s v="TRASSA"/>
    <n v="27500073611"/>
    <n v="78017"/>
    <s v="SAL"/>
    <s v="AM12"/>
    <s v="MEDICAMENTOS DE MARCA"/>
    <s v="MEDICAMENTO NO GENERICO ( GRUPO ) "/>
    <s v="MEDICAMENTO"/>
    <n v="0"/>
    <n v="0"/>
    <n v="76423422"/>
    <n v="7"/>
    <s v="SIN ISAPRE"/>
    <s v="ADOLFO.LANG@AFPHABITAT.CL"/>
    <s v="12009863|76423422|69741|65213059"/>
    <s v="GASTO FISICO"/>
    <b v="0"/>
    <s v="DEPOSITADO EN CUENTA"/>
  </r>
  <r>
    <s v="12 DE SEPTIEMBRE DE 2025"/>
    <x v="16"/>
    <s v="MATIAS CORTES AWAD"/>
    <n v="18022530"/>
    <s v="MATIAS CORTES AWAD"/>
    <d v="2025-02-01T00:00:00"/>
    <s v="INICIAL"/>
    <n v="88083"/>
    <n v="979499"/>
    <n v="72332"/>
    <n v="61482"/>
    <n v="10850"/>
    <n v="0"/>
    <n v="10850"/>
    <n v="88083"/>
    <n v="285123"/>
    <s v="CORP DE BIENESTAR DEL PERSONAL DE A F P"/>
    <d v="2025-02-01T00:00:00"/>
    <d v="2025-02-10T00:00:00"/>
    <d v="2025-01-10T00:00:00"/>
    <d v="2025-01-10T00:00:00"/>
    <s v="AMBULATORIOS"/>
    <n v="22589733"/>
    <n v="2171726"/>
    <n v="68883096"/>
    <s v="TRASSA"/>
    <n v="987579102"/>
    <n v="77628"/>
    <s v="SAL"/>
    <s v="AM06"/>
    <s v="PROCEDIMIENTOS DE DIAGNOSTICO"/>
    <s v="PROCEDIMIENTO DE DIAGNOSTICO"/>
    <s v="PROCEDIMIENTO DE DIAGNOSTICO"/>
    <n v="0"/>
    <n v="0"/>
    <n v="78730160"/>
    <n v="6"/>
    <s v="BANMÉDICA"/>
    <s v="MATIAS.CORTES@AFPHABITAT.CL"/>
    <s v="18022530|78730160|88083|979499"/>
    <s v="GASTO FISICO"/>
    <b v="0"/>
    <s v="DEPOSITADO EN CUENTA"/>
  </r>
  <r>
    <s v="12 DE SEPTIEMBRE DE 2025"/>
    <x v="16"/>
    <s v="MATIAS IGNACIO CORTES AWAD"/>
    <n v="18022530"/>
    <s v="MATIAS IGNACIO CORTES AWAD"/>
    <d v="2025-03-01T00:00:00"/>
    <s v="DUPLICADO"/>
    <n v="88083"/>
    <n v="65213278"/>
    <n v="11134"/>
    <n v="0"/>
    <n v="11134"/>
    <n v="0"/>
    <n v="11134"/>
    <n v="88083"/>
    <n v="285123"/>
    <s v="CORP DE BIENESTAR DEL PERSONAL DE A F P"/>
    <d v="2025-03-01T00:00:00"/>
    <d v="2025-03-17T00:00:00"/>
    <d v="2025-01-10T00:00:00"/>
    <d v="2025-01-10T00:00:00"/>
    <s v="AMBULATORIOS"/>
    <n v="22753651"/>
    <n v="3251558"/>
    <n v="69156649"/>
    <s v="TRASSA"/>
    <n v="987579102"/>
    <n v="78017"/>
    <s v="SAL"/>
    <s v="AM06"/>
    <s v="PROCEDIMIENTOS DE DIAGNOSTICO"/>
    <s v="PROCEDIMIENTO DE DIAGNOSTICO"/>
    <s v="PROCEDIMIENTO DE DIAGNOSTICO"/>
    <n v="0"/>
    <n v="0"/>
    <n v="78730160"/>
    <n v="6"/>
    <s v="SIN ISAPRE"/>
    <s v="MATIAS.CORTES@AFPHABITAT.CL"/>
    <s v="18022530|78730160|88083|65213278"/>
    <s v="GASTO FISICO"/>
    <b v="0"/>
    <s v="DEPOSITADO EN CUENTA"/>
  </r>
  <r>
    <s v="12 DE SEPTIEMBRE DE 2025"/>
    <x v="16"/>
    <s v="MATIAS CORTES AWAD"/>
    <n v="18022530"/>
    <s v="MATIAS CORTES AWAD"/>
    <d v="2025-02-01T00:00:00"/>
    <s v="INICIAL"/>
    <n v="88085"/>
    <n v="979498"/>
    <n v="54174"/>
    <n v="13544"/>
    <n v="40630"/>
    <n v="0"/>
    <n v="40630"/>
    <n v="88085"/>
    <n v="285123"/>
    <s v="CORP DE BIENESTAR DEL PERSONAL DE A F P"/>
    <d v="2025-02-01T00:00:00"/>
    <d v="2025-02-08T00:00:00"/>
    <d v="2025-01-10T00:00:00"/>
    <d v="2025-01-10T00:00:00"/>
    <s v="AMBULATORIOS"/>
    <n v="22589733"/>
    <n v="2171726"/>
    <n v="68883095"/>
    <s v="TRASSA"/>
    <n v="987579102"/>
    <n v="77628"/>
    <s v="SAL"/>
    <s v="AM06"/>
    <s v="PROCEDIMIENTOS DE DIAGNOSTICO"/>
    <s v="PROCEDIMIENTO DE DIAGNOSTICO"/>
    <s v="PROCEDIMIENTO DE DIAGNOSTICO"/>
    <n v="0"/>
    <n v="0"/>
    <n v="78730160"/>
    <n v="6"/>
    <s v="BANMÉDICA"/>
    <s v="MATIAS.CORTES@AFPHABITAT.CL"/>
    <s v="18022530|78730160|88085|979498"/>
    <s v="GASTO FISICO"/>
    <b v="0"/>
    <s v="DEPOSITADO EN CUENTA"/>
  </r>
  <r>
    <s v="12 DE SEPTIEMBRE DE 2025"/>
    <x v="16"/>
    <s v="MATIAS IGNACIO CORTES AWAD"/>
    <n v="18022530"/>
    <s v="MATIAS IGNACIO CORTES AWAD"/>
    <d v="2025-03-01T00:00:00"/>
    <s v="DUPLICADO"/>
    <n v="88085"/>
    <n v="65213276"/>
    <n v="40695"/>
    <n v="0"/>
    <n v="40695"/>
    <n v="0"/>
    <n v="40695"/>
    <n v="88085"/>
    <n v="285123"/>
    <s v="CORP DE BIENESTAR DEL PERSONAL DE A F P"/>
    <d v="2025-03-01T00:00:00"/>
    <d v="2025-03-17T00:00:00"/>
    <d v="2025-01-13T00:00:00"/>
    <d v="2025-01-13T00:00:00"/>
    <s v="AMBULATORIOS"/>
    <n v="22753651"/>
    <n v="3251558"/>
    <n v="69156647"/>
    <s v="TRASSA"/>
    <n v="987579102"/>
    <n v="78017"/>
    <s v="SAL"/>
    <s v="AM04"/>
    <s v="EXAMENES DE LABORATORIO"/>
    <s v="EXAMENES DE LABORATORIO"/>
    <s v="EXAMENES DE LABORATORIO"/>
    <n v="0"/>
    <n v="0"/>
    <n v="78730160"/>
    <n v="6"/>
    <s v="SIN ISAPRE"/>
    <s v="MATIAS.CORTES@AFPHABITAT.CL"/>
    <s v="18022530|78730160|88085|65213276"/>
    <s v="GASTO FISICO"/>
    <b v="0"/>
    <s v="DEPOSITADO EN CUENTA"/>
  </r>
  <r>
    <s v="12 DE SEPTIEMBRE DE 2025"/>
    <x v="16"/>
    <s v="MATIAS CORTES AWAD"/>
    <n v="18022530"/>
    <s v="MATIAS CORTES AWAD"/>
    <d v="2025-02-01T00:00:00"/>
    <s v="INICIAL"/>
    <n v="88099"/>
    <n v="984410"/>
    <n v="189000"/>
    <n v="18624"/>
    <n v="123126"/>
    <n v="0"/>
    <n v="123126"/>
    <n v="88099"/>
    <n v="285123"/>
    <s v="CORP DE BIENESTAR DEL PERSONAL DE A F P"/>
    <d v="2025-02-13T00:00:00"/>
    <d v="2025-02-13T00:00:00"/>
    <d v="2025-01-10T00:00:00"/>
    <d v="2025-01-10T00:00:00"/>
    <s v="AMBULATORIOS"/>
    <n v="22590891"/>
    <n v="2171726"/>
    <n v="68885243"/>
    <s v="TRASSA"/>
    <n v="987579102"/>
    <n v="77628"/>
    <s v="SAL"/>
    <s v="AM05"/>
    <s v="EXAMENES RADIOLOGICOS"/>
    <s v="EXAMENES RADIOLOGICOS"/>
    <s v="EXAMENES RADIOLOGICOS"/>
    <n v="0"/>
    <n v="0"/>
    <n v="78730160"/>
    <n v="6"/>
    <s v="BANMÉDICA"/>
    <s v="MATIAS.CORTES@AFPHABITAT.CL"/>
    <s v="18022530|78730160|88099|984410"/>
    <s v="GASTO FISICO"/>
    <b v="0"/>
    <s v="DEPOSITADO EN CUENTA"/>
  </r>
  <r>
    <s v="12 DE SEPTIEMBRE DE 2025"/>
    <x v="16"/>
    <s v="MATIAS IGNACIO CORTES AWAD"/>
    <n v="18022530"/>
    <s v="MATIAS IGNACIO CORTES AWAD"/>
    <d v="2025-03-01T00:00:00"/>
    <s v="DUPLICADO"/>
    <n v="88099"/>
    <n v="65213277"/>
    <n v="123238"/>
    <n v="0"/>
    <n v="123238"/>
    <n v="0"/>
    <n v="60275"/>
    <n v="88099"/>
    <n v="285123"/>
    <s v="CORP DE BIENESTAR DEL PERSONAL DE A F P"/>
    <d v="2025-03-01T00:00:00"/>
    <d v="2025-03-17T00:00:00"/>
    <d v="2025-01-10T00:00:00"/>
    <d v="2025-01-10T00:00:00"/>
    <s v="AMBULATORIOS"/>
    <n v="22753651"/>
    <n v="3251558"/>
    <n v="69156648"/>
    <s v="TRASSA"/>
    <n v="987579102"/>
    <n v="78017"/>
    <s v="SAL"/>
    <s v="AM05"/>
    <s v="EXAMENES RADIOLOGICOS"/>
    <s v="EXAMENES RADIOLOGICOS"/>
    <s v="EXAMENES RADIOLOGICOS"/>
    <n v="0"/>
    <n v="0"/>
    <n v="78730160"/>
    <n v="6"/>
    <s v="SIN ISAPRE"/>
    <s v="MATIAS.CORTES@AFPHABITAT.CL"/>
    <s v="18022530|78730160|88099|65213277"/>
    <s v="GASTO FISICO"/>
    <b v="0"/>
    <s v="DEPOSITADO EN CUENTA"/>
  </r>
  <r>
    <s v="12 DE SEPTIEMBRE DE 2025"/>
    <x v="17"/>
    <s v="VICTORIA OLIVIA BARDEL DIAZ"/>
    <n v="17408534"/>
    <s v="VICTORIA OLIVIA BARDEL DIAZ"/>
    <d v="2025-03-01T00:00:00"/>
    <s v="INICIAL"/>
    <n v="170764"/>
    <n v="991222"/>
    <n v="38700"/>
    <n v="0"/>
    <n v="38700"/>
    <n v="0"/>
    <n v="38700"/>
    <n v="170764"/>
    <n v="285123"/>
    <s v="CORP DE BIENESTAR DEL PERSONAL DE A F P"/>
    <d v="2025-03-04T00:00:00"/>
    <d v="2025-03-04T00:00:00"/>
    <d v="2025-01-04T00:00:00"/>
    <d v="2025-01-04T00:00:00"/>
    <s v="AMBULATORIOS"/>
    <n v="22670156"/>
    <n v="3101250"/>
    <n v="68973124"/>
    <s v="TRASSA"/>
    <n v="65704633"/>
    <n v="77859"/>
    <s v="SAL"/>
    <s v="AM12"/>
    <s v="MEDICAMENTOS DE MARCA"/>
    <s v="MEDICAMENTO NO GENERICO ( GRUPO ) "/>
    <s v="MEDICAMENTO"/>
    <n v="0"/>
    <n v="0"/>
    <n v="76628399"/>
    <n v="3"/>
    <s v="SIN ISAPRE"/>
    <s v="VICTORIA.BARDET@AFPHABITAT.CL"/>
    <s v="17408534|76628399|170764|991222"/>
    <s v="GASTO FISICO"/>
    <b v="0"/>
    <s v="DEPOSITADO EN CUENTA"/>
  </r>
  <r>
    <s v="12 DE SEPTIEMBRE DE 2025"/>
    <x v="17"/>
    <s v="VICTORIA OLIVIA BARDEL DIAZ"/>
    <n v="17408534"/>
    <s v="VICTORIA OLIVIA BARDEL DIAZ"/>
    <d v="2025-03-01T00:00:00"/>
    <s v="DUPLICADO"/>
    <n v="170764"/>
    <n v="65213242"/>
    <n v="38775"/>
    <n v="0"/>
    <n v="38775"/>
    <n v="0"/>
    <n v="38775"/>
    <n v="170764"/>
    <n v="285123"/>
    <s v="CORP DE BIENESTAR DEL PERSONAL DE A F P"/>
    <d v="2025-03-01T00:00:00"/>
    <d v="2025-03-17T00:00:00"/>
    <d v="2025-01-04T00:00:00"/>
    <d v="2025-01-04T00:00:00"/>
    <s v="AMBULATORIOS"/>
    <n v="22753650"/>
    <n v="3251558"/>
    <n v="69156617"/>
    <s v="TRASSA"/>
    <n v="65704633"/>
    <n v="78017"/>
    <s v="SAL"/>
    <s v="AM12"/>
    <s v="MEDICAMENTOS DE MARCA"/>
    <s v="MEDICAMENTO NO GENERICO ( GRUPO ) "/>
    <s v="MEDICAMENTO"/>
    <n v="0"/>
    <n v="0"/>
    <n v="76628399"/>
    <n v="3"/>
    <s v="SIN ISAPRE"/>
    <s v="VICTORIA.BARDET@AFPHABITAT.CL"/>
    <s v="17408534|76628399|170764|65213242"/>
    <s v="GASTO FISICO"/>
    <b v="0"/>
    <s v="DEPOSITADO EN CUENTA"/>
  </r>
  <r>
    <s v="12 DE SEPTIEMBRE DE 2025"/>
    <x v="18"/>
    <s v="PAULA ANDREA RIVERA MANCILLA"/>
    <n v="22688366"/>
    <s v="TRINIDAD SILVA RIVERA"/>
    <d v="2025-02-01T00:00:00"/>
    <s v="INICIAL"/>
    <n v="179599"/>
    <n v="985689"/>
    <n v="75000"/>
    <n v="38367"/>
    <n v="36633"/>
    <n v="0"/>
    <n v="36633"/>
    <n v="179599"/>
    <n v="285123"/>
    <s v="CORP DE BIENESTAR DEL PERSONAL DE A F P"/>
    <d v="2025-02-17T00:00:00"/>
    <d v="2025-02-17T00:00:00"/>
    <d v="2025-02-04T00:00:00"/>
    <d v="2025-02-04T00:00:00"/>
    <s v="SALUD MENTAL"/>
    <n v="22616379"/>
    <n v="2251257"/>
    <n v="68922838"/>
    <s v="TRASSA"/>
    <n v="19996827504"/>
    <n v="77692"/>
    <s v="SAL"/>
    <s v="SM01"/>
    <s v="CONSULTA O SESIONES PSIQUIATRICAS"/>
    <s v="CONSULTA PSIQUIATRICA"/>
    <s v="CONSULTA PSIQUIATRICA"/>
    <n v="0"/>
    <n v="0"/>
    <n v="76225357"/>
    <n v="7"/>
    <s v="FONASA"/>
    <s v="PRIVERAM@AFPHABITAT.CL"/>
    <s v="11653820|76225357|179599|985689"/>
    <s v="GASTO FISICO"/>
    <b v="0"/>
    <s v="DEPOSITADO EN CUENTA"/>
  </r>
  <r>
    <s v="12 DE SEPTIEMBRE DE 2025"/>
    <x v="18"/>
    <s v="PAULA ANDREA RIVERA MANCILLA"/>
    <n v="22688366"/>
    <s v="TRINIDAD SILVA RIVERA"/>
    <d v="2025-03-01T00:00:00"/>
    <s v="DUPLICADO"/>
    <n v="179599"/>
    <n v="65213039"/>
    <n v="29926"/>
    <n v="0"/>
    <n v="29926"/>
    <n v="0"/>
    <n v="29926"/>
    <n v="179599"/>
    <n v="285123"/>
    <s v="CORP DE BIENESTAR DEL PERSONAL DE A F P"/>
    <d v="2025-03-01T00:00:00"/>
    <d v="2025-03-17T00:00:00"/>
    <d v="2025-02-04T00:00:00"/>
    <d v="2025-02-04T00:00:00"/>
    <s v="SALUD MENTAL"/>
    <n v="22753715"/>
    <n v="3251558"/>
    <n v="69156440"/>
    <s v="TRASSA"/>
    <n v="19996827504"/>
    <n v="78017"/>
    <s v="SAL"/>
    <s v="SM01"/>
    <s v="CONSULTA O SESIONES PSIQUIATRICAS"/>
    <s v="CONSULTA PSIQUIATRICA"/>
    <s v="CONSULTA PSIQUIATRICA"/>
    <n v="0"/>
    <n v="0"/>
    <n v="76225357"/>
    <n v="7"/>
    <s v="SIN ISAPRE"/>
    <s v="PRIVERAM@AFPHABITAT.CL"/>
    <s v="11653820|76225357|179599|65213039"/>
    <s v="GASTO FISICO"/>
    <b v="0"/>
    <s v="DEPOSITADO EN CUENTA"/>
  </r>
  <r>
    <s v="12 DE SEPTIEMBRE DE 2025"/>
    <x v="19"/>
    <s v="INGRID CARRASCO GONZALEZ"/>
    <n v="8249085"/>
    <s v="INGRID CARRASCO GONZALEZ"/>
    <d v="2025-03-01T00:00:00"/>
    <s v="INICIAL"/>
    <n v="245205"/>
    <n v="992454"/>
    <n v="1764"/>
    <n v="706"/>
    <n v="1058"/>
    <n v="0"/>
    <n v="1058"/>
    <n v="245205"/>
    <n v="285123"/>
    <s v="CORP DE BIENESTAR DEL PERSONAL DE A F P"/>
    <d v="2025-03-07T00:00:00"/>
    <d v="2025-03-07T00:00:00"/>
    <d v="2025-02-13T00:00:00"/>
    <d v="2025-02-13T00:00:00"/>
    <s v="AMBULATORIOS"/>
    <n v="22670187"/>
    <n v="3101250"/>
    <n v="68973483"/>
    <s v="TRASSA"/>
    <n v="5691826"/>
    <n v="77859"/>
    <s v="SAL"/>
    <s v="AMB5"/>
    <s v="MED. BIOEQUIVALENTES  DE MARCA (SIN CONVENIO)"/>
    <s v="MEDICAMENTO NO GENERICO ( GRUPO ) "/>
    <s v="MEDICAMENTO"/>
    <n v="0"/>
    <n v="0"/>
    <n v="70835200"/>
    <n v="4"/>
    <s v="CONSALUD"/>
    <s v="ICARRASC@AFPHABITAT.CL"/>
    <s v="8249085|70835200|245205|992454"/>
    <s v="GASTO FISICO"/>
    <b v="0"/>
    <s v="DEPOSITADO EN CUENTA"/>
  </r>
  <r>
    <s v="12 DE SEPTIEMBRE DE 2025"/>
    <x v="19"/>
    <s v="INGRID CARRASCO GONZALEZ"/>
    <n v="8249085"/>
    <s v="INGRID CARRASCO GONZALEZ"/>
    <d v="2025-03-01T00:00:00"/>
    <s v="INICIAL"/>
    <n v="245205"/>
    <n v="992454"/>
    <n v="37260"/>
    <n v="14904"/>
    <n v="22356"/>
    <n v="0"/>
    <n v="22356"/>
    <n v="245205"/>
    <n v="285123"/>
    <s v="CORP DE BIENESTAR DEL PERSONAL DE A F P"/>
    <d v="2025-03-07T00:00:00"/>
    <d v="2025-03-07T00:00:00"/>
    <d v="2025-02-13T00:00:00"/>
    <d v="2025-02-13T00:00:00"/>
    <s v="AMBULATORIOS"/>
    <n v="22670187"/>
    <n v="3101250"/>
    <n v="68973483"/>
    <s v="TRASSA"/>
    <n v="5691826"/>
    <n v="77859"/>
    <s v="SAL"/>
    <s v="AM12"/>
    <s v="MEDICAMENTOS DE MARCA"/>
    <s v="MEDICAMENTO NO GENERICO ( GRUPO ) "/>
    <s v="MEDICAMENTO"/>
    <n v="0"/>
    <n v="0"/>
    <n v="70835200"/>
    <n v="4"/>
    <s v="CONSALUD"/>
    <s v="ICARRASC@AFPHABITAT.CL"/>
    <s v="8249085|70835200|245205|992454"/>
    <s v="GASTO FISICO"/>
    <b v="0"/>
    <s v="DEPOSITADO EN CUENTA"/>
  </r>
  <r>
    <s v="12 DE SEPTIEMBRE DE 2025"/>
    <x v="19"/>
    <s v="INGRID CARRASCO GONZALEZ"/>
    <n v="8249085"/>
    <s v="INGRID CARRASCO GONZALEZ"/>
    <d v="2025-03-01T00:00:00"/>
    <s v="INICIAL"/>
    <n v="245205"/>
    <n v="994313"/>
    <n v="706"/>
    <n v="0"/>
    <n v="706"/>
    <n v="0"/>
    <n v="706"/>
    <n v="245205"/>
    <n v="285123"/>
    <s v="CORP DE BIENESTAR DEL PERSONAL DE A F P"/>
    <d v="2025-03-12T00:00:00"/>
    <d v="2025-03-13T00:00:00"/>
    <d v="2025-02-13T00:00:00"/>
    <d v="2025-02-13T00:00:00"/>
    <s v="AMBULATORIOS"/>
    <n v="22705350"/>
    <n v="3171658"/>
    <n v="69028189"/>
    <s v="TRASSA"/>
    <n v="5691826"/>
    <n v="77929"/>
    <s v="SAL"/>
    <s v="AMB5"/>
    <s v="MED. BIOEQUIVALENTES  DE MARCA (SIN CONVENIO)"/>
    <s v="MEDICAMENTO NO GENERICO ( GRUPO ) "/>
    <s v="MEDICAMENTO"/>
    <n v="0"/>
    <n v="0"/>
    <n v="70835200"/>
    <n v="4"/>
    <s v="CONSALUD"/>
    <s v="ICARRASC@AFPHABITAT.CL"/>
    <s v="8249085|70835200|245205|994313"/>
    <s v="GASTO FISICO"/>
    <b v="0"/>
    <s v="DEPOSITADO EN CUENTA"/>
  </r>
  <r>
    <s v="12 DE SEPTIEMBRE DE 2025"/>
    <x v="19"/>
    <s v="INGRID CARRASCO GONZALEZ"/>
    <n v="8249085"/>
    <s v="INGRID CARRASCO GONZALEZ"/>
    <d v="2025-03-01T00:00:00"/>
    <s v="INICIAL"/>
    <n v="245205"/>
    <n v="994313"/>
    <n v="14904"/>
    <n v="0"/>
    <n v="14904"/>
    <n v="0"/>
    <n v="14904"/>
    <n v="245205"/>
    <n v="285123"/>
    <s v="CORP DE BIENESTAR DEL PERSONAL DE A F P"/>
    <d v="2025-03-12T00:00:00"/>
    <d v="2025-03-13T00:00:00"/>
    <d v="2025-02-13T00:00:00"/>
    <d v="2025-02-13T00:00:00"/>
    <s v="AMBULATORIOS"/>
    <n v="22705350"/>
    <n v="3171658"/>
    <n v="69028189"/>
    <s v="TRASSA"/>
    <n v="5691826"/>
    <n v="77929"/>
    <s v="SAL"/>
    <s v="AM12"/>
    <s v="MEDICAMENTOS DE MARCA"/>
    <s v="MEDICAMENTO NO GENERICO ( GRUPO ) "/>
    <s v="MEDICAMENTO"/>
    <n v="0"/>
    <n v="0"/>
    <n v="70835200"/>
    <n v="4"/>
    <s v="CONSALUD"/>
    <s v="ICARRASC@AFPHABITAT.CL"/>
    <s v="8249085|70835200|245205|994313"/>
    <s v="GASTO FISICO"/>
    <b v="0"/>
    <s v="DEPOSITADO EN CUENTA"/>
  </r>
  <r>
    <s v="12 DE SEPTIEMBRE DE 2025"/>
    <x v="19"/>
    <s v="INGRID CARRASCO GONZALEZ"/>
    <n v="8249085"/>
    <s v="INGRID CARRASCO GONZALEZ"/>
    <d v="2025-03-01T00:00:00"/>
    <s v="DUPLICADO"/>
    <n v="245205"/>
    <n v="65383646"/>
    <n v="1935"/>
    <n v="0"/>
    <n v="1935"/>
    <n v="0"/>
    <n v="1935"/>
    <n v="245205"/>
    <n v="285123"/>
    <s v="CORP DE BIENESTAR DEL PERSONAL DE A F P"/>
    <d v="2025-03-04T00:00:00"/>
    <d v="2025-03-26T00:00:00"/>
    <d v="2025-02-13T00:00:00"/>
    <d v="2025-02-13T00:00:00"/>
    <s v="AMBULATORIOS"/>
    <n v="22772381"/>
    <n v="3311105"/>
    <n v="69250537"/>
    <s v="TRASSA"/>
    <n v="5691826"/>
    <n v="78070"/>
    <s v="SAL"/>
    <s v="AMB5"/>
    <s v="MED. BIOEQUIVALENTES  DE MARCA (SIN CONVENIO)"/>
    <s v="MEDICAMENTO NO GENERICO ( GRUPO ) "/>
    <s v="MEDICAMENTO"/>
    <n v="0"/>
    <n v="0"/>
    <n v="70835200"/>
    <n v="4"/>
    <s v="SIN ISAPRE"/>
    <s v="ICARRASC@AFPHABITAT.CL"/>
    <s v="8249085|70835200|245205|65383646"/>
    <s v="GASTO FISICO"/>
    <b v="0"/>
    <s v="DEPOSITADO EN CUENTA"/>
  </r>
  <r>
    <s v="12 DE SEPTIEMBRE DE 2025"/>
    <x v="19"/>
    <s v="INGRID CARRASCO GONZALEZ"/>
    <n v="8249085"/>
    <s v="INGRID CARRASCO GONZALEZ"/>
    <d v="2025-03-01T00:00:00"/>
    <s v="DUPLICADO"/>
    <n v="245205"/>
    <n v="65383646"/>
    <n v="37160"/>
    <n v="0"/>
    <n v="37160"/>
    <n v="0"/>
    <n v="37160"/>
    <n v="245205"/>
    <n v="285123"/>
    <s v="CORP DE BIENESTAR DEL PERSONAL DE A F P"/>
    <d v="2025-03-04T00:00:00"/>
    <d v="2025-03-26T00:00:00"/>
    <d v="2025-02-13T00:00:00"/>
    <d v="2025-02-13T00:00:00"/>
    <s v="AMBULATORIOS"/>
    <n v="22772381"/>
    <n v="3311105"/>
    <n v="69250537"/>
    <s v="TRASSA"/>
    <n v="5691826"/>
    <n v="78070"/>
    <s v="SAL"/>
    <s v="AM12"/>
    <s v="MEDICAMENTOS DE MARCA"/>
    <s v="MEDICAMENTO NO GENERICO ( GRUPO ) "/>
    <s v="MEDICAMENTO"/>
    <n v="0"/>
    <n v="0"/>
    <n v="70835200"/>
    <n v="4"/>
    <s v="SIN ISAPRE"/>
    <s v="ICARRASC@AFPHABITAT.CL"/>
    <s v="8249085|70835200|245205|65383646"/>
    <s v="GASTO FISICO"/>
    <b v="0"/>
    <s v="DEPOSITADO EN CUENTA"/>
  </r>
  <r>
    <s v="12 DE SEPTIEMBRE DE 2025"/>
    <x v="13"/>
    <s v="NATALIA ALEJANDRA VILLALOBOS ZAMORA"/>
    <n v="13266639"/>
    <s v="NATALIA ALEJANDRA VILLALOBOS ZAMORA"/>
    <d v="2025-02-01T00:00:00"/>
    <s v="INICIAL"/>
    <n v="302735"/>
    <n v="978331"/>
    <n v="4990"/>
    <n v="0"/>
    <n v="4990"/>
    <n v="0"/>
    <n v="4990"/>
    <n v="302735"/>
    <n v="285123"/>
    <s v="CORP DE BIENESTAR DEL PERSONAL DE A F P"/>
    <d v="2025-02-01T00:00:00"/>
    <d v="2025-02-06T00:00:00"/>
    <d v="2025-01-10T00:00:00"/>
    <d v="2025-01-10T00:00:00"/>
    <s v="AMBULATORIOS"/>
    <n v="22562387"/>
    <n v="2111044"/>
    <n v="68847665"/>
    <s v="TRASSA"/>
    <n v="81591390"/>
    <n v="77579"/>
    <s v="SAL"/>
    <s v="AM48"/>
    <s v="MED. SALUD MENTAL GENERICOS"/>
    <s v="SIN COBERTURA(0)"/>
    <s v="MEDICAMENTO"/>
    <n v="0"/>
    <n v="0"/>
    <n v="78122820"/>
    <n v="6"/>
    <s v="SIN ISAPRE"/>
    <s v="NVILLALO@AFPHABITAT.CL"/>
    <s v="13266639|78122820|302735|978331"/>
    <s v="GASTO FISICO"/>
    <b v="0"/>
    <s v="DEPOSITADO EN CUENTA"/>
  </r>
  <r>
    <s v="12 DE SEPTIEMBRE DE 2025"/>
    <x v="13"/>
    <s v="NATALIA ALEJANDRA VILLALOBOS ZAMORA"/>
    <n v="13266639"/>
    <s v="NATALIA ALEJANDRA VILLALOBOS ZAMORA"/>
    <d v="2025-02-01T00:00:00"/>
    <s v="INICIAL"/>
    <n v="302735"/>
    <n v="978331"/>
    <n v="12890"/>
    <n v="0"/>
    <n v="12890"/>
    <n v="0"/>
    <n v="12890"/>
    <n v="302735"/>
    <n v="285123"/>
    <s v="CORP DE BIENESTAR DEL PERSONAL DE A F P"/>
    <d v="2025-02-01T00:00:00"/>
    <d v="2025-02-06T00:00:00"/>
    <d v="2025-01-10T00:00:00"/>
    <d v="2025-01-10T00:00:00"/>
    <s v="AMBULATORIOS"/>
    <n v="22562387"/>
    <n v="2111044"/>
    <n v="68847665"/>
    <s v="TRASSA"/>
    <n v="81591390"/>
    <n v="77579"/>
    <s v="SAL"/>
    <s v="AM12"/>
    <s v="MEDICAMENTOS DE MARCA"/>
    <s v="MEDICAMENTO NO GENERICO ( GRUPO ) "/>
    <s v="MEDICAMENTO"/>
    <n v="0"/>
    <n v="0"/>
    <n v="78122820"/>
    <n v="6"/>
    <s v="SIN ISAPRE"/>
    <s v="NVILLALO@AFPHABITAT.CL"/>
    <s v="13266639|78122820|302735|978331"/>
    <s v="GASTO FISICO"/>
    <b v="0"/>
    <s v="DEPOSITADO EN CUENTA"/>
  </r>
  <r>
    <s v="12 DE SEPTIEMBRE DE 2025"/>
    <x v="13"/>
    <s v="NATALIA ALEJANDRA VILLALOBOS ZAMORA"/>
    <n v="13266639"/>
    <s v="NATALIA ALEJANDRA VILLALOBOS ZAMORA"/>
    <d v="2025-03-01T00:00:00"/>
    <s v="DUPLICADO"/>
    <n v="302735"/>
    <n v="65213091"/>
    <n v="18060"/>
    <n v="0"/>
    <n v="18060"/>
    <n v="0"/>
    <n v="18060"/>
    <n v="302735"/>
    <n v="285123"/>
    <s v="CORP DE BIENESTAR DEL PERSONAL DE A F P"/>
    <d v="2025-03-01T00:00:00"/>
    <d v="2025-03-17T00:00:00"/>
    <d v="2025-01-10T00:00:00"/>
    <d v="2025-01-10T00:00:00"/>
    <s v="AMBULATORIOS"/>
    <n v="22753553"/>
    <n v="3251558"/>
    <n v="69156487"/>
    <s v="TRASSA"/>
    <n v="81591390"/>
    <n v="78017"/>
    <s v="SAL"/>
    <s v="AM12"/>
    <s v="MEDICAMENTOS DE MARCA"/>
    <s v="MEDICAMENTO NO GENERICO ( GRUPO ) "/>
    <s v="MEDICAMENTO"/>
    <n v="0"/>
    <n v="0"/>
    <n v="78122820"/>
    <n v="6"/>
    <s v="SIN ISAPRE"/>
    <s v="NVILLALO@AFPHABITAT.CL"/>
    <s v="13266639|78122820|302735|65213091"/>
    <s v="GASTO FISICO"/>
    <b v="0"/>
    <s v="DEPOSITADO EN CUENTA"/>
  </r>
  <r>
    <s v="12 DE SEPTIEMBRE DE 2025"/>
    <x v="20"/>
    <s v="MORALES MORA LILIAN"/>
    <n v="15756857"/>
    <s v="MORALES MORA LILIAN"/>
    <d v="2025-06-01T00:00:00"/>
    <s v="INICIAL"/>
    <n v="308304"/>
    <n v="1036462"/>
    <n v="24200"/>
    <n v="0"/>
    <n v="24200"/>
    <n v="0"/>
    <n v="14520"/>
    <n v="308304"/>
    <n v="285123"/>
    <s v="CORP DE BIENESTAR DEL PERSONAL DE A F P"/>
    <d v="2025-06-16T00:00:00"/>
    <d v="2025-06-16T12:15:26"/>
    <d v="2025-05-19T00:00:00"/>
    <d v="2025-05-19T00:00:00"/>
    <m/>
    <s v="-"/>
    <s v="-"/>
    <s v="-"/>
    <s v="TRASSA"/>
    <s v="-"/>
    <s v="-"/>
    <s v="SAL"/>
    <s v="AM20"/>
    <s v="MEDICAMENTO NO GENERICO ( GRUPO ) "/>
    <s v="MEDICAMENTO NO GENERICO ( GRUPO ) "/>
    <s v="MEDICAMENTO"/>
    <s v="GASTO FISICO"/>
    <s v="SCLR20256942970"/>
    <n v="76515070"/>
    <s v="-"/>
    <s v="-"/>
    <s v="LMORALES@AFPHABITAT.CL"/>
    <s v="15756857|76515070|308304|1036462"/>
    <s v="GASTO FISICO"/>
    <b v="1"/>
    <s v="DEPOSITADO EN CUENTA"/>
  </r>
  <r>
    <s v="12 DE SEPTIEMBRE DE 2025"/>
    <x v="20"/>
    <s v="MORALES MORA LILIAN"/>
    <n v="15756857"/>
    <s v="MORALES MORA LILIAN"/>
    <d v="2025-06-01T00:00:00"/>
    <s v="INICIAL"/>
    <n v="308304"/>
    <n v="1036462"/>
    <n v="14990"/>
    <n v="0"/>
    <n v="14990"/>
    <n v="0"/>
    <n v="8994"/>
    <n v="308304"/>
    <n v="285123"/>
    <s v="CORP DE BIENESTAR DEL PERSONAL DE A F P"/>
    <d v="2025-06-16T00:00:00"/>
    <d v="2025-06-16T12:15:26"/>
    <d v="2025-05-19T00:00:00"/>
    <d v="2025-05-19T00:00:00"/>
    <m/>
    <s v="-"/>
    <s v="-"/>
    <s v="-"/>
    <s v="TRASSA"/>
    <s v="-"/>
    <s v="-"/>
    <s v="SAL"/>
    <s v="AM20"/>
    <s v="MEDICAMENTO NO GENERICO ( GRUPO ) "/>
    <s v="MEDICAMENTO NO GENERICO ( GRUPO ) "/>
    <s v="MEDICAMENTO"/>
    <s v="GASTO FISICO"/>
    <s v="SCLR20256942970"/>
    <n v="76515070"/>
    <s v="-"/>
    <s v="-"/>
    <s v="LMORALES@AFPHABITAT.CL"/>
    <s v="15756857|76515070|308304|1036462"/>
    <s v="GASTO FISICO"/>
    <b v="1"/>
    <s v="DEPOSITADO EN CUENTA"/>
  </r>
  <r>
    <s v="12 DE SEPTIEMBRE DE 2025"/>
    <x v="20"/>
    <s v="LILIAN MORALES MORA"/>
    <n v="15756857"/>
    <s v="LILIAN MORALES MORA"/>
    <d v="2025-07-01T00:00:00"/>
    <s v="DUPLICADO"/>
    <n v="308304"/>
    <n v="66379974"/>
    <n v="23514"/>
    <n v="0"/>
    <n v="23514"/>
    <n v="0"/>
    <n v="23514"/>
    <n v="308304"/>
    <n v="285123"/>
    <s v="CORP DE BIENESTAR DEL PERSONAL DE A F P"/>
    <d v="2025-07-01T00:00:00"/>
    <d v="2025-07-01T00:00:00"/>
    <d v="2025-05-19T00:00:00"/>
    <d v="2025-05-19T00:00:00"/>
    <s v="AMBULATORIOS"/>
    <n v="23307170"/>
    <n v="7241739"/>
    <n v="70359545"/>
    <s v="TRASSA"/>
    <n v="214616093"/>
    <n v="79359"/>
    <s v="SAL"/>
    <s v="AM12"/>
    <s v="MEDICAMENTOS DE MARCA"/>
    <s v="MEDICAMENTO NO GENERICO ( GRUPO ) "/>
    <s v="MEDICAMENTO"/>
    <n v="0"/>
    <n v="0"/>
    <n v="76515070"/>
    <n v="1"/>
    <s v="SIN ISAPRE"/>
    <s v="LMORALES@AFPHABITAT.CL"/>
    <s v="15756857|76515070|308304|66379974"/>
    <s v="GASTO FISICO"/>
    <b v="0"/>
    <s v="DEPOSITADO EN CUENTA"/>
  </r>
  <r>
    <s v="12 DE SEPTIEMBRE DE 2025"/>
    <x v="21"/>
    <s v="ROSANA TERESA NAVARRO ARAVENA"/>
    <n v="14012986"/>
    <s v="ROSANA TERESA NAVARRO ARAVENA"/>
    <d v="2025-01-01T00:00:00"/>
    <s v="INICIAL"/>
    <n v="970932"/>
    <n v="970932"/>
    <n v="128644"/>
    <n v="77187"/>
    <n v="51457"/>
    <n v="0"/>
    <n v="51457"/>
    <n v="970932"/>
    <n v="285123"/>
    <s v="CORP DE BIENESTAR DEL PERSONAL DE A F P"/>
    <d v="2025-01-23T00:00:00"/>
    <d v="2025-01-23T00:00:00"/>
    <d v="2025-01-23T00:00:00"/>
    <d v="2025-01-23T00:00:00"/>
    <s v="AMBULATORIOS"/>
    <n v="22524762"/>
    <n v="1271320"/>
    <n v="68708174"/>
    <s v="TRASSA"/>
    <n v="26012025"/>
    <n v="77442"/>
    <s v="SAL"/>
    <s v="AM04"/>
    <s v="EXAMENES DE LABORATORIO"/>
    <s v="EXAMENES DE LABORATORIO"/>
    <s v="EXAMENES DE LABORATORIO"/>
    <s v="IMED SALUD"/>
    <n v="0"/>
    <n v="96770100"/>
    <n v="9"/>
    <s v="ESENCIAL S.A."/>
    <s v="RNAVARRA@AFPHABITAT.CL"/>
    <s v="14012986|96770100|970932|970932"/>
    <s v="IMED SALUD"/>
    <b v="1"/>
    <s v="APORTE VIA IMED"/>
  </r>
  <r>
    <s v="12 DE SEPTIEMBRE DE 2025"/>
    <x v="21"/>
    <s v="ROSANA TERESA NAVARRO ARAVENA"/>
    <n v="14012986"/>
    <s v="ROSANA TERESA NAVARRO ARAVENA"/>
    <d v="2025-03-01T00:00:00"/>
    <s v="DUPLICADO"/>
    <n v="970932"/>
    <n v="65384193"/>
    <n v="51460"/>
    <n v="0"/>
    <n v="51460"/>
    <n v="0"/>
    <n v="51460"/>
    <n v="970932"/>
    <n v="285123"/>
    <s v="CORP DE BIENESTAR DEL PERSONAL DE A F P"/>
    <d v="2025-03-01T00:00:00"/>
    <d v="2025-03-26T00:00:00"/>
    <d v="2025-01-23T00:00:00"/>
    <d v="2025-01-23T00:00:00"/>
    <s v="AMBULATORIOS"/>
    <n v="22770423"/>
    <n v="3311105"/>
    <n v="69251069"/>
    <s v="TRASSA"/>
    <n v="2650102760435"/>
    <n v="78070"/>
    <s v="SAL"/>
    <s v="AM04"/>
    <s v="EXAMENES DE LABORATORIO"/>
    <s v="EXAMENES DE LABORATORIO"/>
    <s v="EXAMENES DE LABORATORIO"/>
    <n v="0"/>
    <n v="0"/>
    <n v="96770100"/>
    <n v="9"/>
    <s v="SIN ISAPRE"/>
    <s v="RNAVARRA@AFPHABITAT.CL"/>
    <s v="14012986|96770100|970932|65384193"/>
    <s v="GASTO FISICO"/>
    <b v="0"/>
    <s v="DEPOSITADO EN CUENTA"/>
  </r>
  <r>
    <s v="12 DE SEPTIEMBRE DE 2025"/>
    <x v="21"/>
    <s v="ROSANA TERESA NAVARRO ARAVENA"/>
    <n v="14012986"/>
    <s v="ROSANA TERESA NAVARRO ARAVENA"/>
    <d v="2025-01-01T00:00:00"/>
    <s v="INICIAL"/>
    <n v="970933"/>
    <n v="970933"/>
    <n v="262190"/>
    <n v="197078"/>
    <n v="65112"/>
    <n v="0"/>
    <n v="65112"/>
    <n v="970933"/>
    <n v="285123"/>
    <s v="CORP DE BIENESTAR DEL PERSONAL DE A F P"/>
    <d v="2025-01-23T00:00:00"/>
    <d v="2025-01-23T00:00:00"/>
    <d v="2025-01-23T00:00:00"/>
    <d v="2025-01-23T00:00:00"/>
    <s v="AMBULATORIOS"/>
    <n v="22524762"/>
    <n v="1271320"/>
    <n v="68708173"/>
    <s v="TRASSA"/>
    <n v="26012025"/>
    <n v="77442"/>
    <s v="SAL"/>
    <s v="AM04"/>
    <s v="EXAMENES DE LABORATORIO"/>
    <s v="EXAMENES DE LABORATORIO"/>
    <s v="EXAMENES DE LABORATORIO"/>
    <s v="IMED SALUD"/>
    <n v="0"/>
    <n v="96770100"/>
    <n v="9"/>
    <s v="ESENCIAL S.A."/>
    <s v="RNAVARRA@AFPHABITAT.CL"/>
    <s v="14012986|96770100|970933|970933"/>
    <s v="IMED SALUD"/>
    <b v="1"/>
    <s v="APORTE VIA IMED"/>
  </r>
  <r>
    <s v="12 DE SEPTIEMBRE DE 2025"/>
    <x v="21"/>
    <s v="ROSANA TERESA NAVARRO ARAVENA"/>
    <n v="14012986"/>
    <s v="ROSANA TERESA NAVARRO ARAVENA"/>
    <d v="2025-03-01T00:00:00"/>
    <s v="DUPLICADO"/>
    <n v="970933"/>
    <n v="65384194"/>
    <n v="65285"/>
    <n v="0"/>
    <n v="65285"/>
    <n v="0"/>
    <n v="65285"/>
    <n v="970933"/>
    <n v="285123"/>
    <s v="CORP DE BIENESTAR DEL PERSONAL DE A F P"/>
    <d v="2025-03-01T00:00:00"/>
    <d v="2025-03-26T00:00:00"/>
    <d v="2025-01-23T00:00:00"/>
    <d v="2025-01-23T00:00:00"/>
    <s v="AMBULATORIOS"/>
    <n v="22770423"/>
    <n v="3311105"/>
    <n v="69251070"/>
    <s v="TRASSA"/>
    <n v="2650102760435"/>
    <n v="78070"/>
    <s v="SAL"/>
    <s v="AM04"/>
    <s v="EXAMENES DE LABORATORIO"/>
    <s v="EXAMENES DE LABORATORIO"/>
    <s v="EXAMENES DE LABORATORIO"/>
    <n v="0"/>
    <n v="0"/>
    <n v="96770100"/>
    <n v="9"/>
    <s v="SIN ISAPRE"/>
    <s v="RNAVARRA@AFPHABITAT.CL"/>
    <s v="14012986|96770100|970933|65384194"/>
    <s v="GASTO FISICO"/>
    <b v="0"/>
    <s v="DEPOSITADO EN CUENTA"/>
  </r>
  <r>
    <s v="12 DE SEPTIEMBRE DE 2025"/>
    <x v="21"/>
    <s v="ROSANA TERESA NAVARRO ARAVENA"/>
    <n v="14012986"/>
    <s v="ROSANA TERESA NAVARRO ARAVENA"/>
    <d v="2025-01-01T00:00:00"/>
    <s v="INICIAL"/>
    <n v="971121"/>
    <n v="971121"/>
    <n v="45491"/>
    <n v="36393"/>
    <n v="9098"/>
    <n v="0"/>
    <n v="9098"/>
    <n v="971121"/>
    <n v="285123"/>
    <s v="CORP DE BIENESTAR DEL PERSONAL DE A F P"/>
    <d v="2025-01-23T00:00:00"/>
    <d v="2025-01-23T00:00:00"/>
    <d v="2025-01-23T00:00:00"/>
    <d v="2025-01-23T00:00:00"/>
    <s v="AMBULATORIOS"/>
    <n v="22524762"/>
    <n v="1271320"/>
    <n v="68708261"/>
    <s v="TRASSA"/>
    <n v="26012025"/>
    <n v="77442"/>
    <s v="SAL"/>
    <s v="AM07"/>
    <s v="PROCEDIMIENTOS TERAPEUTICOS"/>
    <s v="PROCEDIMIENTOS TERAPEUTICOS"/>
    <s v="PROCEDIMIENTOS TERAPEUTICOS"/>
    <s v="IMED SALUD"/>
    <n v="0"/>
    <n v="76436880"/>
    <n v="0"/>
    <s v="ESENCIAL S.A."/>
    <s v="RNAVARRA@AFPHABITAT.CL"/>
    <s v="14012986|76436880|971121|971121"/>
    <s v="IMED SALUD"/>
    <b v="1"/>
    <s v="APORTE VIA IMED"/>
  </r>
  <r>
    <s v="12 DE SEPTIEMBRE DE 2025"/>
    <x v="21"/>
    <s v="ROSANA TERESA NAVARRO ARAVENA"/>
    <n v="14012986"/>
    <s v="ROSANA TERESA NAVARRO ARAVENA"/>
    <d v="2025-03-01T00:00:00"/>
    <s v="DUPLICADO"/>
    <n v="971121"/>
    <n v="65384195"/>
    <n v="8832"/>
    <n v="0"/>
    <n v="8832"/>
    <n v="0"/>
    <n v="8832"/>
    <n v="971121"/>
    <n v="285123"/>
    <s v="CORP DE BIENESTAR DEL PERSONAL DE A F P"/>
    <d v="2025-03-01T00:00:00"/>
    <d v="2025-03-26T00:00:00"/>
    <d v="2025-01-23T00:00:00"/>
    <d v="2025-01-23T00:00:00"/>
    <s v="AMBULATORIOS"/>
    <n v="22770423"/>
    <n v="3311105"/>
    <n v="69251071"/>
    <s v="TRASSA"/>
    <n v="2650102760435"/>
    <n v="78070"/>
    <s v="SAL"/>
    <s v="AM07"/>
    <s v="PROCEDIMIENTOS TERAPEUTICOS"/>
    <s v="PROCEDIMIENTOS TERAPEUTICOS"/>
    <s v="PROCEDIMIENTOS TERAPEUTICOS"/>
    <n v="0"/>
    <n v="0"/>
    <n v="76436880"/>
    <n v="0"/>
    <s v="SIN ISAPRE"/>
    <s v="RNAVARRA@AFPHABITAT.CL"/>
    <s v="14012986|76436880|971121|65384195"/>
    <s v="GASTO FISICO"/>
    <b v="0"/>
    <s v="DEPOSITADO EN CUENTA"/>
  </r>
  <r>
    <s v="12 DE SEPTIEMBRE DE 2025"/>
    <x v="21"/>
    <s v="ROSANA TERESA NAVARRO ARAVENA"/>
    <n v="14012986"/>
    <s v="ROSANA TERESA NAVARRO ARAVENA"/>
    <d v="2025-01-01T00:00:00"/>
    <s v="INICIAL"/>
    <n v="983507"/>
    <n v="983507"/>
    <n v="258512"/>
    <n v="206810"/>
    <n v="51702"/>
    <n v="0"/>
    <n v="51702"/>
    <n v="983507"/>
    <n v="285123"/>
    <s v="CORP DE BIENESTAR DEL PERSONAL DE A F P"/>
    <d v="2025-01-30T00:00:00"/>
    <d v="2025-01-30T00:00:00"/>
    <d v="2025-01-30T00:00:00"/>
    <d v="2025-01-30T00:00:00"/>
    <s v="AMBULATORIOS"/>
    <n v="22560966"/>
    <n v="2040929"/>
    <n v="68810013"/>
    <s v="TRASSA"/>
    <n v="2022025"/>
    <n v="77562"/>
    <s v="SAL"/>
    <s v="AM05"/>
    <s v="EXAMENES RADIOLOGICOS"/>
    <s v="EXAMENES RADIOLOGICOS"/>
    <s v="EXAMENES RADIOLOGICOS"/>
    <s v="IMED SALUD"/>
    <n v="0"/>
    <n v="76436880"/>
    <n v="0"/>
    <s v="ESENCIAL S.A."/>
    <s v="RNAVARRA@AFPHABITAT.CL"/>
    <s v="14012986|76436880|983507|983507"/>
    <s v="IMED SALUD"/>
    <b v="1"/>
    <s v="APORTE VIA IMED"/>
  </r>
  <r>
    <s v="12 DE SEPTIEMBRE DE 2025"/>
    <x v="21"/>
    <s v="ROSANA TERESA NAVARRO ARAVENA"/>
    <n v="14012986"/>
    <s v="ROSANA TERESA NAVARRO ARAVENA"/>
    <d v="2025-03-01T00:00:00"/>
    <s v="DUPLICADO"/>
    <n v="983507"/>
    <n v="65384196"/>
    <n v="51438"/>
    <n v="0"/>
    <n v="51438"/>
    <n v="0"/>
    <n v="13435"/>
    <n v="983507"/>
    <n v="285123"/>
    <s v="CORP DE BIENESTAR DEL PERSONAL DE A F P"/>
    <d v="2025-03-01T00:00:00"/>
    <d v="2025-03-26T00:00:00"/>
    <d v="2025-01-30T00:00:00"/>
    <d v="2025-01-30T00:00:00"/>
    <s v="AMBULATORIOS"/>
    <n v="22770473"/>
    <n v="3311105"/>
    <n v="69251072"/>
    <s v="TRASSA"/>
    <n v="2650102760435"/>
    <n v="78070"/>
    <s v="SAL"/>
    <s v="AM05"/>
    <s v="EXAMENES RADIOLOGICOS"/>
    <s v="EXAMENES RADIOLOGICOS"/>
    <s v="EXAMENES RADIOLOGICOS"/>
    <n v="0"/>
    <n v="0"/>
    <n v="76436880"/>
    <n v="0"/>
    <s v="SIN ISAPRE"/>
    <s v="RNAVARRA@AFPHABITAT.CL"/>
    <s v="14012986|76436880|983507|65384196"/>
    <s v="GASTO FISICO"/>
    <b v="0"/>
    <s v="DEPOSITADO EN CUENTA"/>
  </r>
  <r>
    <s v="12 DE SEPTIEMBRE DE 2025"/>
    <x v="22"/>
    <s v="JAVIER GONZALEZ HOFFMUNTER"/>
    <n v="14118544"/>
    <s v="JAVIER GONZALEZ HOFFMUNTER"/>
    <d v="2025-02-01T00:00:00"/>
    <s v="INICIAL"/>
    <n v="988248"/>
    <n v="988248"/>
    <n v="677864"/>
    <n v="546978"/>
    <n v="130886"/>
    <n v="0"/>
    <n v="130886"/>
    <n v="988248"/>
    <n v="285123"/>
    <s v="CORP DE BIENESTAR DEL PERSONAL DE A F P"/>
    <d v="2025-02-01T00:00:00"/>
    <d v="2025-02-01T00:00:00"/>
    <d v="2025-02-01T00:00:00"/>
    <d v="2025-02-01T00:00:00"/>
    <s v="AMBULATORIOS"/>
    <n v="22566108"/>
    <n v="2101551"/>
    <n v="68819853"/>
    <s v="TRASSA"/>
    <n v="9022025"/>
    <n v="77586"/>
    <s v="SAL"/>
    <s v="AM05"/>
    <s v="EXAMENES RADIOLOGICOS"/>
    <s v="EXAMENES RADIOLOGICOS"/>
    <s v="EXAMENES RADIOLOGICOS"/>
    <s v="IMED SALUD"/>
    <n v="0"/>
    <n v="76436880"/>
    <n v="0"/>
    <s v="ESENCIAL S.A."/>
    <s v="JAVIER.GONZALEZ.HOFFMEISTER@AFPHABITAT.CL"/>
    <s v="14118544|76436880|988248|988248"/>
    <s v="IMED SALUD"/>
    <b v="1"/>
    <s v="APORTE VIA IMED"/>
  </r>
  <r>
    <s v="12 DE SEPTIEMBRE DE 2025"/>
    <x v="22"/>
    <s v="JAVIER GONZALEZ HOFFMUNTER"/>
    <n v="14118544"/>
    <s v="JAVIER GONZALEZ HOFFMUNTER"/>
    <d v="2025-03-01T00:00:00"/>
    <s v="DUPLICADO"/>
    <n v="988248"/>
    <n v="65384204"/>
    <n v="130882"/>
    <n v="0"/>
    <n v="130882"/>
    <n v="0"/>
    <n v="130882"/>
    <n v="988248"/>
    <n v="285123"/>
    <s v="CORP DE BIENESTAR DEL PERSONAL DE A F P"/>
    <d v="2025-03-01T00:00:00"/>
    <d v="2025-03-26T00:00:00"/>
    <d v="2025-02-01T00:00:00"/>
    <d v="2025-02-01T00:00:00"/>
    <s v="AMBULATORIOS"/>
    <n v="22770509"/>
    <n v="3311105"/>
    <n v="69251079"/>
    <s v="TRASSA"/>
    <n v="976051386"/>
    <n v="78070"/>
    <s v="SAL"/>
    <s v="AM05"/>
    <s v="EXAMENES RADIOLOGICOS"/>
    <s v="EXAMENES RADIOLOGICOS"/>
    <s v="EXAMENES RADIOLOGICOS"/>
    <n v="0"/>
    <n v="0"/>
    <n v="76436880"/>
    <n v="0"/>
    <s v="SIN ISAPRE"/>
    <s v="JAVIER.GONZALEZ.HOFFMEISTER@AFPHABITAT.CL"/>
    <s v="14118544|76436880|988248|65384204"/>
    <s v="GASTO FISICO"/>
    <b v="0"/>
    <s v="DEPOSITADO EN CUENTA"/>
  </r>
  <r>
    <s v="12 DE SEPTIEMBRE DE 2025"/>
    <x v="22"/>
    <s v="JAVIER GONZALEZ HOFFMUNTER"/>
    <n v="14118544"/>
    <s v="JAVIER GONZALEZ HOFFMUNTER"/>
    <d v="2025-02-01T00:00:00"/>
    <s v="INICIAL"/>
    <n v="988309"/>
    <n v="988309"/>
    <n v="217259"/>
    <n v="184671"/>
    <n v="32588"/>
    <n v="0"/>
    <n v="32588"/>
    <n v="988309"/>
    <n v="285123"/>
    <s v="CORP DE BIENESTAR DEL PERSONAL DE A F P"/>
    <d v="2025-02-01T00:00:00"/>
    <d v="2025-02-01T00:00:00"/>
    <d v="2025-02-01T00:00:00"/>
    <d v="2025-02-01T00:00:00"/>
    <s v="AMBULATORIOS"/>
    <n v="22566108"/>
    <n v="2101551"/>
    <n v="68819903"/>
    <s v="TRASSA"/>
    <n v="9022025"/>
    <n v="77586"/>
    <s v="SAL"/>
    <s v="AM05"/>
    <s v="EXAMENES RADIOLOGICOS"/>
    <s v="EXAMENES RADIOLOGICOS"/>
    <s v="EXAMENES RADIOLOGICOS"/>
    <s v="IMED SALUD"/>
    <n v="0"/>
    <n v="76436880"/>
    <n v="0"/>
    <s v="ESENCIAL S.A."/>
    <s v="JAVIER.GONZALEZ.HOFFMEISTER@AFPHABITAT.CL"/>
    <s v="14118544|76436880|988309|988309"/>
    <s v="IMED SALUD"/>
    <b v="1"/>
    <s v="APORTE VIA IMED"/>
  </r>
  <r>
    <s v="12 DE SEPTIEMBRE DE 2025"/>
    <x v="22"/>
    <s v="JAVIER GONZALEZ HOFFMUNTER"/>
    <n v="14118544"/>
    <s v="JAVIER GONZALEZ HOFFMUNTER"/>
    <d v="2025-03-01T00:00:00"/>
    <s v="DUPLICADO"/>
    <n v="988309"/>
    <n v="65384205"/>
    <n v="32240"/>
    <n v="0"/>
    <n v="32240"/>
    <n v="0"/>
    <n v="32240"/>
    <n v="988309"/>
    <n v="285123"/>
    <s v="CORP DE BIENESTAR DEL PERSONAL DE A F P"/>
    <d v="2025-03-01T00:00:00"/>
    <d v="2025-03-26T00:00:00"/>
    <d v="2025-02-01T00:00:00"/>
    <d v="2025-02-01T00:00:00"/>
    <s v="AMBULATORIOS"/>
    <n v="22770509"/>
    <n v="3311105"/>
    <n v="69251080"/>
    <s v="TRASSA"/>
    <n v="976051386"/>
    <n v="78070"/>
    <s v="SAL"/>
    <s v="AM05"/>
    <s v="EXAMENES RADIOLOGICOS"/>
    <s v="EXAMENES RADIOLOGICOS"/>
    <s v="EXAMENES RADIOLOGICOS"/>
    <n v="0"/>
    <n v="0"/>
    <n v="76436880"/>
    <n v="0"/>
    <s v="SIN ISAPRE"/>
    <s v="JAVIER.GONZALEZ.HOFFMEISTER@AFPHABITAT.CL"/>
    <s v="14118544|76436880|988309|65384205"/>
    <s v="GASTO FISICO"/>
    <b v="0"/>
    <s v="DEPOSITADO EN CUENTA"/>
  </r>
  <r>
    <s v="12 DE SEPTIEMBRE DE 2025"/>
    <x v="23"/>
    <s v="OYARZUN SILVA JORGE"/>
    <n v="21465621"/>
    <s v="OYARZUN BUSTAMANTE VALERIA"/>
    <d v="2025-06-01T00:00:00"/>
    <s v="INICIAL"/>
    <n v="1128157"/>
    <n v="1036471"/>
    <n v="14413"/>
    <n v="0"/>
    <n v="14413"/>
    <n v="0"/>
    <n v="14413"/>
    <n v="1128157"/>
    <n v="285123"/>
    <s v="CORP DE BIENESTAR DEL PERSONAL DE A F P"/>
    <d v="2025-06-16T00:00:00"/>
    <d v="2025-06-16T11:56:02"/>
    <d v="2025-05-24T00:00:00"/>
    <d v="2025-05-24T00:00:00"/>
    <m/>
    <s v="-"/>
    <s v="-"/>
    <s v="-"/>
    <s v="TRASSA"/>
    <s v="-"/>
    <s v="-"/>
    <s v="SAL"/>
    <s v="AM12"/>
    <s v="MEDICAMENTOS"/>
    <s v="MEDICAMENTO NO GENERICO ( GRUPO ) "/>
    <s v="MEDICAMENTO"/>
    <s v="GASTO FISICO"/>
    <s v="SCL20256942985"/>
    <n v="76098454"/>
    <s v="-"/>
    <s v="-"/>
    <s v="JOYARZUN@AFPHABITAT.CL"/>
    <s v="11478198|76098454|1128157|1036471"/>
    <s v="GASTO FISICO"/>
    <b v="1"/>
    <s v="DEPOSITADO EN CUENTA"/>
  </r>
  <r>
    <s v="12 DE SEPTIEMBRE DE 2025"/>
    <x v="23"/>
    <s v="JORGE OYARZUN SILVA"/>
    <n v="21465621"/>
    <s v="VALERIA OYARZUN BUSTAMANTE"/>
    <d v="2025-07-01T00:00:00"/>
    <s v="DUPLICADO"/>
    <n v="1128157"/>
    <n v="66380297"/>
    <n v="14413"/>
    <n v="0"/>
    <n v="14413"/>
    <n v="0"/>
    <n v="14413"/>
    <n v="1128157"/>
    <n v="285123"/>
    <s v="CORP DE BIENESTAR DEL PERSONAL DE A F P"/>
    <d v="2025-07-01T00:00:00"/>
    <d v="2025-07-01T00:00:00"/>
    <d v="2025-05-24T00:00:00"/>
    <d v="2025-05-24T00:00:00"/>
    <s v="HOSPITALIZACION"/>
    <n v="23307108"/>
    <n v="7241739"/>
    <n v="70359601"/>
    <s v="TRASSA"/>
    <n v="11478198"/>
    <n v="79359"/>
    <s v="SAL"/>
    <s v="HO07"/>
    <s v="DERECHO A PABELLÓN"/>
    <s v="H.M.Q. Y SERVICIOS HOSPITALARIOS "/>
    <s v="H.M.Q. Y SERVICIOS HOSPITALARIOS "/>
    <n v="0"/>
    <n v="0"/>
    <n v="76098454"/>
    <s v="K"/>
    <s v="SIN ISAPRE"/>
    <s v="JOYARZUN@AFPHABITAT.CL"/>
    <s v="11478198|76098454|1128157|66380297"/>
    <s v="GASTO FISICO"/>
    <b v="0"/>
    <s v="DEPOSITADO EN CUENTA"/>
  </r>
  <r>
    <s v="12 DE SEPTIEMBRE DE 2025"/>
    <x v="24"/>
    <s v="MARIA VALDES DEL PINP"/>
    <n v="12407583"/>
    <s v="MARIA VALDES DEL PINP"/>
    <d v="2025-02-01T00:00:00"/>
    <s v="INICIAL"/>
    <n v="2131977"/>
    <n v="978113"/>
    <n v="19640"/>
    <n v="0"/>
    <n v="19640"/>
    <n v="0"/>
    <n v="19640"/>
    <n v="2131977"/>
    <n v="285123"/>
    <s v="CORP DE BIENESTAR DEL PERSONAL DE A F P"/>
    <d v="2025-02-01T00:00:00"/>
    <d v="2025-02-06T00:00:00"/>
    <d v="2025-01-16T00:00:00"/>
    <d v="2025-01-16T00:00:00"/>
    <s v="AMBULATORIOS"/>
    <n v="22562386"/>
    <n v="2111044"/>
    <n v="68847539"/>
    <s v="TRASSA"/>
    <n v="2030804"/>
    <n v="77579"/>
    <s v="SAL"/>
    <s v="AM67"/>
    <s v="MEDICAMENTOS BIOEQUIVALENTES GENERICO"/>
    <s v="MEDICAMENTO NO GENERICO ( GRUPO ) "/>
    <s v="MEDICAMENTO"/>
    <n v="0"/>
    <n v="0"/>
    <n v="76573076"/>
    <n v="7"/>
    <s v="SIN ISAPRE"/>
    <s v="MVALDES@AFPHABITAT.CL"/>
    <s v="12407583|76573076|2131977|978113"/>
    <s v="GASTO FISICO"/>
    <b v="0"/>
    <s v="DEPOSITADO EN CUENTA"/>
  </r>
  <r>
    <s v="12 DE SEPTIEMBRE DE 2025"/>
    <x v="24"/>
    <s v="MARIA VALDES DEL PINP"/>
    <n v="12407583"/>
    <s v="MARIA VALDES DEL PINP"/>
    <d v="2025-02-01T00:00:00"/>
    <s v="INICIAL"/>
    <n v="2131977"/>
    <n v="978113"/>
    <n v="21060"/>
    <n v="0"/>
    <n v="21060"/>
    <n v="0"/>
    <n v="21060"/>
    <n v="2131977"/>
    <n v="285123"/>
    <s v="CORP DE BIENESTAR DEL PERSONAL DE A F P"/>
    <d v="2025-02-01T00:00:00"/>
    <d v="2025-02-06T00:00:00"/>
    <d v="2025-01-16T00:00:00"/>
    <d v="2025-01-16T00:00:00"/>
    <s v="AMBULATORIOS"/>
    <n v="22562386"/>
    <n v="2111044"/>
    <n v="68847539"/>
    <s v="TRASSA"/>
    <n v="2030804"/>
    <n v="77579"/>
    <s v="SAL"/>
    <s v="AM13"/>
    <s v="MEDICAMENTOS GENÉRICOS"/>
    <s v="MEDICAMENTO NO GENERICO ( GRUPO ) "/>
    <s v="MEDICAMENTO"/>
    <n v="0"/>
    <n v="0"/>
    <n v="76573076"/>
    <n v="7"/>
    <s v="SIN ISAPRE"/>
    <s v="MVALDES@AFPHABITAT.CL"/>
    <s v="12407583|76573076|2131977|978113"/>
    <s v="GASTO FISICO"/>
    <b v="0"/>
    <s v="DEPOSITADO EN CUENTA"/>
  </r>
  <r>
    <s v="12 DE SEPTIEMBRE DE 2025"/>
    <x v="24"/>
    <s v="MARIA VALDES DEL PINP"/>
    <n v="12407583"/>
    <s v="MARIA VALDES DEL PINP"/>
    <d v="2025-03-01T00:00:00"/>
    <s v="DUPLICADO"/>
    <n v="2131977"/>
    <n v="65213062"/>
    <n v="17289"/>
    <n v="0"/>
    <n v="17289"/>
    <n v="0"/>
    <n v="17289"/>
    <n v="2131977"/>
    <n v="285123"/>
    <s v="CORP DE BIENESTAR DEL PERSONAL DE A F P"/>
    <d v="2025-03-01T00:00:00"/>
    <d v="2025-03-17T00:00:00"/>
    <d v="2025-01-16T00:00:00"/>
    <d v="2025-01-16T00:00:00"/>
    <s v="AMBULATORIOS"/>
    <n v="22753578"/>
    <n v="3251558"/>
    <n v="69156461"/>
    <s v="TRASSA"/>
    <n v="2030804"/>
    <n v="78017"/>
    <s v="SAL"/>
    <s v="AM13"/>
    <s v="MEDICAMENTOS GENÉRICOS"/>
    <s v="MEDICAMENTO NO GENERICO ( GRUPO ) "/>
    <s v="MEDICAMENTO"/>
    <n v="0"/>
    <n v="0"/>
    <n v="76573076"/>
    <n v="7"/>
    <s v="SIN ISAPRE"/>
    <s v="MVALDES@AFPHABITAT.CL"/>
    <s v="12407583|76573076|2131977|65213062"/>
    <s v="GASTO FISICO"/>
    <b v="0"/>
    <s v="DEPOSITADO EN CUENTA"/>
  </r>
  <r>
    <s v="12 DE SEPTIEMBRE DE 2025"/>
    <x v="24"/>
    <s v="MARIA VALDES DEL PINP"/>
    <n v="12407583"/>
    <s v="MARIA VALDES DEL PINP"/>
    <d v="2025-03-01T00:00:00"/>
    <s v="DUPLICADO"/>
    <n v="2131977"/>
    <n v="65213062"/>
    <n v="21131"/>
    <n v="0"/>
    <n v="21131"/>
    <n v="0"/>
    <n v="21131"/>
    <n v="2131977"/>
    <n v="285123"/>
    <s v="CORP DE BIENESTAR DEL PERSONAL DE A F P"/>
    <d v="2025-03-01T00:00:00"/>
    <d v="2025-03-17T00:00:00"/>
    <d v="2025-01-16T00:00:00"/>
    <d v="2025-01-16T00:00:00"/>
    <s v="AMBULATORIOS"/>
    <n v="22753578"/>
    <n v="3251558"/>
    <n v="69156461"/>
    <s v="TRASSA"/>
    <n v="2030804"/>
    <n v="78017"/>
    <s v="SAL"/>
    <s v="AM67"/>
    <s v="MEDICAMENTOS BIOEQUIVALENTES GENERICO"/>
    <s v="MEDICAMENTO NO GENERICO ( GRUPO ) "/>
    <s v="MEDICAMENTO"/>
    <n v="0"/>
    <n v="0"/>
    <n v="76573076"/>
    <n v="7"/>
    <s v="SIN ISAPRE"/>
    <s v="MVALDES@AFPHABITAT.CL"/>
    <s v="12407583|76573076|2131977|65213062"/>
    <s v="GASTO FISICO"/>
    <b v="0"/>
    <s v="DEPOSITADO EN CUENTA"/>
  </r>
  <r>
    <s v="12 DE SEPTIEMBRE DE 2025"/>
    <x v="25"/>
    <s v="MAURICIO GARRIDO SOZA"/>
    <n v="8995724"/>
    <s v="MAURICIO GARRIDO SOZA"/>
    <d v="2025-02-01T00:00:00"/>
    <s v="INICIAL"/>
    <n v="2169165"/>
    <n v="983720"/>
    <n v="35980"/>
    <n v="14792"/>
    <n v="21188"/>
    <n v="0"/>
    <n v="21188"/>
    <n v="2169165"/>
    <n v="285123"/>
    <s v="CORP DE BIENESTAR DEL PERSONAL DE A F P"/>
    <d v="2025-02-11T00:00:00"/>
    <d v="2025-02-12T00:00:00"/>
    <d v="2025-01-26T00:00:00"/>
    <d v="2025-01-26T00:00:00"/>
    <s v="AMBULATORIOS"/>
    <n v="22590861"/>
    <n v="2171726"/>
    <n v="68885009"/>
    <s v="TRASSA"/>
    <n v="4101448"/>
    <n v="77628"/>
    <s v="SAL"/>
    <s v="AM12"/>
    <s v="MEDICAMENTOS DE MARCA"/>
    <s v="MEDICAMENTO NO GENERICO ( GRUPO ) "/>
    <s v="MEDICAMENTO"/>
    <n v="0"/>
    <n v="0"/>
    <n v="77140177"/>
    <n v="5"/>
    <s v="SIN ISAPRE"/>
    <s v="MGARRIDO@AFPHABITAT.CL"/>
    <s v="8995724|77140177|2169165|983720"/>
    <s v="GASTO FISICO"/>
    <b v="0"/>
    <s v="DEPOSITADO EN CUENTA"/>
  </r>
  <r>
    <s v="12 DE SEPTIEMBRE DE 2025"/>
    <x v="25"/>
    <s v="MAURICIO GARRIDO SOZA"/>
    <n v="8995724"/>
    <s v="MAURICIO GARRIDO SOZA"/>
    <d v="2025-03-01T00:00:00"/>
    <s v="DUPLICADO"/>
    <n v="2169165"/>
    <n v="65212934"/>
    <n v="11900"/>
    <n v="0"/>
    <n v="11900"/>
    <n v="0"/>
    <n v="11900"/>
    <n v="2169165"/>
    <n v="285123"/>
    <s v="CORP DE BIENESTAR DEL PERSONAL DE A F P"/>
    <d v="2025-03-01T00:00:00"/>
    <d v="2025-03-17T00:00:00"/>
    <d v="2025-01-29T00:00:00"/>
    <d v="2025-01-29T00:00:00"/>
    <s v="AMBULATORIOS"/>
    <n v="22753663"/>
    <n v="3251558"/>
    <n v="69156344"/>
    <s v="TRASSA"/>
    <n v="4101448"/>
    <n v="78017"/>
    <s v="SAL"/>
    <s v="AM13"/>
    <s v="MEDICAMENTOS GENÉRICOS"/>
    <s v="MEDICAMENTO NO GENERICO ( GRUPO ) "/>
    <s v="MEDICAMENTO"/>
    <n v="0"/>
    <n v="0"/>
    <n v="76573076"/>
    <n v="7"/>
    <s v="SIN ISAPRE"/>
    <s v="MGARRIDO@AFPHABITAT.CL"/>
    <s v="8995724|76573076|2169165|65212934"/>
    <s v="GASTO FISICO"/>
    <b v="0"/>
    <s v="DEPOSITADO EN CUENTA"/>
  </r>
  <r>
    <s v="12 DE SEPTIEMBRE DE 2025"/>
    <x v="26"/>
    <s v="GABRIELA ARAVENA VILLALON"/>
    <n v="13999930"/>
    <s v="GABRIELA ARAVENA VILLALON"/>
    <d v="2025-02-01T00:00:00"/>
    <s v="INICIAL"/>
    <n v="2346167"/>
    <n v="987158"/>
    <n v="76265"/>
    <n v="43321"/>
    <n v="32944"/>
    <n v="0"/>
    <n v="32944"/>
    <n v="2346167"/>
    <n v="285123"/>
    <s v="CORP DE BIENESTAR DEL PERSONAL DE A F P"/>
    <d v="2025-02-20T00:00:00"/>
    <d v="2025-02-21T00:00:00"/>
    <d v="2025-02-11T00:00:00"/>
    <d v="2025-02-11T00:00:00"/>
    <s v="AMBULATORIOS"/>
    <n v="22616429"/>
    <n v="2251257"/>
    <n v="68923308"/>
    <s v="TRASSA"/>
    <n v="970753966"/>
    <n v="77692"/>
    <s v="SAL"/>
    <s v="AM04"/>
    <s v="EXAMENES DE LABORATORIO"/>
    <s v="EXAMENES DE LABORATORIO"/>
    <s v="EXAMENES DE LABORATORIO"/>
    <n v="0"/>
    <n v="0"/>
    <n v="96986050"/>
    <n v="3"/>
    <s v="NUEVA MASVIDA"/>
    <s v="GARAVENV@AFPHABITAT.CL"/>
    <s v="13999930|96986050|2346167|987158"/>
    <s v="GASTO FISICO"/>
    <b v="0"/>
    <s v="DEPOSITADO EN CUENTA"/>
  </r>
  <r>
    <s v="12 DE SEPTIEMBRE DE 2025"/>
    <x v="26"/>
    <s v="GABRIELA ARAVENA VILLALON"/>
    <n v="13999930"/>
    <s v="GABRIELA ARAVENA VILLALON"/>
    <d v="2025-03-01T00:00:00"/>
    <s v="DUPLICADO"/>
    <n v="2346167"/>
    <n v="65213121"/>
    <n v="9221"/>
    <n v="0"/>
    <n v="9221"/>
    <n v="0"/>
    <n v="9221"/>
    <n v="2346167"/>
    <n v="285123"/>
    <s v="CORP DE BIENESTAR DEL PERSONAL DE A F P"/>
    <d v="2025-03-01T00:00:00"/>
    <d v="2025-03-17T00:00:00"/>
    <d v="2025-02-11T00:00:00"/>
    <d v="2025-02-11T00:00:00"/>
    <s v="AMBULATORIOS"/>
    <n v="22753763"/>
    <n v="3251558"/>
    <n v="69156514"/>
    <s v="TRASSA"/>
    <n v="970753966"/>
    <n v="78017"/>
    <s v="SAL"/>
    <s v="AM04"/>
    <s v="EXAMENES DE LABORATORIO"/>
    <s v="EXAMENES DE LABORATORIO"/>
    <s v="EXAMENES DE LABORATORIO"/>
    <n v="0"/>
    <n v="0"/>
    <n v="96986050"/>
    <n v="3"/>
    <s v="SIN ISAPRE"/>
    <s v="GARAVENV@AFPHABITAT.CL"/>
    <s v="13999930|96986050|2346167|65213121"/>
    <s v="GASTO FISICO"/>
    <b v="0"/>
    <s v="DEPOSITADO EN CUENTA"/>
  </r>
  <r>
    <s v="12 DE SEPTIEMBRE DE 2025"/>
    <x v="27"/>
    <s v="SEYMOUR SECALL TIARE"/>
    <n v="18307619"/>
    <s v="SEYMOUR SECALL TIARE"/>
    <d v="2025-06-01T00:00:00"/>
    <s v="INICIAL"/>
    <n v="2404072"/>
    <n v="1040673"/>
    <n v="5493"/>
    <n v="3845"/>
    <n v="1648"/>
    <n v="0"/>
    <n v="824"/>
    <n v="2404072"/>
    <n v="285123"/>
    <s v="CORP DE BIENESTAR DEL PERSONAL DE A F P"/>
    <d v="2025-06-25T00:00:00"/>
    <d v="2025-06-25T16:38:00"/>
    <d v="2025-04-29T00:00:00"/>
    <d v="2025-04-29T00:00:00"/>
    <m/>
    <s v="-"/>
    <s v="-"/>
    <s v="-"/>
    <s v="TRASSA"/>
    <s v="-"/>
    <s v="-"/>
    <s v="SAL"/>
    <s v="AM04"/>
    <s v="EXAMENES DE LABORATORIO"/>
    <s v="EXAMENES DE LABORATORIO"/>
    <s v="EXAMENES DE LABORATORIO"/>
    <s v="GASTO FISICO"/>
    <s v="SCL20256959668"/>
    <n v="96986050"/>
    <s v="-"/>
    <s v="-"/>
    <s v="TSEYMOUR@AFPHABITAT.CL"/>
    <s v="18307619|96986050|2404072|1040673"/>
    <s v="GASTO FISICO"/>
    <b v="1"/>
    <s v="DEPOSITADO EN CUENTA"/>
  </r>
  <r>
    <s v="12 DE SEPTIEMBRE DE 2025"/>
    <x v="27"/>
    <s v="TIARE SEYMOUR SECALL"/>
    <n v="18307619"/>
    <s v="TIARE SEYMOUR SECALL"/>
    <d v="2025-07-01T00:00:00"/>
    <s v="DUPLICADO"/>
    <n v="2404072"/>
    <n v="66380825"/>
    <n v="824"/>
    <n v="0"/>
    <n v="824"/>
    <n v="0"/>
    <n v="824"/>
    <n v="2404072"/>
    <n v="285123"/>
    <s v="CORP DE BIENESTAR DEL PERSONAL DE A F P"/>
    <d v="2025-07-01T00:00:00"/>
    <d v="2025-07-01T00:00:00"/>
    <d v="2025-04-29T00:00:00"/>
    <d v="2025-04-29T00:00:00"/>
    <s v="AMBULATORIOS"/>
    <n v="23307201"/>
    <n v="7241739"/>
    <n v="70359717"/>
    <s v="TRASSA"/>
    <n v="226499717"/>
    <n v="79359"/>
    <s v="SAL"/>
    <s v="AM04"/>
    <s v="EXAMENES DE LABORATORIO"/>
    <s v="EXAMENES DE LABORATORIO"/>
    <s v="EXAMENES DE LABORATORIO"/>
    <n v="0"/>
    <n v="0"/>
    <n v="96986050"/>
    <n v="3"/>
    <s v="SIN ISAPRE"/>
    <s v="TSEYMOUR@AFPHABITAT.CL"/>
    <s v="18307619|96986050|2404072|66380825"/>
    <s v="GASTO FISICO"/>
    <b v="0"/>
    <s v="DEPOSITADO EN CUENTA"/>
  </r>
  <r>
    <s v="12 DE SEPTIEMBRE DE 2025"/>
    <x v="28"/>
    <s v="SHELIA RIVEROS SILVA"/>
    <n v="10438932"/>
    <s v="SHELIA RIVEROS SILVA"/>
    <d v="2025-07-01T00:00:00"/>
    <s v="INICIAL"/>
    <n v="2655764"/>
    <n v="1044893"/>
    <n v="36000"/>
    <n v="0"/>
    <n v="36000"/>
    <n v="0"/>
    <n v="36000"/>
    <n v="2655764"/>
    <n v="285123"/>
    <s v="CORP DE BIENESTAR DEL PERSONAL DE A F P"/>
    <d v="2025-07-03T00:00:00"/>
    <d v="2025-07-03T00:00:00"/>
    <d v="2025-05-12T00:00:00"/>
    <d v="2025-05-12T00:00:00"/>
    <s v="PROCEDIMIENTOS"/>
    <n v="23236429"/>
    <n v="7091355"/>
    <n v="70256238"/>
    <s v="TRASSA"/>
    <n v="19996901851"/>
    <n v="79216"/>
    <s v="DEN"/>
    <s v="DPR1"/>
    <s v="PERIODONCIA"/>
    <s v="PROFILAXIS"/>
    <s v="DENTAL"/>
    <n v="0"/>
    <n v="0"/>
    <n v="99583690"/>
    <n v="4"/>
    <s v="FONASA"/>
    <s v="SRIVEROS@AFPHABITAT.CL"/>
    <s v="10438932|99583690|2655764|1044893"/>
    <s v="GASTO FISICO"/>
    <b v="0"/>
    <s v="DEPOSITADO EN CUENTA"/>
  </r>
  <r>
    <s v="12 DE SEPTIEMBRE DE 2025"/>
    <x v="28"/>
    <s v="SHELIA RIVEROS SILVA"/>
    <n v="10438932"/>
    <s v="SHELIA RIVEROS SILVA"/>
    <d v="2025-07-01T00:00:00"/>
    <s v="DUPLICADO"/>
    <n v="2655764"/>
    <n v="66380108"/>
    <n v="36000"/>
    <n v="0"/>
    <n v="36000"/>
    <n v="0"/>
    <n v="36000"/>
    <n v="2655764"/>
    <n v="285123"/>
    <s v="CORP DE BIENESTAR DEL PERSONAL DE A F P"/>
    <d v="2025-07-01T00:00:00"/>
    <d v="2025-07-11T00:00:00"/>
    <d v="2025-05-12T00:00:00"/>
    <d v="2025-05-12T00:00:00"/>
    <s v="PROCEDIMIENTOS"/>
    <n v="23307900"/>
    <n v="7241739"/>
    <n v="70359649"/>
    <s v="TRASSA"/>
    <n v="19996901851"/>
    <n v="79359"/>
    <s v="DEN"/>
    <s v="DPR1"/>
    <s v="PERIODONCIA"/>
    <s v="PROFILAXIS"/>
    <s v="DENTAL"/>
    <n v="0"/>
    <n v="0"/>
    <n v="99583690"/>
    <n v="4"/>
    <s v="FONASA"/>
    <s v="SRIVEROS@AFPHABITAT.CL"/>
    <s v="10438932|99583690|2655764|66380108"/>
    <s v="GASTO FISICO"/>
    <b v="0"/>
    <s v="DEPOSITADO EN CUENTA"/>
  </r>
  <r>
    <s v="12 DE SEPTIEMBRE DE 2025"/>
    <x v="29"/>
    <s v="CASANUEVA LABRA ANDREA SOLEDAD"/>
    <n v="23659189"/>
    <s v="MUNOZ CASANUEVA MAITE"/>
    <d v="2025-06-01T00:00:00"/>
    <s v="INICIAL"/>
    <n v="3112813"/>
    <n v="1035627"/>
    <n v="67477"/>
    <n v="0"/>
    <n v="67477"/>
    <n v="0"/>
    <n v="50608"/>
    <n v="3112813"/>
    <n v="285123"/>
    <s v="CORP DE BIENESTAR DEL PERSONAL DE A F P"/>
    <d v="2025-06-13T00:00:00"/>
    <d v="2025-06-13T11:46:15"/>
    <d v="2025-05-20T00:00:00"/>
    <d v="2025-05-20T00:00:00"/>
    <m/>
    <s v="-"/>
    <s v="-"/>
    <s v="-"/>
    <s v="TRASSA"/>
    <s v="-"/>
    <s v="-"/>
    <s v="SAL"/>
    <s v="AM04"/>
    <s v="EXAMENES DE LABORATORIO"/>
    <s v="EXAMENES DE LABORATORIO"/>
    <s v="EXAMENES DE LABORATORIO"/>
    <s v="GASTO FISICO"/>
    <s v="SCLR20256939637"/>
    <n v="99573490"/>
    <s v="-"/>
    <s v="-"/>
    <s v="ANDREA.CASANUEVA@AFPHABITAT.CL"/>
    <s v="16427949|99573490|3112813|1035627"/>
    <s v="GASTO FISICO"/>
    <b v="1"/>
    <s v="DEPOSITADO EN CUENTA"/>
  </r>
  <r>
    <s v="12 DE SEPTIEMBRE DE 2025"/>
    <x v="29"/>
    <s v="ANDREA SOLEDAD CASANUEVA LABRA"/>
    <n v="23659189"/>
    <s v="MAITE MUNOZ CASANUEVA"/>
    <d v="2025-07-01T00:00:00"/>
    <s v="DUPLICADO"/>
    <n v="3112813"/>
    <n v="66379819"/>
    <n v="50608"/>
    <n v="0"/>
    <n v="50608"/>
    <n v="0"/>
    <n v="50608"/>
    <n v="3112813"/>
    <n v="285123"/>
    <s v="CORP DE BIENESTAR DEL PERSONAL DE A F P"/>
    <d v="2025-07-01T00:00:00"/>
    <d v="2025-07-01T00:00:00"/>
    <d v="2025-05-20T00:00:00"/>
    <d v="2025-05-20T00:00:00"/>
    <s v="AMBULATORIOS"/>
    <n v="23307173"/>
    <n v="7241739"/>
    <n v="70359506"/>
    <s v="TRASSA"/>
    <n v="36670179791"/>
    <n v="79359"/>
    <s v="SAL"/>
    <s v="AM04"/>
    <s v="EXAMENES DE LABORATORIO"/>
    <s v="EXAMENES DE LABORATORIO"/>
    <s v="EXAMENES DE LABORATORIO"/>
    <n v="0"/>
    <n v="0"/>
    <n v="99573490"/>
    <n v="7"/>
    <s v="SIN ISAPRE"/>
    <s v="ANDREA.CASANUEVA@AFPHABITAT.CL"/>
    <s v="16427949|99573490|3112813|66379819"/>
    <s v="GASTO FISICO"/>
    <b v="0"/>
    <s v="DEPOSITADO EN CUENTA"/>
  </r>
  <r>
    <s v="12 DE SEPTIEMBRE DE 2025"/>
    <x v="23"/>
    <s v="OYARZUN SILVA JORGE"/>
    <n v="21465621"/>
    <s v="OYARZUN BUSTAMANTE VALERIA"/>
    <d v="2025-06-01T00:00:00"/>
    <s v="INICIAL"/>
    <n v="5165059"/>
    <n v="1036466"/>
    <n v="7945"/>
    <n v="0"/>
    <n v="7945"/>
    <n v="0"/>
    <n v="7945"/>
    <n v="5165059"/>
    <n v="285123"/>
    <s v="CORP DE BIENESTAR DEL PERSONAL DE A F P"/>
    <d v="2025-06-16T00:00:00"/>
    <d v="2025-06-16T11:47:10"/>
    <d v="2025-05-15T00:00:00"/>
    <d v="2025-05-15T00:00:00"/>
    <m/>
    <s v="-"/>
    <s v="-"/>
    <s v="-"/>
    <s v="TRASSA"/>
    <s v="-"/>
    <s v="-"/>
    <s v="SAL"/>
    <s v="AM07"/>
    <s v="PROCEDIMIENTOS TERAPEUTICOS"/>
    <s v="PROCEDIMIENTOS TERAPEUTICOS"/>
    <s v="PROCEDIMIENTOS TERAPEUTICOS"/>
    <s v="GASTO FISICO"/>
    <s v="SCL20256942985"/>
    <n v="79980070"/>
    <s v="-"/>
    <s v="-"/>
    <s v="JOYARZUN@AFPHABITAT.CL"/>
    <s v="11478198|79980070|5165059|1036466"/>
    <s v="GASTO FISICO"/>
    <b v="1"/>
    <s v="DEPOSITADO EN CUENTA"/>
  </r>
  <r>
    <s v="12 DE SEPTIEMBRE DE 2025"/>
    <x v="23"/>
    <s v="JORGE OYARZUN SILVA"/>
    <n v="21465621"/>
    <s v="VALERIA OYARZUN BUSTAMANTE"/>
    <d v="2025-07-01T00:00:00"/>
    <s v="DUPLICADO"/>
    <n v="5165059"/>
    <n v="66380291"/>
    <n v="7945"/>
    <n v="0"/>
    <n v="7945"/>
    <n v="0"/>
    <n v="7945"/>
    <n v="5165059"/>
    <n v="285123"/>
    <s v="CORP DE BIENESTAR DEL PERSONAL DE A F P"/>
    <d v="2025-07-01T00:00:00"/>
    <d v="2025-07-01T00:00:00"/>
    <d v="2025-05-15T00:00:00"/>
    <d v="2025-05-15T00:00:00"/>
    <s v="AMBULATORIOS"/>
    <n v="23307108"/>
    <n v="7241739"/>
    <n v="70359600"/>
    <s v="TRASSA"/>
    <n v="11478198"/>
    <n v="79359"/>
    <s v="SAL"/>
    <s v="AM07"/>
    <s v="PROCEDIMIENTOS TERAPEUTICOS"/>
    <s v="PROCEDIMIENTOS TERAPEUTICOS"/>
    <s v="PROCEDIMIENTOS TERAPEUTICOS"/>
    <n v="0"/>
    <n v="0"/>
    <n v="79980070"/>
    <n v="5"/>
    <s v="SIN ISAPRE"/>
    <s v="JOYARZUN@AFPHABITAT.CL"/>
    <s v="11478198|79980070|5165059|66380291"/>
    <s v="GASTO FISICO"/>
    <b v="0"/>
    <s v="DEPOSITADO EN CUENTA"/>
  </r>
  <r>
    <s v="12 DE SEPTIEMBRE DE 2025"/>
    <x v="23"/>
    <s v="OYARZUN SILVA JORGE"/>
    <n v="21465621"/>
    <s v="OYARZUN BUSTAMANTE VALERIA"/>
    <d v="2025-06-01T00:00:00"/>
    <s v="INICIAL"/>
    <n v="5325974"/>
    <n v="1036465"/>
    <n v="56551"/>
    <n v="0"/>
    <n v="56551"/>
    <n v="0"/>
    <n v="56551"/>
    <n v="5325974"/>
    <n v="285123"/>
    <s v="CORP DE BIENESTAR DEL PERSONAL DE A F P"/>
    <d v="2025-06-16T00:00:00"/>
    <d v="2025-06-16T11:45:08"/>
    <d v="2025-05-15T00:00:00"/>
    <d v="2025-05-15T00:00:00"/>
    <m/>
    <s v="-"/>
    <s v="-"/>
    <s v="-"/>
    <s v="TRASSA"/>
    <s v="-"/>
    <s v="-"/>
    <s v="SAL"/>
    <s v="AM07"/>
    <s v="PROCEDIMIENTOS TERAPEUTICOS"/>
    <s v="PROCEDIMIENTOS TERAPEUTICOS"/>
    <s v="PROCEDIMIENTOS TERAPEUTICOS"/>
    <s v="GASTO FISICO"/>
    <s v="SCL20256942985"/>
    <n v="96530470"/>
    <s v="-"/>
    <s v="-"/>
    <s v="JOYARZUN@AFPHABITAT.CL"/>
    <s v="11478198|96530470|5325974|1036465"/>
    <s v="GASTO FISICO"/>
    <b v="1"/>
    <s v="DEPOSITADO EN CUENTA"/>
  </r>
  <r>
    <s v="12 DE SEPTIEMBRE DE 2025"/>
    <x v="23"/>
    <s v="JORGE OYARZUN SILVA"/>
    <n v="21465621"/>
    <s v="VALERIA OYARZUN BUSTAMANTE"/>
    <d v="2025-07-01T00:00:00"/>
    <s v="DUPLICADO"/>
    <n v="5325974"/>
    <n v="66380289"/>
    <n v="56551"/>
    <n v="0"/>
    <n v="56551"/>
    <n v="0"/>
    <n v="56551"/>
    <n v="5325974"/>
    <n v="285123"/>
    <s v="CORP DE BIENESTAR DEL PERSONAL DE A F P"/>
    <d v="2025-07-01T00:00:00"/>
    <d v="2025-07-01T00:00:00"/>
    <d v="2025-05-15T00:00:00"/>
    <d v="2025-05-15T00:00:00"/>
    <s v="AMBULATORIOS"/>
    <n v="23307108"/>
    <n v="7241739"/>
    <n v="70359598"/>
    <s v="TRASSA"/>
    <n v="11478198"/>
    <n v="79359"/>
    <s v="SAL"/>
    <s v="AM07"/>
    <s v="PROCEDIMIENTOS TERAPEUTICOS"/>
    <s v="PROCEDIMIENTOS TERAPEUTICOS"/>
    <s v="PROCEDIMIENTOS TERAPEUTICOS"/>
    <n v="0"/>
    <n v="0"/>
    <n v="96530470"/>
    <n v="3"/>
    <s v="SIN ISAPRE"/>
    <s v="JOYARZUN@AFPHABITAT.CL"/>
    <s v="11478198|96530470|5325974|66380289"/>
    <s v="GASTO FISICO"/>
    <b v="0"/>
    <s v="DEPOSITADO EN CUENTA"/>
  </r>
  <r>
    <s v="12 DE SEPTIEMBRE DE 2025"/>
    <x v="30"/>
    <s v="JORGE LOPEZ PEREZ"/>
    <n v="8090641"/>
    <s v="JORGE LOPEZ PEREZ"/>
    <d v="2025-02-01T00:00:00"/>
    <s v="INICIAL"/>
    <n v="8119829"/>
    <n v="985151"/>
    <n v="17784"/>
    <n v="0"/>
    <n v="17784"/>
    <n v="0"/>
    <n v="17784"/>
    <n v="8119829"/>
    <n v="285123"/>
    <s v="CORP DE BIENESTAR DEL PERSONAL DE A F P"/>
    <d v="2025-02-15T00:00:00"/>
    <d v="2025-02-24T00:00:00"/>
    <d v="2025-01-14T00:00:00"/>
    <d v="2025-01-14T00:00:00"/>
    <s v="AMBULATORIOS"/>
    <n v="22640299"/>
    <n v="3031016"/>
    <n v="68929372"/>
    <s v="TRASSA"/>
    <n v="1850449800"/>
    <n v="77739"/>
    <s v="SAL"/>
    <s v="AM12"/>
    <s v="MEDICAMENTOS DE MARCA"/>
    <s v="MEDICAMENTO NO GENERICO ( GRUPO ) "/>
    <s v="MEDICAMENTO"/>
    <n v="0"/>
    <n v="0"/>
    <n v="70335000"/>
    <n v="3"/>
    <s v="SIN ISAPRE"/>
    <s v="JLOPEZ@AFPHABITAT.CL"/>
    <s v="8090641|70335000|8119829|985151"/>
    <s v="GASTO FISICO"/>
    <b v="0"/>
    <s v="DEPOSITADO EN CUENTA"/>
  </r>
  <r>
    <s v="12 DE SEPTIEMBRE DE 2025"/>
    <x v="30"/>
    <s v="JORGE LOPEZ PEREZ"/>
    <n v="8090641"/>
    <s v="JORGE LOPEZ PEREZ"/>
    <d v="2025-02-01T00:00:00"/>
    <s v="INICIAL"/>
    <n v="8119829"/>
    <n v="985151"/>
    <n v="6354"/>
    <n v="0"/>
    <n v="6354"/>
    <n v="0"/>
    <n v="6354"/>
    <n v="8119829"/>
    <n v="285123"/>
    <s v="CORP DE BIENESTAR DEL PERSONAL DE A F P"/>
    <d v="2025-02-15T00:00:00"/>
    <d v="2025-02-24T00:00:00"/>
    <d v="2025-01-14T00:00:00"/>
    <d v="2025-01-14T00:00:00"/>
    <s v="AMBULATORIOS"/>
    <n v="22640299"/>
    <n v="3031016"/>
    <n v="68929372"/>
    <s v="TRASSA"/>
    <n v="1850449800"/>
    <n v="77739"/>
    <s v="SAL"/>
    <s v="AM47"/>
    <s v="MED. SALUD MENTAL DE MARCA"/>
    <s v="MEDICAMENTO SALUD MENTAL NO GENERICO"/>
    <s v="MEDICAMENTO"/>
    <n v="0"/>
    <n v="0"/>
    <n v="70335000"/>
    <n v="3"/>
    <s v="SIN ISAPRE"/>
    <s v="JLOPEZ@AFPHABITAT.CL"/>
    <s v="8090641|70335000|8119829|985151"/>
    <s v="GASTO FISICO"/>
    <b v="0"/>
    <s v="DEPOSITADO EN CUENTA"/>
  </r>
  <r>
    <s v="12 DE SEPTIEMBRE DE 2025"/>
    <x v="30"/>
    <s v="JORGE LOPEZ PEREZ"/>
    <n v="8090641"/>
    <s v="JORGE LOPEZ PEREZ"/>
    <d v="2025-03-01T00:00:00"/>
    <s v="DUPLICADO"/>
    <n v="8119829"/>
    <n v="65212910"/>
    <n v="23924"/>
    <n v="0"/>
    <n v="23924"/>
    <n v="0"/>
    <n v="23924"/>
    <n v="8119829"/>
    <n v="285123"/>
    <s v="CORP DE BIENESTAR DEL PERSONAL DE A F P"/>
    <d v="2025-03-01T00:00:00"/>
    <d v="2025-03-17T00:00:00"/>
    <d v="2025-01-14T00:00:00"/>
    <d v="2025-01-14T00:00:00"/>
    <s v="AMBULATORIOS"/>
    <n v="22753802"/>
    <n v="3251558"/>
    <n v="69156323"/>
    <s v="TRASSA"/>
    <n v="1850449800"/>
    <n v="78017"/>
    <s v="SAL"/>
    <s v="AM47"/>
    <s v="MED. SALUD MENTAL DE MARCA"/>
    <s v="MEDICAMENTO SALUD MENTAL NO GENERICO"/>
    <s v="MEDICAMENTO"/>
    <n v="0"/>
    <n v="0"/>
    <n v="70335000"/>
    <n v="3"/>
    <s v="SIN ISAPRE"/>
    <s v="JLOPEZ@AFPHABITAT.CL"/>
    <s v="8090641|70335000|8119829|65212910"/>
    <s v="GASTO FISICO"/>
    <b v="0"/>
    <s v="DEPOSITADO EN CUENTA"/>
  </r>
  <r>
    <s v="12 DE SEPTIEMBRE DE 2025"/>
    <x v="31"/>
    <s v="handy nef LEIVA"/>
    <n v="8665623"/>
    <s v="handy nef LEIVA"/>
    <d v="2025-02-01T00:00:00"/>
    <s v="INICIAL"/>
    <n v="8187703"/>
    <n v="985477"/>
    <n v="26730"/>
    <n v="0"/>
    <n v="26730"/>
    <n v="0"/>
    <n v="26730"/>
    <n v="8187703"/>
    <n v="285123"/>
    <s v="CORP DE BIENESTAR DEL PERSONAL DE A F P"/>
    <d v="2025-02-17T00:00:00"/>
    <d v="2025-02-24T00:00:00"/>
    <d v="2025-02-06T00:00:00"/>
    <d v="2025-02-06T00:00:00"/>
    <s v="AMBULATORIOS"/>
    <n v="22640313"/>
    <n v="3031016"/>
    <n v="68929547"/>
    <s v="TRASSA"/>
    <n v="61932348"/>
    <n v="77739"/>
    <s v="SAL"/>
    <s v="AM47"/>
    <s v="MED. SALUD MENTAL DE MARCA"/>
    <s v="MEDICAMENTO SALUD MENTAL NO GENERICO"/>
    <s v="MEDICAMENTO"/>
    <n v="0"/>
    <n v="0"/>
    <n v="70335000"/>
    <n v="3"/>
    <s v="SIN ISAPRE"/>
    <s v="HNEFLE@AFPHABITAT.CL"/>
    <s v="8665623|70335000|8187703|985477"/>
    <s v="GASTO FISICO"/>
    <b v="0"/>
    <s v="DEPOSITADO EN CUENTA"/>
  </r>
  <r>
    <s v="12 DE SEPTIEMBRE DE 2025"/>
    <x v="31"/>
    <s v="handy nef LEIVA"/>
    <n v="8665623"/>
    <s v="handy nef LEIVA"/>
    <d v="2025-03-01T00:00:00"/>
    <s v="DUPLICADO"/>
    <n v="8187703"/>
    <n v="65212912"/>
    <n v="26625"/>
    <n v="0"/>
    <n v="26625"/>
    <n v="0"/>
    <n v="26625"/>
    <n v="8187703"/>
    <n v="285123"/>
    <s v="CORP DE BIENESTAR DEL PERSONAL DE A F P"/>
    <d v="2025-03-01T00:00:00"/>
    <d v="2025-03-17T00:00:00"/>
    <d v="2025-02-06T00:00:00"/>
    <d v="2025-02-06T00:00:00"/>
    <s v="AMBULATORIOS"/>
    <n v="22753803"/>
    <n v="3251558"/>
    <n v="69156325"/>
    <s v="TRASSA"/>
    <n v="61932348"/>
    <n v="78017"/>
    <s v="SAL"/>
    <s v="AM47"/>
    <s v="MED. SALUD MENTAL DE MARCA"/>
    <s v="MEDICAMENTO SALUD MENTAL NO GENERICO"/>
    <s v="MEDICAMENTO"/>
    <n v="0"/>
    <n v="0"/>
    <n v="70335000"/>
    <n v="3"/>
    <s v="SIN ISAPRE"/>
    <s v="HNEFLE@AFPHABITAT.CL"/>
    <s v="8665623|70335000|8187703|65212912"/>
    <s v="GASTO FISICO"/>
    <b v="0"/>
    <s v="DEPOSITADO EN CUENTA"/>
  </r>
  <r>
    <s v="12 DE SEPTIEMBRE DE 2025"/>
    <x v="32"/>
    <s v="XAIRYS ADRIANA FALCON MARQUEZ"/>
    <n v="26246811"/>
    <s v="XAIRYS ADRIANA FALCON MARQUEZ"/>
    <d v="2025-03-01T00:00:00"/>
    <s v="INICIAL"/>
    <n v="8388915"/>
    <n v="992899"/>
    <n v="8394"/>
    <n v="0"/>
    <n v="8394"/>
    <n v="0"/>
    <n v="8394"/>
    <n v="8388915"/>
    <n v="285123"/>
    <s v="CORP DE BIENESTAR DEL PERSONAL DE A F P"/>
    <d v="2025-03-09T00:00:00"/>
    <d v="2025-03-14T00:00:00"/>
    <d v="2025-02-13T00:00:00"/>
    <d v="2025-02-13T00:00:00"/>
    <s v="AMBULATORIOS"/>
    <n v="22705299"/>
    <n v="3171658"/>
    <n v="69027665"/>
    <s v="TRASSA"/>
    <n v="83503556"/>
    <n v="77929"/>
    <s v="SAL"/>
    <s v="AM12"/>
    <s v="MEDICAMENTOS DE MARCA"/>
    <s v="MEDICAMENTO NO GENERICO ( GRUPO ) "/>
    <s v="MEDICAMENTO"/>
    <n v="0"/>
    <n v="0"/>
    <n v="79610730"/>
    <n v="8"/>
    <s v="FONASA"/>
    <s v="XAIRYS.FALCON@AFPHABITAT.CL"/>
    <s v="26246811|79610730|8388915|992899"/>
    <s v="GASTO FISICO"/>
    <b v="0"/>
    <s v="DEPOSITADO EN CUENTA"/>
  </r>
  <r>
    <s v="12 DE SEPTIEMBRE DE 2025"/>
    <x v="32"/>
    <s v="XAIRYS ADRIANA FALCON MARQUEZ"/>
    <n v="26246811"/>
    <s v="XAIRYS ADRIANA FALCON MARQUEZ"/>
    <d v="2025-03-01T00:00:00"/>
    <s v="DUPLICADO"/>
    <n v="8388915"/>
    <n v="65213318"/>
    <n v="13854"/>
    <n v="0"/>
    <n v="13854"/>
    <n v="0"/>
    <n v="13854"/>
    <n v="8388915"/>
    <n v="285123"/>
    <s v="CORP DE BIENESTAR DEL PERSONAL DE A F P"/>
    <d v="2025-03-01T00:00:00"/>
    <d v="2025-03-17T00:00:00"/>
    <d v="2025-02-13T00:00:00"/>
    <d v="2025-02-13T00:00:00"/>
    <s v="AMBULATORIOS"/>
    <n v="22753792"/>
    <n v="3251558"/>
    <n v="69156684"/>
    <s v="TRASSA"/>
    <n v="83503556"/>
    <n v="78017"/>
    <s v="SAL"/>
    <s v="AM12"/>
    <s v="MEDICAMENTOS DE MARCA"/>
    <s v="MEDICAMENTO NO GENERICO ( GRUPO ) "/>
    <s v="MEDICAMENTO"/>
    <n v="0"/>
    <n v="0"/>
    <n v="79610730"/>
    <n v="8"/>
    <s v="SIN ISAPRE"/>
    <s v="XAIRYS.FALCON@AFPHABITAT.CL"/>
    <s v="26246811|79610730|8388915|65213318"/>
    <s v="GASTO FISICO"/>
    <b v="0"/>
    <s v="DEPOSITADO EN CUENTA"/>
  </r>
  <r>
    <s v="12 DE SEPTIEMBRE DE 2025"/>
    <x v="20"/>
    <s v="MORALES MORA LILIAN"/>
    <n v="15756857"/>
    <s v="MORALES MORA LILIAN"/>
    <d v="2025-06-01T00:00:00"/>
    <s v="INICIAL"/>
    <n v="8567236"/>
    <n v="1036476"/>
    <n v="92220"/>
    <n v="0"/>
    <n v="92220"/>
    <n v="0"/>
    <n v="55332"/>
    <n v="8567236"/>
    <n v="285123"/>
    <s v="CORP DE BIENESTAR DEL PERSONAL DE A F P"/>
    <d v="2025-06-16T00:00:00"/>
    <d v="2025-06-16T12:23:07"/>
    <d v="2025-05-24T00:00:00"/>
    <d v="2025-05-24T00:00:00"/>
    <m/>
    <s v="-"/>
    <s v="-"/>
    <s v="-"/>
    <s v="TRASSA"/>
    <s v="-"/>
    <s v="-"/>
    <s v="SAL"/>
    <s v="AM20"/>
    <s v="MEDICAMENTO NO GENERICO ( GRUPO ) "/>
    <s v="MEDICAMENTO NO GENERICO ( GRUPO ) "/>
    <s v="MEDICAMENTO"/>
    <s v="GASTO FISICO"/>
    <s v="SCLR20256942970"/>
    <n v="70335000"/>
    <s v="-"/>
    <s v="-"/>
    <s v="LMORALES@AFPHABITAT.CL"/>
    <s v="15756857|70335000|8567236|1036476"/>
    <s v="GASTO FISICO"/>
    <b v="1"/>
    <s v="DEPOSITADO EN CUENTA"/>
  </r>
  <r>
    <s v="12 DE SEPTIEMBRE DE 2025"/>
    <x v="20"/>
    <s v="LILIAN MORALES MORA"/>
    <n v="15756857"/>
    <s v="LILIAN MORALES MORA"/>
    <d v="2025-07-01T00:00:00"/>
    <s v="DUPLICADO"/>
    <n v="8567236"/>
    <n v="66379864"/>
    <n v="55332"/>
    <n v="0"/>
    <n v="55332"/>
    <n v="0"/>
    <n v="55332"/>
    <n v="8567236"/>
    <n v="285123"/>
    <s v="CORP DE BIENESTAR DEL PERSONAL DE A F P"/>
    <d v="2025-07-01T00:00:00"/>
    <d v="2025-07-01T00:00:00"/>
    <d v="2025-05-24T00:00:00"/>
    <d v="2025-05-24T00:00:00"/>
    <s v="AMBULATORIOS"/>
    <n v="23307170"/>
    <n v="7241739"/>
    <n v="70359533"/>
    <s v="TRASSA"/>
    <n v="214616093"/>
    <n v="79359"/>
    <s v="SAL"/>
    <s v="AM12"/>
    <s v="MEDICAMENTOS DE MARCA"/>
    <s v="MEDICAMENTO NO GENERICO ( GRUPO ) "/>
    <s v="MEDICAMENTO"/>
    <n v="0"/>
    <n v="0"/>
    <n v="70335000"/>
    <n v="3"/>
    <s v="SIN ISAPRE"/>
    <s v="LMORALES@AFPHABITAT.CL"/>
    <s v="15756857|70335000|8567236|66379864"/>
    <s v="GASTO FISICO"/>
    <b v="0"/>
    <s v="DEPOSITADO EN CUENTA"/>
  </r>
  <r>
    <s v="12 DE SEPTIEMBRE DE 2025"/>
    <x v="33"/>
    <s v="EVELYN MORALES SANDOVAL"/>
    <n v="15503930"/>
    <s v="EVELYN MORALES SANDOVAL"/>
    <d v="2025-02-01T00:00:00"/>
    <s v="INICIAL"/>
    <n v="9582203"/>
    <n v="982260"/>
    <n v="98992"/>
    <n v="0"/>
    <n v="98992"/>
    <n v="0"/>
    <n v="98992"/>
    <n v="9582203"/>
    <n v="285123"/>
    <s v="CORP DE BIENESTAR DEL PERSONAL DE A F P"/>
    <d v="2025-02-07T00:00:00"/>
    <d v="2025-02-10T00:00:00"/>
    <d v="2025-01-09T00:00:00"/>
    <d v="2025-01-09T00:00:00"/>
    <s v="AMBULATORIOS"/>
    <n v="22590853"/>
    <n v="2171726"/>
    <n v="68884443"/>
    <s v="TRASSA"/>
    <n v="68281415"/>
    <n v="77628"/>
    <s v="SAL"/>
    <s v="AM04"/>
    <s v="EXAMENES DE LABORATORIO"/>
    <s v="EXAMENES DE LABORATORIO"/>
    <s v="EXAMENES DE LABORATORIO"/>
    <n v="0"/>
    <n v="0"/>
    <n v="96942400"/>
    <n v="2"/>
    <s v="SIN ISAPRE"/>
    <s v="EVELYN.SANDOVAL@AFPHABITAT.CL"/>
    <s v="15503930|96942400|9582203|982260"/>
    <s v="GASTO FISICO"/>
    <b v="0"/>
    <s v="DEPOSITADO EN CUENTA"/>
  </r>
  <r>
    <s v="12 DE SEPTIEMBRE DE 2025"/>
    <x v="33"/>
    <s v="EVELYN MORALES SANDOVAL"/>
    <n v="15503930"/>
    <s v="EVELYN MORALES SANDOVAL"/>
    <d v="2025-03-01T00:00:00"/>
    <s v="DUPLICADO"/>
    <n v="9582203"/>
    <n v="65213174"/>
    <n v="132119"/>
    <n v="0"/>
    <n v="132119"/>
    <n v="0"/>
    <n v="132119"/>
    <n v="9582203"/>
    <n v="285123"/>
    <s v="CORP DE BIENESTAR DEL PERSONAL DE A F P"/>
    <d v="2025-03-01T00:00:00"/>
    <d v="2025-03-17T00:00:00"/>
    <d v="2025-01-09T00:00:00"/>
    <d v="2025-01-09T00:00:00"/>
    <s v="AMBULATORIOS"/>
    <n v="22753627"/>
    <n v="3251558"/>
    <n v="69156558"/>
    <s v="TRASSA"/>
    <n v="68281415"/>
    <n v="78017"/>
    <s v="SAL"/>
    <s v="AM04"/>
    <s v="EXAMENES DE LABORATORIO"/>
    <s v="EXAMENES DE LABORATORIO"/>
    <s v="EXAMENES DE LABORATORIO"/>
    <n v="0"/>
    <n v="0"/>
    <n v="96942400"/>
    <n v="2"/>
    <s v="SIN ISAPRE"/>
    <s v="EVELYN.SANDOVAL@AFPHABITAT.CL"/>
    <s v="15503930|96942400|9582203|65213174"/>
    <s v="GASTO FISICO"/>
    <b v="0"/>
    <s v="DEPOSITADO EN CUENTA"/>
  </r>
  <r>
    <s v="12 DE SEPTIEMBRE DE 2025"/>
    <x v="33"/>
    <s v="EVELYN MORALES SANDOVAL"/>
    <n v="15503930"/>
    <s v="EVELYN MORALES SANDOVAL"/>
    <d v="2025-03-01T00:00:00"/>
    <s v="DUPLICADO"/>
    <n v="9582203"/>
    <n v="65213175"/>
    <n v="99057"/>
    <n v="0"/>
    <n v="99057"/>
    <n v="0"/>
    <n v="16020"/>
    <n v="9582203"/>
    <n v="285123"/>
    <s v="CORP DE BIENESTAR DEL PERSONAL DE A F P"/>
    <d v="2025-03-01T00:00:00"/>
    <d v="2025-03-17T00:00:00"/>
    <d v="2025-01-09T00:00:00"/>
    <d v="2025-01-09T00:00:00"/>
    <s v="AMBULATORIOS"/>
    <n v="22753643"/>
    <n v="3251558"/>
    <n v="69156559"/>
    <s v="TRASSA"/>
    <n v="68281415"/>
    <n v="78017"/>
    <s v="SAL"/>
    <s v="AM04"/>
    <s v="EXAMENES DE LABORATORIO"/>
    <s v="EXAMENES DE LABORATORIO"/>
    <s v="EXAMENES DE LABORATORIO"/>
    <n v="0"/>
    <n v="0"/>
    <n v="96942400"/>
    <n v="2"/>
    <s v="SIN ISAPRE"/>
    <s v="EVELYN.SANDOVAL@AFPHABITAT.CL"/>
    <s v="15503930|96942400|9582203|65213175"/>
    <s v="GASTO FISICO"/>
    <b v="0"/>
    <s v="DEPOSITADO EN CUENTA"/>
  </r>
  <r>
    <s v="12 DE SEPTIEMBRE DE 2025"/>
    <x v="34"/>
    <s v="ANA REYES DELGADO"/>
    <n v="14502516"/>
    <s v="ANA REYES DELGADO"/>
    <d v="2025-01-01T00:00:00"/>
    <s v="INICIAL"/>
    <n v="95681647"/>
    <n v="95681647"/>
    <n v="139400"/>
    <n v="44261"/>
    <n v="95139"/>
    <n v="0"/>
    <n v="95139"/>
    <n v="95681647"/>
    <n v="285123"/>
    <s v="CORP DE BIENESTAR DEL PERSONAL DE A F P"/>
    <d v="2025-01-08T00:00:00"/>
    <d v="2025-01-08T00:00:00"/>
    <d v="2025-01-08T00:00:00"/>
    <d v="2025-01-08T00:00:00"/>
    <s v="AMBULATORIOS"/>
    <n v="22462263"/>
    <n v="1131703"/>
    <n v="68650733"/>
    <s v="TRASSA"/>
    <n v="12012025"/>
    <n v="77298"/>
    <s v="SAL"/>
    <s v="AM05"/>
    <s v="EXAMENES RADIOLOGICOS"/>
    <s v="EXAMENES RADIOLOGICOS"/>
    <s v="EXAMENES RADIOLOGICOS"/>
    <s v="IMED SALUD"/>
    <n v="0"/>
    <n v="77200240"/>
    <n v="8"/>
    <s v="NUEVA MASVIDA"/>
    <s v="ANA.REYES@AFPHABITAT.CL"/>
    <s v="14502516|77200240|95681647|95681647"/>
    <s v="IMED SALUD"/>
    <b v="1"/>
    <s v="APORTE VIA IMED"/>
  </r>
  <r>
    <s v="12 DE SEPTIEMBRE DE 2025"/>
    <x v="34"/>
    <s v="ANA REYES DELGADO"/>
    <n v="14502516"/>
    <s v="ANA REYES DELGADO"/>
    <d v="2025-03-01T00:00:00"/>
    <s v="DUPLICADO"/>
    <n v="95681647"/>
    <n v="65384238"/>
    <n v="80715"/>
    <n v="0"/>
    <n v="80715"/>
    <n v="0"/>
    <n v="80715"/>
    <n v="95681647"/>
    <n v="285123"/>
    <s v="CORP DE BIENESTAR DEL PERSONAL DE A F P"/>
    <d v="2025-03-01T00:00:00"/>
    <d v="2025-03-26T00:00:00"/>
    <d v="2025-01-08T00:00:00"/>
    <d v="2025-01-08T00:00:00"/>
    <s v="AMBULATORIOS"/>
    <n v="22770316"/>
    <n v="3311105"/>
    <n v="69251111"/>
    <s v="TRASSA"/>
    <n v="970433961"/>
    <n v="78070"/>
    <s v="SAL"/>
    <s v="AM05"/>
    <s v="EXAMENES RADIOLOGICOS"/>
    <s v="EXAMENES RADIOLOGICOS"/>
    <s v="EXAMENES RADIOLOGICOS"/>
    <n v="0"/>
    <n v="0"/>
    <n v="77200240"/>
    <n v="8"/>
    <s v="SIN ISAPRE"/>
    <s v="ANA.REYES@AFPHABITAT.CL"/>
    <s v="14502516|77200240|95681647|65384238"/>
    <s v="GASTO FISICO"/>
    <b v="0"/>
    <s v="DEPOSITADO EN CUENTA"/>
  </r>
  <r>
    <s v="12 DE SEPTIEMBRE DE 2025"/>
    <x v="34"/>
    <s v="ANA REYES DELGADO"/>
    <n v="14502516"/>
    <s v="ANA REYES DELGADO"/>
    <d v="2025-01-01T00:00:00"/>
    <s v="INICIAL"/>
    <n v="95697351"/>
    <n v="95697351"/>
    <n v="43200"/>
    <n v="38880"/>
    <n v="4320"/>
    <n v="0"/>
    <n v="4320"/>
    <n v="95697351"/>
    <n v="285123"/>
    <s v="CORP DE BIENESTAR DEL PERSONAL DE A F P"/>
    <d v="2025-01-10T00:00:00"/>
    <d v="2025-01-10T00:00:00"/>
    <d v="2025-01-10T00:00:00"/>
    <d v="2025-01-10T00:00:00"/>
    <s v="AMBULATORIOS"/>
    <n v="22462299"/>
    <n v="1131703"/>
    <n v="68652625"/>
    <s v="TRASSA"/>
    <n v="12012025"/>
    <n v="77298"/>
    <s v="SAL"/>
    <s v="AM07"/>
    <s v="PROCEDIMIENTOS TERAPEUTICOS"/>
    <s v="PROCEDIMIENTOS TERAPEUTICOS"/>
    <s v="PROCEDIMIENTOS TERAPEUTICOS"/>
    <s v="IMED SALUD"/>
    <n v="0"/>
    <n v="77200240"/>
    <n v="8"/>
    <s v="NUEVA MASVIDA"/>
    <s v="ANA.REYES@AFPHABITAT.CL"/>
    <s v="14502516|77200240|95697351|95697351"/>
    <s v="IMED SALUD"/>
    <b v="1"/>
    <s v="APORTE VIA IMED"/>
  </r>
  <r>
    <s v="12 DE SEPTIEMBRE DE 2025"/>
    <x v="34"/>
    <s v="ANA REYES DELGADO"/>
    <n v="14502516"/>
    <s v="ANA REYES DELGADO"/>
    <d v="2025-03-01T00:00:00"/>
    <s v="DUPLICADO"/>
    <n v="95697351"/>
    <n v="65384239"/>
    <n v="4228"/>
    <n v="0"/>
    <n v="4228"/>
    <n v="0"/>
    <n v="4228"/>
    <n v="95697351"/>
    <n v="285123"/>
    <s v="CORP DE BIENESTAR DEL PERSONAL DE A F P"/>
    <d v="2025-03-01T00:00:00"/>
    <d v="2025-03-26T00:00:00"/>
    <d v="2025-01-10T00:00:00"/>
    <d v="2025-01-10T00:00:00"/>
    <s v="AMBULATORIOS"/>
    <n v="22770329"/>
    <n v="3311105"/>
    <n v="69251112"/>
    <s v="TRASSA"/>
    <n v="970433961"/>
    <n v="78070"/>
    <s v="SAL"/>
    <s v="AM07"/>
    <s v="PROCEDIMIENTOS TERAPEUTICOS"/>
    <s v="PROCEDIMIENTOS TERAPEUTICOS"/>
    <s v="PROCEDIMIENTOS TERAPEUTICOS"/>
    <n v="0"/>
    <n v="0"/>
    <n v="77200240"/>
    <n v="8"/>
    <s v="SIN ISAPRE"/>
    <s v="ANA.REYES@AFPHABITAT.CL"/>
    <s v="14502516|77200240|95697351|65384239"/>
    <s v="GASTO FISICO"/>
    <b v="0"/>
    <s v="DEPOSITADO EN CUENTA"/>
  </r>
  <r>
    <s v="12 DE SEPTIEMBRE DE 2025"/>
    <x v="35"/>
    <s v="CLAUDIO ANTONIO MASSU ESPINOZA"/>
    <n v="22051441"/>
    <s v="JOSEFA MASSU CONTRERAS"/>
    <d v="2025-01-01T00:00:00"/>
    <s v="INICIAL"/>
    <n v="95697388"/>
    <n v="95697388"/>
    <n v="30440"/>
    <n v="15998"/>
    <n v="14442"/>
    <n v="0"/>
    <n v="14442"/>
    <n v="95697388"/>
    <n v="285123"/>
    <s v="CORP DE BIENESTAR DEL PERSONAL DE A F P"/>
    <d v="2025-01-10T00:00:00"/>
    <d v="2025-01-10T00:00:00"/>
    <d v="2025-01-10T00:00:00"/>
    <d v="2025-01-10T00:00:00"/>
    <s v="AMBULATORIOS"/>
    <n v="22462300"/>
    <n v="1131703"/>
    <n v="68652631"/>
    <s v="TRASSA"/>
    <n v="12012025"/>
    <n v="77298"/>
    <s v="SAL"/>
    <s v="AM05"/>
    <s v="EXAMENES RADIOLOGICOS"/>
    <s v="EXAMENES RADIOLOGICOS"/>
    <s v="EXAMENES RADIOLOGICOS"/>
    <s v="IMED SALUD"/>
    <n v="0"/>
    <n v="76110886"/>
    <n v="7"/>
    <s v="NUEVA MASVIDA"/>
    <s v="CMASSUE@AFPHABITAT.CL"/>
    <s v="15506883|76110886|95697388|95697388"/>
    <s v="IMED SALUD"/>
    <b v="1"/>
    <s v="APORTE VIA IMED"/>
  </r>
  <r>
    <s v="12 DE SEPTIEMBRE DE 2025"/>
    <x v="35"/>
    <s v="CLAUDIO ANTONIO MASSU ESPINOZA"/>
    <n v="22051441"/>
    <s v="JOSEFA MASSU CONTRERAS"/>
    <d v="2025-03-01T00:00:00"/>
    <s v="DUPLICADO"/>
    <n v="95697388"/>
    <n v="65384289"/>
    <n v="14605"/>
    <n v="0"/>
    <n v="14605"/>
    <n v="0"/>
    <n v="14605"/>
    <n v="95697388"/>
    <n v="285123"/>
    <s v="CORP DE BIENESTAR DEL PERSONAL DE A F P"/>
    <d v="2025-03-01T00:00:00"/>
    <d v="2025-03-26T00:00:00"/>
    <d v="2025-01-10T00:00:00"/>
    <d v="2025-01-10T00:00:00"/>
    <s v="AMBULATORIOS"/>
    <n v="22770330"/>
    <n v="3311105"/>
    <n v="69251172"/>
    <s v="TRASSA"/>
    <n v="8910120"/>
    <n v="78070"/>
    <s v="SAL"/>
    <s v="AM05"/>
    <s v="EXAMENES RADIOLOGICOS"/>
    <s v="EXAMENES RADIOLOGICOS"/>
    <s v="EXAMENES RADIOLOGICOS"/>
    <n v="0"/>
    <n v="0"/>
    <n v="76110886"/>
    <n v="7"/>
    <s v="SIN ISAPRE"/>
    <s v="CMASSUE@AFPHABITAT.CL"/>
    <s v="15506883|76110886|95697388|65384289"/>
    <s v="GASTO FISICO"/>
    <b v="0"/>
    <s v="DEPOSITADO EN CUENTA"/>
  </r>
  <r>
    <s v="12 DE SEPTIEMBRE DE 2025"/>
    <x v="36"/>
    <s v="NADIA ANDREA CABRERA MEDINA"/>
    <n v="19609316"/>
    <s v="NADIA ANDREA CABRERA MEDINA"/>
    <d v="2025-01-01T00:00:00"/>
    <s v="INICIAL"/>
    <n v="95698712"/>
    <n v="95698712"/>
    <n v="23556"/>
    <n v="18845"/>
    <n v="4711"/>
    <n v="0"/>
    <n v="4711"/>
    <n v="95698712"/>
    <n v="285123"/>
    <s v="CORP DE BIENESTAR DEL PERSONAL DE A F P"/>
    <d v="2025-01-10T00:00:00"/>
    <d v="2025-01-10T00:00:00"/>
    <d v="2025-01-10T00:00:00"/>
    <d v="2025-01-10T00:00:00"/>
    <s v="AMBULATORIOS"/>
    <n v="22462308"/>
    <n v="1131703"/>
    <n v="68652839"/>
    <s v="TRASSA"/>
    <n v="12012025"/>
    <n v="77298"/>
    <s v="SAL"/>
    <s v="AM05"/>
    <s v="EXAMENES RADIOLOGICOS"/>
    <s v="EXAMENES RADIOLOGICOS"/>
    <s v="EXAMENES RADIOLOGICOS"/>
    <s v="IMED SALUD"/>
    <n v="0"/>
    <n v="76098454"/>
    <s v="K"/>
    <s v="NUEVA MASVIDA"/>
    <s v="NADIA.CABRERA@AFPHABITAT.CL"/>
    <s v="19609316|76098454|95698712|95698712"/>
    <s v="IMED SALUD"/>
    <b v="1"/>
    <s v="APORTE VIA IMED"/>
  </r>
  <r>
    <s v="12 DE SEPTIEMBRE DE 2025"/>
    <x v="36"/>
    <s v="NADIA ANDREA CABRERA MEDINA"/>
    <n v="19609316"/>
    <s v="NADIA ANDREA CABRERA MEDINA"/>
    <d v="2025-03-01T00:00:00"/>
    <s v="DUPLICADO"/>
    <n v="95698712"/>
    <n v="65384492"/>
    <n v="4612"/>
    <n v="0"/>
    <n v="4612"/>
    <n v="0"/>
    <n v="4612"/>
    <n v="95698712"/>
    <n v="285123"/>
    <s v="CORP DE BIENESTAR DEL PERSONAL DE A F P"/>
    <d v="2025-03-01T00:00:00"/>
    <d v="2025-03-26T00:00:00"/>
    <d v="2025-01-10T00:00:00"/>
    <d v="2025-01-10T00:00:00"/>
    <s v="AMBULATORIOS"/>
    <n v="22770333"/>
    <n v="3311105"/>
    <n v="69251358"/>
    <s v="TRASSA"/>
    <n v="93548124"/>
    <n v="78070"/>
    <s v="SAL"/>
    <s v="AM05"/>
    <s v="EXAMENES RADIOLOGICOS"/>
    <s v="EXAMENES RADIOLOGICOS"/>
    <s v="EXAMENES RADIOLOGICOS"/>
    <n v="0"/>
    <n v="0"/>
    <n v="76098454"/>
    <s v="K"/>
    <s v="SIN ISAPRE"/>
    <s v="NADIA.CABRERA@AFPHABITAT.CL"/>
    <s v="19609316|76098454|95698712|65384492"/>
    <s v="GASTO FISICO"/>
    <b v="0"/>
    <s v="DEPOSITADO EN CUENTA"/>
  </r>
  <r>
    <s v="12 DE SEPTIEMBRE DE 2025"/>
    <x v="34"/>
    <s v="ANA REYES DELGADO"/>
    <n v="14502516"/>
    <s v="ANA REYES DELGADO"/>
    <d v="2025-01-01T00:00:00"/>
    <s v="INICIAL"/>
    <n v="95735527"/>
    <n v="95735527"/>
    <n v="82300"/>
    <n v="46267"/>
    <n v="36033"/>
    <n v="0"/>
    <n v="36033"/>
    <n v="95735527"/>
    <n v="285123"/>
    <s v="CORP DE BIENESTAR DEL PERSONAL DE A F P"/>
    <d v="2025-01-18T00:00:00"/>
    <d v="2025-01-18T00:00:00"/>
    <d v="2025-01-18T00:00:00"/>
    <d v="2025-01-18T00:00:00"/>
    <s v="AMBULATORIOS"/>
    <n v="22524575"/>
    <n v="1271320"/>
    <n v="68705433"/>
    <s v="TRASSA"/>
    <n v="26012025"/>
    <n v="77442"/>
    <s v="SAL"/>
    <s v="AM04"/>
    <s v="EXAMENES DE LABORATORIO"/>
    <s v="EXAMENES DE LABORATORIO"/>
    <s v="EXAMENES DE LABORATORIO"/>
    <s v="IMED SALUD"/>
    <n v="0"/>
    <n v="96617350"/>
    <n v="5"/>
    <s v="NUEVA MASVIDA"/>
    <s v="ANA.REYES@AFPHABITAT.CL"/>
    <s v="14502516|96617350|95735527|95735527"/>
    <s v="IMED SALUD"/>
    <b v="1"/>
    <s v="APORTE VIA IMED"/>
  </r>
  <r>
    <s v="12 DE SEPTIEMBRE DE 2025"/>
    <x v="34"/>
    <s v="ANA REYES DELGADO"/>
    <n v="14502516"/>
    <s v="ANA REYES DELGADO"/>
    <d v="2025-03-01T00:00:00"/>
    <s v="DUPLICADO"/>
    <n v="95735527"/>
    <n v="65384240"/>
    <n v="31115"/>
    <n v="0"/>
    <n v="31115"/>
    <n v="0"/>
    <n v="31115"/>
    <n v="95735527"/>
    <n v="285123"/>
    <s v="CORP DE BIENESTAR DEL PERSONAL DE A F P"/>
    <d v="2025-03-01T00:00:00"/>
    <d v="2025-03-26T00:00:00"/>
    <d v="2025-01-18T00:00:00"/>
    <d v="2025-01-18T00:00:00"/>
    <s v="AMBULATORIOS"/>
    <n v="22770381"/>
    <n v="3311105"/>
    <n v="69251113"/>
    <s v="TRASSA"/>
    <n v="970433961"/>
    <n v="78070"/>
    <s v="SAL"/>
    <s v="AM04"/>
    <s v="EXAMENES DE LABORATORIO"/>
    <s v="EXAMENES DE LABORATORIO"/>
    <s v="EXAMENES DE LABORATORIO"/>
    <n v="0"/>
    <n v="0"/>
    <n v="96617350"/>
    <n v="5"/>
    <s v="SIN ISAPRE"/>
    <s v="ANA.REYES@AFPHABITAT.CL"/>
    <s v="14502516|96617350|95735527|65384240"/>
    <s v="GASTO FISICO"/>
    <b v="0"/>
    <s v="DEPOSITADO EN CUENTA"/>
  </r>
  <r>
    <s v="12 DE SEPTIEMBRE DE 2025"/>
    <x v="34"/>
    <s v="ANA REYES DELGADO"/>
    <n v="14502516"/>
    <s v="ANA REYES DELGADO"/>
    <d v="2025-01-01T00:00:00"/>
    <s v="INICIAL"/>
    <n v="95735528"/>
    <n v="95735528"/>
    <n v="55000"/>
    <n v="37803"/>
    <n v="17197"/>
    <n v="0"/>
    <n v="17197"/>
    <n v="95735528"/>
    <n v="285123"/>
    <s v="CORP DE BIENESTAR DEL PERSONAL DE A F P"/>
    <d v="2025-01-18T00:00:00"/>
    <d v="2025-01-18T00:00:00"/>
    <d v="2025-01-18T00:00:00"/>
    <d v="2025-01-18T00:00:00"/>
    <s v="AMBULATORIOS"/>
    <n v="22524575"/>
    <n v="1271320"/>
    <n v="68705432"/>
    <s v="TRASSA"/>
    <n v="26012025"/>
    <n v="77442"/>
    <s v="SAL"/>
    <s v="AM04"/>
    <s v="EXAMENES DE LABORATORIO"/>
    <s v="EXAMENES DE LABORATORIO"/>
    <s v="EXAMENES DE LABORATORIO"/>
    <s v="IMED SALUD"/>
    <n v="0"/>
    <n v="96617350"/>
    <n v="5"/>
    <s v="NUEVA MASVIDA"/>
    <s v="ANA.REYES@AFPHABITAT.CL"/>
    <s v="14502516|96617350|95735528|95735528"/>
    <s v="IMED SALUD"/>
    <b v="1"/>
    <s v="APORTE VIA IMED"/>
  </r>
  <r>
    <s v="12 DE SEPTIEMBRE DE 2025"/>
    <x v="34"/>
    <s v="ANA REYES DELGADO"/>
    <n v="14502516"/>
    <s v="ANA REYES DELGADO"/>
    <d v="2025-03-01T00:00:00"/>
    <s v="DUPLICADO"/>
    <n v="95735528"/>
    <n v="65384241"/>
    <n v="14979"/>
    <n v="0"/>
    <n v="14979"/>
    <n v="0"/>
    <n v="14979"/>
    <n v="95735528"/>
    <n v="285123"/>
    <s v="CORP DE BIENESTAR DEL PERSONAL DE A F P"/>
    <d v="2025-03-01T00:00:00"/>
    <d v="2025-03-26T00:00:00"/>
    <d v="2025-01-18T00:00:00"/>
    <d v="2025-01-18T00:00:00"/>
    <s v="AMBULATORIOS"/>
    <n v="22770381"/>
    <n v="3311105"/>
    <n v="69251114"/>
    <s v="TRASSA"/>
    <n v="970433961"/>
    <n v="78070"/>
    <s v="SAL"/>
    <s v="AM04"/>
    <s v="EXAMENES DE LABORATORIO"/>
    <s v="EXAMENES DE LABORATORIO"/>
    <s v="EXAMENES DE LABORATORIO"/>
    <n v="0"/>
    <n v="0"/>
    <n v="96617350"/>
    <n v="5"/>
    <s v="SIN ISAPRE"/>
    <s v="ANA.REYES@AFPHABITAT.CL"/>
    <s v="14502516|96617350|95735528|65384241"/>
    <s v="GASTO FISICO"/>
    <b v="0"/>
    <s v="DEPOSITADO EN CUENTA"/>
  </r>
  <r>
    <s v="12 DE SEPTIEMBRE DE 2025"/>
    <x v="34"/>
    <s v="ANA REYES DELGADO"/>
    <n v="14502516"/>
    <s v="ANA REYES DELGADO"/>
    <d v="2025-01-01T00:00:00"/>
    <s v="INICIAL"/>
    <n v="95735529"/>
    <n v="95735529"/>
    <n v="18900"/>
    <n v="13504"/>
    <n v="5396"/>
    <n v="0"/>
    <n v="5396"/>
    <n v="95735529"/>
    <n v="285123"/>
    <s v="CORP DE BIENESTAR DEL PERSONAL DE A F P"/>
    <d v="2025-01-18T00:00:00"/>
    <d v="2025-01-18T00:00:00"/>
    <d v="2025-01-18T00:00:00"/>
    <d v="2025-01-18T00:00:00"/>
    <s v="AMBULATORIOS"/>
    <n v="22524575"/>
    <n v="1271320"/>
    <n v="68705431"/>
    <s v="TRASSA"/>
    <n v="26012025"/>
    <n v="77442"/>
    <s v="SAL"/>
    <s v="AM04"/>
    <s v="EXAMENES DE LABORATORIO"/>
    <s v="EXAMENES DE LABORATORIO"/>
    <s v="EXAMENES DE LABORATORIO"/>
    <s v="IMED SALUD"/>
    <n v="0"/>
    <n v="96617350"/>
    <n v="5"/>
    <s v="NUEVA MASVIDA"/>
    <s v="ANA.REYES@AFPHABITAT.CL"/>
    <s v="14502516|96617350|95735529|95735529"/>
    <s v="IMED SALUD"/>
    <b v="1"/>
    <s v="APORTE VIA IMED"/>
  </r>
  <r>
    <s v="12 DE SEPTIEMBRE DE 2025"/>
    <x v="34"/>
    <s v="ANA REYES DELGADO"/>
    <n v="14502516"/>
    <s v="ANA REYES DELGADO"/>
    <d v="2025-03-01T00:00:00"/>
    <s v="DUPLICADO"/>
    <n v="95735529"/>
    <n v="65384242"/>
    <n v="4993"/>
    <n v="0"/>
    <n v="4993"/>
    <n v="0"/>
    <n v="4993"/>
    <n v="95735529"/>
    <n v="285123"/>
    <s v="CORP DE BIENESTAR DEL PERSONAL DE A F P"/>
    <d v="2025-03-01T00:00:00"/>
    <d v="2025-03-26T00:00:00"/>
    <d v="2025-01-18T00:00:00"/>
    <d v="2025-01-18T00:00:00"/>
    <s v="AMBULATORIOS"/>
    <n v="22770381"/>
    <n v="3311105"/>
    <n v="69251115"/>
    <s v="TRASSA"/>
    <n v="970433961"/>
    <n v="78070"/>
    <s v="SAL"/>
    <s v="AM04"/>
    <s v="EXAMENES DE LABORATORIO"/>
    <s v="EXAMENES DE LABORATORIO"/>
    <s v="EXAMENES DE LABORATORIO"/>
    <n v="0"/>
    <n v="0"/>
    <n v="96617350"/>
    <n v="5"/>
    <s v="SIN ISAPRE"/>
    <s v="ANA.REYES@AFPHABITAT.CL"/>
    <s v="14502516|96617350|95735529|65384242"/>
    <s v="GASTO FISICO"/>
    <b v="0"/>
    <s v="DEPOSITADO EN CUENTA"/>
  </r>
  <r>
    <s v="12 DE SEPTIEMBRE DE 2025"/>
    <x v="37"/>
    <s v="ROXANA JAQULINE DIAZ MARAMBIO"/>
    <n v="9636764"/>
    <s v="ROXANA JAQULINE DIAZ MARAMBIO"/>
    <d v="2025-01-01T00:00:00"/>
    <s v="INICIAL"/>
    <n v="95778177"/>
    <n v="95778177"/>
    <n v="34931"/>
    <n v="17584"/>
    <n v="17347"/>
    <n v="0"/>
    <n v="17347"/>
    <n v="95778177"/>
    <n v="285123"/>
    <s v="CORP DE BIENESTAR DEL PERSONAL DE A F P"/>
    <d v="2025-01-28T00:00:00"/>
    <d v="2025-01-28T00:00:00"/>
    <d v="2025-01-28T00:00:00"/>
    <d v="2025-01-28T00:00:00"/>
    <s v="AMBULATORIOS"/>
    <n v="22560854"/>
    <n v="2040929"/>
    <n v="68808486"/>
    <s v="TRASSA"/>
    <n v="2022025"/>
    <n v="77562"/>
    <s v="SAL"/>
    <s v="AM04"/>
    <s v="EXAMENES DE LABORATORIO"/>
    <s v="EXAMENES DE LABORATORIO"/>
    <s v="EXAMENES DE LABORATORIO"/>
    <s v="IMED SALUD"/>
    <n v="0"/>
    <n v="99573490"/>
    <n v="7"/>
    <s v="NUEVA MASVIDA"/>
    <s v="RDIAZ@AFPHABITAT.CL"/>
    <s v="9636764|99573490|95778177|95778177"/>
    <s v="IMED SALUD"/>
    <b v="1"/>
    <s v="APORTE VIA IMED"/>
  </r>
  <r>
    <s v="12 DE SEPTIEMBRE DE 2025"/>
    <x v="37"/>
    <s v="ROXANA JAQULINE DIAZ MARAMBIO"/>
    <n v="9636764"/>
    <s v="ROXANA JAQULINE DIAZ MARAMBIO"/>
    <d v="2025-03-01T00:00:00"/>
    <s v="DUPLICADO"/>
    <n v="95778177"/>
    <n v="65383754"/>
    <n v="17273"/>
    <n v="0"/>
    <n v="17273"/>
    <n v="0"/>
    <n v="17273"/>
    <n v="95778177"/>
    <n v="285123"/>
    <s v="CORP DE BIENESTAR DEL PERSONAL DE A F P"/>
    <d v="2025-03-01T00:00:00"/>
    <d v="2025-03-26T00:00:00"/>
    <d v="2025-01-28T00:00:00"/>
    <d v="2025-01-28T00:00:00"/>
    <s v="AMBULATORIOS"/>
    <n v="22770449"/>
    <n v="3311105"/>
    <n v="69250644"/>
    <s v="TRASSA"/>
    <n v="360100506064"/>
    <n v="78070"/>
    <s v="SAL"/>
    <s v="AM04"/>
    <s v="EXAMENES DE LABORATORIO"/>
    <s v="EXAMENES DE LABORATORIO"/>
    <s v="EXAMENES DE LABORATORIO"/>
    <n v="0"/>
    <n v="0"/>
    <n v="99573490"/>
    <n v="7"/>
    <s v="SIN ISAPRE"/>
    <s v="RDIAZ@AFPHABITAT.CL"/>
    <s v="9636764|99573490|95778177|65383754"/>
    <s v="GASTO FISICO"/>
    <b v="0"/>
    <s v="DEPOSITADO EN CUENTA"/>
  </r>
  <r>
    <s v="12 DE SEPTIEMBRE DE 2025"/>
    <x v="38"/>
    <s v="EDUARDO VILLARROEL MOLINA"/>
    <n v="12261031"/>
    <s v="CELIA MADARIAGA MOLINA"/>
    <d v="2025-01-01T00:00:00"/>
    <s v="INICIAL"/>
    <n v="95782718"/>
    <n v="95782718"/>
    <n v="17928"/>
    <n v="6690"/>
    <n v="11238"/>
    <n v="0"/>
    <n v="11238"/>
    <n v="95782718"/>
    <n v="285123"/>
    <s v="CORP DE BIENESTAR DEL PERSONAL DE A F P"/>
    <d v="2025-01-28T00:00:00"/>
    <d v="2025-01-28T00:00:00"/>
    <d v="2025-01-28T00:00:00"/>
    <d v="2025-01-28T00:00:00"/>
    <s v="AMBULATORIOS"/>
    <n v="22560862"/>
    <n v="2040929"/>
    <n v="68809004"/>
    <s v="TRASSA"/>
    <n v="2022025"/>
    <n v="77562"/>
    <s v="SAL"/>
    <s v="AM07"/>
    <s v="PROCEDIMIENTOS TERAPEUTICOS"/>
    <s v="PROCEDIMIENTOS TERAPEUTICOS"/>
    <s v="PROCEDIMIENTOS TERAPEUTICOS"/>
    <s v="IMED SALUD"/>
    <n v="0"/>
    <n v="76242774"/>
    <n v="5"/>
    <s v="NUEVA MASVIDA"/>
    <s v="EVILLARR@AFPHABITAT.CL"/>
    <s v="11641940|76242774|95782718|95782718"/>
    <s v="IMED SALUD"/>
    <b v="1"/>
    <s v="APORTE VIA IMED"/>
  </r>
  <r>
    <s v="12 DE SEPTIEMBRE DE 2025"/>
    <x v="38"/>
    <s v="EDUARDO VILLARROEL MOLINA"/>
    <n v="12261031"/>
    <s v="CELIA MADARIAGA MOLINA"/>
    <d v="2025-03-01T00:00:00"/>
    <s v="DUPLICADO"/>
    <n v="95782718"/>
    <n v="65383948"/>
    <n v="9981"/>
    <n v="0"/>
    <n v="9981"/>
    <n v="0"/>
    <n v="9981"/>
    <n v="95782718"/>
    <n v="285123"/>
    <s v="CORP DE BIENESTAR DEL PERSONAL DE A F P"/>
    <d v="2025-03-01T00:00:00"/>
    <d v="2025-03-26T00:00:00"/>
    <d v="2025-01-28T00:00:00"/>
    <d v="2025-01-28T00:00:00"/>
    <s v="AMBULATORIOS"/>
    <n v="22770454"/>
    <n v="3311105"/>
    <n v="69250836"/>
    <s v="TRASSA"/>
    <n v="1702836120"/>
    <n v="78070"/>
    <s v="SAL"/>
    <s v="AM07"/>
    <s v="PROCEDIMIENTOS TERAPEUTICOS"/>
    <s v="PROCEDIMIENTOS TERAPEUTICOS"/>
    <s v="PROCEDIMIENTOS TERAPEUTICOS"/>
    <n v="0"/>
    <n v="0"/>
    <n v="76242774"/>
    <n v="5"/>
    <s v="SIN ISAPRE"/>
    <s v="EVILLARR@AFPHABITAT.CL"/>
    <s v="11641940|76242774|95782718|65383948"/>
    <s v="GASTO FISICO"/>
    <b v="0"/>
    <s v="DEPOSITADO EN CUENTA"/>
  </r>
  <r>
    <s v="12 DE SEPTIEMBRE DE 2025"/>
    <x v="38"/>
    <s v="EDUARDO VILLARROEL MOLINA"/>
    <n v="12261031"/>
    <s v="CELIA MADARIAGA MOLINA"/>
    <d v="2025-01-01T00:00:00"/>
    <s v="INICIAL"/>
    <n v="95782725"/>
    <n v="95782725"/>
    <n v="13392"/>
    <n v="5008"/>
    <n v="8384"/>
    <n v="0"/>
    <n v="8384"/>
    <n v="95782725"/>
    <n v="285123"/>
    <s v="CORP DE BIENESTAR DEL PERSONAL DE A F P"/>
    <d v="2025-01-28T00:00:00"/>
    <d v="2025-01-28T00:00:00"/>
    <d v="2025-01-28T00:00:00"/>
    <d v="2025-01-28T00:00:00"/>
    <s v="AMBULATORIOS"/>
    <n v="22560862"/>
    <n v="2040929"/>
    <n v="68809007"/>
    <s v="TRASSA"/>
    <n v="2022025"/>
    <n v="77562"/>
    <s v="SAL"/>
    <s v="AM07"/>
    <s v="PROCEDIMIENTOS TERAPEUTICOS"/>
    <s v="PROCEDIMIENTOS TERAPEUTICOS"/>
    <s v="PROCEDIMIENTOS TERAPEUTICOS"/>
    <s v="IMED SALUD"/>
    <n v="0"/>
    <n v="76242774"/>
    <n v="5"/>
    <s v="NUEVA MASVIDA"/>
    <s v="EVILLARR@AFPHABITAT.CL"/>
    <s v="11641940|76242774|95782725|95782725"/>
    <s v="IMED SALUD"/>
    <b v="1"/>
    <s v="APORTE VIA IMED"/>
  </r>
  <r>
    <s v="12 DE SEPTIEMBRE DE 2025"/>
    <x v="38"/>
    <s v="EDUARDO VILLARROEL MOLINA"/>
    <n v="12261031"/>
    <s v="CELIA MADARIAGA MOLINA"/>
    <d v="2025-03-01T00:00:00"/>
    <s v="DUPLICADO"/>
    <n v="95782725"/>
    <n v="65383949"/>
    <n v="7678"/>
    <n v="0"/>
    <n v="7678"/>
    <n v="0"/>
    <n v="7678"/>
    <n v="95782725"/>
    <n v="285123"/>
    <s v="CORP DE BIENESTAR DEL PERSONAL DE A F P"/>
    <d v="2025-03-01T00:00:00"/>
    <d v="2025-03-26T00:00:00"/>
    <d v="2025-01-28T00:00:00"/>
    <d v="2025-01-28T00:00:00"/>
    <s v="AMBULATORIOS"/>
    <n v="22770454"/>
    <n v="3311105"/>
    <n v="69250837"/>
    <s v="TRASSA"/>
    <n v="1702836120"/>
    <n v="78070"/>
    <s v="SAL"/>
    <s v="AM07"/>
    <s v="PROCEDIMIENTOS TERAPEUTICOS"/>
    <s v="PROCEDIMIENTOS TERAPEUTICOS"/>
    <s v="PROCEDIMIENTOS TERAPEUTICOS"/>
    <n v="0"/>
    <n v="0"/>
    <n v="76242774"/>
    <n v="5"/>
    <s v="SIN ISAPRE"/>
    <s v="EVILLARR@AFPHABITAT.CL"/>
    <s v="11641940|76242774|95782725|65383949"/>
    <s v="GASTO FISICO"/>
    <b v="0"/>
    <s v="DEPOSITADO EN CUENTA"/>
  </r>
  <r>
    <s v="12 DE SEPTIEMBRE DE 2025"/>
    <x v="26"/>
    <s v="GABRIELA ARAVENA VILLALON"/>
    <n v="13999930"/>
    <s v="GABRIELA ARAVENA VILLALON"/>
    <d v="2025-02-01T00:00:00"/>
    <s v="INICIAL"/>
    <n v="95801737"/>
    <n v="95801737"/>
    <n v="19929"/>
    <n v="12601"/>
    <n v="7328"/>
    <n v="0"/>
    <n v="7328"/>
    <n v="95801737"/>
    <n v="285123"/>
    <s v="CORP DE BIENESTAR DEL PERSONAL DE A F P"/>
    <d v="2025-02-01T00:00:00"/>
    <d v="2025-02-01T00:00:00"/>
    <d v="2025-02-01T00:00:00"/>
    <d v="2025-02-01T00:00:00"/>
    <s v="AMBULATORIOS"/>
    <n v="22566107"/>
    <n v="2101551"/>
    <n v="68819585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NUEVA MASVIDA"/>
    <s v="GARAVENV@AFPHABITAT.CL"/>
    <s v="13999930|96986050|95801737|95801737"/>
    <s v="IMED SALUD"/>
    <b v="1"/>
    <s v="APORTE VIA IMED"/>
  </r>
  <r>
    <s v="12 DE SEPTIEMBRE DE 2025"/>
    <x v="26"/>
    <s v="GABRIELA ARAVENA VILLALON"/>
    <n v="13999930"/>
    <s v="GABRIELA ARAVENA VILLALON"/>
    <d v="2025-03-01T00:00:00"/>
    <s v="DUPLICADO"/>
    <n v="95801737"/>
    <n v="65384183"/>
    <n v="7290"/>
    <n v="0"/>
    <n v="7290"/>
    <n v="0"/>
    <n v="7290"/>
    <n v="95801737"/>
    <n v="285123"/>
    <s v="CORP DE BIENESTAR DEL PERSONAL DE A F P"/>
    <d v="2025-03-01T00:00:00"/>
    <d v="2025-03-26T00:00:00"/>
    <d v="2025-02-01T00:00:00"/>
    <d v="2025-02-01T00:00:00"/>
    <s v="AMBULATORIOS"/>
    <n v="22770508"/>
    <n v="3311105"/>
    <n v="69251059"/>
    <s v="TRASSA"/>
    <n v="970753966"/>
    <n v="78070"/>
    <s v="SAL"/>
    <s v="AM04"/>
    <s v="EXAMENES DE LABORATORIO"/>
    <s v="EXAMENES DE LABORATORIO"/>
    <s v="EXAMENES DE LABORATORIO"/>
    <n v="0"/>
    <n v="0"/>
    <n v="96986050"/>
    <n v="3"/>
    <s v="SIN ISAPRE"/>
    <s v="GARAVENV@AFPHABITAT.CL"/>
    <s v="13999930|96986050|95801737|65384183"/>
    <s v="GASTO FISICO"/>
    <b v="0"/>
    <s v="DEPOSITADO EN CUENTA"/>
  </r>
  <r>
    <s v="12 DE SEPTIEMBRE DE 2025"/>
    <x v="26"/>
    <s v="GABRIELA ARAVENA VILLALON"/>
    <n v="13999930"/>
    <s v="GABRIELA ARAVENA VILLALON"/>
    <d v="2025-02-01T00:00:00"/>
    <s v="INICIAL"/>
    <n v="95801738"/>
    <n v="95801738"/>
    <n v="35711"/>
    <n v="24594"/>
    <n v="11117"/>
    <n v="0"/>
    <n v="11117"/>
    <n v="95801738"/>
    <n v="285123"/>
    <s v="CORP DE BIENESTAR DEL PERSONAL DE A F P"/>
    <d v="2025-02-01T00:00:00"/>
    <d v="2025-02-01T00:00:00"/>
    <d v="2025-02-01T00:00:00"/>
    <d v="2025-02-01T00:00:00"/>
    <s v="AMBULATORIOS"/>
    <n v="22566107"/>
    <n v="2101551"/>
    <n v="68819584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NUEVA MASVIDA"/>
    <s v="GARAVENV@AFPHABITAT.CL"/>
    <s v="13999930|96986050|95801738|95801738"/>
    <s v="IMED SALUD"/>
    <b v="1"/>
    <s v="APORTE VIA IMED"/>
  </r>
  <r>
    <s v="12 DE SEPTIEMBRE DE 2025"/>
    <x v="26"/>
    <s v="GABRIELA ARAVENA VILLALON"/>
    <n v="13999930"/>
    <s v="GABRIELA ARAVENA VILLALON"/>
    <d v="2025-03-01T00:00:00"/>
    <s v="DUPLICADO"/>
    <n v="95801738"/>
    <n v="65384184"/>
    <n v="11128"/>
    <n v="0"/>
    <n v="11128"/>
    <n v="0"/>
    <n v="11128"/>
    <n v="95801738"/>
    <n v="285123"/>
    <s v="CORP DE BIENESTAR DEL PERSONAL DE A F P"/>
    <d v="2025-03-01T00:00:00"/>
    <d v="2025-03-26T00:00:00"/>
    <d v="2025-02-01T00:00:00"/>
    <d v="2025-02-01T00:00:00"/>
    <s v="AMBULATORIOS"/>
    <n v="22770508"/>
    <n v="3311105"/>
    <n v="69251060"/>
    <s v="TRASSA"/>
    <n v="970753966"/>
    <n v="78070"/>
    <s v="SAL"/>
    <s v="AM04"/>
    <s v="EXAMENES DE LABORATORIO"/>
    <s v="EXAMENES DE LABORATORIO"/>
    <s v="EXAMENES DE LABORATORIO"/>
    <n v="0"/>
    <n v="0"/>
    <n v="96986050"/>
    <n v="3"/>
    <s v="SIN ISAPRE"/>
    <s v="GARAVENV@AFPHABITAT.CL"/>
    <s v="13999930|96986050|95801738|65384184"/>
    <s v="GASTO FISICO"/>
    <b v="0"/>
    <s v="DEPOSITADO EN CUENTA"/>
  </r>
  <r>
    <s v="12 DE SEPTIEMBRE DE 2025"/>
    <x v="39"/>
    <s v="PATRICIO ADOLFO HERNANDEZ CASANOVA"/>
    <n v="17457276"/>
    <s v="PATRICIO ADOLFO HERNANDEZ CASANOVA"/>
    <d v="2025-02-01T00:00:00"/>
    <s v="INICIAL"/>
    <n v="95813778"/>
    <n v="95813778"/>
    <n v="9350"/>
    <n v="5800"/>
    <n v="3550"/>
    <n v="0"/>
    <n v="3550"/>
    <n v="95813778"/>
    <n v="285123"/>
    <s v="CORP DE BIENESTAR DEL PERSONAL DE A F P"/>
    <d v="2025-02-04T00:00:00"/>
    <d v="2025-02-04T00:00:00"/>
    <d v="2025-02-04T00:00:00"/>
    <d v="2025-02-04T00:00:00"/>
    <s v="AMBULATORIOS"/>
    <n v="22566189"/>
    <n v="2101551"/>
    <n v="68821128"/>
    <s v="TRASSA"/>
    <n v="9022025"/>
    <n v="77586"/>
    <s v="SAL"/>
    <s v="AM07"/>
    <s v="PROCEDIMIENTOS TERAPEUTICOS"/>
    <s v="PROCEDIMIENTOS TERAPEUTICOS"/>
    <s v="PROCEDIMIENTOS TERAPEUTICOS"/>
    <s v="IMED SALUD"/>
    <n v="0"/>
    <n v="76010492"/>
    <n v="2"/>
    <s v="NUEVA MASVIDA"/>
    <s v="PHERNANC@AFPHABITAT.CL"/>
    <s v="17457276|76010492|95813778|95813778"/>
    <s v="IMED SALUD"/>
    <b v="1"/>
    <s v="APORTE VIA IMED"/>
  </r>
  <r>
    <s v="12 DE SEPTIEMBRE DE 2025"/>
    <x v="39"/>
    <s v="PATRICIO ADOLFO HERNANDEZ CASANOVA"/>
    <n v="17457276"/>
    <s v="PATRICIO ADOLFO HERNANDEZ CASANOVA"/>
    <d v="2025-03-01T00:00:00"/>
    <s v="DUPLICADO"/>
    <n v="95813778"/>
    <n v="65384417"/>
    <n v="3453"/>
    <n v="0"/>
    <n v="3453"/>
    <n v="0"/>
    <n v="3453"/>
    <n v="95813778"/>
    <n v="285123"/>
    <s v="CORP DE BIENESTAR DEL PERSONAL DE A F P"/>
    <d v="2025-03-01T00:00:00"/>
    <d v="2025-03-26T00:00:00"/>
    <d v="2025-02-04T00:00:00"/>
    <d v="2025-02-04T00:00:00"/>
    <s v="AMBULATORIOS"/>
    <n v="22770535"/>
    <n v="3311105"/>
    <n v="69251287"/>
    <s v="TRASSA"/>
    <n v="7390027803"/>
    <n v="78070"/>
    <s v="SAL"/>
    <s v="AM07"/>
    <s v="PROCEDIMIENTOS TERAPEUTICOS"/>
    <s v="PROCEDIMIENTOS TERAPEUTICOS"/>
    <s v="PROCEDIMIENTOS TERAPEUTICOS"/>
    <n v="0"/>
    <n v="0"/>
    <n v="76010492"/>
    <n v="2"/>
    <s v="SIN ISAPRE"/>
    <s v="PHERNANC@AFPHABITAT.CL"/>
    <s v="17457276|76010492|95813778|65384417"/>
    <s v="GASTO FISICO"/>
    <b v="0"/>
    <s v="DEPOSITADO EN CUENTA"/>
  </r>
  <r>
    <s v="12 DE SEPTIEMBRE DE 2025"/>
    <x v="39"/>
    <s v="PATRICIO ADOLFO HERNANDEZ CASANOVA"/>
    <n v="17457276"/>
    <s v="PATRICIO ADOLFO HERNANDEZ CASANOVA"/>
    <d v="2025-02-01T00:00:00"/>
    <s v="INICIAL"/>
    <n v="95814458"/>
    <n v="95814458"/>
    <n v="46530"/>
    <n v="20855"/>
    <n v="25675"/>
    <n v="0"/>
    <n v="25675"/>
    <n v="95814458"/>
    <n v="285123"/>
    <s v="CORP DE BIENESTAR DEL PERSONAL DE A F P"/>
    <d v="2025-02-04T00:00:00"/>
    <d v="2025-02-04T00:00:00"/>
    <d v="2025-02-04T00:00:00"/>
    <d v="2025-02-04T00:00:00"/>
    <s v="AMBULATORIOS"/>
    <n v="22566189"/>
    <n v="2101551"/>
    <n v="68821207"/>
    <s v="TRASSA"/>
    <n v="9022025"/>
    <n v="77586"/>
    <s v="SAL"/>
    <s v="AM07"/>
    <s v="PROCEDIMIENTOS TERAPEUTICOS"/>
    <s v="PROCEDIMIENTOS TERAPEUTICOS"/>
    <s v="PROCEDIMIENTOS TERAPEUTICOS"/>
    <s v="IMED SALUD"/>
    <n v="0"/>
    <n v="76010492"/>
    <n v="2"/>
    <s v="NUEVA MASVIDA"/>
    <s v="PHERNANC@AFPHABITAT.CL"/>
    <s v="17457276|76010492|95814458|95814458"/>
    <s v="IMED SALUD"/>
    <b v="1"/>
    <s v="APORTE VIA IMED"/>
  </r>
  <r>
    <s v="12 DE SEPTIEMBRE DE 2025"/>
    <x v="39"/>
    <s v="PATRICIO ADOLFO HERNANDEZ CASANOVA"/>
    <n v="17457276"/>
    <s v="PATRICIO ADOLFO HERNANDEZ CASANOVA"/>
    <d v="2025-03-01T00:00:00"/>
    <s v="DUPLICADO"/>
    <n v="95814458"/>
    <n v="65384418"/>
    <n v="24559"/>
    <n v="0"/>
    <n v="24559"/>
    <n v="0"/>
    <n v="24559"/>
    <n v="95814458"/>
    <n v="285123"/>
    <s v="CORP DE BIENESTAR DEL PERSONAL DE A F P"/>
    <d v="2025-03-01T00:00:00"/>
    <d v="2025-03-26T00:00:00"/>
    <d v="2025-02-04T00:00:00"/>
    <d v="2025-02-04T00:00:00"/>
    <s v="AMBULATORIOS"/>
    <n v="22770535"/>
    <n v="3311105"/>
    <n v="69251288"/>
    <s v="TRASSA"/>
    <n v="7390027803"/>
    <n v="78070"/>
    <s v="SAL"/>
    <s v="AM07"/>
    <s v="PROCEDIMIENTOS TERAPEUTICOS"/>
    <s v="PROCEDIMIENTOS TERAPEUTICOS"/>
    <s v="PROCEDIMIENTOS TERAPEUTICOS"/>
    <n v="0"/>
    <n v="0"/>
    <n v="76010492"/>
    <n v="2"/>
    <s v="SIN ISAPRE"/>
    <s v="PHERNANC@AFPHABITAT.CL"/>
    <s v="17457276|76010492|95814458|65384418"/>
    <s v="GASTO FISICO"/>
    <b v="0"/>
    <s v="DEPOSITADO EN CUENTA"/>
  </r>
  <r>
    <s v="12 DE SEPTIEMBRE DE 2025"/>
    <x v="40"/>
    <s v="MAURICIO QUISPE RIOS"/>
    <n v="10979169"/>
    <s v="MAURICIO QUISPE RIOS"/>
    <d v="2025-02-01T00:00:00"/>
    <s v="INICIAL"/>
    <n v="95818071"/>
    <n v="95818071"/>
    <n v="8850"/>
    <n v="5319"/>
    <n v="3531"/>
    <n v="0"/>
    <n v="3531"/>
    <n v="95818071"/>
    <n v="285123"/>
    <s v="CORP DE BIENESTAR DEL PERSONAL DE A F P"/>
    <d v="2025-02-05T00:00:00"/>
    <d v="2025-02-05T00:00:00"/>
    <d v="2025-02-05T00:00:00"/>
    <d v="2025-02-05T00:00:00"/>
    <s v="AMBULATORIOS"/>
    <n v="22566203"/>
    <n v="2101551"/>
    <n v="68821726"/>
    <s v="TRASSA"/>
    <n v="9022025"/>
    <n v="77586"/>
    <s v="SAL"/>
    <s v="AM04"/>
    <s v="EXAMENES DE LABORATORIO"/>
    <s v="EXAMENES DE LABORATORIO"/>
    <s v="EXAMENES DE LABORATORIO"/>
    <s v="IMED SALUD"/>
    <n v="0"/>
    <n v="86687700"/>
    <n v="9"/>
    <s v="NUEVA MASVIDA"/>
    <s v="MQUISPE@AFPHABITAT.CL"/>
    <s v="10979169|86687700|95818071|95818071"/>
    <s v="IMED SALUD"/>
    <b v="1"/>
    <s v="APORTE VIA IMED"/>
  </r>
  <r>
    <s v="12 DE SEPTIEMBRE DE 2025"/>
    <x v="40"/>
    <s v="MAURICIO QUISPE RIOS"/>
    <n v="10979169"/>
    <s v="MAURICIO QUISPE RIOS"/>
    <d v="2025-03-01T00:00:00"/>
    <s v="DUPLICADO"/>
    <n v="95818071"/>
    <n v="65383907"/>
    <n v="3451"/>
    <n v="0"/>
    <n v="3451"/>
    <n v="0"/>
    <n v="3451"/>
    <n v="95818071"/>
    <n v="285123"/>
    <s v="CORP DE BIENESTAR DEL PERSONAL DE A F P"/>
    <d v="2025-03-01T00:00:00"/>
    <d v="2025-03-26T00:00:00"/>
    <d v="2025-02-05T00:00:00"/>
    <d v="2025-02-05T00:00:00"/>
    <s v="AMBULATORIOS"/>
    <n v="22770538"/>
    <n v="3311105"/>
    <n v="69250796"/>
    <s v="TRASSA"/>
    <n v="21504161"/>
    <n v="78070"/>
    <s v="SAL"/>
    <s v="AM04"/>
    <s v="EXAMENES DE LABORATORIO"/>
    <s v="EXAMENES DE LABORATORIO"/>
    <s v="EXAMENES DE LABORATORIO"/>
    <n v="0"/>
    <n v="0"/>
    <n v="86687700"/>
    <n v="9"/>
    <s v="SIN ISAPRE"/>
    <s v="MQUISPE@AFPHABITAT.CL"/>
    <s v="10979169|86687700|95818071|65383907"/>
    <s v="GASTO FISICO"/>
    <b v="0"/>
    <s v="DEPOSITADO EN CUENTA"/>
  </r>
  <r>
    <s v="12 DE SEPTIEMBRE DE 2025"/>
    <x v="40"/>
    <s v="MAURICIO QUISPE RIOS"/>
    <n v="10979169"/>
    <s v="MAURICIO QUISPE RIOS"/>
    <d v="2025-02-01T00:00:00"/>
    <s v="INICIAL"/>
    <n v="95818072"/>
    <n v="95818072"/>
    <n v="49500"/>
    <n v="32156"/>
    <n v="17344"/>
    <n v="0"/>
    <n v="17344"/>
    <n v="95818072"/>
    <n v="285123"/>
    <s v="CORP DE BIENESTAR DEL PERSONAL DE A F P"/>
    <d v="2025-02-05T00:00:00"/>
    <d v="2025-02-05T00:00:00"/>
    <d v="2025-02-05T00:00:00"/>
    <d v="2025-02-05T00:00:00"/>
    <s v="AMBULATORIOS"/>
    <n v="22566203"/>
    <n v="2101551"/>
    <n v="68821725"/>
    <s v="TRASSA"/>
    <n v="9022025"/>
    <n v="77586"/>
    <s v="SAL"/>
    <s v="AM04"/>
    <s v="EXAMENES DE LABORATORIO"/>
    <s v="EXAMENES DE LABORATORIO"/>
    <s v="EXAMENES DE LABORATORIO"/>
    <s v="IMED SALUD"/>
    <n v="0"/>
    <n v="86687700"/>
    <n v="9"/>
    <s v="NUEVA MASVIDA"/>
    <s v="MQUISPE@AFPHABITAT.CL"/>
    <s v="10979169|86687700|95818072|95818072"/>
    <s v="IMED SALUD"/>
    <b v="1"/>
    <s v="APORTE VIA IMED"/>
  </r>
  <r>
    <s v="12 DE SEPTIEMBRE DE 2025"/>
    <x v="40"/>
    <s v="MAURICIO QUISPE RIOS"/>
    <n v="10979169"/>
    <s v="MAURICIO QUISPE RIOS"/>
    <d v="2025-03-01T00:00:00"/>
    <s v="DUPLICADO"/>
    <n v="95818072"/>
    <n v="65383908"/>
    <n v="17649"/>
    <n v="0"/>
    <n v="17649"/>
    <n v="0"/>
    <n v="17649"/>
    <n v="95818072"/>
    <n v="285123"/>
    <s v="CORP DE BIENESTAR DEL PERSONAL DE A F P"/>
    <d v="2025-03-01T00:00:00"/>
    <d v="2025-03-26T00:00:00"/>
    <d v="2025-02-05T00:00:00"/>
    <d v="2025-02-05T00:00:00"/>
    <s v="AMBULATORIOS"/>
    <n v="22770538"/>
    <n v="3311105"/>
    <n v="69250797"/>
    <s v="TRASSA"/>
    <n v="21504161"/>
    <n v="78070"/>
    <s v="SAL"/>
    <s v="AM04"/>
    <s v="EXAMENES DE LABORATORIO"/>
    <s v="EXAMENES DE LABORATORIO"/>
    <s v="EXAMENES DE LABORATORIO"/>
    <n v="0"/>
    <n v="0"/>
    <n v="86687700"/>
    <n v="9"/>
    <s v="SIN ISAPRE"/>
    <s v="MQUISPE@AFPHABITAT.CL"/>
    <s v="10979169|86687700|95818072|65383908"/>
    <s v="GASTO FISICO"/>
    <b v="0"/>
    <s v="DEPOSITADO EN CUENTA"/>
  </r>
  <r>
    <s v="12 DE SEPTIEMBRE DE 2025"/>
    <x v="40"/>
    <s v="MAURICIO QUISPE RIOS"/>
    <n v="10979169"/>
    <s v="MAURICIO QUISPE RIOS"/>
    <d v="2025-02-01T00:00:00"/>
    <s v="INICIAL"/>
    <n v="95818073"/>
    <n v="95818073"/>
    <n v="24310"/>
    <n v="15310"/>
    <n v="9000"/>
    <n v="0"/>
    <n v="9000"/>
    <n v="95818073"/>
    <n v="285123"/>
    <s v="CORP DE BIENESTAR DEL PERSONAL DE A F P"/>
    <d v="2025-02-05T00:00:00"/>
    <d v="2025-02-05T00:00:00"/>
    <d v="2025-02-05T00:00:00"/>
    <d v="2025-02-05T00:00:00"/>
    <s v="AMBULATORIOS"/>
    <n v="22566203"/>
    <n v="2101551"/>
    <n v="68821724"/>
    <s v="TRASSA"/>
    <n v="9022025"/>
    <n v="77586"/>
    <s v="SAL"/>
    <s v="AM04"/>
    <s v="EXAMENES DE LABORATORIO"/>
    <s v="EXAMENES DE LABORATORIO"/>
    <s v="EXAMENES DE LABORATORIO"/>
    <s v="IMED SALUD"/>
    <n v="0"/>
    <n v="86687700"/>
    <n v="9"/>
    <s v="NUEVA MASVIDA"/>
    <s v="MQUISPE@AFPHABITAT.CL"/>
    <s v="10979169|86687700|95818073|95818073"/>
    <s v="IMED SALUD"/>
    <b v="1"/>
    <s v="APORTE VIA IMED"/>
  </r>
  <r>
    <s v="12 DE SEPTIEMBRE DE 2025"/>
    <x v="40"/>
    <s v="MAURICIO QUISPE RIOS"/>
    <n v="10979169"/>
    <s v="MAURICIO QUISPE RIOS"/>
    <d v="2025-03-01T00:00:00"/>
    <s v="DUPLICADO"/>
    <n v="95818073"/>
    <n v="65383909"/>
    <n v="8824"/>
    <n v="0"/>
    <n v="8824"/>
    <n v="0"/>
    <n v="8824"/>
    <n v="95818073"/>
    <n v="285123"/>
    <s v="CORP DE BIENESTAR DEL PERSONAL DE A F P"/>
    <d v="2025-03-01T00:00:00"/>
    <d v="2025-03-26T00:00:00"/>
    <d v="2025-02-05T00:00:00"/>
    <d v="2025-02-05T00:00:00"/>
    <s v="AMBULATORIOS"/>
    <n v="22770538"/>
    <n v="3311105"/>
    <n v="69250798"/>
    <s v="TRASSA"/>
    <n v="21504161"/>
    <n v="78070"/>
    <s v="SAL"/>
    <s v="AM04"/>
    <s v="EXAMENES DE LABORATORIO"/>
    <s v="EXAMENES DE LABORATORIO"/>
    <s v="EXAMENES DE LABORATORIO"/>
    <n v="0"/>
    <n v="0"/>
    <n v="86687700"/>
    <n v="9"/>
    <s v="SIN ISAPRE"/>
    <s v="MQUISPE@AFPHABITAT.CL"/>
    <s v="10979169|86687700|95818073|65383909"/>
    <s v="GASTO FISICO"/>
    <b v="0"/>
    <s v="DEPOSITADO EN CUENTA"/>
  </r>
  <r>
    <s v="12 DE SEPTIEMBRE DE 2025"/>
    <x v="41"/>
    <s v="MARCELA PEREZ TORRES"/>
    <n v="11762547"/>
    <s v="MARCELA PEREZ TORRES"/>
    <d v="2025-02-01T00:00:00"/>
    <s v="INICIAL"/>
    <n v="95838743"/>
    <n v="95838743"/>
    <n v="28990"/>
    <n v="23192"/>
    <n v="5798"/>
    <n v="0"/>
    <n v="5798"/>
    <n v="95838743"/>
    <n v="285123"/>
    <s v="CORP DE BIENESTAR DEL PERSONAL DE A F P"/>
    <d v="2025-02-10T00:00:00"/>
    <d v="2025-02-10T00:00:00"/>
    <d v="2025-02-10T00:00:00"/>
    <d v="2025-02-10T00:00:00"/>
    <s v="AMBULATORIOS"/>
    <n v="22598329"/>
    <n v="2171709"/>
    <n v="68876114"/>
    <s v="TRASSA"/>
    <n v="16022025"/>
    <n v="77646"/>
    <s v="SAL"/>
    <s v="AM05"/>
    <s v="EXAMENES RADIOLOGICOS"/>
    <s v="EXAMENES RADIOLOGICOS"/>
    <s v="EXAMENES RADIOLOGICOS"/>
    <s v="IMED SALUD"/>
    <n v="0"/>
    <n v="76094395"/>
    <n v="9"/>
    <s v="NUEVA MASVIDA"/>
    <s v="MARCELA.PEREZ@AFPHABITAT.CL"/>
    <s v="11762547|76094395|95838743|95838743"/>
    <s v="IMED SALUD"/>
    <b v="1"/>
    <s v="APORTE VIA IMED"/>
  </r>
  <r>
    <s v="12 DE SEPTIEMBRE DE 2025"/>
    <x v="41"/>
    <s v="MARCELA PEREZ TORRES"/>
    <n v="11762547"/>
    <s v="MARCELA PEREZ TORRES"/>
    <d v="2025-03-01T00:00:00"/>
    <s v="DUPLICADO"/>
    <n v="95838743"/>
    <n v="65383963"/>
    <n v="5754"/>
    <n v="0"/>
    <n v="5754"/>
    <n v="0"/>
    <n v="5754"/>
    <n v="95838743"/>
    <n v="285123"/>
    <s v="CORP DE BIENESTAR DEL PERSONAL DE A F P"/>
    <d v="2025-03-01T00:00:00"/>
    <d v="2025-03-26T00:00:00"/>
    <d v="2025-02-10T00:00:00"/>
    <d v="2025-02-10T00:00:00"/>
    <s v="AMBULATORIOS"/>
    <n v="22770580"/>
    <n v="3311105"/>
    <n v="69250851"/>
    <s v="TRASSA"/>
    <n v="34637524"/>
    <n v="78070"/>
    <s v="SAL"/>
    <s v="AM05"/>
    <s v="EXAMENES RADIOLOGICOS"/>
    <s v="EXAMENES RADIOLOGICOS"/>
    <s v="EXAMENES RADIOLOGICOS"/>
    <n v="0"/>
    <n v="0"/>
    <n v="76094395"/>
    <n v="9"/>
    <s v="SIN ISAPRE"/>
    <s v="MARCELA.PEREZ@AFPHABITAT.CL"/>
    <s v="11762547|76094395|95838743|65383963"/>
    <s v="GASTO FISICO"/>
    <b v="0"/>
    <s v="DEPOSITADO EN CUENTA"/>
  </r>
  <r>
    <s v="12 DE SEPTIEMBRE DE 2025"/>
    <x v="39"/>
    <s v="PATRICIO ADOLFO HERNANDEZ CASANOVA"/>
    <n v="17457276"/>
    <s v="PATRICIO ADOLFO HERNANDEZ CASANOVA"/>
    <d v="2025-02-01T00:00:00"/>
    <s v="INICIAL"/>
    <n v="95844766"/>
    <n v="95844766"/>
    <n v="127010"/>
    <n v="85405"/>
    <n v="41605"/>
    <n v="0"/>
    <n v="41605"/>
    <n v="95844766"/>
    <n v="285123"/>
    <s v="CORP DE BIENESTAR DEL PERSONAL DE A F P"/>
    <d v="2025-02-11T00:00:00"/>
    <d v="2025-02-11T00:00:00"/>
    <d v="2025-02-11T00:00:00"/>
    <d v="2025-02-11T00:00:00"/>
    <s v="AMBULATORIOS"/>
    <n v="22598376"/>
    <n v="2171709"/>
    <n v="68876845"/>
    <s v="TRASSA"/>
    <n v="16022025"/>
    <n v="77646"/>
    <s v="SAL"/>
    <s v="AM05"/>
    <s v="EXAMENES RADIOLOGICOS"/>
    <s v="EXAMENES RADIOLOGICOS"/>
    <s v="EXAMENES RADIOLOGICOS"/>
    <s v="IMED SALUD"/>
    <n v="0"/>
    <n v="76686200"/>
    <n v="4"/>
    <s v="NUEVA MASVIDA"/>
    <s v="PHERNANC@AFPHABITAT.CL"/>
    <s v="17457276|76686200|95844766|95844766"/>
    <s v="IMED SALUD"/>
    <b v="1"/>
    <s v="APORTE VIA IMED"/>
  </r>
  <r>
    <s v="12 DE SEPTIEMBRE DE 2025"/>
    <x v="39"/>
    <s v="PATRICIO ADOLFO HERNANDEZ CASANOVA"/>
    <n v="17457276"/>
    <s v="PATRICIO ADOLFO HERNANDEZ CASANOVA"/>
    <d v="2025-03-01T00:00:00"/>
    <s v="DUPLICADO"/>
    <n v="95844766"/>
    <n v="65384419"/>
    <n v="41462"/>
    <n v="0"/>
    <n v="41462"/>
    <n v="0"/>
    <n v="41462"/>
    <n v="95844766"/>
    <n v="285123"/>
    <s v="CORP DE BIENESTAR DEL PERSONAL DE A F P"/>
    <d v="2025-03-01T00:00:00"/>
    <d v="2025-03-26T00:00:00"/>
    <d v="2025-02-11T00:00:00"/>
    <d v="2025-02-11T00:00:00"/>
    <s v="AMBULATORIOS"/>
    <n v="22770594"/>
    <n v="3311105"/>
    <n v="69251289"/>
    <s v="TRASSA"/>
    <n v="7390027803"/>
    <n v="78070"/>
    <s v="SAL"/>
    <s v="AM05"/>
    <s v="EXAMENES RADIOLOGICOS"/>
    <s v="EXAMENES RADIOLOGICOS"/>
    <s v="EXAMENES RADIOLOGICOS"/>
    <n v="0"/>
    <n v="0"/>
    <n v="76686200"/>
    <n v="4"/>
    <s v="SIN ISAPRE"/>
    <s v="PHERNANC@AFPHABITAT.CL"/>
    <s v="17457276|76686200|95844766|65384419"/>
    <s v="GASTO FISICO"/>
    <b v="0"/>
    <s v="DEPOSITADO EN CUENTA"/>
  </r>
  <r>
    <s v="12 DE SEPTIEMBRE DE 2025"/>
    <x v="26"/>
    <s v="GABRIELA ARAVENA VILLALON"/>
    <n v="13999930"/>
    <s v="GABRIELA ARAVENA VILLALON"/>
    <d v="2025-02-01T00:00:00"/>
    <s v="INICIAL"/>
    <n v="95864083"/>
    <n v="95864083"/>
    <n v="23556"/>
    <n v="14568"/>
    <n v="8988"/>
    <n v="0"/>
    <n v="8988"/>
    <n v="95864083"/>
    <n v="285123"/>
    <s v="CORP DE BIENESTAR DEL PERSONAL DE A F P"/>
    <d v="2025-02-15T00:00:00"/>
    <d v="2025-02-15T00:00:00"/>
    <d v="2025-02-15T00:00:00"/>
    <d v="2025-02-15T00:00:00"/>
    <s v="AMBULATORIOS"/>
    <n v="22621713"/>
    <n v="2250942"/>
    <n v="68909103"/>
    <s v="TRASSA"/>
    <n v="23022025"/>
    <n v="77703"/>
    <s v="SAL"/>
    <s v="AM05"/>
    <s v="EXAMENES RADIOLOGICOS"/>
    <s v="EXAMENES RADIOLOGICOS"/>
    <s v="EXAMENES RADIOLOGICOS"/>
    <s v="IMED SALUD"/>
    <n v="0"/>
    <n v="76098454"/>
    <s v="K"/>
    <s v="NUEVA MASVIDA"/>
    <s v="GARAVENV@AFPHABITAT.CL"/>
    <s v="13999930|76098454|95864083|95864083"/>
    <s v="IMED SALUD"/>
    <b v="1"/>
    <s v="APORTE VIA IMED"/>
  </r>
  <r>
    <s v="12 DE SEPTIEMBRE DE 2025"/>
    <x v="26"/>
    <s v="GABRIELA ARAVENA VILLALON"/>
    <n v="13999930"/>
    <s v="GABRIELA ARAVENA VILLALON"/>
    <d v="2025-03-01T00:00:00"/>
    <s v="DUPLICADO"/>
    <n v="95864083"/>
    <n v="65384185"/>
    <n v="8843"/>
    <n v="0"/>
    <n v="8843"/>
    <n v="0"/>
    <n v="8843"/>
    <n v="95864083"/>
    <n v="285123"/>
    <s v="CORP DE BIENESTAR DEL PERSONAL DE A F P"/>
    <d v="2025-03-01T00:00:00"/>
    <d v="2025-03-26T00:00:00"/>
    <d v="2025-02-15T00:00:00"/>
    <d v="2025-02-15T00:00:00"/>
    <s v="AMBULATORIOS"/>
    <n v="22770637"/>
    <n v="3311105"/>
    <n v="69251061"/>
    <s v="TRASSA"/>
    <n v="970753966"/>
    <n v="78070"/>
    <s v="SAL"/>
    <s v="AM05"/>
    <s v="EXAMENES RADIOLOGICOS"/>
    <s v="EXAMENES RADIOLOGICOS"/>
    <s v="EXAMENES RADIOLOGICOS"/>
    <n v="0"/>
    <n v="0"/>
    <n v="76098454"/>
    <s v="K"/>
    <s v="SIN ISAPRE"/>
    <s v="GARAVENV@AFPHABITAT.CL"/>
    <s v="13999930|76098454|95864083|65384185"/>
    <s v="GASTO FISICO"/>
    <b v="0"/>
    <s v="DEPOSITADO EN CUENTA"/>
  </r>
  <r>
    <s v="12 DE SEPTIEMBRE DE 2025"/>
    <x v="42"/>
    <s v="HECTOR VENEGAS CEA"/>
    <n v="16681059"/>
    <s v="HECTOR VENEGAS CEA"/>
    <d v="2025-02-01T00:00:00"/>
    <s v="INICIAL"/>
    <n v="95868685"/>
    <n v="95868685"/>
    <n v="10608"/>
    <n v="6365"/>
    <n v="4243"/>
    <n v="0"/>
    <n v="4243"/>
    <n v="95868685"/>
    <n v="285123"/>
    <s v="CORP DE BIENESTAR DEL PERSONAL DE A F P"/>
    <d v="2025-02-17T00:00:00"/>
    <d v="2025-02-17T00:00:00"/>
    <d v="2025-02-17T00:00:00"/>
    <d v="2025-02-17T00:00:00"/>
    <s v="AMBULATORIOS"/>
    <n v="22621754"/>
    <n v="2250942"/>
    <n v="68909646"/>
    <s v="TRASSA"/>
    <n v="23022025"/>
    <n v="77703"/>
    <s v="SAL"/>
    <s v="AM04"/>
    <s v="EXAMENES DE LABORATORIO"/>
    <s v="EXAMENES DE LABORATORIO"/>
    <s v="EXAMENES DE LABORATORIO"/>
    <s v="IMED SALUD"/>
    <n v="0"/>
    <n v="76242774"/>
    <n v="5"/>
    <s v="NUEVA MASVIDA"/>
    <s v="HECTOR.VENEGAS@AFPHABITAT.CL"/>
    <s v="16681059|76242774|95868685|95868685"/>
    <s v="IMED SALUD"/>
    <b v="1"/>
    <s v="APORTE VIA IMED"/>
  </r>
  <r>
    <s v="12 DE SEPTIEMBRE DE 2025"/>
    <x v="42"/>
    <s v="HECTOR VENEGAS CEA"/>
    <n v="16681059"/>
    <s v="HECTOR VENEGAS CEA"/>
    <d v="2025-03-01T00:00:00"/>
    <s v="DUPLICADO"/>
    <n v="95868685"/>
    <n v="65384373"/>
    <n v="3846"/>
    <n v="0"/>
    <n v="3846"/>
    <n v="0"/>
    <n v="3846"/>
    <n v="95868685"/>
    <n v="285123"/>
    <s v="CORP DE BIENESTAR DEL PERSONAL DE A F P"/>
    <d v="2025-03-01T00:00:00"/>
    <d v="2025-03-26T00:00:00"/>
    <d v="2025-02-17T00:00:00"/>
    <d v="2025-02-17T00:00:00"/>
    <s v="AMBULATORIOS"/>
    <n v="22770649"/>
    <n v="3311105"/>
    <n v="69251256"/>
    <s v="TRASSA"/>
    <n v="19830321397"/>
    <n v="78070"/>
    <s v="SAL"/>
    <s v="AM04"/>
    <s v="EXAMENES DE LABORATORIO"/>
    <s v="EXAMENES DE LABORATORIO"/>
    <s v="EXAMENES DE LABORATORIO"/>
    <n v="0"/>
    <n v="0"/>
    <n v="76242774"/>
    <n v="5"/>
    <s v="SIN ISAPRE"/>
    <s v="HECTOR.VENEGAS@AFPHABITAT.CL"/>
    <s v="16681059|76242774|95868685|65384373"/>
    <s v="GASTO FISICO"/>
    <b v="0"/>
    <s v="DEPOSITADO EN CUENTA"/>
  </r>
  <r>
    <s v="12 DE SEPTIEMBRE DE 2025"/>
    <x v="26"/>
    <s v="GABRIELA ARAVENA VILLALON"/>
    <n v="13999930"/>
    <s v="GABRIELA ARAVENA VILLALON"/>
    <d v="2025-02-01T00:00:00"/>
    <s v="INICIAL"/>
    <n v="95874683"/>
    <n v="95874683"/>
    <n v="30150"/>
    <n v="21075"/>
    <n v="9075"/>
    <n v="0"/>
    <n v="9075"/>
    <n v="95874683"/>
    <n v="285123"/>
    <s v="CORP DE BIENESTAR DEL PERSONAL DE A F P"/>
    <d v="2025-02-18T00:00:00"/>
    <d v="2025-02-18T00:00:00"/>
    <d v="2025-02-18T00:00:00"/>
    <d v="2025-02-18T00:00:00"/>
    <s v="AMBULATORIOS"/>
    <n v="22621788"/>
    <n v="2250942"/>
    <n v="68910363"/>
    <s v="TRASSA"/>
    <n v="23022025"/>
    <n v="77703"/>
    <s v="SAL"/>
    <s v="AM05"/>
    <s v="EXAMENES RADIOLOGICOS"/>
    <s v="EXAMENES RADIOLOGICOS"/>
    <s v="EXAMENES RADIOLOGICOS"/>
    <s v="IMED SALUD"/>
    <n v="0"/>
    <n v="96631140"/>
    <n v="1"/>
    <s v="NUEVA MASVIDA"/>
    <s v="GARAVENV@AFPHABITAT.CL"/>
    <s v="13999930|96631140|95874683|95874683"/>
    <s v="IMED SALUD"/>
    <b v="1"/>
    <s v="APORTE VIA IMED"/>
  </r>
  <r>
    <s v="12 DE SEPTIEMBRE DE 2025"/>
    <x v="26"/>
    <s v="GABRIELA ARAVENA VILLALON"/>
    <n v="13999930"/>
    <s v="GABRIELA ARAVENA VILLALON"/>
    <d v="2025-03-01T00:00:00"/>
    <s v="DUPLICADO"/>
    <n v="95874683"/>
    <n v="65384186"/>
    <n v="8084"/>
    <n v="0"/>
    <n v="8084"/>
    <n v="0"/>
    <n v="8084"/>
    <n v="95874683"/>
    <n v="285123"/>
    <s v="CORP DE BIENESTAR DEL PERSONAL DE A F P"/>
    <d v="2025-03-01T00:00:00"/>
    <d v="2025-03-26T00:00:00"/>
    <d v="2025-02-18T00:00:00"/>
    <d v="2025-02-18T00:00:00"/>
    <s v="AMBULATORIOS"/>
    <n v="22770657"/>
    <n v="3311105"/>
    <n v="69251062"/>
    <s v="TRASSA"/>
    <n v="970753966"/>
    <n v="78070"/>
    <s v="SAL"/>
    <s v="AM05"/>
    <s v="EXAMENES RADIOLOGICOS"/>
    <s v="EXAMENES RADIOLOGICOS"/>
    <s v="EXAMENES RADIOLOGICOS"/>
    <n v="0"/>
    <n v="0"/>
    <n v="96631140"/>
    <n v="1"/>
    <s v="SIN ISAPRE"/>
    <s v="GARAVENV@AFPHABITAT.CL"/>
    <s v="13999930|96631140|95874683|65384186"/>
    <s v="GASTO FISICO"/>
    <b v="0"/>
    <s v="DEPOSITADO EN CUENTA"/>
  </r>
  <r>
    <s v="12 DE SEPTIEMBRE DE 2025"/>
    <x v="34"/>
    <s v="ANA REYES DELGADO"/>
    <n v="14502516"/>
    <s v="ANA REYES DELGADO"/>
    <d v="2025-03-01T00:00:00"/>
    <s v="INICIAL"/>
    <n v="95959962"/>
    <n v="95959962"/>
    <n v="33009"/>
    <n v="26407"/>
    <n v="6602"/>
    <n v="0"/>
    <n v="6602"/>
    <n v="95959962"/>
    <n v="285123"/>
    <s v="CORP DE BIENESTAR DEL PERSONAL DE A F P"/>
    <d v="2025-03-07T00:00:00"/>
    <d v="2025-03-07T00:00:00"/>
    <d v="2025-03-07T00:00:00"/>
    <d v="2025-03-07T00:00:00"/>
    <s v="AMBULATORIOS"/>
    <n v="22676835"/>
    <n v="3101656"/>
    <n v="68994431"/>
    <s v="TRASSA"/>
    <n v="9032025"/>
    <n v="77868"/>
    <s v="SAL"/>
    <s v="AM05"/>
    <s v="EXAMENES RADIOLOGICOS"/>
    <s v="EXAMENES RADIOLOGICOS"/>
    <s v="EXAMENES RADIOLOGICOS"/>
    <s v="IMED SALUD"/>
    <n v="0"/>
    <n v="96631140"/>
    <n v="1"/>
    <s v="NUEVA MASVIDA"/>
    <s v="ANA.REYES@AFPHABITAT.CL"/>
    <s v="14502516|96631140|95959962|95959962"/>
    <s v="IMED SALUD"/>
    <b v="1"/>
    <s v="APORTE VIA IMED"/>
  </r>
  <r>
    <s v="12 DE SEPTIEMBRE DE 2025"/>
    <x v="34"/>
    <s v="ANA REYES DELGADO"/>
    <n v="14502516"/>
    <s v="ANA REYES DELGADO"/>
    <d v="2025-03-01T00:00:00"/>
    <s v="DUPLICADO"/>
    <n v="95959962"/>
    <n v="65384243"/>
    <n v="6588"/>
    <n v="0"/>
    <n v="6588"/>
    <n v="0"/>
    <n v="6588"/>
    <n v="95959962"/>
    <n v="285123"/>
    <s v="CORP DE BIENESTAR DEL PERSONAL DE A F P"/>
    <d v="2025-03-07T00:00:00"/>
    <d v="2025-03-26T00:00:00"/>
    <d v="2025-03-07T00:00:00"/>
    <d v="2025-03-07T00:00:00"/>
    <s v="AMBULATORIOS"/>
    <n v="22772453"/>
    <n v="3311105"/>
    <n v="69251116"/>
    <s v="TRASSA"/>
    <n v="970433961"/>
    <n v="78070"/>
    <s v="SAL"/>
    <s v="AM05"/>
    <s v="EXAMENES RADIOLOGICOS"/>
    <s v="EXAMENES RADIOLOGICOS"/>
    <s v="EXAMENES RADIOLOGICOS"/>
    <n v="0"/>
    <n v="0"/>
    <n v="96631140"/>
    <n v="1"/>
    <s v="SIN ISAPRE"/>
    <s v="ANA.REYES@AFPHABITAT.CL"/>
    <s v="14502516|96631140|95959962|65384243"/>
    <s v="GASTO FISICO"/>
    <b v="0"/>
    <s v="DEPOSITADO EN CUENTA"/>
  </r>
  <r>
    <s v="12 DE SEPTIEMBRE DE 2025"/>
    <x v="43"/>
    <s v="ALEJANDRA VANESSA MEDINA BAEZA"/>
    <n v="11946769"/>
    <s v="ALEJANDRA VANESSA MEDINA BAEZA"/>
    <d v="2025-01-01T00:00:00"/>
    <s v="INICIAL"/>
    <n v="135539942"/>
    <n v="135539942"/>
    <n v="200121"/>
    <n v="77641"/>
    <n v="122480"/>
    <n v="0"/>
    <n v="122480"/>
    <n v="135539942"/>
    <n v="285123"/>
    <s v="CORP DE BIENESTAR DEL PERSONAL DE A F P"/>
    <d v="2025-01-09T00:00:00"/>
    <d v="2025-01-09T00:00:00"/>
    <d v="2025-01-09T00:00:00"/>
    <d v="2025-01-09T00:00:00"/>
    <s v="AMBULATORIOS"/>
    <n v="22462276"/>
    <n v="1131703"/>
    <n v="68651920"/>
    <s v="TRASSA"/>
    <n v="12012025"/>
    <n v="77298"/>
    <s v="SAL"/>
    <s v="AM05"/>
    <s v="EXAMENES RADIOLOGICOS"/>
    <s v="EXAMENES RADIOLOGICOS"/>
    <s v="EXAMENES RADIOLOGICOS"/>
    <s v="IMED SALUD"/>
    <n v="0"/>
    <n v="77200240"/>
    <n v="8"/>
    <s v="COLMENA GOLDEN CROSS"/>
    <s v="AMEDINAB@AFPHABITAT.CL"/>
    <s v="11946769|77200240|135539942|135539942"/>
    <s v="IMED SALUD"/>
    <b v="1"/>
    <s v="APORTE VIA IMED"/>
  </r>
  <r>
    <s v="12 DE SEPTIEMBRE DE 2025"/>
    <x v="43"/>
    <s v="ALEJANDRA VANESSA MEDINA BAEZA"/>
    <n v="11946769"/>
    <s v="ALEJANDRA VANESSA MEDINA BAEZA"/>
    <d v="2025-03-01T00:00:00"/>
    <s v="DUPLICADO"/>
    <n v="135539942"/>
    <n v="65383980"/>
    <n v="111473"/>
    <n v="0"/>
    <n v="111473"/>
    <n v="0"/>
    <n v="111473"/>
    <n v="135539942"/>
    <n v="285123"/>
    <s v="CORP DE BIENESTAR DEL PERSONAL DE A F P"/>
    <d v="2025-03-01T00:00:00"/>
    <d v="2025-03-26T00:00:00"/>
    <d v="2025-01-09T00:00:00"/>
    <d v="2025-01-09T00:00:00"/>
    <s v="AMBULATORIOS"/>
    <n v="22770323"/>
    <n v="3311105"/>
    <n v="69250868"/>
    <s v="TRASSA"/>
    <n v="970593489"/>
    <n v="78070"/>
    <s v="SAL"/>
    <s v="AM05"/>
    <s v="EXAMENES RADIOLOGICOS"/>
    <s v="EXAMENES RADIOLOGICOS"/>
    <s v="EXAMENES RADIOLOGICOS"/>
    <n v="0"/>
    <n v="0"/>
    <n v="77200240"/>
    <n v="8"/>
    <s v="SIN ISAPRE"/>
    <s v="AMEDINAB@AFPHABITAT.CL"/>
    <s v="11946769|77200240|135539942|65383980"/>
    <s v="GASTO FISICO"/>
    <b v="0"/>
    <s v="DEPOSITADO EN CUENTA"/>
  </r>
  <r>
    <s v="12 DE SEPTIEMBRE DE 2025"/>
    <x v="44"/>
    <s v="MARCELA RISCO ILNAO"/>
    <n v="24592087"/>
    <s v="VICTORIA MORENO RISCO"/>
    <d v="2025-01-01T00:00:00"/>
    <s v="INICIAL"/>
    <n v="135711912"/>
    <n v="135711912"/>
    <n v="9854"/>
    <n v="6898"/>
    <n v="2956"/>
    <n v="0"/>
    <n v="2956"/>
    <n v="135711912"/>
    <n v="285123"/>
    <s v="CORP DE BIENESTAR DEL PERSONAL DE A F P"/>
    <d v="2025-01-16T00:00:00"/>
    <d v="2025-01-16T00:00:00"/>
    <d v="2025-01-16T00:00:00"/>
    <d v="2025-01-16T00:00:00"/>
    <s v="AMBULATORIOS"/>
    <n v="22497933"/>
    <n v="1210929"/>
    <n v="68690559"/>
    <s v="TRASSA"/>
    <n v="19012025"/>
    <n v="77381"/>
    <s v="SAL"/>
    <s v="AM05"/>
    <s v="EXAMENES RADIOLOGICOS"/>
    <s v="EXAMENES RADIOLOGICOS"/>
    <s v="EXAMENES RADIOLOGICOS"/>
    <s v="IMED SALUD"/>
    <n v="0"/>
    <n v="76098454"/>
    <s v="K"/>
    <s v="COLMENA GOLDEN CROSS"/>
    <s v="MRISCO@AFPHABITAT.CL"/>
    <s v="13024964|76098454|135711912|135711912"/>
    <s v="IMED SALUD"/>
    <b v="1"/>
    <s v="APORTE VIA IMED"/>
  </r>
  <r>
    <s v="12 DE SEPTIEMBRE DE 2025"/>
    <x v="44"/>
    <s v="MARCELA RISCO ILNAO"/>
    <n v="24592087"/>
    <s v="VICTORIA MORENO RISCO"/>
    <d v="2025-03-01T00:00:00"/>
    <s v="DUPLICADO"/>
    <n v="135711912"/>
    <n v="65384062"/>
    <n v="3073"/>
    <n v="0"/>
    <n v="3073"/>
    <n v="0"/>
    <n v="3073"/>
    <n v="135711912"/>
    <n v="285123"/>
    <s v="CORP DE BIENESTAR DEL PERSONAL DE A F P"/>
    <d v="2025-03-01T00:00:00"/>
    <d v="2025-03-26T00:00:00"/>
    <d v="2025-01-16T00:00:00"/>
    <d v="2025-01-16T00:00:00"/>
    <s v="AMBULATORIOS"/>
    <n v="22770360"/>
    <n v="3311105"/>
    <n v="69250950"/>
    <s v="TRASSA"/>
    <n v="4305868"/>
    <n v="78070"/>
    <s v="SAL"/>
    <s v="AM05"/>
    <s v="EXAMENES RADIOLOGICOS"/>
    <s v="EXAMENES RADIOLOGICOS"/>
    <s v="EXAMENES RADIOLOGICOS"/>
    <n v="0"/>
    <n v="0"/>
    <n v="76098454"/>
    <s v="K"/>
    <s v="SIN ISAPRE"/>
    <s v="MRISCO@AFPHABITAT.CL"/>
    <s v="13024964|76098454|135711912|65384062"/>
    <s v="GASTO FISICO"/>
    <b v="0"/>
    <s v="DEPOSITADO EN CUENTA"/>
  </r>
  <r>
    <s v="12 DE SEPTIEMBRE DE 2025"/>
    <x v="44"/>
    <s v="MARCELA RISCO ILNAO"/>
    <n v="24592087"/>
    <s v="VICTORIA MORENO RISCO"/>
    <d v="2025-01-01T00:00:00"/>
    <s v="INICIAL"/>
    <n v="135724323"/>
    <n v="135724323"/>
    <n v="31925"/>
    <n v="22348"/>
    <n v="9577"/>
    <n v="0"/>
    <n v="9577"/>
    <n v="135724323"/>
    <n v="285123"/>
    <s v="CORP DE BIENESTAR DEL PERSONAL DE A F P"/>
    <d v="2025-01-17T00:00:00"/>
    <d v="2025-01-17T00:00:00"/>
    <d v="2025-01-17T00:00:00"/>
    <d v="2025-01-17T00:00:00"/>
    <s v="AMBULATORIOS"/>
    <n v="22497969"/>
    <n v="1210929"/>
    <n v="68690811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COLMENA GOLDEN CROSS"/>
    <s v="MRISCO@AFPHABITAT.CL"/>
    <s v="13024964|99573490|135724323|135724323"/>
    <s v="IMED SALUD"/>
    <b v="1"/>
    <s v="APORTE VIA IMED"/>
  </r>
  <r>
    <s v="12 DE SEPTIEMBRE DE 2025"/>
    <x v="44"/>
    <s v="MARCELA RISCO ILNAO"/>
    <n v="24592087"/>
    <s v="VICTORIA MORENO RISCO"/>
    <d v="2025-03-01T00:00:00"/>
    <s v="DUPLICADO"/>
    <n v="135724323"/>
    <n v="65384063"/>
    <n v="9603"/>
    <n v="0"/>
    <n v="9603"/>
    <n v="0"/>
    <n v="9603"/>
    <n v="135724323"/>
    <n v="285123"/>
    <s v="CORP DE BIENESTAR DEL PERSONAL DE A F P"/>
    <d v="2025-03-01T00:00:00"/>
    <d v="2025-03-26T00:00:00"/>
    <d v="2025-01-17T00:00:00"/>
    <d v="2025-01-17T00:00:00"/>
    <s v="AMBULATORIOS"/>
    <n v="22770371"/>
    <n v="3311105"/>
    <n v="69250951"/>
    <s v="TRASSA"/>
    <n v="4305868"/>
    <n v="78070"/>
    <s v="SAL"/>
    <s v="AM04"/>
    <s v="EXAMENES DE LABORATORIO"/>
    <s v="EXAMENES DE LABORATORIO"/>
    <s v="EXAMENES DE LABORATORIO"/>
    <n v="0"/>
    <n v="0"/>
    <n v="99573490"/>
    <n v="7"/>
    <s v="SIN ISAPRE"/>
    <s v="MRISCO@AFPHABITAT.CL"/>
    <s v="13024964|99573490|135724323|65384063"/>
    <s v="GASTO FISICO"/>
    <b v="0"/>
    <s v="DEPOSITADO EN CUENTA"/>
  </r>
  <r>
    <s v="12 DE SEPTIEMBRE DE 2025"/>
    <x v="44"/>
    <s v="MARCELA RISCO ILNAO"/>
    <n v="24592087"/>
    <s v="VICTORIA MORENO RISCO"/>
    <d v="2025-01-01T00:00:00"/>
    <s v="INICIAL"/>
    <n v="135724324"/>
    <n v="135724324"/>
    <n v="33580"/>
    <n v="23506"/>
    <n v="10074"/>
    <n v="0"/>
    <n v="10074"/>
    <n v="135724324"/>
    <n v="285123"/>
    <s v="CORP DE BIENESTAR DEL PERSONAL DE A F P"/>
    <d v="2025-01-17T00:00:00"/>
    <d v="2025-01-17T00:00:00"/>
    <d v="2025-01-17T00:00:00"/>
    <d v="2025-01-17T00:00:00"/>
    <s v="AMBULATORIOS"/>
    <n v="22497969"/>
    <n v="1210929"/>
    <n v="68690810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COLMENA GOLDEN CROSS"/>
    <s v="MRISCO@AFPHABITAT.CL"/>
    <s v="13024964|99573490|135724324|135724324"/>
    <s v="IMED SALUD"/>
    <b v="1"/>
    <s v="APORTE VIA IMED"/>
  </r>
  <r>
    <s v="12 DE SEPTIEMBRE DE 2025"/>
    <x v="44"/>
    <s v="MARCELA RISCO ILNAO"/>
    <n v="24592087"/>
    <s v="VICTORIA MORENO RISCO"/>
    <d v="2025-03-01T00:00:00"/>
    <s v="DUPLICADO"/>
    <n v="135724324"/>
    <n v="65384064"/>
    <n v="9988"/>
    <n v="0"/>
    <n v="9988"/>
    <n v="0"/>
    <n v="9988"/>
    <n v="135724324"/>
    <n v="285123"/>
    <s v="CORP DE BIENESTAR DEL PERSONAL DE A F P"/>
    <d v="2025-03-01T00:00:00"/>
    <d v="2025-03-26T00:00:00"/>
    <d v="2025-01-17T00:00:00"/>
    <d v="2025-01-17T00:00:00"/>
    <s v="AMBULATORIOS"/>
    <n v="22770371"/>
    <n v="3311105"/>
    <n v="69250952"/>
    <s v="TRASSA"/>
    <n v="4305868"/>
    <n v="78070"/>
    <s v="SAL"/>
    <s v="AM04"/>
    <s v="EXAMENES DE LABORATORIO"/>
    <s v="EXAMENES DE LABORATORIO"/>
    <s v="EXAMENES DE LABORATORIO"/>
    <n v="0"/>
    <n v="0"/>
    <n v="99573490"/>
    <n v="7"/>
    <s v="SIN ISAPRE"/>
    <s v="MRISCO@AFPHABITAT.CL"/>
    <s v="13024964|99573490|135724324|65384064"/>
    <s v="GASTO FISICO"/>
    <b v="0"/>
    <s v="DEPOSITADO EN CUENTA"/>
  </r>
  <r>
    <s v="12 DE SEPTIEMBRE DE 2025"/>
    <x v="45"/>
    <s v="BASTIAN ANDRES GRANDON ACEVEDO"/>
    <n v="19747908"/>
    <s v="BASTIAN ANDRES GRANDON ACEVEDO"/>
    <d v="2025-01-01T00:00:00"/>
    <s v="INICIAL"/>
    <n v="135727077"/>
    <n v="135727077"/>
    <n v="32750"/>
    <n v="26200"/>
    <n v="6550"/>
    <n v="0"/>
    <n v="6550"/>
    <n v="135727077"/>
    <n v="285123"/>
    <s v="CORP DE BIENESTAR DEL PERSONAL DE A F P"/>
    <d v="2025-01-17T00:00:00"/>
    <d v="2025-01-17T00:00:00"/>
    <d v="2025-01-17T00:00:00"/>
    <d v="2025-01-17T00:00:00"/>
    <s v="AMBULATORIOS"/>
    <n v="22497991"/>
    <n v="1210929"/>
    <n v="68690935"/>
    <s v="TRASSA"/>
    <n v="19012025"/>
    <n v="77381"/>
    <s v="SAL"/>
    <s v="AM04"/>
    <s v="EXAMENES DE LABORATORIO"/>
    <s v="EXAMENES DE LABORATORIO"/>
    <s v="EXAMENES DE LABORATORIO"/>
    <s v="IMED SALUD"/>
    <n v="0"/>
    <n v="96942400"/>
    <n v="2"/>
    <s v="COLMENA GOLDEN CROSS"/>
    <s v="BASTIAN.GRANDON@AFPHABITAT.CL"/>
    <s v="19747908|96942400|135727077|135727077"/>
    <s v="IMED SALUD"/>
    <b v="1"/>
    <s v="APORTE VIA IMED"/>
  </r>
  <r>
    <s v="12 DE SEPTIEMBRE DE 2025"/>
    <x v="45"/>
    <s v="BASTIAN ANDRES GRANDON ACEVEDO"/>
    <n v="19747908"/>
    <s v="BASTIAN ANDRES GRANDON ACEVEDO"/>
    <d v="2025-03-01T00:00:00"/>
    <s v="DUPLICADO"/>
    <n v="135727077"/>
    <n v="65384494"/>
    <n v="6913"/>
    <n v="0"/>
    <n v="6913"/>
    <n v="0"/>
    <n v="6913"/>
    <n v="135727077"/>
    <n v="285123"/>
    <s v="CORP DE BIENESTAR DEL PERSONAL DE A F P"/>
    <d v="2025-03-01T00:00:00"/>
    <d v="2025-03-26T00:00:00"/>
    <d v="2025-01-17T00:00:00"/>
    <d v="2025-01-17T00:00:00"/>
    <s v="AMBULATORIOS"/>
    <n v="22770377"/>
    <n v="3311105"/>
    <n v="69251360"/>
    <s v="TRASSA"/>
    <n v="989772832"/>
    <n v="78070"/>
    <s v="SAL"/>
    <s v="AM04"/>
    <s v="EXAMENES DE LABORATORIO"/>
    <s v="EXAMENES DE LABORATORIO"/>
    <s v="EXAMENES DE LABORATORIO"/>
    <n v="0"/>
    <n v="0"/>
    <n v="96942400"/>
    <n v="2"/>
    <s v="SIN ISAPRE"/>
    <s v="BASTIAN.GRANDON@AFPHABITAT.CL"/>
    <s v="19747908|96942400|135727077|65384494"/>
    <s v="GASTO FISICO"/>
    <b v="0"/>
    <s v="DEPOSITADO EN CUENTA"/>
  </r>
  <r>
    <s v="12 DE SEPTIEMBRE DE 2025"/>
    <x v="45"/>
    <s v="BASTIAN ANDRES GRANDON ACEVEDO"/>
    <n v="19747908"/>
    <s v="BASTIAN ANDRES GRANDON ACEVEDO"/>
    <d v="2025-01-01T00:00:00"/>
    <s v="INICIAL"/>
    <n v="135727078"/>
    <n v="135727078"/>
    <n v="4780"/>
    <n v="3824"/>
    <n v="956"/>
    <n v="0"/>
    <n v="956"/>
    <n v="135727078"/>
    <n v="285123"/>
    <s v="CORP DE BIENESTAR DEL PERSONAL DE A F P"/>
    <d v="2025-01-17T00:00:00"/>
    <d v="2025-01-17T00:00:00"/>
    <d v="2025-01-17T00:00:00"/>
    <d v="2025-01-17T00:00:00"/>
    <s v="AMBULATORIOS"/>
    <n v="22497991"/>
    <n v="1210929"/>
    <n v="68690934"/>
    <s v="TRASSA"/>
    <n v="19012025"/>
    <n v="77381"/>
    <s v="SAL"/>
    <s v="AM04"/>
    <s v="EXAMENES DE LABORATORIO"/>
    <s v="EXAMENES DE LABORATORIO"/>
    <s v="EXAMENES DE LABORATORIO"/>
    <s v="IMED SALUD"/>
    <n v="0"/>
    <n v="96942400"/>
    <n v="2"/>
    <s v="COLMENA GOLDEN CROSS"/>
    <s v="BASTIAN.GRANDON@AFPHABITAT.CL"/>
    <s v="19747908|96942400|135727078|135727078"/>
    <s v="IMED SALUD"/>
    <b v="1"/>
    <s v="APORTE VIA IMED"/>
  </r>
  <r>
    <s v="12 DE SEPTIEMBRE DE 2025"/>
    <x v="45"/>
    <s v="BASTIAN ANDRES GRANDON ACEVEDO"/>
    <n v="19747908"/>
    <s v="BASTIAN ANDRES GRANDON ACEVEDO"/>
    <d v="2025-03-01T00:00:00"/>
    <s v="DUPLICADO"/>
    <n v="135727078"/>
    <n v="65384495"/>
    <n v="768"/>
    <n v="0"/>
    <n v="768"/>
    <n v="0"/>
    <n v="768"/>
    <n v="135727078"/>
    <n v="285123"/>
    <s v="CORP DE BIENESTAR DEL PERSONAL DE A F P"/>
    <d v="2025-03-01T00:00:00"/>
    <d v="2025-03-26T00:00:00"/>
    <d v="2025-01-17T00:00:00"/>
    <d v="2025-01-17T00:00:00"/>
    <s v="AMBULATORIOS"/>
    <n v="22770377"/>
    <n v="3311105"/>
    <n v="69251361"/>
    <s v="TRASSA"/>
    <n v="989772832"/>
    <n v="78070"/>
    <s v="SAL"/>
    <s v="AM04"/>
    <s v="EXAMENES DE LABORATORIO"/>
    <s v="EXAMENES DE LABORATORIO"/>
    <s v="EXAMENES DE LABORATORIO"/>
    <n v="0"/>
    <n v="0"/>
    <n v="96942400"/>
    <n v="2"/>
    <s v="SIN ISAPRE"/>
    <s v="BASTIAN.GRANDON@AFPHABITAT.CL"/>
    <s v="19747908|96942400|135727078|65384495"/>
    <s v="GASTO FISICO"/>
    <b v="0"/>
    <s v="DEPOSITADO EN CUENTA"/>
  </r>
  <r>
    <s v="12 DE SEPTIEMBRE DE 2025"/>
    <x v="45"/>
    <s v="BASTIAN ANDRES GRANDON ACEVEDO"/>
    <n v="19747908"/>
    <s v="BASTIAN ANDRES GRANDON ACEVEDO"/>
    <d v="2025-01-01T00:00:00"/>
    <s v="INICIAL"/>
    <n v="135727258"/>
    <n v="135727258"/>
    <n v="5730"/>
    <n v="4584"/>
    <n v="1146"/>
    <n v="0"/>
    <n v="1146"/>
    <n v="135727258"/>
    <n v="285123"/>
    <s v="CORP DE BIENESTAR DEL PERSONAL DE A F P"/>
    <d v="2025-01-17T00:00:00"/>
    <d v="2025-01-17T00:00:00"/>
    <d v="2025-01-17T00:00:00"/>
    <d v="2025-01-17T00:00:00"/>
    <s v="AMBULATORIOS"/>
    <n v="22497991"/>
    <n v="1210929"/>
    <n v="68690946"/>
    <s v="TRASSA"/>
    <n v="19012025"/>
    <n v="77381"/>
    <s v="SAL"/>
    <s v="AM04"/>
    <s v="EXAMENES DE LABORATORIO"/>
    <s v="EXAMENES DE LABORATORIO"/>
    <s v="EXAMENES DE LABORATORIO"/>
    <s v="IMED SALUD"/>
    <n v="0"/>
    <n v="96942400"/>
    <n v="2"/>
    <s v="COLMENA GOLDEN CROSS"/>
    <s v="BASTIAN.GRANDON@AFPHABITAT.CL"/>
    <s v="19747908|96942400|135727258|135727258"/>
    <s v="IMED SALUD"/>
    <b v="1"/>
    <s v="APORTE VIA IMED"/>
  </r>
  <r>
    <s v="12 DE SEPTIEMBRE DE 2025"/>
    <x v="45"/>
    <s v="BASTIAN ANDRES GRANDON ACEVEDO"/>
    <n v="19747908"/>
    <s v="BASTIAN ANDRES GRANDON ACEVEDO"/>
    <d v="2025-03-01T00:00:00"/>
    <s v="DUPLICADO"/>
    <n v="135727258"/>
    <n v="65384496"/>
    <n v="1152"/>
    <n v="0"/>
    <n v="1152"/>
    <n v="0"/>
    <n v="1152"/>
    <n v="135727258"/>
    <n v="285123"/>
    <s v="CORP DE BIENESTAR DEL PERSONAL DE A F P"/>
    <d v="2025-03-01T00:00:00"/>
    <d v="2025-03-26T00:00:00"/>
    <d v="2025-01-17T00:00:00"/>
    <d v="2025-01-17T00:00:00"/>
    <s v="AMBULATORIOS"/>
    <n v="22770377"/>
    <n v="3311105"/>
    <n v="69251362"/>
    <s v="TRASSA"/>
    <n v="989772832"/>
    <n v="78070"/>
    <s v="SAL"/>
    <s v="AM04"/>
    <s v="EXAMENES DE LABORATORIO"/>
    <s v="EXAMENES DE LABORATORIO"/>
    <s v="EXAMENES DE LABORATORIO"/>
    <n v="0"/>
    <n v="0"/>
    <n v="96942400"/>
    <n v="2"/>
    <s v="SIN ISAPRE"/>
    <s v="BASTIAN.GRANDON@AFPHABITAT.CL"/>
    <s v="19747908|96942400|135727258|65384496"/>
    <s v="GASTO FISICO"/>
    <b v="0"/>
    <s v="DEPOSITADO EN CUENTA"/>
  </r>
  <r>
    <s v="12 DE SEPTIEMBRE DE 2025"/>
    <x v="46"/>
    <s v="FELIPE ANTONIO IMBARACK CHARAD"/>
    <n v="13828290"/>
    <s v="FELIPE ANTONIO IMBARACK CHARAD"/>
    <d v="2025-01-01T00:00:00"/>
    <s v="INICIAL"/>
    <n v="135751800"/>
    <n v="135751800"/>
    <n v="305024"/>
    <n v="94895"/>
    <n v="210129"/>
    <n v="0"/>
    <n v="210129"/>
    <n v="135751800"/>
    <n v="285123"/>
    <s v="CORP DE BIENESTAR DEL PERSONAL DE A F P"/>
    <d v="2025-01-17T00:00:00"/>
    <d v="2025-01-17T00:00:00"/>
    <d v="2025-01-17T00:00:00"/>
    <d v="2025-01-17T00:00:00"/>
    <s v="AMBULATORIOS"/>
    <n v="22497973"/>
    <n v="1210929"/>
    <n v="68691589"/>
    <s v="TRASSA"/>
    <n v="19012025"/>
    <n v="77381"/>
    <s v="SAL"/>
    <s v="AM05"/>
    <s v="EXAMENES RADIOLOGICOS"/>
    <s v="EXAMENES RADIOLOGICOS"/>
    <s v="EXAMENES RADIOLOGICOS"/>
    <s v="IMED SALUD"/>
    <n v="0"/>
    <n v="76436880"/>
    <n v="0"/>
    <s v="COLMENA GOLDEN CROSS"/>
    <s v="FIMBARAC@AFPHABITAT.CL"/>
    <s v="13828290|76436880|135751800|135751800"/>
    <s v="IMED SALUD"/>
    <b v="1"/>
    <s v="APORTE VIA IMED"/>
  </r>
  <r>
    <s v="12 DE SEPTIEMBRE DE 2025"/>
    <x v="46"/>
    <s v="FELIPE ANTONIO IMBARACK CHARAD"/>
    <n v="13828290"/>
    <s v="FELIPE ANTONIO IMBARACK CHARAD"/>
    <d v="2025-03-01T00:00:00"/>
    <s v="DUPLICADO"/>
    <n v="135751800"/>
    <n v="65384136"/>
    <n v="181338"/>
    <n v="0"/>
    <n v="181338"/>
    <n v="0"/>
    <n v="126783"/>
    <n v="135751800"/>
    <n v="285123"/>
    <s v="CORP DE BIENESTAR DEL PERSONAL DE A F P"/>
    <d v="2025-03-01T00:00:00"/>
    <d v="2025-03-26T00:00:00"/>
    <d v="2025-01-17T00:00:00"/>
    <d v="2025-01-17T00:00:00"/>
    <s v="AMBULATORIOS"/>
    <n v="22770372"/>
    <n v="3311105"/>
    <n v="69251016"/>
    <s v="TRASSA"/>
    <n v="202020074"/>
    <n v="78070"/>
    <s v="SAL"/>
    <s v="AM05"/>
    <s v="EXAMENES RADIOLOGICOS"/>
    <s v="EXAMENES RADIOLOGICOS"/>
    <s v="EXAMENES RADIOLOGICOS"/>
    <n v="0"/>
    <n v="0"/>
    <n v="76436880"/>
    <n v="0"/>
    <s v="SIN ISAPRE"/>
    <s v="FIMBARAC@AFPHABITAT.CL"/>
    <s v="13828290|76436880|135751800|65384136"/>
    <s v="GASTO FISICO"/>
    <b v="0"/>
    <s v="DEPOSITADO EN CUENTA"/>
  </r>
  <r>
    <s v="12 DE SEPTIEMBRE DE 2025"/>
    <x v="6"/>
    <s v="RODRIGO ALEXIS MARTINEZ RODRIGUEZ"/>
    <n v="19235091"/>
    <s v="RODRIGO ALEXIS MARTINEZ RODRIGUEZ"/>
    <d v="2025-01-01T00:00:00"/>
    <s v="INICIAL"/>
    <n v="135770057"/>
    <n v="135770057"/>
    <n v="40940"/>
    <n v="28658"/>
    <n v="12282"/>
    <n v="0"/>
    <n v="12282"/>
    <n v="135770057"/>
    <n v="285123"/>
    <s v="CORP DE BIENESTAR DEL PERSONAL DE A F P"/>
    <d v="2025-01-20T00:00:00"/>
    <d v="2025-01-20T00:00:00"/>
    <d v="2025-01-20T00:00:00"/>
    <d v="2025-01-20T00:00:00"/>
    <s v="AMBULATORIOS"/>
    <n v="22524626"/>
    <n v="1271320"/>
    <n v="68705788"/>
    <s v="TRASSA"/>
    <n v="26012025"/>
    <n v="77442"/>
    <s v="SAL"/>
    <s v="AM04"/>
    <s v="EXAMENES DE LABORATORIO"/>
    <s v="EXAMENES DE LABORATORIO"/>
    <s v="EXAMENES DE LABORATORIO"/>
    <s v="IMED SALUD"/>
    <n v="0"/>
    <n v="96942400"/>
    <n v="2"/>
    <s v="COLMENA GOLDEN CROSS"/>
    <s v="RODRIGO.MARTINEZ@AFPHABITAT.CL"/>
    <s v="19235091|96942400|135770057|135770057"/>
    <s v="IMED SALUD"/>
    <b v="1"/>
    <s v="APORTE VIA IMED"/>
  </r>
  <r>
    <s v="12 DE SEPTIEMBRE DE 2025"/>
    <x v="6"/>
    <s v="RODRIGO ALEXIS MARTINEZ RODRIGUEZ"/>
    <n v="19235091"/>
    <s v="RODRIGO ALEXIS MARTINEZ RODRIGUEZ"/>
    <d v="2025-03-01T00:00:00"/>
    <s v="DUPLICADO"/>
    <n v="135770057"/>
    <n v="65384480"/>
    <n v="12289"/>
    <n v="0"/>
    <n v="12289"/>
    <n v="0"/>
    <n v="12289"/>
    <n v="135770057"/>
    <n v="285123"/>
    <s v="CORP DE BIENESTAR DEL PERSONAL DE A F P"/>
    <d v="2025-03-01T00:00:00"/>
    <d v="2025-03-26T00:00:00"/>
    <d v="2025-01-20T00:00:00"/>
    <d v="2025-01-20T00:00:00"/>
    <s v="AMBULATORIOS"/>
    <n v="22770390"/>
    <n v="3311105"/>
    <n v="69251346"/>
    <s v="TRASSA"/>
    <n v="8011312806"/>
    <n v="78070"/>
    <s v="SAL"/>
    <s v="AM04"/>
    <s v="EXAMENES DE LABORATORIO"/>
    <s v="EXAMENES DE LABORATORIO"/>
    <s v="EXAMENES DE LABORATORIO"/>
    <n v="0"/>
    <n v="0"/>
    <n v="96942400"/>
    <n v="2"/>
    <s v="SIN ISAPRE"/>
    <s v="RODRIGO.MARTINEZ@AFPHABITAT.CL"/>
    <s v="19235091|96942400|135770057|65384480"/>
    <s v="GASTO FISICO"/>
    <b v="0"/>
    <s v="DEPOSITADO EN CUENTA"/>
  </r>
  <r>
    <s v="12 DE SEPTIEMBRE DE 2025"/>
    <x v="6"/>
    <s v="RODRIGO ALEXIS MARTINEZ RODRIGUEZ"/>
    <n v="19235091"/>
    <s v="RODRIGO ALEXIS MARTINEZ RODRIGUEZ"/>
    <d v="2025-01-01T00:00:00"/>
    <s v="INICIAL"/>
    <n v="135770058"/>
    <n v="135770058"/>
    <n v="49750"/>
    <n v="34825"/>
    <n v="14925"/>
    <n v="0"/>
    <n v="14925"/>
    <n v="135770058"/>
    <n v="285123"/>
    <s v="CORP DE BIENESTAR DEL PERSONAL DE A F P"/>
    <d v="2025-01-20T00:00:00"/>
    <d v="2025-01-20T00:00:00"/>
    <d v="2025-01-20T00:00:00"/>
    <d v="2025-01-20T00:00:00"/>
    <s v="AMBULATORIOS"/>
    <n v="22524626"/>
    <n v="1271320"/>
    <n v="68705787"/>
    <s v="TRASSA"/>
    <n v="26012025"/>
    <n v="77442"/>
    <s v="SAL"/>
    <s v="AM04"/>
    <s v="EXAMENES DE LABORATORIO"/>
    <s v="EXAMENES DE LABORATORIO"/>
    <s v="EXAMENES DE LABORATORIO"/>
    <s v="IMED SALUD"/>
    <n v="0"/>
    <n v="96942400"/>
    <n v="2"/>
    <s v="COLMENA GOLDEN CROSS"/>
    <s v="RODRIGO.MARTINEZ@AFPHABITAT.CL"/>
    <s v="19235091|96942400|135770058|135770058"/>
    <s v="IMED SALUD"/>
    <b v="1"/>
    <s v="APORTE VIA IMED"/>
  </r>
  <r>
    <s v="12 DE SEPTIEMBRE DE 2025"/>
    <x v="6"/>
    <s v="RODRIGO ALEXIS MARTINEZ RODRIGUEZ"/>
    <n v="19235091"/>
    <s v="RODRIGO ALEXIS MARTINEZ RODRIGUEZ"/>
    <d v="2025-03-01T00:00:00"/>
    <s v="DUPLICADO"/>
    <n v="135770058"/>
    <n v="65384481"/>
    <n v="14595"/>
    <n v="0"/>
    <n v="14595"/>
    <n v="0"/>
    <n v="14595"/>
    <n v="135770058"/>
    <n v="285123"/>
    <s v="CORP DE BIENESTAR DEL PERSONAL DE A F P"/>
    <d v="2025-03-01T00:00:00"/>
    <d v="2025-03-26T00:00:00"/>
    <d v="2025-01-20T00:00:00"/>
    <d v="2025-01-20T00:00:00"/>
    <s v="AMBULATORIOS"/>
    <n v="22770390"/>
    <n v="3311105"/>
    <n v="69251347"/>
    <s v="TRASSA"/>
    <n v="8011312806"/>
    <n v="78070"/>
    <s v="SAL"/>
    <s v="AM04"/>
    <s v="EXAMENES DE LABORATORIO"/>
    <s v="EXAMENES DE LABORATORIO"/>
    <s v="EXAMENES DE LABORATORIO"/>
    <n v="0"/>
    <n v="0"/>
    <n v="96942400"/>
    <n v="2"/>
    <s v="SIN ISAPRE"/>
    <s v="RODRIGO.MARTINEZ@AFPHABITAT.CL"/>
    <s v="19235091|96942400|135770058|65384481"/>
    <s v="GASTO FISICO"/>
    <b v="0"/>
    <s v="DEPOSITADO EN CUENTA"/>
  </r>
  <r>
    <s v="12 DE SEPTIEMBRE DE 2025"/>
    <x v="6"/>
    <s v="RODRIGO ALEXIS MARTINEZ RODRIGUEZ"/>
    <n v="19235091"/>
    <s v="RODRIGO ALEXIS MARTINEZ RODRIGUEZ"/>
    <d v="2025-01-01T00:00:00"/>
    <s v="INICIAL"/>
    <n v="135770059"/>
    <n v="135770059"/>
    <n v="32970"/>
    <n v="23079"/>
    <n v="9891"/>
    <n v="0"/>
    <n v="9891"/>
    <n v="135770059"/>
    <n v="285123"/>
    <s v="CORP DE BIENESTAR DEL PERSONAL DE A F P"/>
    <d v="2025-01-20T00:00:00"/>
    <d v="2025-01-20T00:00:00"/>
    <d v="2025-01-20T00:00:00"/>
    <d v="2025-01-20T00:00:00"/>
    <s v="AMBULATORIOS"/>
    <n v="22524626"/>
    <n v="1271320"/>
    <n v="68705786"/>
    <s v="TRASSA"/>
    <n v="26012025"/>
    <n v="77442"/>
    <s v="SAL"/>
    <s v="AM04"/>
    <s v="EXAMENES DE LABORATORIO"/>
    <s v="EXAMENES DE LABORATORIO"/>
    <s v="EXAMENES DE LABORATORIO"/>
    <s v="IMED SALUD"/>
    <n v="0"/>
    <n v="96942400"/>
    <n v="2"/>
    <s v="COLMENA GOLDEN CROSS"/>
    <s v="RODRIGO.MARTINEZ@AFPHABITAT.CL"/>
    <s v="19235091|96942400|135770059|135770059"/>
    <s v="IMED SALUD"/>
    <b v="1"/>
    <s v="APORTE VIA IMED"/>
  </r>
  <r>
    <s v="12 DE SEPTIEMBRE DE 2025"/>
    <x v="6"/>
    <s v="RODRIGO ALEXIS MARTINEZ RODRIGUEZ"/>
    <n v="19235091"/>
    <s v="RODRIGO ALEXIS MARTINEZ RODRIGUEZ"/>
    <d v="2025-03-01T00:00:00"/>
    <s v="DUPLICADO"/>
    <n v="135770059"/>
    <n v="65384482"/>
    <n v="9985"/>
    <n v="0"/>
    <n v="9985"/>
    <n v="0"/>
    <n v="9985"/>
    <n v="135770059"/>
    <n v="285123"/>
    <s v="CORP DE BIENESTAR DEL PERSONAL DE A F P"/>
    <d v="2025-03-01T00:00:00"/>
    <d v="2025-03-26T00:00:00"/>
    <d v="2025-01-20T00:00:00"/>
    <d v="2025-01-20T00:00:00"/>
    <s v="AMBULATORIOS"/>
    <n v="22770390"/>
    <n v="3311105"/>
    <n v="69251348"/>
    <s v="TRASSA"/>
    <n v="8011312806"/>
    <n v="78070"/>
    <s v="SAL"/>
    <s v="AM04"/>
    <s v="EXAMENES DE LABORATORIO"/>
    <s v="EXAMENES DE LABORATORIO"/>
    <s v="EXAMENES DE LABORATORIO"/>
    <n v="0"/>
    <n v="0"/>
    <n v="96942400"/>
    <n v="2"/>
    <s v="SIN ISAPRE"/>
    <s v="RODRIGO.MARTINEZ@AFPHABITAT.CL"/>
    <s v="19235091|96942400|135770059|65384482"/>
    <s v="GASTO FISICO"/>
    <b v="0"/>
    <s v="DEPOSITADO EN CUENTA"/>
  </r>
  <r>
    <s v="12 DE SEPTIEMBRE DE 2025"/>
    <x v="6"/>
    <s v="RODRIGO ALEXIS MARTINEZ RODRIGUEZ"/>
    <n v="19235091"/>
    <s v="RODRIGO ALEXIS MARTINEZ RODRIGUEZ"/>
    <d v="2025-01-01T00:00:00"/>
    <s v="INICIAL"/>
    <n v="135770112"/>
    <n v="135770112"/>
    <n v="11500"/>
    <n v="8050"/>
    <n v="3450"/>
    <n v="0"/>
    <n v="3450"/>
    <n v="135770112"/>
    <n v="285123"/>
    <s v="CORP DE BIENESTAR DEL PERSONAL DE A F P"/>
    <d v="2025-01-20T00:00:00"/>
    <d v="2025-01-20T00:00:00"/>
    <d v="2025-01-20T00:00:00"/>
    <d v="2025-01-20T00:00:00"/>
    <s v="AMBULATORIOS"/>
    <n v="22524626"/>
    <n v="1271320"/>
    <n v="68705790"/>
    <s v="TRASSA"/>
    <n v="26012025"/>
    <n v="77442"/>
    <s v="SAL"/>
    <s v="AM07"/>
    <s v="PROCEDIMIENTOS TERAPEUTICOS"/>
    <s v="PROCEDIMIENTOS TERAPEUTICOS"/>
    <s v="PROCEDIMIENTOS TERAPEUTICOS"/>
    <s v="IMED SALUD"/>
    <n v="0"/>
    <n v="96942400"/>
    <n v="2"/>
    <s v="COLMENA GOLDEN CROSS"/>
    <s v="RODRIGO.MARTINEZ@AFPHABITAT.CL"/>
    <s v="19235091|96942400|135770112|135770112"/>
    <s v="IMED SALUD"/>
    <b v="1"/>
    <s v="APORTE VIA IMED"/>
  </r>
  <r>
    <s v="12 DE SEPTIEMBRE DE 2025"/>
    <x v="6"/>
    <s v="RODRIGO ALEXIS MARTINEZ RODRIGUEZ"/>
    <n v="19235091"/>
    <s v="RODRIGO ALEXIS MARTINEZ RODRIGUEZ"/>
    <d v="2025-03-01T00:00:00"/>
    <s v="DUPLICADO"/>
    <n v="135770112"/>
    <n v="65384483"/>
    <n v="3457"/>
    <n v="0"/>
    <n v="3457"/>
    <n v="0"/>
    <n v="3457"/>
    <n v="135770112"/>
    <n v="285123"/>
    <s v="CORP DE BIENESTAR DEL PERSONAL DE A F P"/>
    <d v="2025-03-01T00:00:00"/>
    <d v="2025-03-26T00:00:00"/>
    <d v="2025-01-20T00:00:00"/>
    <d v="2025-01-20T00:00:00"/>
    <s v="AMBULATORIOS"/>
    <n v="22770390"/>
    <n v="3311105"/>
    <n v="69251349"/>
    <s v="TRASSA"/>
    <n v="8011312806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RODRIGO.MARTINEZ@AFPHABITAT.CL"/>
    <s v="19235091|96942400|135770112|65384483"/>
    <s v="GASTO FISICO"/>
    <b v="0"/>
    <s v="DEPOSITADO EN CUENTA"/>
  </r>
  <r>
    <s v="12 DE SEPTIEMBRE DE 2025"/>
    <x v="47"/>
    <s v="CAROLAIN OGAS ABARCA"/>
    <n v="13983202"/>
    <s v="CAROLAIN OGAS ABARCA"/>
    <d v="2025-01-01T00:00:00"/>
    <s v="INICIAL"/>
    <n v="135828912"/>
    <n v="135828912"/>
    <n v="153080"/>
    <n v="88519"/>
    <n v="64561"/>
    <n v="0"/>
    <n v="64561"/>
    <n v="135828912"/>
    <n v="285123"/>
    <s v="CORP DE BIENESTAR DEL PERSONAL DE A F P"/>
    <d v="2025-01-21T00:00:00"/>
    <d v="2025-01-21T00:00:00"/>
    <d v="2025-01-21T00:00:00"/>
    <d v="2025-01-21T00:00:00"/>
    <s v="AMBULATORIOS"/>
    <n v="22524655"/>
    <n v="1271320"/>
    <n v="68707246"/>
    <s v="TRASSA"/>
    <n v="26012025"/>
    <n v="77442"/>
    <s v="SAL"/>
    <s v="AM05"/>
    <s v="EXAMENES RADIOLOGICOS"/>
    <s v="EXAMENES RADIOLOGICOS"/>
    <s v="EXAMENES RADIOLOGICOS"/>
    <s v="IMED SALUD"/>
    <n v="0"/>
    <n v="76055963"/>
    <n v="6"/>
    <s v="COLMENA GOLDEN CROSS"/>
    <s v="COGASAB@AFPHABITAT.CL"/>
    <s v="13983202|76055963|135828912|135828912"/>
    <s v="IMED SALUD"/>
    <b v="1"/>
    <s v="APORTE VIA IMED"/>
  </r>
  <r>
    <s v="12 DE SEPTIEMBRE DE 2025"/>
    <x v="47"/>
    <s v="CAROLAIN OGAS ABARCA"/>
    <n v="13983202"/>
    <s v="CAROLAIN OGAS ABARCA"/>
    <d v="2025-03-01T00:00:00"/>
    <s v="DUPLICADO"/>
    <n v="135828912"/>
    <n v="65384178"/>
    <n v="64527"/>
    <n v="0"/>
    <n v="64527"/>
    <n v="0"/>
    <n v="64527"/>
    <n v="135828912"/>
    <n v="285123"/>
    <s v="CORP DE BIENESTAR DEL PERSONAL DE A F P"/>
    <d v="2025-03-01T00:00:00"/>
    <d v="2025-03-26T00:00:00"/>
    <d v="2025-01-21T00:00:00"/>
    <d v="2025-01-21T00:00:00"/>
    <s v="AMBULATORIOS"/>
    <n v="22770395"/>
    <n v="3311105"/>
    <n v="69251056"/>
    <s v="TRASSA"/>
    <n v="3250175202"/>
    <n v="78070"/>
    <s v="SAL"/>
    <s v="AM05"/>
    <s v="EXAMENES RADIOLOGICOS"/>
    <s v="EXAMENES RADIOLOGICOS"/>
    <s v="EXAMENES RADIOLOGICOS"/>
    <n v="0"/>
    <n v="0"/>
    <n v="76055963"/>
    <n v="6"/>
    <s v="SIN ISAPRE"/>
    <s v="COGASAB@AFPHABITAT.CL"/>
    <s v="13983202|76055963|135828912|65384178"/>
    <s v="GASTO FISICO"/>
    <b v="0"/>
    <s v="DEPOSITADO EN CUENTA"/>
  </r>
  <r>
    <s v="12 DE SEPTIEMBRE DE 2025"/>
    <x v="47"/>
    <s v="CAROLAIN OGAS ABARCA"/>
    <n v="24281411"/>
    <s v="EMILIO TOLEDO OGAS"/>
    <d v="2025-01-01T00:00:00"/>
    <s v="INICIAL"/>
    <n v="135873138"/>
    <n v="135873138"/>
    <n v="41600"/>
    <n v="29651"/>
    <n v="11949"/>
    <n v="0"/>
    <n v="11949"/>
    <n v="135873138"/>
    <n v="285123"/>
    <s v="CORP DE BIENESTAR DEL PERSONAL DE A F P"/>
    <d v="2025-01-23T00:00:00"/>
    <d v="2025-01-23T00:00:00"/>
    <d v="2025-01-23T00:00:00"/>
    <d v="2025-01-23T00:00:00"/>
    <s v="AMBULATORIOS"/>
    <n v="22524760"/>
    <n v="1271320"/>
    <n v="68708319"/>
    <s v="TRASSA"/>
    <n v="26012025"/>
    <n v="77442"/>
    <s v="SAL"/>
    <s v="AM05"/>
    <s v="EXAMENES RADIOLOGICOS"/>
    <s v="EXAMENES RADIOLOGICOS"/>
    <s v="EXAMENES RADIOLOGICOS"/>
    <s v="IMED SALUD"/>
    <n v="0"/>
    <n v="76055963"/>
    <n v="6"/>
    <s v="COLMENA GOLDEN CROSS"/>
    <s v="COGASAB@AFPHABITAT.CL"/>
    <s v="13983202|76055963|135873138|135873138"/>
    <s v="IMED SALUD"/>
    <b v="1"/>
    <s v="APORTE VIA IMED"/>
  </r>
  <r>
    <s v="12 DE SEPTIEMBRE DE 2025"/>
    <x v="47"/>
    <s v="CAROLAIN OGAS ABARCA"/>
    <n v="24281411"/>
    <s v="EMILIO TOLEDO OGAS"/>
    <d v="2025-03-01T00:00:00"/>
    <s v="DUPLICADO"/>
    <n v="135873138"/>
    <n v="65384182"/>
    <n v="11905"/>
    <n v="0"/>
    <n v="11905"/>
    <n v="0"/>
    <n v="8510"/>
    <n v="135873138"/>
    <n v="285123"/>
    <s v="CORP DE BIENESTAR DEL PERSONAL DE A F P"/>
    <d v="2025-03-01T00:00:00"/>
    <d v="2025-03-26T00:00:00"/>
    <d v="2025-01-23T00:00:00"/>
    <d v="2025-01-23T00:00:00"/>
    <s v="AMBULATORIOS"/>
    <n v="22770422"/>
    <n v="3311105"/>
    <n v="69251058"/>
    <s v="TRASSA"/>
    <n v="3250175202"/>
    <n v="78070"/>
    <s v="SAL"/>
    <s v="AM05"/>
    <s v="EXAMENES RADIOLOGICOS"/>
    <s v="EXAMENES RADIOLOGICOS"/>
    <s v="EXAMENES RADIOLOGICOS"/>
    <n v="0"/>
    <n v="0"/>
    <n v="76055963"/>
    <n v="6"/>
    <s v="SIN ISAPRE"/>
    <s v="COGASAB@AFPHABITAT.CL"/>
    <s v="13983202|76055963|135873138|65384182"/>
    <s v="GASTO FISICO"/>
    <b v="0"/>
    <s v="DEPOSITADO EN CUENTA"/>
  </r>
  <r>
    <s v="12 DE SEPTIEMBRE DE 2025"/>
    <x v="48"/>
    <s v="GABRIELA VILCHES VILLAGRAN"/>
    <n v="11898667"/>
    <s v="GABRIELA VILCHES VILLAGRAN"/>
    <d v="2025-01-01T00:00:00"/>
    <s v="INICIAL"/>
    <n v="135881939"/>
    <n v="135881939"/>
    <n v="41600"/>
    <n v="29120"/>
    <n v="12480"/>
    <n v="0"/>
    <n v="12480"/>
    <n v="135881939"/>
    <n v="285123"/>
    <s v="CORP DE BIENESTAR DEL PERSONAL DE A F P"/>
    <d v="2025-01-23T00:00:00"/>
    <d v="2025-01-23T00:00:00"/>
    <d v="2025-01-23T00:00:00"/>
    <d v="2025-01-23T00:00:00"/>
    <s v="AMBULATORIOS"/>
    <n v="22524746"/>
    <n v="1271320"/>
    <n v="68708507"/>
    <s v="TRASSA"/>
    <n v="26012025"/>
    <n v="77442"/>
    <s v="SAL"/>
    <s v="AM05"/>
    <s v="EXAMENES RADIOLOGICOS"/>
    <s v="EXAMENES RADIOLOGICOS"/>
    <s v="EXAMENES RADIOLOGICOS"/>
    <s v="IMED SALUD"/>
    <n v="0"/>
    <n v="76686235"/>
    <n v="7"/>
    <s v="COLMENA GOLDEN CROSS"/>
    <s v="GVILCHEV@AFPHABITAT.CL"/>
    <s v="11898667|76686235|135881939|135881939"/>
    <s v="IMED SALUD"/>
    <b v="1"/>
    <s v="APORTE VIA IMED"/>
  </r>
  <r>
    <s v="12 DE SEPTIEMBRE DE 2025"/>
    <x v="48"/>
    <s v="GABRIELA VILCHES VILLAGRAN"/>
    <n v="11898667"/>
    <s v="GABRIELA VILCHES VILLAGRAN"/>
    <d v="2025-03-01T00:00:00"/>
    <s v="DUPLICADO"/>
    <n v="135881939"/>
    <n v="65383979"/>
    <n v="12289"/>
    <n v="0"/>
    <n v="12289"/>
    <n v="0"/>
    <n v="12289"/>
    <n v="135881939"/>
    <n v="285123"/>
    <s v="CORP DE BIENESTAR DEL PERSONAL DE A F P"/>
    <d v="2025-03-01T00:00:00"/>
    <d v="2025-03-26T00:00:00"/>
    <d v="2025-01-23T00:00:00"/>
    <d v="2025-01-23T00:00:00"/>
    <s v="AMBULATORIOS"/>
    <n v="22770419"/>
    <n v="3311105"/>
    <n v="69250867"/>
    <s v="TRASSA"/>
    <n v="24606243"/>
    <n v="78070"/>
    <s v="SAL"/>
    <s v="AM05"/>
    <s v="EXAMENES RADIOLOGICOS"/>
    <s v="EXAMENES RADIOLOGICOS"/>
    <s v="EXAMENES RADIOLOGICOS"/>
    <n v="0"/>
    <n v="0"/>
    <n v="76686235"/>
    <n v="7"/>
    <s v="SIN ISAPRE"/>
    <s v="GVILCHEV@AFPHABITAT.CL"/>
    <s v="11898667|76686235|135881939|65383979"/>
    <s v="GASTO FISICO"/>
    <b v="0"/>
    <s v="DEPOSITADO EN CUENTA"/>
  </r>
  <r>
    <s v="12 DE SEPTIEMBRE DE 2025"/>
    <x v="49"/>
    <s v="SANDRA SALGADO BECERRA"/>
    <n v="10125251"/>
    <s v="SANDRA SALGADO BECERRA"/>
    <d v="2025-01-01T00:00:00"/>
    <s v="INICIAL"/>
    <n v="135892618"/>
    <n v="135892618"/>
    <n v="309745"/>
    <n v="177462"/>
    <n v="132283"/>
    <n v="0"/>
    <n v="132283"/>
    <n v="135892618"/>
    <n v="285123"/>
    <s v="CORP DE BIENESTAR DEL PERSONAL DE A F P"/>
    <d v="2025-01-23T00:00:00"/>
    <d v="2025-01-23T00:00:00"/>
    <d v="2025-01-23T00:00:00"/>
    <d v="2025-01-23T00:00:00"/>
    <s v="AMBULATORIOS"/>
    <n v="22524739"/>
    <n v="1271320"/>
    <n v="68708786"/>
    <s v="TRASSA"/>
    <n v="26012025"/>
    <n v="77442"/>
    <s v="SAL"/>
    <s v="AM05"/>
    <s v="EXAMENES RADIOLOGICOS"/>
    <s v="EXAMENES RADIOLOGICOS"/>
    <s v="EXAMENES RADIOLOGICOS"/>
    <s v="IMED SALUD"/>
    <n v="0"/>
    <n v="96923250"/>
    <n v="2"/>
    <s v="COLMENA GOLDEN CROSS"/>
    <s v="SSALGADB@AFPHABITAT.CL"/>
    <s v="10125251|96923250|135892618|135892618"/>
    <s v="IMED SALUD"/>
    <b v="1"/>
    <s v="APORTE VIA IMED"/>
  </r>
  <r>
    <s v="12 DE SEPTIEMBRE DE 2025"/>
    <x v="49"/>
    <s v="SANDRA SALGADO BECERRA"/>
    <n v="10125251"/>
    <s v="SANDRA SALGADO BECERRA"/>
    <d v="2025-03-01T00:00:00"/>
    <s v="DUPLICADO"/>
    <n v="135892618"/>
    <n v="65383799"/>
    <n v="105995"/>
    <n v="0"/>
    <n v="105995"/>
    <n v="0"/>
    <n v="105995"/>
    <n v="135892618"/>
    <n v="285123"/>
    <s v="CORP DE BIENESTAR DEL PERSONAL DE A F P"/>
    <d v="2025-03-01T00:00:00"/>
    <d v="2025-03-26T00:00:00"/>
    <d v="2025-01-23T00:00:00"/>
    <d v="2025-01-23T00:00:00"/>
    <s v="AMBULATORIOS"/>
    <n v="22770417"/>
    <n v="3311105"/>
    <n v="69250688"/>
    <s v="TRASSA"/>
    <n v="13038066"/>
    <n v="78070"/>
    <s v="SAL"/>
    <s v="AM05"/>
    <s v="EXAMENES RADIOLOGICOS"/>
    <s v="EXAMENES RADIOLOGICOS"/>
    <s v="EXAMENES RADIOLOGICOS"/>
    <n v="0"/>
    <n v="0"/>
    <n v="96923250"/>
    <n v="2"/>
    <s v="SIN ISAPRE"/>
    <s v="SSALGADB@AFPHABITAT.CL"/>
    <s v="10125251|96923250|135892618|65383799"/>
    <s v="GASTO FISICO"/>
    <b v="0"/>
    <s v="DEPOSITADO EN CUENTA"/>
  </r>
  <r>
    <s v="12 DE SEPTIEMBRE DE 2025"/>
    <x v="50"/>
    <s v="PATRICIA ANDREA RIVERA CHAMORRO"/>
    <n v="13963498"/>
    <s v="PATRICIA ANDREA RIVERA CHAMORRO"/>
    <d v="2025-01-01T00:00:00"/>
    <s v="INICIAL"/>
    <n v="135917350"/>
    <n v="135917350"/>
    <n v="35085"/>
    <n v="16320"/>
    <n v="18765"/>
    <n v="0"/>
    <n v="18765"/>
    <n v="135917350"/>
    <n v="285123"/>
    <s v="CORP DE BIENESTAR DEL PERSONAL DE A F P"/>
    <d v="2025-01-24T00:00:00"/>
    <d v="2025-01-24T00:00:00"/>
    <d v="2025-01-24T00:00:00"/>
    <d v="2025-01-24T00:00:00"/>
    <s v="AMBULATORIOS"/>
    <n v="22524804"/>
    <n v="1271320"/>
    <n v="68709375"/>
    <s v="TRASSA"/>
    <n v="26012025"/>
    <n v="77442"/>
    <s v="SAL"/>
    <s v="AM05"/>
    <s v="EXAMENES RADIOLOGICOS"/>
    <s v="EXAMENES RADIOLOGICOS"/>
    <s v="EXAMENES RADIOLOGICOS"/>
    <s v="IMED SALUD"/>
    <n v="0"/>
    <n v="78317440"/>
    <n v="5"/>
    <s v="COLMENA GOLDEN CROSS"/>
    <s v="PRIVERAC@AFPHABITAT.CL"/>
    <s v="13963498|78317440|135917350|135917350"/>
    <s v="IMED SALUD"/>
    <b v="1"/>
    <s v="APORTE VIA IMED"/>
  </r>
  <r>
    <s v="12 DE SEPTIEMBRE DE 2025"/>
    <x v="50"/>
    <s v="PATRICIA ANDREA RIVERA CHAMORRO"/>
    <n v="13963498"/>
    <s v="PATRICIA ANDREA RIVERA CHAMORRO"/>
    <d v="2025-03-01T00:00:00"/>
    <s v="DUPLICADO"/>
    <n v="135917350"/>
    <n v="65384175"/>
    <n v="18432"/>
    <n v="0"/>
    <n v="18432"/>
    <n v="0"/>
    <n v="18432"/>
    <n v="135917350"/>
    <n v="285123"/>
    <s v="CORP DE BIENESTAR DEL PERSONAL DE A F P"/>
    <d v="2025-03-01T00:00:00"/>
    <d v="2025-03-26T00:00:00"/>
    <d v="2025-01-24T00:00:00"/>
    <d v="2025-01-24T00:00:00"/>
    <s v="AMBULATORIOS"/>
    <n v="22770430"/>
    <n v="3311105"/>
    <n v="69251053"/>
    <s v="TRASSA"/>
    <n v="463060"/>
    <n v="78070"/>
    <s v="SAL"/>
    <s v="AM05"/>
    <s v="EXAMENES RADIOLOGICOS"/>
    <s v="EXAMENES RADIOLOGICOS"/>
    <s v="EXAMENES RADIOLOGICOS"/>
    <n v="0"/>
    <n v="0"/>
    <n v="78317440"/>
    <n v="5"/>
    <s v="SIN ISAPRE"/>
    <s v="PRIVERAC@AFPHABITAT.CL"/>
    <s v="13963498|78317440|135917350|65384175"/>
    <s v="GASTO FISICO"/>
    <b v="0"/>
    <s v="DEPOSITADO EN CUENTA"/>
  </r>
  <r>
    <s v="12 DE SEPTIEMBRE DE 2025"/>
    <x v="51"/>
    <s v="MARIA FERNANDA     PELAYO GONZALEZ"/>
    <n v="13687859"/>
    <s v="MARIA FERNANDA     PELAYO GONZALEZ"/>
    <d v="2025-01-01T00:00:00"/>
    <s v="INICIAL"/>
    <n v="135928543"/>
    <n v="135928543"/>
    <n v="16300"/>
    <n v="8150"/>
    <n v="8150"/>
    <n v="0"/>
    <n v="8150"/>
    <n v="135928543"/>
    <n v="285123"/>
    <s v="CORP DE BIENESTAR DEL PERSONAL DE A F P"/>
    <d v="2025-01-25T00:00:00"/>
    <d v="2025-01-25T00:00:00"/>
    <d v="2025-01-25T00:00:00"/>
    <d v="2025-01-25T00:00:00"/>
    <s v="AMBULATORIOS"/>
    <n v="22560779"/>
    <n v="2040929"/>
    <n v="68807227"/>
    <s v="TRASSA"/>
    <n v="2022025"/>
    <n v="77562"/>
    <s v="SAL"/>
    <s v="AM04"/>
    <s v="EXAMENES DE LABORATORIO"/>
    <s v="EXAMENES DE LABORATORIO"/>
    <s v="EXAMENES DE LABORATORIO"/>
    <s v="IMED SALUD"/>
    <n v="0"/>
    <n v="84655500"/>
    <n v="5"/>
    <s v="COLMENA GOLDEN CROSS"/>
    <s v="MPELAYO@AFPHABITAT.CL"/>
    <s v="13687859|84655500|135928543|135928543"/>
    <s v="IMED SALUD"/>
    <b v="1"/>
    <s v="APORTE VIA IMED"/>
  </r>
  <r>
    <s v="12 DE SEPTIEMBRE DE 2025"/>
    <x v="51"/>
    <s v="MARIA FERNANDA     PELAYO GONZALEZ"/>
    <n v="13687859"/>
    <s v="MARIA FERNANDA     PELAYO GONZALEZ"/>
    <d v="2025-03-01T00:00:00"/>
    <s v="DUPLICADO"/>
    <n v="135928543"/>
    <n v="65384135"/>
    <n v="8063"/>
    <n v="0"/>
    <n v="8063"/>
    <n v="0"/>
    <n v="8063"/>
    <n v="135928543"/>
    <n v="285123"/>
    <s v="CORP DE BIENESTAR DEL PERSONAL DE A F P"/>
    <d v="2025-03-01T00:00:00"/>
    <d v="2025-03-26T00:00:00"/>
    <d v="2025-01-25T00:00:00"/>
    <d v="2025-01-25T00:00:00"/>
    <s v="AMBULATORIOS"/>
    <n v="22770434"/>
    <n v="3311105"/>
    <n v="69251015"/>
    <s v="TRASSA"/>
    <n v="922061123"/>
    <n v="78070"/>
    <s v="SAL"/>
    <s v="AM04"/>
    <s v="EXAMENES DE LABORATORIO"/>
    <s v="EXAMENES DE LABORATORIO"/>
    <s v="EXAMENES DE LABORATORIO"/>
    <n v="0"/>
    <n v="0"/>
    <n v="84655500"/>
    <n v="5"/>
    <s v="SIN ISAPRE"/>
    <s v="MPELAYO@AFPHABITAT.CL"/>
    <s v="13687859|84655500|135928543|65384135"/>
    <s v="GASTO FISICO"/>
    <b v="0"/>
    <s v="DEPOSITADO EN CUENTA"/>
  </r>
  <r>
    <s v="12 DE SEPTIEMBRE DE 2025"/>
    <x v="52"/>
    <s v="PAMELA ROCHA GUNCKEL"/>
    <n v="12666564"/>
    <s v="PAMELA ROCHA GUNCKEL"/>
    <d v="2025-01-01T00:00:00"/>
    <s v="INICIAL"/>
    <n v="135973136"/>
    <n v="135973136"/>
    <n v="103887"/>
    <n v="40682"/>
    <n v="63205"/>
    <n v="0"/>
    <n v="63205"/>
    <n v="135973136"/>
    <n v="285123"/>
    <s v="CORP DE BIENESTAR DEL PERSONAL DE A F P"/>
    <d v="2025-01-28T00:00:00"/>
    <d v="2025-01-28T00:00:00"/>
    <d v="2025-01-28T00:00:00"/>
    <d v="2025-01-28T00:00:00"/>
    <s v="AMBULATORIOS"/>
    <n v="22560869"/>
    <n v="2040929"/>
    <n v="68808445"/>
    <s v="TRASSA"/>
    <n v="2022025"/>
    <n v="77562"/>
    <s v="SAL"/>
    <s v="AM04"/>
    <s v="EXAMENES DE LABORATORIO"/>
    <s v="EXAMENES DE LABORATORIO"/>
    <s v="EXAMENES DE LABORATORIO"/>
    <s v="IMED SALUD"/>
    <n v="0"/>
    <n v="81949100"/>
    <n v="3"/>
    <s v="COLMENA GOLDEN CROSS"/>
    <s v="PROCHAG@AFPHABITAT.CL"/>
    <s v="12666564|81949100|135973136|135973136"/>
    <s v="IMED SALUD"/>
    <b v="1"/>
    <s v="APORTE VIA IMED"/>
  </r>
  <r>
    <s v="12 DE SEPTIEMBRE DE 2025"/>
    <x v="52"/>
    <s v="PAMELA ROCHA GUNCKEL"/>
    <n v="12666564"/>
    <s v="PAMELA ROCHA GUNCKEL"/>
    <d v="2025-03-01T00:00:00"/>
    <s v="DUPLICADO"/>
    <n v="135973136"/>
    <n v="65384035"/>
    <n v="56050"/>
    <n v="0"/>
    <n v="56050"/>
    <n v="0"/>
    <n v="56050"/>
    <n v="135973136"/>
    <n v="285123"/>
    <s v="CORP DE BIENESTAR DEL PERSONAL DE A F P"/>
    <d v="2025-03-01T00:00:00"/>
    <d v="2025-03-26T00:00:00"/>
    <d v="2025-01-28T00:00:00"/>
    <d v="2025-01-28T00:00:00"/>
    <s v="AMBULATORIOS"/>
    <n v="22770456"/>
    <n v="3311105"/>
    <n v="69250923"/>
    <s v="TRASSA"/>
    <n v="2601171503"/>
    <n v="78070"/>
    <s v="SAL"/>
    <s v="AM04"/>
    <s v="EXAMENES DE LABORATORIO"/>
    <s v="EXAMENES DE LABORATORIO"/>
    <s v="EXAMENES DE LABORATORIO"/>
    <n v="0"/>
    <n v="0"/>
    <n v="81949100"/>
    <n v="3"/>
    <s v="SIN ISAPRE"/>
    <s v="PROCHAG@AFPHABITAT.CL"/>
    <s v="12666564|81949100|135973136|65384035"/>
    <s v="GASTO FISICO"/>
    <b v="0"/>
    <s v="DEPOSITADO EN CUENTA"/>
  </r>
  <r>
    <s v="12 DE SEPTIEMBRE DE 2025"/>
    <x v="52"/>
    <s v="PAMELA ROCHA GUNCKEL"/>
    <n v="12666564"/>
    <s v="PAMELA ROCHA GUNCKEL"/>
    <d v="2025-01-01T00:00:00"/>
    <s v="INICIAL"/>
    <n v="135973137"/>
    <n v="135973137"/>
    <n v="75733"/>
    <n v="33564"/>
    <n v="42169"/>
    <n v="0"/>
    <n v="42169"/>
    <n v="135973137"/>
    <n v="285123"/>
    <s v="CORP DE BIENESTAR DEL PERSONAL DE A F P"/>
    <d v="2025-01-28T00:00:00"/>
    <d v="2025-01-28T00:00:00"/>
    <d v="2025-01-28T00:00:00"/>
    <d v="2025-01-28T00:00:00"/>
    <s v="AMBULATORIOS"/>
    <n v="22560869"/>
    <n v="2040929"/>
    <n v="68808444"/>
    <s v="TRASSA"/>
    <n v="2022025"/>
    <n v="77562"/>
    <s v="SAL"/>
    <s v="AM04"/>
    <s v="EXAMENES DE LABORATORIO"/>
    <s v="EXAMENES DE LABORATORIO"/>
    <s v="EXAMENES DE LABORATORIO"/>
    <s v="IMED SALUD"/>
    <n v="0"/>
    <n v="81949100"/>
    <n v="3"/>
    <s v="COLMENA GOLDEN CROSS"/>
    <s v="PROCHAG@AFPHABITAT.CL"/>
    <s v="12666564|81949100|135973137|135973137"/>
    <s v="IMED SALUD"/>
    <b v="1"/>
    <s v="APORTE VIA IMED"/>
  </r>
  <r>
    <s v="12 DE SEPTIEMBRE DE 2025"/>
    <x v="52"/>
    <s v="PAMELA ROCHA GUNCKEL"/>
    <n v="12666564"/>
    <s v="PAMELA ROCHA GUNCKEL"/>
    <d v="2025-03-01T00:00:00"/>
    <s v="DUPLICADO"/>
    <n v="135973137"/>
    <n v="65384036"/>
    <n v="37622"/>
    <n v="0"/>
    <n v="37622"/>
    <n v="0"/>
    <n v="37622"/>
    <n v="135973137"/>
    <n v="285123"/>
    <s v="CORP DE BIENESTAR DEL PERSONAL DE A F P"/>
    <d v="2025-03-01T00:00:00"/>
    <d v="2025-03-26T00:00:00"/>
    <d v="2025-01-28T00:00:00"/>
    <d v="2025-01-28T00:00:00"/>
    <s v="AMBULATORIOS"/>
    <n v="22770456"/>
    <n v="3311105"/>
    <n v="69250924"/>
    <s v="TRASSA"/>
    <n v="2601171503"/>
    <n v="78070"/>
    <s v="SAL"/>
    <s v="AM04"/>
    <s v="EXAMENES DE LABORATORIO"/>
    <s v="EXAMENES DE LABORATORIO"/>
    <s v="EXAMENES DE LABORATORIO"/>
    <n v="0"/>
    <n v="0"/>
    <n v="81949100"/>
    <n v="3"/>
    <s v="SIN ISAPRE"/>
    <s v="PROCHAG@AFPHABITAT.CL"/>
    <s v="12666564|81949100|135973137|65384036"/>
    <s v="GASTO FISICO"/>
    <b v="0"/>
    <s v="DEPOSITADO EN CUENTA"/>
  </r>
  <r>
    <s v="12 DE SEPTIEMBRE DE 2025"/>
    <x v="52"/>
    <s v="PAMELA ROCHA GUNCKEL"/>
    <n v="12666564"/>
    <s v="PAMELA ROCHA GUNCKEL"/>
    <d v="2025-01-01T00:00:00"/>
    <s v="INICIAL"/>
    <n v="135973138"/>
    <n v="135973138"/>
    <n v="27431"/>
    <n v="17792"/>
    <n v="9639"/>
    <n v="0"/>
    <n v="9639"/>
    <n v="135973138"/>
    <n v="285123"/>
    <s v="CORP DE BIENESTAR DEL PERSONAL DE A F P"/>
    <d v="2025-01-28T00:00:00"/>
    <d v="2025-01-28T00:00:00"/>
    <d v="2025-01-28T00:00:00"/>
    <d v="2025-01-28T00:00:00"/>
    <s v="AMBULATORIOS"/>
    <n v="22560869"/>
    <n v="2040929"/>
    <n v="68808443"/>
    <s v="TRASSA"/>
    <n v="2022025"/>
    <n v="77562"/>
    <s v="SAL"/>
    <s v="AM04"/>
    <s v="EXAMENES DE LABORATORIO"/>
    <s v="EXAMENES DE LABORATORIO"/>
    <s v="EXAMENES DE LABORATORIO"/>
    <s v="IMED SALUD"/>
    <n v="0"/>
    <n v="81949100"/>
    <n v="3"/>
    <s v="COLMENA GOLDEN CROSS"/>
    <s v="PROCHAG@AFPHABITAT.CL"/>
    <s v="12666564|81949100|135973138|135973138"/>
    <s v="IMED SALUD"/>
    <b v="1"/>
    <s v="APORTE VIA IMED"/>
  </r>
  <r>
    <s v="12 DE SEPTIEMBRE DE 2025"/>
    <x v="52"/>
    <s v="PAMELA ROCHA GUNCKEL"/>
    <n v="12666564"/>
    <s v="PAMELA ROCHA GUNCKEL"/>
    <d v="2025-03-01T00:00:00"/>
    <s v="DUPLICADO"/>
    <n v="135973138"/>
    <n v="65384037"/>
    <n v="8446"/>
    <n v="0"/>
    <n v="8446"/>
    <n v="0"/>
    <n v="8446"/>
    <n v="135973138"/>
    <n v="285123"/>
    <s v="CORP DE BIENESTAR DEL PERSONAL DE A F P"/>
    <d v="2025-03-01T00:00:00"/>
    <d v="2025-03-26T00:00:00"/>
    <d v="2025-01-28T00:00:00"/>
    <d v="2025-01-28T00:00:00"/>
    <s v="AMBULATORIOS"/>
    <n v="22770456"/>
    <n v="3311105"/>
    <n v="69250925"/>
    <s v="TRASSA"/>
    <n v="2601171503"/>
    <n v="78070"/>
    <s v="SAL"/>
    <s v="AM04"/>
    <s v="EXAMENES DE LABORATORIO"/>
    <s v="EXAMENES DE LABORATORIO"/>
    <s v="EXAMENES DE LABORATORIO"/>
    <n v="0"/>
    <n v="0"/>
    <n v="81949100"/>
    <n v="3"/>
    <s v="SIN ISAPRE"/>
    <s v="PROCHAG@AFPHABITAT.CL"/>
    <s v="12666564|81949100|135973138|65384037"/>
    <s v="GASTO FISICO"/>
    <b v="0"/>
    <s v="DEPOSITADO EN CUENTA"/>
  </r>
  <r>
    <s v="12 DE SEPTIEMBRE DE 2025"/>
    <x v="53"/>
    <s v="JESSICA MARIA SEPULVEDA CORNEJO"/>
    <n v="11297522"/>
    <s v="JESSICA MARIA SEPULVEDA CORNEJO"/>
    <d v="2025-01-01T00:00:00"/>
    <s v="INICIAL"/>
    <n v="135979121"/>
    <n v="135979121"/>
    <n v="41466"/>
    <n v="29008"/>
    <n v="12458"/>
    <n v="0"/>
    <n v="12458"/>
    <n v="135979121"/>
    <n v="285123"/>
    <s v="CORP DE BIENESTAR DEL PERSONAL DE A F P"/>
    <d v="2025-01-28T00:00:00"/>
    <d v="2025-01-28T00:00:00"/>
    <d v="2025-01-28T00:00:00"/>
    <d v="2025-01-28T00:00:00"/>
    <s v="AMBULATORIOS"/>
    <n v="22560861"/>
    <n v="2040929"/>
    <n v="68808657"/>
    <s v="TRASSA"/>
    <n v="2022025"/>
    <n v="77562"/>
    <s v="SAL"/>
    <s v="AM07"/>
    <s v="PROCEDIMIENTOS TERAPEUTICOS"/>
    <s v="PROCEDIMIENTOS TERAPEUTICOS"/>
    <s v="PROCEDIMIENTOS TERAPEUTICOS"/>
    <s v="IMED SALUD"/>
    <n v="0"/>
    <n v="76098454"/>
    <s v="K"/>
    <s v="COLMENA GOLDEN CROSS"/>
    <s v="JSEPULVC@AFPHABITAT.CL"/>
    <s v="11297522|76098454|135979121|135979121"/>
    <s v="IMED SALUD"/>
    <b v="1"/>
    <s v="APORTE VIA IMED"/>
  </r>
  <r>
    <s v="12 DE SEPTIEMBRE DE 2025"/>
    <x v="53"/>
    <s v="JESSICA MARIA SEPULVEDA CORNEJO"/>
    <n v="11297522"/>
    <s v="JESSICA MARIA SEPULVEDA CORNEJO"/>
    <d v="2025-03-01T00:00:00"/>
    <s v="DUPLICADO"/>
    <n v="135979121"/>
    <n v="65383925"/>
    <n v="12285"/>
    <n v="0"/>
    <n v="12285"/>
    <n v="0"/>
    <n v="12285"/>
    <n v="135979121"/>
    <n v="285123"/>
    <s v="CORP DE BIENESTAR DEL PERSONAL DE A F P"/>
    <d v="2025-03-01T00:00:00"/>
    <d v="2025-03-26T00:00:00"/>
    <d v="2025-01-28T00:00:00"/>
    <d v="2025-01-28T00:00:00"/>
    <s v="AMBULATORIOS"/>
    <n v="22770453"/>
    <n v="3311105"/>
    <n v="69250814"/>
    <s v="TRASSA"/>
    <n v="73190231140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JSEPULVC@AFPHABITAT.CL"/>
    <s v="11297522|76098454|135979121|65383925"/>
    <s v="GASTO FISICO"/>
    <b v="0"/>
    <s v="DEPOSITADO EN CUENTA"/>
  </r>
  <r>
    <s v="12 DE SEPTIEMBRE DE 2025"/>
    <x v="4"/>
    <s v="ANA ABARCA MEDINA"/>
    <n v="13297684"/>
    <s v="ANA ABARCA MEDINA"/>
    <d v="2025-01-01T00:00:00"/>
    <s v="INICIAL"/>
    <n v="135980272"/>
    <n v="135980272"/>
    <n v="93831"/>
    <n v="65683"/>
    <n v="28148"/>
    <n v="0"/>
    <n v="28148"/>
    <n v="135980272"/>
    <n v="285123"/>
    <s v="CORP DE BIENESTAR DEL PERSONAL DE A F P"/>
    <d v="2025-01-28T00:00:00"/>
    <d v="2025-01-28T00:00:00"/>
    <d v="2025-01-28T00:00:00"/>
    <d v="2025-01-28T00:00:00"/>
    <s v="AMBULATORIOS"/>
    <n v="22560874"/>
    <n v="2040929"/>
    <n v="68808691"/>
    <s v="TRASSA"/>
    <n v="2022025"/>
    <n v="77562"/>
    <s v="SAL"/>
    <s v="AM04"/>
    <s v="EXAMENES DE LABORATORIO"/>
    <s v="EXAMENES DE LABORATORIO"/>
    <s v="EXAMENES DE LABORATORIO"/>
    <s v="IMED SALUD"/>
    <n v="0"/>
    <n v="90753000"/>
    <n v="0"/>
    <s v="COLMENA GOLDEN CROSS"/>
    <s v="ANA.ABARCA@AFPHABITAT.CL"/>
    <s v="13297684|90753000|135980272|135980272"/>
    <s v="IMED SALUD"/>
    <b v="1"/>
    <s v="APORTE VIA IMED"/>
  </r>
  <r>
    <s v="12 DE SEPTIEMBRE DE 2025"/>
    <x v="4"/>
    <s v="ANA ABARCA MEDINA"/>
    <n v="13297684"/>
    <s v="ANA ABARCA MEDINA"/>
    <d v="2025-03-01T00:00:00"/>
    <s v="DUPLICADO"/>
    <n v="135980272"/>
    <n v="65384108"/>
    <n v="27641"/>
    <n v="0"/>
    <n v="27641"/>
    <n v="0"/>
    <n v="27641"/>
    <n v="135980272"/>
    <n v="285123"/>
    <s v="CORP DE BIENESTAR DEL PERSONAL DE A F P"/>
    <d v="2025-03-01T00:00:00"/>
    <d v="2025-03-26T00:00:00"/>
    <d v="2025-01-28T00:00:00"/>
    <d v="2025-01-28T00:00:00"/>
    <s v="AMBULATORIOS"/>
    <n v="22770457"/>
    <n v="3311105"/>
    <n v="69250993"/>
    <s v="TRASSA"/>
    <n v="1420170364"/>
    <n v="78070"/>
    <s v="SAL"/>
    <s v="AM04"/>
    <s v="EXAMENES DE LABORATORIO"/>
    <s v="EXAMENES DE LABORATORIO"/>
    <s v="EXAMENES DE LABORATORIO"/>
    <n v="0"/>
    <n v="0"/>
    <n v="90753000"/>
    <n v="0"/>
    <s v="SIN ISAPRE"/>
    <s v="ANA.ABARCA@AFPHABITAT.CL"/>
    <s v="13297684|90753000|135980272|65384108"/>
    <s v="GASTO FISICO"/>
    <b v="0"/>
    <s v="DEPOSITADO EN CUENTA"/>
  </r>
  <r>
    <s v="12 DE SEPTIEMBRE DE 2025"/>
    <x v="4"/>
    <s v="ANA ABARCA MEDINA"/>
    <n v="13297684"/>
    <s v="ANA ABARCA MEDINA"/>
    <d v="2025-01-01T00:00:00"/>
    <s v="INICIAL"/>
    <n v="135980273"/>
    <n v="135980273"/>
    <n v="122460"/>
    <n v="85721"/>
    <n v="36739"/>
    <n v="0"/>
    <n v="36739"/>
    <n v="135980273"/>
    <n v="285123"/>
    <s v="CORP DE BIENESTAR DEL PERSONAL DE A F P"/>
    <d v="2025-01-28T00:00:00"/>
    <d v="2025-01-28T00:00:00"/>
    <d v="2025-01-28T00:00:00"/>
    <d v="2025-01-28T00:00:00"/>
    <s v="AMBULATORIOS"/>
    <n v="22560874"/>
    <n v="2040929"/>
    <n v="68808690"/>
    <s v="TRASSA"/>
    <n v="2022025"/>
    <n v="77562"/>
    <s v="SAL"/>
    <s v="AM04"/>
    <s v="EXAMENES DE LABORATORIO"/>
    <s v="EXAMENES DE LABORATORIO"/>
    <s v="EXAMENES DE LABORATORIO"/>
    <s v="IMED SALUD"/>
    <n v="0"/>
    <n v="90753000"/>
    <n v="0"/>
    <s v="COLMENA GOLDEN CROSS"/>
    <s v="ANA.ABARCA@AFPHABITAT.CL"/>
    <s v="13297684|90753000|135980273|135980273"/>
    <s v="IMED SALUD"/>
    <b v="1"/>
    <s v="APORTE VIA IMED"/>
  </r>
  <r>
    <s v="12 DE SEPTIEMBRE DE 2025"/>
    <x v="4"/>
    <s v="ANA ABARCA MEDINA"/>
    <n v="13297684"/>
    <s v="ANA ABARCA MEDINA"/>
    <d v="2025-03-01T00:00:00"/>
    <s v="DUPLICADO"/>
    <n v="135980273"/>
    <n v="65384109"/>
    <n v="36470"/>
    <n v="0"/>
    <n v="36470"/>
    <n v="0"/>
    <n v="36470"/>
    <n v="135980273"/>
    <n v="285123"/>
    <s v="CORP DE BIENESTAR DEL PERSONAL DE A F P"/>
    <d v="2025-03-01T00:00:00"/>
    <d v="2025-03-26T00:00:00"/>
    <d v="2025-01-28T00:00:00"/>
    <d v="2025-01-28T00:00:00"/>
    <s v="AMBULATORIOS"/>
    <n v="22770457"/>
    <n v="3311105"/>
    <n v="69250994"/>
    <s v="TRASSA"/>
    <n v="1420170364"/>
    <n v="78070"/>
    <s v="SAL"/>
    <s v="AM04"/>
    <s v="EXAMENES DE LABORATORIO"/>
    <s v="EXAMENES DE LABORATORIO"/>
    <s v="EXAMENES DE LABORATORIO"/>
    <n v="0"/>
    <n v="0"/>
    <n v="90753000"/>
    <n v="0"/>
    <s v="SIN ISAPRE"/>
    <s v="ANA.ABARCA@AFPHABITAT.CL"/>
    <s v="13297684|90753000|135980273|65384109"/>
    <s v="GASTO FISICO"/>
    <b v="0"/>
    <s v="DEPOSITADO EN CUENTA"/>
  </r>
  <r>
    <s v="12 DE SEPTIEMBRE DE 2025"/>
    <x v="4"/>
    <s v="ANA ABARCA MEDINA"/>
    <n v="13297684"/>
    <s v="ANA ABARCA MEDINA"/>
    <d v="2025-01-01T00:00:00"/>
    <s v="INICIAL"/>
    <n v="135980274"/>
    <n v="135980274"/>
    <n v="37204"/>
    <n v="26043"/>
    <n v="11161"/>
    <n v="0"/>
    <n v="11161"/>
    <n v="135980274"/>
    <n v="285123"/>
    <s v="CORP DE BIENESTAR DEL PERSONAL DE A F P"/>
    <d v="2025-01-28T00:00:00"/>
    <d v="2025-01-28T00:00:00"/>
    <d v="2025-01-28T00:00:00"/>
    <d v="2025-01-28T00:00:00"/>
    <s v="AMBULATORIOS"/>
    <n v="22560874"/>
    <n v="2040929"/>
    <n v="68808689"/>
    <s v="TRASSA"/>
    <n v="2022025"/>
    <n v="77562"/>
    <s v="SAL"/>
    <s v="AM04"/>
    <s v="EXAMENES DE LABORATORIO"/>
    <s v="EXAMENES DE LABORATORIO"/>
    <s v="EXAMENES DE LABORATORIO"/>
    <s v="IMED SALUD"/>
    <n v="0"/>
    <n v="90753000"/>
    <n v="0"/>
    <s v="COLMENA GOLDEN CROSS"/>
    <s v="ANA.ABARCA@AFPHABITAT.CL"/>
    <s v="13297684|90753000|135980274|135980274"/>
    <s v="IMED SALUD"/>
    <b v="1"/>
    <s v="APORTE VIA IMED"/>
  </r>
  <r>
    <s v="12 DE SEPTIEMBRE DE 2025"/>
    <x v="4"/>
    <s v="ANA ABARCA MEDINA"/>
    <n v="13297684"/>
    <s v="ANA ABARCA MEDINA"/>
    <d v="2025-03-01T00:00:00"/>
    <s v="DUPLICADO"/>
    <n v="135980274"/>
    <n v="65384110"/>
    <n v="11132"/>
    <n v="0"/>
    <n v="11132"/>
    <n v="0"/>
    <n v="11132"/>
    <n v="135980274"/>
    <n v="285123"/>
    <s v="CORP DE BIENESTAR DEL PERSONAL DE A F P"/>
    <d v="2025-03-01T00:00:00"/>
    <d v="2025-03-26T00:00:00"/>
    <d v="2025-01-28T00:00:00"/>
    <d v="2025-01-28T00:00:00"/>
    <s v="AMBULATORIOS"/>
    <n v="22770457"/>
    <n v="3311105"/>
    <n v="69250995"/>
    <s v="TRASSA"/>
    <n v="1420170364"/>
    <n v="78070"/>
    <s v="SAL"/>
    <s v="AM04"/>
    <s v="EXAMENES DE LABORATORIO"/>
    <s v="EXAMENES DE LABORATORIO"/>
    <s v="EXAMENES DE LABORATORIO"/>
    <n v="0"/>
    <n v="0"/>
    <n v="90753000"/>
    <n v="0"/>
    <s v="SIN ISAPRE"/>
    <s v="ANA.ABARCA@AFPHABITAT.CL"/>
    <s v="13297684|90753000|135980274|65384110"/>
    <s v="GASTO FISICO"/>
    <b v="0"/>
    <s v="DEPOSITADO EN CUENTA"/>
  </r>
  <r>
    <s v="12 DE SEPTIEMBRE DE 2025"/>
    <x v="53"/>
    <s v="JESSICA MARIA SEPULVEDA CORNEJO"/>
    <n v="11297522"/>
    <s v="JESSICA MARIA SEPULVEDA CORNEJO"/>
    <d v="2025-01-01T00:00:00"/>
    <s v="INICIAL"/>
    <n v="136011207"/>
    <n v="136011207"/>
    <n v="99841"/>
    <n v="69889"/>
    <n v="29952"/>
    <n v="0"/>
    <n v="29952"/>
    <n v="136011207"/>
    <n v="285123"/>
    <s v="CORP DE BIENESTAR DEL PERSONAL DE A F P"/>
    <d v="2025-01-29T00:00:00"/>
    <d v="2025-01-29T00:00:00"/>
    <d v="2025-01-29T00:00:00"/>
    <d v="2025-01-29T00:00:00"/>
    <s v="AMBULATORIOS"/>
    <n v="22560906"/>
    <n v="2040929"/>
    <n v="68809380"/>
    <s v="TRASSA"/>
    <n v="2022025"/>
    <n v="77562"/>
    <s v="SAL"/>
    <s v="AM05"/>
    <s v="EXAMENES RADIOLOGICOS"/>
    <s v="EXAMENES RADIOLOGICOS"/>
    <s v="EXAMENES RADIOLOGICOS"/>
    <s v="IMED SALUD"/>
    <n v="0"/>
    <n v="76098454"/>
    <s v="K"/>
    <s v="COLMENA GOLDEN CROSS"/>
    <s v="JSEPULVC@AFPHABITAT.CL"/>
    <s v="11297522|76098454|136011207|136011207"/>
    <s v="IMED SALUD"/>
    <b v="1"/>
    <s v="APORTE VIA IMED"/>
  </r>
  <r>
    <s v="12 DE SEPTIEMBRE DE 2025"/>
    <x v="53"/>
    <s v="JESSICA MARIA SEPULVEDA CORNEJO"/>
    <n v="11297522"/>
    <s v="JESSICA MARIA SEPULVEDA CORNEJO"/>
    <d v="2025-03-01T00:00:00"/>
    <s v="DUPLICADO"/>
    <n v="136011207"/>
    <n v="65383926"/>
    <n v="29943"/>
    <n v="0"/>
    <n v="29943"/>
    <n v="0"/>
    <n v="29943"/>
    <n v="136011207"/>
    <n v="285123"/>
    <s v="CORP DE BIENESTAR DEL PERSONAL DE A F P"/>
    <d v="2025-03-01T00:00:00"/>
    <d v="2025-03-26T00:00:00"/>
    <d v="2025-01-29T00:00:00"/>
    <d v="2025-01-29T00:00:00"/>
    <s v="AMBULATORIOS"/>
    <n v="22770463"/>
    <n v="3311105"/>
    <n v="69250815"/>
    <s v="TRASSA"/>
    <n v="73190231140"/>
    <n v="78070"/>
    <s v="SAL"/>
    <s v="AM05"/>
    <s v="EXAMENES RADIOLOGICOS"/>
    <s v="EXAMENES RADIOLOGICOS"/>
    <s v="EXAMENES RADIOLOGICOS"/>
    <n v="0"/>
    <n v="0"/>
    <n v="76098454"/>
    <s v="K"/>
    <s v="SIN ISAPRE"/>
    <s v="JSEPULVC@AFPHABITAT.CL"/>
    <s v="11297522|76098454|136011207|65383926"/>
    <s v="GASTO FISICO"/>
    <b v="0"/>
    <s v="DEPOSITADO EN CUENTA"/>
  </r>
  <r>
    <s v="12 DE SEPTIEMBRE DE 2025"/>
    <x v="53"/>
    <s v="JESSICA MARIA SEPULVEDA CORNEJO"/>
    <n v="11297522"/>
    <s v="JESSICA MARIA SEPULVEDA CORNEJO"/>
    <d v="2025-01-01T00:00:00"/>
    <s v="INICIAL"/>
    <n v="136014898"/>
    <n v="136014898"/>
    <n v="12654"/>
    <n v="8722"/>
    <n v="3932"/>
    <n v="0"/>
    <n v="3932"/>
    <n v="136014898"/>
    <n v="285123"/>
    <s v="CORP DE BIENESTAR DEL PERSONAL DE A F P"/>
    <d v="2025-01-29T00:00:00"/>
    <d v="2025-01-29T00:00:00"/>
    <d v="2025-01-29T00:00:00"/>
    <d v="2025-01-29T00:00:00"/>
    <s v="AMBULATORIOS"/>
    <n v="22560906"/>
    <n v="2040929"/>
    <n v="68809484"/>
    <s v="TRASSA"/>
    <n v="2022025"/>
    <n v="77562"/>
    <s v="SAL"/>
    <s v="AM07"/>
    <s v="PROCEDIMIENTOS TERAPEUTICOS"/>
    <s v="PROCEDIMIENTOS TERAPEUTICOS"/>
    <s v="PROCEDIMIENTOS TERAPEUTICOS"/>
    <s v="IMED SALUD"/>
    <n v="0"/>
    <n v="76098454"/>
    <s v="K"/>
    <s v="COLMENA GOLDEN CROSS"/>
    <s v="JSEPULVC@AFPHABITAT.CL"/>
    <s v="11297522|76098454|136014898|136014898"/>
    <s v="IMED SALUD"/>
    <b v="1"/>
    <s v="APORTE VIA IMED"/>
  </r>
  <r>
    <s v="12 DE SEPTIEMBRE DE 2025"/>
    <x v="53"/>
    <s v="JESSICA MARIA SEPULVEDA CORNEJO"/>
    <n v="11297522"/>
    <s v="JESSICA MARIA SEPULVEDA CORNEJO"/>
    <d v="2025-03-01T00:00:00"/>
    <s v="DUPLICADO"/>
    <n v="136014898"/>
    <n v="65383927"/>
    <n v="3838"/>
    <n v="0"/>
    <n v="3838"/>
    <n v="0"/>
    <n v="3838"/>
    <n v="136014898"/>
    <n v="285123"/>
    <s v="CORP DE BIENESTAR DEL PERSONAL DE A F P"/>
    <d v="2025-03-01T00:00:00"/>
    <d v="2025-03-26T00:00:00"/>
    <d v="2025-01-29T00:00:00"/>
    <d v="2025-01-29T00:00:00"/>
    <s v="AMBULATORIOS"/>
    <n v="22770463"/>
    <n v="3311105"/>
    <n v="69250816"/>
    <s v="TRASSA"/>
    <n v="73190231140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JSEPULVC@AFPHABITAT.CL"/>
    <s v="11297522|76098454|136014898|65383927"/>
    <s v="GASTO FISICO"/>
    <b v="0"/>
    <s v="DEPOSITADO EN CUENTA"/>
  </r>
  <r>
    <s v="12 DE SEPTIEMBRE DE 2025"/>
    <x v="54"/>
    <s v="MARTINA DEL CARMEN GONZALEZ GALLARDO"/>
    <n v="19069393"/>
    <s v="MARTINA DEL CARMEN GONZALEZ GALLARDO"/>
    <d v="2025-02-01T00:00:00"/>
    <s v="INICIAL"/>
    <n v="136166928"/>
    <n v="136166928"/>
    <n v="21264"/>
    <n v="17012"/>
    <n v="4252"/>
    <n v="0"/>
    <n v="4252"/>
    <n v="136166928"/>
    <n v="285123"/>
    <s v="CORP DE BIENESTAR DEL PERSONAL DE A F P"/>
    <d v="2025-02-05T00:00:00"/>
    <d v="2025-02-05T00:00:00"/>
    <d v="2025-02-05T00:00:00"/>
    <d v="2025-02-05T00:00:00"/>
    <s v="AMBULATORIOS"/>
    <n v="22566243"/>
    <n v="2101551"/>
    <n v="68821472"/>
    <s v="TRASSA"/>
    <n v="9022025"/>
    <n v="77586"/>
    <s v="SAL"/>
    <s v="AM04"/>
    <s v="EXAMENES DE LABORATORIO"/>
    <s v="EXAMENES DE LABORATORIO"/>
    <s v="EXAMENES DE LABORATORIO"/>
    <s v="IMED SALUD"/>
    <n v="0"/>
    <n v="96885930"/>
    <n v="7"/>
    <s v="COLMENA GOLDEN CROSS"/>
    <s v="MARTINA.GONZALEZ@AFPHABITAT.CL"/>
    <s v="19069393|96885930|136166928|136166928"/>
    <s v="IMED SALUD"/>
    <b v="1"/>
    <s v="APORTE VIA IMED"/>
  </r>
  <r>
    <s v="12 DE SEPTIEMBRE DE 2025"/>
    <x v="54"/>
    <s v="MARTINA DEL CARMEN GONZALEZ GALLARDO"/>
    <n v="19069393"/>
    <s v="MARTINA DEL CARMEN GONZALEZ GALLARDO"/>
    <d v="2025-03-01T00:00:00"/>
    <s v="DUPLICADO"/>
    <n v="136166928"/>
    <n v="65384477"/>
    <n v="4220"/>
    <n v="0"/>
    <n v="4220"/>
    <n v="0"/>
    <n v="4220"/>
    <n v="136166928"/>
    <n v="285123"/>
    <s v="CORP DE BIENESTAR DEL PERSONAL DE A F P"/>
    <d v="2025-03-01T00:00:00"/>
    <d v="2025-03-26T00:00:00"/>
    <d v="2025-02-05T00:00:00"/>
    <d v="2025-02-05T00:00:00"/>
    <s v="AMBULATORIOS"/>
    <n v="22770550"/>
    <n v="3311105"/>
    <n v="69251343"/>
    <s v="TRASSA"/>
    <n v="1990479600"/>
    <n v="78070"/>
    <s v="SAL"/>
    <s v="AM04"/>
    <s v="EXAMENES DE LABORATORIO"/>
    <s v="EXAMENES DE LABORATORIO"/>
    <s v="EXAMENES DE LABORATORIO"/>
    <n v="0"/>
    <n v="0"/>
    <n v="96885930"/>
    <n v="7"/>
    <s v="SIN ISAPRE"/>
    <s v="MARTINA.GONZALEZ@AFPHABITAT.CL"/>
    <s v="19069393|96885930|136166928|65384477"/>
    <s v="GASTO FISICO"/>
    <b v="0"/>
    <s v="DEPOSITADO EN CUENTA"/>
  </r>
  <r>
    <s v="12 DE SEPTIEMBRE DE 2025"/>
    <x v="55"/>
    <s v="DALADIEER AURELIO LLANCAO CASTILLO"/>
    <n v="16771325"/>
    <s v="DALADIEER AURELIO LLANCAO CASTILLO"/>
    <d v="2025-02-01T00:00:00"/>
    <s v="INICIAL"/>
    <n v="136261605"/>
    <n v="136261605"/>
    <n v="29172"/>
    <n v="17503"/>
    <n v="11669"/>
    <n v="0"/>
    <n v="11669"/>
    <n v="136261605"/>
    <n v="285123"/>
    <s v="CORP DE BIENESTAR DEL PERSONAL DE A F P"/>
    <d v="2025-02-10T00:00:00"/>
    <d v="2025-02-10T00:00:00"/>
    <d v="2025-02-10T00:00:00"/>
    <d v="2025-02-10T00:00:00"/>
    <s v="AMBULATORIOS"/>
    <n v="22598344"/>
    <n v="2171709"/>
    <n v="68875739"/>
    <s v="TRASSA"/>
    <n v="16022025"/>
    <n v="77646"/>
    <s v="SAL"/>
    <s v="AM04"/>
    <s v="EXAMENES DE LABORATORIO"/>
    <s v="EXAMENES DE LABORATORIO"/>
    <s v="EXAMENES DE LABORATORIO"/>
    <s v="IMED SALUD"/>
    <n v="0"/>
    <n v="96986050"/>
    <n v="3"/>
    <s v="COLMENA GOLDEN CROSS"/>
    <s v="DALADIEER.LLANCAO@AFPHABITAT.CL"/>
    <s v="16771325|96986050|136261605|136261605"/>
    <s v="IMED SALUD"/>
    <b v="1"/>
    <s v="APORTE VIA IMED"/>
  </r>
  <r>
    <s v="12 DE SEPTIEMBRE DE 2025"/>
    <x v="55"/>
    <s v="DALADIEER AURELIO LLANCAO CASTILLO"/>
    <n v="16771325"/>
    <s v="DALADIEER AURELIO LLANCAO CASTILLO"/>
    <d v="2025-03-01T00:00:00"/>
    <s v="DUPLICADO"/>
    <n v="136261605"/>
    <n v="65384383"/>
    <n v="11506"/>
    <n v="0"/>
    <n v="11506"/>
    <n v="0"/>
    <n v="11506"/>
    <n v="136261605"/>
    <n v="285123"/>
    <s v="CORP DE BIENESTAR DEL PERSONAL DE A F P"/>
    <d v="2025-03-01T00:00:00"/>
    <d v="2025-03-26T00:00:00"/>
    <d v="2025-02-10T00:00:00"/>
    <d v="2025-02-10T00:00:00"/>
    <s v="AMBULATORIOS"/>
    <n v="22770582"/>
    <n v="3311105"/>
    <n v="69251261"/>
    <s v="TRASSA"/>
    <n v="17240018327"/>
    <n v="78070"/>
    <s v="SAL"/>
    <s v="AM04"/>
    <s v="EXAMENES DE LABORATORIO"/>
    <s v="EXAMENES DE LABORATORIO"/>
    <s v="EXAMENES DE LABORATORIO"/>
    <n v="0"/>
    <n v="0"/>
    <n v="96986050"/>
    <n v="3"/>
    <s v="SIN ISAPRE"/>
    <s v="DALADIEER.LLANCAO@AFPHABITAT.CL"/>
    <s v="16771325|96986050|136261605|65384383"/>
    <s v="GASTO FISICO"/>
    <b v="0"/>
    <s v="DEPOSITADO EN CUENTA"/>
  </r>
  <r>
    <s v="12 DE SEPTIEMBRE DE 2025"/>
    <x v="55"/>
    <s v="DALADIEER AURELIO LLANCAO CASTILLO"/>
    <n v="16771325"/>
    <s v="DALADIEER AURELIO LLANCAO CASTILLO"/>
    <d v="2025-02-01T00:00:00"/>
    <s v="INICIAL"/>
    <n v="136261606"/>
    <n v="136261606"/>
    <n v="31629"/>
    <n v="24347"/>
    <n v="7282"/>
    <n v="0"/>
    <n v="7282"/>
    <n v="136261606"/>
    <n v="285123"/>
    <s v="CORP DE BIENESTAR DEL PERSONAL DE A F P"/>
    <d v="2025-02-10T00:00:00"/>
    <d v="2025-02-10T00:00:00"/>
    <d v="2025-02-10T00:00:00"/>
    <d v="2025-02-10T00:00:00"/>
    <s v="AMBULATORIOS"/>
    <n v="22598344"/>
    <n v="2171709"/>
    <n v="68875738"/>
    <s v="TRASSA"/>
    <n v="16022025"/>
    <n v="77646"/>
    <s v="SAL"/>
    <s v="AM04"/>
    <s v="EXAMENES DE LABORATORIO"/>
    <s v="EXAMENES DE LABORATORIO"/>
    <s v="EXAMENES DE LABORATORIO"/>
    <s v="IMED SALUD"/>
    <n v="0"/>
    <n v="96986050"/>
    <n v="3"/>
    <s v="COLMENA GOLDEN CROSS"/>
    <s v="DALADIEER.LLANCAO@AFPHABITAT.CL"/>
    <s v="16771325|96986050|136261606|136261606"/>
    <s v="IMED SALUD"/>
    <b v="1"/>
    <s v="APORTE VIA IMED"/>
  </r>
  <r>
    <s v="12 DE SEPTIEMBRE DE 2025"/>
    <x v="55"/>
    <s v="DALADIEER AURELIO LLANCAO CASTILLO"/>
    <n v="16771325"/>
    <s v="DALADIEER AURELIO LLANCAO CASTILLO"/>
    <d v="2025-03-01T00:00:00"/>
    <s v="DUPLICADO"/>
    <n v="136261606"/>
    <n v="65384384"/>
    <n v="7286"/>
    <n v="0"/>
    <n v="7286"/>
    <n v="0"/>
    <n v="7286"/>
    <n v="136261606"/>
    <n v="285123"/>
    <s v="CORP DE BIENESTAR DEL PERSONAL DE A F P"/>
    <d v="2025-03-01T00:00:00"/>
    <d v="2025-03-26T00:00:00"/>
    <d v="2025-02-10T00:00:00"/>
    <d v="2025-02-10T00:00:00"/>
    <s v="AMBULATORIOS"/>
    <n v="22770582"/>
    <n v="3311105"/>
    <n v="69251262"/>
    <s v="TRASSA"/>
    <n v="17240018327"/>
    <n v="78070"/>
    <s v="SAL"/>
    <s v="AM04"/>
    <s v="EXAMENES DE LABORATORIO"/>
    <s v="EXAMENES DE LABORATORIO"/>
    <s v="EXAMENES DE LABORATORIO"/>
    <n v="0"/>
    <n v="0"/>
    <n v="96986050"/>
    <n v="3"/>
    <s v="SIN ISAPRE"/>
    <s v="DALADIEER.LLANCAO@AFPHABITAT.CL"/>
    <s v="16771325|96986050|136261606|65384384"/>
    <s v="GASTO FISICO"/>
    <b v="0"/>
    <s v="DEPOSITADO EN CUENTA"/>
  </r>
  <r>
    <s v="12 DE SEPTIEMBRE DE 2025"/>
    <x v="55"/>
    <s v="DALADIEER AURELIO LLANCAO CASTILLO"/>
    <n v="16771325"/>
    <s v="DALADIEER AURELIO LLANCAO CASTILLO"/>
    <d v="2025-02-01T00:00:00"/>
    <s v="INICIAL"/>
    <n v="136261607"/>
    <n v="136261607"/>
    <n v="2405"/>
    <n v="1924"/>
    <n v="481"/>
    <n v="0"/>
    <n v="481"/>
    <n v="136261607"/>
    <n v="285123"/>
    <s v="CORP DE BIENESTAR DEL PERSONAL DE A F P"/>
    <d v="2025-02-10T00:00:00"/>
    <d v="2025-02-10T00:00:00"/>
    <d v="2025-02-10T00:00:00"/>
    <d v="2025-02-10T00:00:00"/>
    <s v="AMBULATORIOS"/>
    <n v="22598344"/>
    <n v="2171709"/>
    <n v="68875737"/>
    <s v="TRASSA"/>
    <n v="16022025"/>
    <n v="77646"/>
    <s v="SAL"/>
    <s v="AM04"/>
    <s v="EXAMENES DE LABORATORIO"/>
    <s v="EXAMENES DE LABORATORIO"/>
    <s v="EXAMENES DE LABORATORIO"/>
    <s v="IMED SALUD"/>
    <n v="0"/>
    <n v="96986050"/>
    <n v="3"/>
    <s v="COLMENA GOLDEN CROSS"/>
    <s v="DALADIEER.LLANCAO@AFPHABITAT.CL"/>
    <s v="16771325|96986050|136261607|136261607"/>
    <s v="IMED SALUD"/>
    <b v="1"/>
    <s v="APORTE VIA IMED"/>
  </r>
  <r>
    <s v="12 DE SEPTIEMBRE DE 2025"/>
    <x v="55"/>
    <s v="DALADIEER AURELIO LLANCAO CASTILLO"/>
    <n v="16771325"/>
    <s v="DALADIEER AURELIO LLANCAO CASTILLO"/>
    <d v="2025-03-01T00:00:00"/>
    <s v="DUPLICADO"/>
    <n v="136261607"/>
    <n v="65384385"/>
    <n v="767"/>
    <n v="0"/>
    <n v="767"/>
    <n v="0"/>
    <n v="767"/>
    <n v="136261607"/>
    <n v="285123"/>
    <s v="CORP DE BIENESTAR DEL PERSONAL DE A F P"/>
    <d v="2025-03-01T00:00:00"/>
    <d v="2025-03-26T00:00:00"/>
    <d v="2025-02-10T00:00:00"/>
    <d v="2025-02-10T00:00:00"/>
    <s v="AMBULATORIOS"/>
    <n v="22770582"/>
    <n v="3311105"/>
    <n v="69251263"/>
    <s v="TRASSA"/>
    <n v="17240018327"/>
    <n v="78070"/>
    <s v="SAL"/>
    <s v="AM04"/>
    <s v="EXAMENES DE LABORATORIO"/>
    <s v="EXAMENES DE LABORATORIO"/>
    <s v="EXAMENES DE LABORATORIO"/>
    <n v="0"/>
    <n v="0"/>
    <n v="96986050"/>
    <n v="3"/>
    <s v="SIN ISAPRE"/>
    <s v="DALADIEER.LLANCAO@AFPHABITAT.CL"/>
    <s v="16771325|96986050|136261607|65384385"/>
    <s v="GASTO FISICO"/>
    <b v="0"/>
    <s v="DEPOSITADO EN CUENTA"/>
  </r>
  <r>
    <s v="12 DE SEPTIEMBRE DE 2025"/>
    <x v="55"/>
    <s v="DALADIEER AURELIO LLANCAO CASTILLO"/>
    <n v="16771325"/>
    <s v="DALADIEER AURELIO LLANCAO CASTILLO"/>
    <d v="2025-02-01T00:00:00"/>
    <s v="INICIAL"/>
    <n v="136261611"/>
    <n v="136261611"/>
    <n v="4875"/>
    <n v="3900"/>
    <n v="975"/>
    <n v="0"/>
    <n v="975"/>
    <n v="136261611"/>
    <n v="285123"/>
    <s v="CORP DE BIENESTAR DEL PERSONAL DE A F P"/>
    <d v="2025-02-10T00:00:00"/>
    <d v="2025-02-10T00:00:00"/>
    <d v="2025-02-10T00:00:00"/>
    <d v="2025-02-10T00:00:00"/>
    <s v="AMBULATORIOS"/>
    <n v="22598344"/>
    <n v="2171709"/>
    <n v="68875740"/>
    <s v="TRASSA"/>
    <n v="16022025"/>
    <n v="77646"/>
    <s v="SAL"/>
    <s v="AM04"/>
    <s v="EXAMENES DE LABORATORIO"/>
    <s v="EXAMENES DE LABORATORIO"/>
    <s v="EXAMENES DE LABORATORIO"/>
    <s v="IMED SALUD"/>
    <n v="0"/>
    <n v="96986050"/>
    <n v="3"/>
    <s v="COLMENA GOLDEN CROSS"/>
    <s v="DALADIEER.LLANCAO@AFPHABITAT.CL"/>
    <s v="16771325|96986050|136261611|136261611"/>
    <s v="IMED SALUD"/>
    <b v="1"/>
    <s v="APORTE VIA IMED"/>
  </r>
  <r>
    <s v="12 DE SEPTIEMBRE DE 2025"/>
    <x v="55"/>
    <s v="DALADIEER AURELIO LLANCAO CASTILLO"/>
    <n v="16771325"/>
    <s v="DALADIEER AURELIO LLANCAO CASTILLO"/>
    <d v="2025-03-01T00:00:00"/>
    <s v="DUPLICADO"/>
    <n v="136261611"/>
    <n v="65384386"/>
    <n v="767"/>
    <n v="0"/>
    <n v="767"/>
    <n v="0"/>
    <n v="767"/>
    <n v="136261611"/>
    <n v="285123"/>
    <s v="CORP DE BIENESTAR DEL PERSONAL DE A F P"/>
    <d v="2025-03-01T00:00:00"/>
    <d v="2025-03-26T00:00:00"/>
    <d v="2025-02-10T00:00:00"/>
    <d v="2025-02-10T00:00:00"/>
    <s v="AMBULATORIOS"/>
    <n v="22770582"/>
    <n v="3311105"/>
    <n v="69251264"/>
    <s v="TRASSA"/>
    <n v="17240018327"/>
    <n v="78070"/>
    <s v="SAL"/>
    <s v="AM04"/>
    <s v="EXAMENES DE LABORATORIO"/>
    <s v="EXAMENES DE LABORATORIO"/>
    <s v="EXAMENES DE LABORATORIO"/>
    <n v="0"/>
    <n v="0"/>
    <n v="96986050"/>
    <n v="3"/>
    <s v="SIN ISAPRE"/>
    <s v="DALADIEER.LLANCAO@AFPHABITAT.CL"/>
    <s v="16771325|96986050|136261611|65384386"/>
    <s v="GASTO FISICO"/>
    <b v="0"/>
    <s v="DEPOSITADO EN CUENTA"/>
  </r>
  <r>
    <s v="12 DE SEPTIEMBRE DE 2025"/>
    <x v="55"/>
    <s v="DALADIEER AURELIO LLANCAO CASTILLO"/>
    <n v="16771325"/>
    <s v="DALADIEER AURELIO LLANCAO CASTILLO"/>
    <d v="2025-02-01T00:00:00"/>
    <s v="INICIAL"/>
    <n v="136261670"/>
    <n v="136261670"/>
    <n v="49476"/>
    <n v="37026"/>
    <n v="12450"/>
    <n v="0"/>
    <n v="12450"/>
    <n v="136261670"/>
    <n v="285123"/>
    <s v="CORP DE BIENESTAR DEL PERSONAL DE A F P"/>
    <d v="2025-02-10T00:00:00"/>
    <d v="2025-02-10T00:00:00"/>
    <d v="2025-02-10T00:00:00"/>
    <d v="2025-02-10T00:00:00"/>
    <s v="AMBULATORIOS"/>
    <n v="22598344"/>
    <n v="2171709"/>
    <n v="68875742"/>
    <s v="TRASSA"/>
    <n v="16022025"/>
    <n v="77646"/>
    <s v="SAL"/>
    <s v="AM07"/>
    <s v="PROCEDIMIENTOS TERAPEUTICOS"/>
    <s v="PROCEDIMIENTOS TERAPEUTICOS"/>
    <s v="PROCEDIMIENTOS TERAPEUTICOS"/>
    <s v="IMED SALUD"/>
    <n v="0"/>
    <n v="76098454"/>
    <s v="K"/>
    <s v="COLMENA GOLDEN CROSS"/>
    <s v="DALADIEER.LLANCAO@AFPHABITAT.CL"/>
    <s v="16771325|76098454|136261670|136261670"/>
    <s v="IMED SALUD"/>
    <b v="1"/>
    <s v="APORTE VIA IMED"/>
  </r>
  <r>
    <s v="12 DE SEPTIEMBRE DE 2025"/>
    <x v="55"/>
    <s v="DALADIEER AURELIO LLANCAO CASTILLO"/>
    <n v="16771325"/>
    <s v="DALADIEER AURELIO LLANCAO CASTILLO"/>
    <d v="2025-03-01T00:00:00"/>
    <s v="DUPLICADO"/>
    <n v="136261670"/>
    <n v="65384387"/>
    <n v="12659"/>
    <n v="0"/>
    <n v="12659"/>
    <n v="0"/>
    <n v="12659"/>
    <n v="136261670"/>
    <n v="285123"/>
    <s v="CORP DE BIENESTAR DEL PERSONAL DE A F P"/>
    <d v="2025-03-01T00:00:00"/>
    <d v="2025-03-26T00:00:00"/>
    <d v="2025-02-10T00:00:00"/>
    <d v="2025-02-10T00:00:00"/>
    <s v="AMBULATORIOS"/>
    <n v="22770582"/>
    <n v="3311105"/>
    <n v="69251265"/>
    <s v="TRASSA"/>
    <n v="17240018327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DALADIEER.LLANCAO@AFPHABITAT.CL"/>
    <s v="16771325|76098454|136261670|65384387"/>
    <s v="GASTO FISICO"/>
    <b v="0"/>
    <s v="DEPOSITADO EN CUENTA"/>
  </r>
  <r>
    <s v="12 DE SEPTIEMBRE DE 2025"/>
    <x v="56"/>
    <s v="MARIA CAMPOS HERNANDEZ"/>
    <n v="10151614"/>
    <s v="MARIA CAMPOS HERNANDEZ"/>
    <d v="2025-02-01T00:00:00"/>
    <s v="INICIAL"/>
    <n v="136278405"/>
    <n v="136278405"/>
    <n v="83440"/>
    <n v="19379"/>
    <n v="64061"/>
    <n v="0"/>
    <n v="64061"/>
    <n v="136278405"/>
    <n v="285123"/>
    <s v="CORP DE BIENESTAR DEL PERSONAL DE A F P"/>
    <d v="2025-02-10T00:00:00"/>
    <d v="2025-02-10T00:00:00"/>
    <d v="2025-02-10T00:00:00"/>
    <d v="2025-02-10T00:00:00"/>
    <s v="SALUD MENTAL"/>
    <n v="22598321"/>
    <n v="2171709"/>
    <n v="68876177"/>
    <s v="TRASSA"/>
    <n v="16022025"/>
    <n v="77646"/>
    <s v="SAL"/>
    <s v="SM01"/>
    <s v="CONSULTA O SESIONES PSIQUIATRICAS"/>
    <s v="CONSULTA PSIQUIATRICA"/>
    <s v="CONSULTA PSIQUIATRICA"/>
    <s v="IMED SALUD"/>
    <n v="0"/>
    <n v="71023600"/>
    <n v="3"/>
    <s v="COLMENA GOLDEN CROSS"/>
    <s v="MARIA.CAMPOS@AFPHABITAT.CL"/>
    <s v="10151614|71023600|136278405|136278405"/>
    <s v="IMED SALUD"/>
    <b v="1"/>
    <s v="APORTE VIA IMED"/>
  </r>
  <r>
    <s v="12 DE SEPTIEMBRE DE 2025"/>
    <x v="56"/>
    <s v="MARIA CAMPOS HERNANDEZ"/>
    <n v="10151614"/>
    <s v="MARIA CAMPOS HERNANDEZ"/>
    <d v="2025-03-01T00:00:00"/>
    <s v="DUPLICADO"/>
    <n v="136278405"/>
    <n v="65383805"/>
    <n v="64064"/>
    <n v="0"/>
    <n v="64064"/>
    <n v="0"/>
    <n v="64064"/>
    <n v="136278405"/>
    <n v="285123"/>
    <s v="CORP DE BIENESTAR DEL PERSONAL DE A F P"/>
    <d v="2025-03-01T00:00:00"/>
    <d v="2025-03-26T00:00:00"/>
    <d v="2025-02-10T00:00:00"/>
    <d v="2025-02-10T00:00:00"/>
    <s v="SALUD MENTAL"/>
    <n v="22770577"/>
    <n v="3311105"/>
    <n v="69250694"/>
    <s v="TRASSA"/>
    <n v="210689048"/>
    <n v="78070"/>
    <s v="SAL"/>
    <s v="SM01"/>
    <s v="CONSULTA O SESIONES PSIQUIATRICAS"/>
    <s v="CONSULTA PSIQUIATRICA"/>
    <s v="CONSULTA PSIQUIATRICA"/>
    <n v="0"/>
    <n v="0"/>
    <n v="71023600"/>
    <n v="3"/>
    <s v="SIN ISAPRE"/>
    <s v="MARIA.CAMPOS@AFPHABITAT.CL"/>
    <s v="10151614|71023600|136278405|65383805"/>
    <s v="GASTO FISICO"/>
    <b v="0"/>
    <s v="DEPOSITADO EN CUENTA"/>
  </r>
  <r>
    <s v="12 DE SEPTIEMBRE DE 2025"/>
    <x v="55"/>
    <s v="DALADIEER AURELIO LLANCAO CASTILLO"/>
    <n v="16771325"/>
    <s v="DALADIEER AURELIO LLANCAO CASTILLO"/>
    <d v="2025-02-01T00:00:00"/>
    <s v="INICIAL"/>
    <n v="136289637"/>
    <n v="136289637"/>
    <n v="15099"/>
    <n v="11189"/>
    <n v="3910"/>
    <n v="0"/>
    <n v="3910"/>
    <n v="136289637"/>
    <n v="285123"/>
    <s v="CORP DE BIENESTAR DEL PERSONAL DE A F P"/>
    <d v="2025-02-11T00:00:00"/>
    <d v="2025-02-11T00:00:00"/>
    <d v="2025-02-11T00:00:00"/>
    <d v="2025-02-11T00:00:00"/>
    <s v="AMBULATORIOS"/>
    <n v="22598372"/>
    <n v="2171709"/>
    <n v="68876408"/>
    <s v="TRASSA"/>
    <n v="16022025"/>
    <n v="77646"/>
    <s v="SAL"/>
    <s v="AM07"/>
    <s v="PROCEDIMIENTOS TERAPEUTICOS"/>
    <s v="PROCEDIMIENTOS TERAPEUTICOS"/>
    <s v="PROCEDIMIENTOS TERAPEUTICOS"/>
    <s v="IMED SALUD"/>
    <n v="0"/>
    <n v="76098454"/>
    <s v="K"/>
    <s v="COLMENA GOLDEN CROSS"/>
    <s v="DALADIEER.LLANCAO@AFPHABITAT.CL"/>
    <s v="16771325|76098454|136289637|136289637"/>
    <s v="IMED SALUD"/>
    <b v="1"/>
    <s v="APORTE VIA IMED"/>
  </r>
  <r>
    <s v="12 DE SEPTIEMBRE DE 2025"/>
    <x v="55"/>
    <s v="DALADIEER AURELIO LLANCAO CASTILLO"/>
    <n v="16771325"/>
    <s v="DALADIEER AURELIO LLANCAO CASTILLO"/>
    <d v="2025-03-01T00:00:00"/>
    <s v="DUPLICADO"/>
    <n v="136289637"/>
    <n v="65384388"/>
    <n v="3839"/>
    <n v="0"/>
    <n v="3839"/>
    <n v="0"/>
    <n v="3839"/>
    <n v="136289637"/>
    <n v="285123"/>
    <s v="CORP DE BIENESTAR DEL PERSONAL DE A F P"/>
    <d v="2025-03-01T00:00:00"/>
    <d v="2025-03-26T00:00:00"/>
    <d v="2025-02-11T00:00:00"/>
    <d v="2025-02-11T00:00:00"/>
    <s v="AMBULATORIOS"/>
    <n v="22770592"/>
    <n v="3311105"/>
    <n v="69251266"/>
    <s v="TRASSA"/>
    <n v="17240018327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DALADIEER.LLANCAO@AFPHABITAT.CL"/>
    <s v="16771325|76098454|136289637|65384388"/>
    <s v="GASTO FISICO"/>
    <b v="0"/>
    <s v="DEPOSITADO EN CUENTA"/>
  </r>
  <r>
    <s v="12 DE SEPTIEMBRE DE 2025"/>
    <x v="47"/>
    <s v="CAROLAIN OGAS ABARCA"/>
    <n v="13983202"/>
    <s v="CAROLAIN OGAS ABARCA"/>
    <d v="2025-02-01T00:00:00"/>
    <s v="INICIAL"/>
    <n v="136324038"/>
    <n v="136324038"/>
    <n v="613248"/>
    <n v="507542"/>
    <n v="105706"/>
    <n v="0"/>
    <n v="105706"/>
    <n v="136324038"/>
    <n v="285123"/>
    <s v="CORP DE BIENESTAR DEL PERSONAL DE A F P"/>
    <d v="2025-02-12T00:00:00"/>
    <d v="2025-02-12T00:00:00"/>
    <d v="2025-02-12T00:00:00"/>
    <d v="2025-02-12T00:00:00"/>
    <s v="AMBULATORIOS"/>
    <n v="22598413"/>
    <n v="2171709"/>
    <n v="68877380"/>
    <s v="TRASSA"/>
    <n v="16022025"/>
    <n v="77646"/>
    <s v="SAL"/>
    <s v="AM05"/>
    <s v="EXAMENES RADIOLOGICOS"/>
    <s v="EXAMENES RADIOLOGICOS"/>
    <s v="EXAMENES RADIOLOGICOS"/>
    <s v="IMED SALUD"/>
    <n v="0"/>
    <n v="76055963"/>
    <n v="6"/>
    <s v="COLMENA GOLDEN CROSS"/>
    <s v="COGASAB@AFPHABITAT.CL"/>
    <s v="13983202|76055963|136324038|136324038"/>
    <s v="IMED SALUD"/>
    <b v="1"/>
    <s v="APORTE VIA IMED"/>
  </r>
  <r>
    <s v="12 DE SEPTIEMBRE DE 2025"/>
    <x v="47"/>
    <s v="CAROLAIN OGAS ABARCA"/>
    <n v="13983202"/>
    <s v="CAROLAIN OGAS ABARCA"/>
    <d v="2025-03-01T00:00:00"/>
    <s v="DUPLICADO"/>
    <n v="136324038"/>
    <n v="65384179"/>
    <n v="105619"/>
    <n v="0"/>
    <n v="105619"/>
    <n v="0"/>
    <n v="105619"/>
    <n v="136324038"/>
    <n v="285123"/>
    <s v="CORP DE BIENESTAR DEL PERSONAL DE A F P"/>
    <d v="2025-03-01T00:00:00"/>
    <d v="2025-03-26T00:00:00"/>
    <d v="2025-02-12T00:00:00"/>
    <d v="2025-02-12T00:00:00"/>
    <s v="AMBULATORIOS"/>
    <n v="22770605"/>
    <n v="3311105"/>
    <n v="69251057"/>
    <s v="TRASSA"/>
    <n v="3250175202"/>
    <n v="78070"/>
    <s v="SAL"/>
    <s v="AM05"/>
    <s v="EXAMENES RADIOLOGICOS"/>
    <s v="EXAMENES RADIOLOGICOS"/>
    <s v="EXAMENES RADIOLOGICOS"/>
    <n v="0"/>
    <n v="0"/>
    <n v="76055963"/>
    <n v="6"/>
    <s v="SIN ISAPRE"/>
    <s v="COGASAB@AFPHABITAT.CL"/>
    <s v="13983202|76055963|136324038|65384179"/>
    <s v="GASTO FISICO"/>
    <b v="0"/>
    <s v="DEPOSITADO EN CUENTA"/>
  </r>
  <r>
    <s v="12 DE SEPTIEMBRE DE 2025"/>
    <x v="57"/>
    <s v="RODRIGO ANT SANDOVAL RODRIGUEZ"/>
    <n v="23636061"/>
    <s v="NICOLAS SANDOVAL PIZARRO"/>
    <d v="2025-02-01T00:00:00"/>
    <s v="INICIAL"/>
    <n v="136325334"/>
    <n v="136325334"/>
    <n v="114720"/>
    <n v="59954"/>
    <n v="54766"/>
    <n v="0"/>
    <n v="54766"/>
    <n v="136325334"/>
    <n v="285123"/>
    <s v="CORP DE BIENESTAR DEL PERSONAL DE A F P"/>
    <d v="2025-02-12T00:00:00"/>
    <d v="2025-02-12T00:00:00"/>
    <d v="2025-02-12T00:00:00"/>
    <d v="2025-02-12T00:00:00"/>
    <s v="AMBULATORIOS"/>
    <n v="22598412"/>
    <n v="2171709"/>
    <n v="68877412"/>
    <s v="TRASSA"/>
    <n v="16022025"/>
    <n v="77646"/>
    <s v="SAL"/>
    <s v="AM07"/>
    <s v="PROCEDIMIENTOS TERAPEUTICOS"/>
    <s v="PROCEDIMIENTOS TERAPEUTICOS"/>
    <s v="PROCEDIMIENTOS TERAPEUTICOS"/>
    <s v="IMED SALUD"/>
    <n v="0"/>
    <n v="96923250"/>
    <n v="2"/>
    <s v="COLMENA GOLDEN CROSS"/>
    <s v="RSANDOVR@AFPHABITAT.CL"/>
    <s v="13939234|96923250|136325334|136325334"/>
    <s v="IMED SALUD"/>
    <b v="1"/>
    <s v="APORTE VIA IMED"/>
  </r>
  <r>
    <s v="12 DE SEPTIEMBRE DE 2025"/>
    <x v="57"/>
    <s v="RODRIGO ANT SANDOVAL RODRIGUEZ"/>
    <n v="23636061"/>
    <s v="NICOLAS SANDOVAL PIZARRO"/>
    <d v="2025-03-01T00:00:00"/>
    <s v="DUPLICADO"/>
    <n v="136325334"/>
    <n v="65384173"/>
    <n v="54922"/>
    <n v="0"/>
    <n v="54922"/>
    <n v="0"/>
    <n v="54922"/>
    <n v="136325334"/>
    <n v="285123"/>
    <s v="CORP DE BIENESTAR DEL PERSONAL DE A F P"/>
    <d v="2025-03-01T00:00:00"/>
    <d v="2025-03-26T00:00:00"/>
    <d v="2025-02-12T00:00:00"/>
    <d v="2025-02-12T00:00:00"/>
    <s v="AMBULATORIOS"/>
    <n v="22770604"/>
    <n v="3311105"/>
    <n v="69251051"/>
    <s v="TRASSA"/>
    <n v="63376337"/>
    <n v="78070"/>
    <s v="SAL"/>
    <s v="AM07"/>
    <s v="PROCEDIMIENTOS TERAPEUTICOS"/>
    <s v="PROCEDIMIENTOS TERAPEUTICOS"/>
    <s v="PROCEDIMIENTOS TERAPEUTICOS"/>
    <n v="0"/>
    <n v="0"/>
    <n v="96923250"/>
    <n v="2"/>
    <s v="SIN ISAPRE"/>
    <s v="RSANDOVR@AFPHABITAT.CL"/>
    <s v="13939234|96923250|136325334|65384173"/>
    <s v="GASTO FISICO"/>
    <b v="0"/>
    <s v="DEPOSITADO EN CUENTA"/>
  </r>
  <r>
    <s v="12 DE SEPTIEMBRE DE 2025"/>
    <x v="57"/>
    <s v="RODRIGO ANT SANDOVAL RODRIGUEZ"/>
    <n v="23636061"/>
    <s v="NICOLAS SANDOVAL PIZARRO"/>
    <d v="2025-02-01T00:00:00"/>
    <s v="INICIAL"/>
    <n v="136325400"/>
    <n v="136325400"/>
    <n v="11500"/>
    <n v="6542"/>
    <n v="4958"/>
    <n v="0"/>
    <n v="4958"/>
    <n v="136325400"/>
    <n v="285123"/>
    <s v="CORP DE BIENESTAR DEL PERSONAL DE A F P"/>
    <d v="2025-02-12T00:00:00"/>
    <d v="2025-02-12T00:00:00"/>
    <d v="2025-02-12T00:00:00"/>
    <d v="2025-02-12T00:00:00"/>
    <s v="AMBULATORIOS"/>
    <n v="22598412"/>
    <n v="2171709"/>
    <n v="68877414"/>
    <s v="TRASSA"/>
    <n v="16022025"/>
    <n v="77646"/>
    <s v="SAL"/>
    <s v="AM07"/>
    <s v="PROCEDIMIENTOS TERAPEUTICOS"/>
    <s v="PROCEDIMIENTOS TERAPEUTICOS"/>
    <s v="PROCEDIMIENTOS TERAPEUTICOS"/>
    <s v="IMED SALUD"/>
    <n v="0"/>
    <n v="96923250"/>
    <n v="2"/>
    <s v="COLMENA GOLDEN CROSS"/>
    <s v="RSANDOVR@AFPHABITAT.CL"/>
    <s v="13939234|96923250|136325400|136325400"/>
    <s v="IMED SALUD"/>
    <b v="1"/>
    <s v="APORTE VIA IMED"/>
  </r>
  <r>
    <s v="12 DE SEPTIEMBRE DE 2025"/>
    <x v="57"/>
    <s v="RODRIGO ANT SANDOVAL RODRIGUEZ"/>
    <n v="23636061"/>
    <s v="NICOLAS SANDOVAL PIZARRO"/>
    <d v="2025-03-01T00:00:00"/>
    <s v="DUPLICADO"/>
    <n v="136325400"/>
    <n v="65384174"/>
    <n v="4992"/>
    <n v="0"/>
    <n v="4992"/>
    <n v="0"/>
    <n v="4992"/>
    <n v="136325400"/>
    <n v="285123"/>
    <s v="CORP DE BIENESTAR DEL PERSONAL DE A F P"/>
    <d v="2025-03-01T00:00:00"/>
    <d v="2025-03-26T00:00:00"/>
    <d v="2025-02-12T00:00:00"/>
    <d v="2025-02-12T00:00:00"/>
    <s v="AMBULATORIOS"/>
    <n v="22770604"/>
    <n v="3311105"/>
    <n v="69251052"/>
    <s v="TRASSA"/>
    <n v="63376337"/>
    <n v="78070"/>
    <s v="SAL"/>
    <s v="AM07"/>
    <s v="PROCEDIMIENTOS TERAPEUTICOS"/>
    <s v="PROCEDIMIENTOS TERAPEUTICOS"/>
    <s v="PROCEDIMIENTOS TERAPEUTICOS"/>
    <n v="0"/>
    <n v="0"/>
    <n v="96923250"/>
    <n v="2"/>
    <s v="SIN ISAPRE"/>
    <s v="RSANDOVR@AFPHABITAT.CL"/>
    <s v="13939234|96923250|136325400|65384174"/>
    <s v="GASTO FISICO"/>
    <b v="0"/>
    <s v="DEPOSITADO EN CUENTA"/>
  </r>
  <r>
    <s v="12 DE SEPTIEMBRE DE 2025"/>
    <x v="58"/>
    <s v="PAMELA GATICA MANDIOLA"/>
    <n v="12480709"/>
    <s v="PAMELA GATICA MANDIOLA"/>
    <d v="2025-02-01T00:00:00"/>
    <s v="INICIAL"/>
    <n v="136400609"/>
    <n v="136400609"/>
    <n v="748183"/>
    <n v="585922"/>
    <n v="162261"/>
    <n v="0"/>
    <n v="162261"/>
    <n v="136400609"/>
    <n v="285123"/>
    <s v="CORP DE BIENESTAR DEL PERSONAL DE A F P"/>
    <d v="2025-02-16T00:00:00"/>
    <d v="2025-02-16T00:00:00"/>
    <d v="2025-02-16T00:00:00"/>
    <d v="2025-02-16T00:00:00"/>
    <s v="AMBULATORIOS"/>
    <n v="22621720"/>
    <n v="2250942"/>
    <n v="68909177"/>
    <s v="TRASSA"/>
    <n v="23022025"/>
    <n v="77703"/>
    <s v="SAL"/>
    <s v="AM05"/>
    <s v="EXAMENES RADIOLOGICOS"/>
    <s v="EXAMENES RADIOLOGICOS"/>
    <s v="EXAMENES RADIOLOGICOS"/>
    <s v="IMED SALUD"/>
    <n v="0"/>
    <n v="76436880"/>
    <n v="0"/>
    <s v="COLMENA GOLDEN CROSS"/>
    <s v="PGATICA@AFPHABITAT.CL"/>
    <s v="12480709|76436880|136400609|136400609"/>
    <s v="IMED SALUD"/>
    <b v="1"/>
    <s v="APORTE VIA IMED"/>
  </r>
  <r>
    <s v="12 DE SEPTIEMBRE DE 2025"/>
    <x v="58"/>
    <s v="PAMELA GATICA MANDIOLA"/>
    <n v="12480709"/>
    <s v="PAMELA GATICA MANDIOLA"/>
    <d v="2025-03-01T00:00:00"/>
    <s v="DUPLICADO"/>
    <n v="136400609"/>
    <n v="65384015"/>
    <n v="162331"/>
    <n v="0"/>
    <n v="162331"/>
    <n v="0"/>
    <n v="162331"/>
    <n v="136400609"/>
    <n v="285123"/>
    <s v="CORP DE BIENESTAR DEL PERSONAL DE A F P"/>
    <d v="2025-03-01T00:00:00"/>
    <d v="2025-03-26T00:00:00"/>
    <d v="2025-02-16T00:00:00"/>
    <d v="2025-02-16T00:00:00"/>
    <s v="AMBULATORIOS"/>
    <n v="22770639"/>
    <n v="3311105"/>
    <n v="69250903"/>
    <s v="TRASSA"/>
    <n v="4266455"/>
    <n v="78070"/>
    <s v="SAL"/>
    <s v="AM05"/>
    <s v="EXAMENES RADIOLOGICOS"/>
    <s v="EXAMENES RADIOLOGICOS"/>
    <s v="EXAMENES RADIOLOGICOS"/>
    <n v="0"/>
    <n v="0"/>
    <n v="76436880"/>
    <n v="0"/>
    <s v="SIN ISAPRE"/>
    <s v="PGATICA@AFPHABITAT.CL"/>
    <s v="12480709|76436880|136400609|65384015"/>
    <s v="GASTO FISICO"/>
    <b v="0"/>
    <s v="DEPOSITADO EN CUENTA"/>
  </r>
  <r>
    <s v="12 DE SEPTIEMBRE DE 2025"/>
    <x v="59"/>
    <s v="MARGARET KAREN JIMENEZ BARRERA"/>
    <n v="15961242"/>
    <s v="MARGARET KAREN JIMENEZ BARRERA"/>
    <d v="2025-02-01T00:00:00"/>
    <s v="INICIAL"/>
    <n v="136436297"/>
    <n v="136436297"/>
    <n v="33740"/>
    <n v="25400"/>
    <n v="8340"/>
    <n v="0"/>
    <n v="8340"/>
    <n v="136436297"/>
    <n v="285123"/>
    <s v="CORP DE BIENESTAR DEL PERSONAL DE A F P"/>
    <d v="2025-02-18T00:00:00"/>
    <d v="2025-02-18T00:00:00"/>
    <d v="2025-02-18T00:00:00"/>
    <d v="2025-02-18T00:00:00"/>
    <s v="AMBULATORIOS"/>
    <n v="22621796"/>
    <n v="2250942"/>
    <n v="68910037"/>
    <s v="TRASSA"/>
    <n v="23022025"/>
    <n v="77703"/>
    <s v="SAL"/>
    <s v="AM04"/>
    <s v="EXAMENES DE LABORATORIO"/>
    <s v="EXAMENES DE LABORATORIO"/>
    <s v="EXAMENES DE LABORATORIO"/>
    <s v="IMED SALUD"/>
    <n v="0"/>
    <n v="99573490"/>
    <n v="7"/>
    <s v="COLMENA GOLDEN CROSS"/>
    <s v="MARGARET.JIMENEZ@AFPHABITAT.CL"/>
    <s v="15961242|99573490|136436297|136436297"/>
    <s v="IMED SALUD"/>
    <b v="1"/>
    <s v="APORTE VIA IMED"/>
  </r>
  <r>
    <s v="12 DE SEPTIEMBRE DE 2025"/>
    <x v="59"/>
    <s v="MARGARET KAREN JIMENEZ BARRERA"/>
    <n v="15961242"/>
    <s v="MARGARET KAREN JIMENEZ BARRERA"/>
    <d v="2025-03-01T00:00:00"/>
    <s v="DUPLICADO"/>
    <n v="136436297"/>
    <n v="65384348"/>
    <n v="8465"/>
    <n v="0"/>
    <n v="8465"/>
    <n v="0"/>
    <n v="8465"/>
    <n v="136436297"/>
    <n v="285123"/>
    <s v="CORP DE BIENESTAR DEL PERSONAL DE A F P"/>
    <d v="2025-03-01T00:00:00"/>
    <d v="2025-03-26T00:00:00"/>
    <d v="2025-02-18T00:00:00"/>
    <d v="2025-02-18T00:00:00"/>
    <s v="AMBULATORIOS"/>
    <n v="22770658"/>
    <n v="3311105"/>
    <n v="69251231"/>
    <s v="TRASSA"/>
    <n v="16010015256"/>
    <n v="78070"/>
    <s v="SAL"/>
    <s v="AM04"/>
    <s v="EXAMENES DE LABORATORIO"/>
    <s v="EXAMENES DE LABORATORIO"/>
    <s v="EXAMENES DE LABORATORIO"/>
    <n v="0"/>
    <n v="0"/>
    <n v="99573490"/>
    <n v="7"/>
    <s v="SIN ISAPRE"/>
    <s v="MARGARET.JIMENEZ@AFPHABITAT.CL"/>
    <s v="15961242|99573490|136436297|65384348"/>
    <s v="GASTO FISICO"/>
    <b v="0"/>
    <s v="DEPOSITADO EN CUENTA"/>
  </r>
  <r>
    <s v="12 DE SEPTIEMBRE DE 2025"/>
    <x v="59"/>
    <s v="MARGARET KAREN JIMENEZ BARRERA"/>
    <n v="15961242"/>
    <s v="MARGARET KAREN JIMENEZ BARRERA"/>
    <d v="2025-02-01T00:00:00"/>
    <s v="INICIAL"/>
    <n v="136436298"/>
    <n v="136436298"/>
    <n v="14290"/>
    <n v="11098"/>
    <n v="3192"/>
    <n v="0"/>
    <n v="3192"/>
    <n v="136436298"/>
    <n v="285123"/>
    <s v="CORP DE BIENESTAR DEL PERSONAL DE A F P"/>
    <d v="2025-02-18T00:00:00"/>
    <d v="2025-02-18T00:00:00"/>
    <d v="2025-02-18T00:00:00"/>
    <d v="2025-02-18T00:00:00"/>
    <s v="AMBULATORIOS"/>
    <n v="22621796"/>
    <n v="2250942"/>
    <n v="68910036"/>
    <s v="TRASSA"/>
    <n v="23022025"/>
    <n v="77703"/>
    <s v="SAL"/>
    <s v="AM04"/>
    <s v="EXAMENES DE LABORATORIO"/>
    <s v="EXAMENES DE LABORATORIO"/>
    <s v="EXAMENES DE LABORATORIO"/>
    <s v="IMED SALUD"/>
    <n v="0"/>
    <n v="99573490"/>
    <n v="7"/>
    <s v="COLMENA GOLDEN CROSS"/>
    <s v="MARGARET.JIMENEZ@AFPHABITAT.CL"/>
    <s v="15961242|99573490|136436298|136436298"/>
    <s v="IMED SALUD"/>
    <b v="1"/>
    <s v="APORTE VIA IMED"/>
  </r>
  <r>
    <s v="12 DE SEPTIEMBRE DE 2025"/>
    <x v="59"/>
    <s v="MARGARET KAREN JIMENEZ BARRERA"/>
    <n v="15961242"/>
    <s v="MARGARET KAREN JIMENEZ BARRERA"/>
    <d v="2025-03-01T00:00:00"/>
    <s v="DUPLICADO"/>
    <n v="136436298"/>
    <n v="65384349"/>
    <n v="3078"/>
    <n v="0"/>
    <n v="3078"/>
    <n v="0"/>
    <n v="3078"/>
    <n v="136436298"/>
    <n v="285123"/>
    <s v="CORP DE BIENESTAR DEL PERSONAL DE A F P"/>
    <d v="2025-03-01T00:00:00"/>
    <d v="2025-03-26T00:00:00"/>
    <d v="2025-02-18T00:00:00"/>
    <d v="2025-02-18T00:00:00"/>
    <s v="AMBULATORIOS"/>
    <n v="22770658"/>
    <n v="3311105"/>
    <n v="69251232"/>
    <s v="TRASSA"/>
    <n v="16010015256"/>
    <n v="78070"/>
    <s v="SAL"/>
    <s v="AM04"/>
    <s v="EXAMENES DE LABORATORIO"/>
    <s v="EXAMENES DE LABORATORIO"/>
    <s v="EXAMENES DE LABORATORIO"/>
    <n v="0"/>
    <n v="0"/>
    <n v="99573490"/>
    <n v="7"/>
    <s v="SIN ISAPRE"/>
    <s v="MARGARET.JIMENEZ@AFPHABITAT.CL"/>
    <s v="15961242|99573490|136436298|65384349"/>
    <s v="GASTO FISICO"/>
    <b v="0"/>
    <s v="DEPOSITADO EN CUENTA"/>
  </r>
  <r>
    <s v="12 DE SEPTIEMBRE DE 2025"/>
    <x v="50"/>
    <s v="PATRICIA ANDREA RIVERA CHAMORRO"/>
    <n v="13963498"/>
    <s v="PATRICIA ANDREA RIVERA CHAMORRO"/>
    <d v="2025-02-01T00:00:00"/>
    <s v="INICIAL"/>
    <n v="136459699"/>
    <n v="136459699"/>
    <n v="366676"/>
    <n v="337397"/>
    <n v="29279"/>
    <n v="0"/>
    <n v="29279"/>
    <n v="136459699"/>
    <n v="285123"/>
    <s v="CORP DE BIENESTAR DEL PERSONAL DE A F P"/>
    <d v="2025-02-18T00:00:00"/>
    <d v="2025-02-18T00:00:00"/>
    <d v="2025-02-18T00:00:00"/>
    <d v="2025-02-18T00:00:00"/>
    <s v="AMBULATORIOS"/>
    <n v="22621787"/>
    <n v="2250942"/>
    <n v="68910606"/>
    <s v="TRASSA"/>
    <n v="23022025"/>
    <n v="77703"/>
    <s v="SAL"/>
    <s v="AM05"/>
    <s v="EXAMENES RADIOLOGICOS"/>
    <s v="EXAMENES RADIOLOGICOS"/>
    <s v="EXAMENES RADIOLOGICOS"/>
    <s v="IMED SALUD"/>
    <n v="0"/>
    <n v="78317440"/>
    <n v="5"/>
    <s v="COLMENA GOLDEN CROSS"/>
    <s v="PRIVERAC@AFPHABITAT.CL"/>
    <s v="13963498|78317440|136459699|136459699"/>
    <s v="IMED SALUD"/>
    <b v="1"/>
    <s v="APORTE VIA IMED"/>
  </r>
  <r>
    <s v="12 DE SEPTIEMBRE DE 2025"/>
    <x v="50"/>
    <s v="PATRICIA ANDREA RIVERA CHAMORRO"/>
    <n v="13963498"/>
    <s v="PATRICIA ANDREA RIVERA CHAMORRO"/>
    <d v="2025-03-01T00:00:00"/>
    <s v="DUPLICADO"/>
    <n v="136459699"/>
    <n v="65384176"/>
    <n v="29257"/>
    <n v="0"/>
    <n v="29257"/>
    <n v="0"/>
    <n v="29257"/>
    <n v="136459699"/>
    <n v="285123"/>
    <s v="CORP DE BIENESTAR DEL PERSONAL DE A F P"/>
    <d v="2025-03-01T00:00:00"/>
    <d v="2025-03-26T00:00:00"/>
    <d v="2025-02-18T00:00:00"/>
    <d v="2025-02-18T00:00:00"/>
    <s v="AMBULATORIOS"/>
    <n v="22770656"/>
    <n v="3311105"/>
    <n v="69251054"/>
    <s v="TRASSA"/>
    <n v="463060"/>
    <n v="78070"/>
    <s v="SAL"/>
    <s v="AM05"/>
    <s v="EXAMENES RADIOLOGICOS"/>
    <s v="EXAMENES RADIOLOGICOS"/>
    <s v="EXAMENES RADIOLOGICOS"/>
    <n v="0"/>
    <n v="0"/>
    <n v="78317440"/>
    <n v="5"/>
    <s v="SIN ISAPRE"/>
    <s v="PRIVERAC@AFPHABITAT.CL"/>
    <s v="13963498|78317440|136459699|65384176"/>
    <s v="GASTO FISICO"/>
    <b v="0"/>
    <s v="DEPOSITADO EN CUENTA"/>
  </r>
  <r>
    <s v="12 DE SEPTIEMBRE DE 2025"/>
    <x v="53"/>
    <s v="JESSICA MARIA SEPULVEDA CORNEJO"/>
    <n v="11297522"/>
    <s v="JESSICA MARIA SEPULVEDA CORNEJO"/>
    <d v="2025-02-01T00:00:00"/>
    <s v="INICIAL"/>
    <n v="136466627"/>
    <n v="136466627"/>
    <n v="7059"/>
    <n v="5774"/>
    <n v="1285"/>
    <n v="0"/>
    <n v="1285"/>
    <n v="136466627"/>
    <n v="285123"/>
    <s v="CORP DE BIENESTAR DEL PERSONAL DE A F P"/>
    <d v="2025-02-19T00:00:00"/>
    <d v="2025-02-19T00:00:00"/>
    <d v="2025-02-19T00:00:00"/>
    <d v="2025-02-19T00:00:00"/>
    <s v="AMBULATORIOS"/>
    <n v="22621819"/>
    <n v="2250942"/>
    <n v="68910825"/>
    <s v="TRASSA"/>
    <n v="23022025"/>
    <n v="77703"/>
    <s v="SAL"/>
    <s v="AM04"/>
    <s v="EXAMENES DE LABORATORIO"/>
    <s v="EXAMENES DE LABORATORIO"/>
    <s v="EXAMENES DE LABORATORIO"/>
    <s v="IMED SALUD"/>
    <n v="0"/>
    <n v="96986050"/>
    <n v="3"/>
    <s v="COLMENA GOLDEN CROSS"/>
    <s v="JSEPULVC@AFPHABITAT.CL"/>
    <s v="11297522|96986050|136466627|136466627"/>
    <s v="IMED SALUD"/>
    <b v="1"/>
    <s v="APORTE VIA IMED"/>
  </r>
  <r>
    <s v="12 DE SEPTIEMBRE DE 2025"/>
    <x v="53"/>
    <s v="JESSICA MARIA SEPULVEDA CORNEJO"/>
    <n v="11297522"/>
    <s v="JESSICA MARIA SEPULVEDA CORNEJO"/>
    <d v="2025-03-01T00:00:00"/>
    <s v="DUPLICADO"/>
    <n v="136466627"/>
    <n v="65383928"/>
    <n v="1540"/>
    <n v="0"/>
    <n v="1540"/>
    <n v="0"/>
    <n v="1540"/>
    <n v="136466627"/>
    <n v="285123"/>
    <s v="CORP DE BIENESTAR DEL PERSONAL DE A F P"/>
    <d v="2025-03-01T00:00:00"/>
    <d v="2025-03-26T00:00:00"/>
    <d v="2025-02-19T00:00:00"/>
    <d v="2025-02-19T00:00:00"/>
    <s v="AMBULATORIOS"/>
    <n v="22770666"/>
    <n v="3311105"/>
    <n v="69250817"/>
    <s v="TRASSA"/>
    <n v="73190231140"/>
    <n v="78070"/>
    <s v="SAL"/>
    <s v="AM04"/>
    <s v="EXAMENES DE LABORATORIO"/>
    <s v="EXAMENES DE LABORATORIO"/>
    <s v="EXAMENES DE LABORATORIO"/>
    <n v="0"/>
    <n v="0"/>
    <n v="96986050"/>
    <n v="3"/>
    <s v="SIN ISAPRE"/>
    <s v="JSEPULVC@AFPHABITAT.CL"/>
    <s v="11297522|96986050|136466627|65383928"/>
    <s v="GASTO FISICO"/>
    <b v="0"/>
    <s v="DEPOSITADO EN CUENTA"/>
  </r>
  <r>
    <s v="12 DE SEPTIEMBRE DE 2025"/>
    <x v="60"/>
    <s v="ALAIN HERMOSILLA FUENZALIDA"/>
    <n v="22331061"/>
    <s v="VALENTINA HERMOSILLA ROJAS"/>
    <d v="2025-02-01T00:00:00"/>
    <s v="INICIAL"/>
    <n v="136477385"/>
    <n v="136477385"/>
    <n v="41584"/>
    <n v="39089"/>
    <n v="2495"/>
    <n v="0"/>
    <n v="2495"/>
    <n v="136477385"/>
    <n v="285123"/>
    <s v="CORP DE BIENESTAR DEL PERSONAL DE A F P"/>
    <d v="2025-02-19T00:00:00"/>
    <d v="2025-02-19T00:00:00"/>
    <d v="2025-02-19T00:00:00"/>
    <d v="2025-02-19T00:00:00"/>
    <s v="AMBULATORIOS"/>
    <n v="22621808"/>
    <n v="2250942"/>
    <n v="68911082"/>
    <s v="TRASSA"/>
    <n v="23022025"/>
    <n v="77703"/>
    <s v="SAL"/>
    <s v="AM07"/>
    <s v="PROCEDIMIENTOS TERAPEUTICOS"/>
    <s v="PROCEDIMIENTOS TERAPEUTICOS"/>
    <s v="PROCEDIMIENTOS TERAPEUTICOS"/>
    <s v="IMED SALUD"/>
    <n v="0"/>
    <n v="76436880"/>
    <n v="0"/>
    <s v="COLMENA GOLDEN CROSS"/>
    <s v="AHERMOSI@AFPHABITAT.CL"/>
    <s v="6347523|76436880|136477385|136477385"/>
    <s v="IMED SALUD"/>
    <b v="1"/>
    <s v="APORTE VIA IMED"/>
  </r>
  <r>
    <s v="12 DE SEPTIEMBRE DE 2025"/>
    <x v="60"/>
    <s v="ALAIN HERMOSILLA FUENZALIDA"/>
    <n v="22331061"/>
    <s v="VALENTINA HERMOSILLA ROJAS"/>
    <d v="2025-03-01T00:00:00"/>
    <s v="DUPLICADO"/>
    <n v="136477385"/>
    <n v="65383585"/>
    <n v="2310"/>
    <n v="0"/>
    <n v="2310"/>
    <n v="0"/>
    <n v="2310"/>
    <n v="136477385"/>
    <n v="285123"/>
    <s v="CORP DE BIENESTAR DEL PERSONAL DE A F P"/>
    <d v="2025-03-01T00:00:00"/>
    <d v="2025-03-26T00:00:00"/>
    <d v="2025-02-19T00:00:00"/>
    <d v="2025-02-19T00:00:00"/>
    <s v="AMBULATORIOS"/>
    <n v="22770660"/>
    <n v="3311105"/>
    <n v="69250476"/>
    <s v="TRASSA"/>
    <n v="611502001"/>
    <n v="78070"/>
    <s v="SAL"/>
    <s v="AM07"/>
    <s v="PROCEDIMIENTOS TERAPEUTICOS"/>
    <s v="PROCEDIMIENTOS TERAPEUTICOS"/>
    <s v="PROCEDIMIENTOS TERAPEUTICOS"/>
    <n v="0"/>
    <n v="0"/>
    <n v="76436880"/>
    <n v="0"/>
    <s v="SIN ISAPRE"/>
    <s v="AHERMOSI@AFPHABITAT.CL"/>
    <s v="6347523|76436880|136477385|65383585"/>
    <s v="GASTO FISICO"/>
    <b v="0"/>
    <s v="DEPOSITADO EN CUENTA"/>
  </r>
  <r>
    <s v="12 DE SEPTIEMBRE DE 2025"/>
    <x v="60"/>
    <s v="ALAIN HERMOSILLA FUENZALIDA"/>
    <n v="22331061"/>
    <s v="VALENTINA HERMOSILLA ROJAS"/>
    <d v="2025-02-01T00:00:00"/>
    <s v="INICIAL"/>
    <n v="136492882"/>
    <n v="136492882"/>
    <n v="137822"/>
    <n v="112920"/>
    <n v="24902"/>
    <n v="0"/>
    <n v="24902"/>
    <n v="136492882"/>
    <n v="285123"/>
    <s v="CORP DE BIENESTAR DEL PERSONAL DE A F P"/>
    <d v="2025-02-20T00:00:00"/>
    <d v="2025-02-20T00:00:00"/>
    <d v="2025-02-20T00:00:00"/>
    <d v="2025-02-20T00:00:00"/>
    <s v="AMBULATORIOS"/>
    <n v="22621857"/>
    <n v="2250942"/>
    <n v="68911437"/>
    <s v="TRASSA"/>
    <n v="23022025"/>
    <n v="77703"/>
    <s v="SAL"/>
    <s v="AM04"/>
    <s v="EXAMENES DE LABORATORIO"/>
    <s v="EXAMENES DE LABORATORIO"/>
    <s v="EXAMENES DE LABORATORIO"/>
    <s v="IMED SALUD"/>
    <n v="0"/>
    <n v="96770100"/>
    <n v="9"/>
    <s v="COLMENA GOLDEN CROSS"/>
    <s v="AHERMOSI@AFPHABITAT.CL"/>
    <s v="6347523|96770100|136492882|136492882"/>
    <s v="IMED SALUD"/>
    <b v="1"/>
    <s v="APORTE VIA IMED"/>
  </r>
  <r>
    <s v="12 DE SEPTIEMBRE DE 2025"/>
    <x v="60"/>
    <s v="ALAIN HERMOSILLA FUENZALIDA"/>
    <n v="22331061"/>
    <s v="VALENTINA HERMOSILLA ROJAS"/>
    <d v="2025-03-01T00:00:00"/>
    <s v="DUPLICADO"/>
    <n v="136492882"/>
    <n v="65383586"/>
    <n v="25425"/>
    <n v="0"/>
    <n v="25425"/>
    <n v="0"/>
    <n v="25425"/>
    <n v="136492882"/>
    <n v="285123"/>
    <s v="CORP DE BIENESTAR DEL PERSONAL DE A F P"/>
    <d v="2025-03-01T00:00:00"/>
    <d v="2025-03-26T00:00:00"/>
    <d v="2025-02-20T00:00:00"/>
    <d v="2025-02-20T00:00:00"/>
    <s v="AMBULATORIOS"/>
    <n v="22770675"/>
    <n v="3311105"/>
    <n v="69250477"/>
    <s v="TRASSA"/>
    <n v="611502001"/>
    <n v="78070"/>
    <s v="SAL"/>
    <s v="AM04"/>
    <s v="EXAMENES DE LABORATORIO"/>
    <s v="EXAMENES DE LABORATORIO"/>
    <s v="EXAMENES DE LABORATORIO"/>
    <n v="0"/>
    <n v="0"/>
    <n v="96770100"/>
    <n v="9"/>
    <s v="SIN ISAPRE"/>
    <s v="AHERMOSI@AFPHABITAT.CL"/>
    <s v="6347523|96770100|136492882|65383586"/>
    <s v="GASTO FISICO"/>
    <b v="0"/>
    <s v="DEPOSITADO EN CUENTA"/>
  </r>
  <r>
    <s v="12 DE SEPTIEMBRE DE 2025"/>
    <x v="60"/>
    <s v="ALAIN HERMOSILLA FUENZALIDA"/>
    <n v="22331061"/>
    <s v="VALENTINA HERMOSILLA ROJAS"/>
    <d v="2025-02-01T00:00:00"/>
    <s v="INICIAL"/>
    <n v="136492883"/>
    <n v="136492883"/>
    <n v="215953"/>
    <n v="183203"/>
    <n v="32750"/>
    <n v="0"/>
    <n v="32750"/>
    <n v="136492883"/>
    <n v="285123"/>
    <s v="CORP DE BIENESTAR DEL PERSONAL DE A F P"/>
    <d v="2025-02-20T00:00:00"/>
    <d v="2025-02-20T00:00:00"/>
    <d v="2025-02-20T00:00:00"/>
    <d v="2025-02-20T00:00:00"/>
    <s v="AMBULATORIOS"/>
    <n v="22621857"/>
    <n v="2250942"/>
    <n v="68911436"/>
    <s v="TRASSA"/>
    <n v="23022025"/>
    <n v="77703"/>
    <s v="SAL"/>
    <s v="AM04"/>
    <s v="EXAMENES DE LABORATORIO"/>
    <s v="EXAMENES DE LABORATORIO"/>
    <s v="EXAMENES DE LABORATORIO"/>
    <s v="IMED SALUD"/>
    <n v="0"/>
    <n v="96770100"/>
    <n v="9"/>
    <s v="COLMENA GOLDEN CROSS"/>
    <s v="AHERMOSI@AFPHABITAT.CL"/>
    <s v="6347523|96770100|136492883|136492883"/>
    <s v="IMED SALUD"/>
    <b v="1"/>
    <s v="APORTE VIA IMED"/>
  </r>
  <r>
    <s v="12 DE SEPTIEMBRE DE 2025"/>
    <x v="60"/>
    <s v="ALAIN HERMOSILLA FUENZALIDA"/>
    <n v="22331061"/>
    <s v="VALENTINA HERMOSILLA ROJAS"/>
    <d v="2025-03-01T00:00:00"/>
    <s v="DUPLICADO"/>
    <n v="136492883"/>
    <n v="65383587"/>
    <n v="33131"/>
    <n v="0"/>
    <n v="33131"/>
    <n v="0"/>
    <n v="33131"/>
    <n v="136492883"/>
    <n v="285123"/>
    <s v="CORP DE BIENESTAR DEL PERSONAL DE A F P"/>
    <d v="2025-03-01T00:00:00"/>
    <d v="2025-03-26T00:00:00"/>
    <d v="2025-02-20T00:00:00"/>
    <d v="2025-02-20T00:00:00"/>
    <s v="AMBULATORIOS"/>
    <n v="22770675"/>
    <n v="3311105"/>
    <n v="69250478"/>
    <s v="TRASSA"/>
    <n v="611502001"/>
    <n v="78070"/>
    <s v="SAL"/>
    <s v="AM04"/>
    <s v="EXAMENES DE LABORATORIO"/>
    <s v="EXAMENES DE LABORATORIO"/>
    <s v="EXAMENES DE LABORATORIO"/>
    <n v="0"/>
    <n v="0"/>
    <n v="96770100"/>
    <n v="9"/>
    <s v="SIN ISAPRE"/>
    <s v="AHERMOSI@AFPHABITAT.CL"/>
    <s v="6347523|96770100|136492883|65383587"/>
    <s v="GASTO FISICO"/>
    <b v="0"/>
    <s v="DEPOSITADO EN CUENTA"/>
  </r>
  <r>
    <s v="12 DE SEPTIEMBRE DE 2025"/>
    <x v="61"/>
    <s v="RICARDO ANUCH PUELLE"/>
    <n v="21377974"/>
    <s v="FRANCISCO ANUCH DAGACH"/>
    <d v="2025-02-01T00:00:00"/>
    <s v="INICIAL"/>
    <n v="136583211"/>
    <n v="136583211"/>
    <n v="14608"/>
    <n v="9555"/>
    <n v="5053"/>
    <n v="0"/>
    <n v="5053"/>
    <n v="136583211"/>
    <n v="285123"/>
    <s v="CORP DE BIENESTAR DEL PERSONAL DE A F P"/>
    <d v="2025-02-24T00:00:00"/>
    <d v="2025-02-24T00:00:00"/>
    <d v="2025-02-24T00:00:00"/>
    <d v="2025-02-24T00:00:00"/>
    <s v="AMBULATORIOS"/>
    <n v="22646311"/>
    <n v="3041018"/>
    <n v="68951371"/>
    <s v="TRASSA"/>
    <n v="2032025"/>
    <n v="77760"/>
    <s v="SAL"/>
    <s v="AM04"/>
    <s v="EXAMENES DE LABORATORIO"/>
    <s v="EXAMENES DE LABORATORIO"/>
    <s v="EXAMENES DE LABORATORIO"/>
    <s v="IMED SALUD"/>
    <n v="0"/>
    <n v="81949100"/>
    <n v="3"/>
    <s v="COLMENA GOLDEN CROSS"/>
    <s v="RANUCH@AFPHABITAT.CL"/>
    <s v="11594083|81949100|136583211|136583211"/>
    <s v="IMED SALUD"/>
    <b v="1"/>
    <s v="APORTE VIA IMED"/>
  </r>
  <r>
    <s v="12 DE SEPTIEMBRE DE 2025"/>
    <x v="61"/>
    <s v="RICARDO ANUCH PUELLE"/>
    <n v="21377974"/>
    <s v="FRANCISCO ANUCH DAGACH"/>
    <d v="2025-03-01T00:00:00"/>
    <s v="DUPLICADO"/>
    <n v="136583211"/>
    <n v="65383946"/>
    <n v="5016"/>
    <n v="0"/>
    <n v="5016"/>
    <n v="0"/>
    <n v="5016"/>
    <n v="136583211"/>
    <n v="285123"/>
    <s v="CORP DE BIENESTAR DEL PERSONAL DE A F P"/>
    <d v="2025-03-01T00:00:00"/>
    <d v="2025-03-26T00:00:00"/>
    <d v="2025-02-24T00:00:00"/>
    <d v="2025-02-24T00:00:00"/>
    <s v="AMBULATORIOS"/>
    <n v="22770700"/>
    <n v="3311105"/>
    <n v="69250834"/>
    <s v="TRASSA"/>
    <n v="12085648"/>
    <n v="78070"/>
    <s v="SAL"/>
    <s v="AM04"/>
    <s v="EXAMENES DE LABORATORIO"/>
    <s v="EXAMENES DE LABORATORIO"/>
    <s v="EXAMENES DE LABORATORIO"/>
    <n v="0"/>
    <n v="0"/>
    <n v="81949100"/>
    <n v="3"/>
    <s v="SIN ISAPRE"/>
    <s v="RANUCH@AFPHABITAT.CL"/>
    <s v="11594083|81949100|136583211|65383946"/>
    <s v="GASTO FISICO"/>
    <b v="0"/>
    <s v="DEPOSITADO EN CUENTA"/>
  </r>
  <r>
    <s v="12 DE SEPTIEMBRE DE 2025"/>
    <x v="50"/>
    <s v="PATRICIA ANDREA RIVERA CHAMORRO"/>
    <n v="13963498"/>
    <s v="PATRICIA ANDREA RIVERA CHAMORRO"/>
    <d v="2025-02-01T00:00:00"/>
    <s v="INICIAL"/>
    <n v="136642076"/>
    <n v="136642076"/>
    <n v="33527"/>
    <n v="28776"/>
    <n v="4751"/>
    <n v="0"/>
    <n v="4751"/>
    <n v="136642076"/>
    <n v="285123"/>
    <s v="CORP DE BIENESTAR DEL PERSONAL DE A F P"/>
    <d v="2025-02-27T00:00:00"/>
    <d v="2025-02-27T00:00:00"/>
    <d v="2025-02-27T00:00:00"/>
    <d v="2025-02-27T00:00:00"/>
    <s v="AMBULATORIOS"/>
    <n v="22646453"/>
    <n v="3041018"/>
    <n v="68952927"/>
    <s v="TRASSA"/>
    <n v="2032025"/>
    <n v="77760"/>
    <s v="SAL"/>
    <s v="AM04"/>
    <s v="EXAMENES DE LABORATORIO"/>
    <s v="EXAMENES DE LABORATORIO"/>
    <s v="EXAMENES DE LABORATORIO"/>
    <s v="IMED SALUD"/>
    <n v="0"/>
    <n v="99573490"/>
    <n v="7"/>
    <s v="COLMENA GOLDEN CROSS"/>
    <s v="PRIVERAC@AFPHABITAT.CL"/>
    <s v="13963498|99573490|136642076|136642076"/>
    <s v="IMED SALUD"/>
    <b v="1"/>
    <s v="APORTE VIA IMED"/>
  </r>
  <r>
    <s v="12 DE SEPTIEMBRE DE 2025"/>
    <x v="50"/>
    <s v="PATRICIA ANDREA RIVERA CHAMORRO"/>
    <n v="13963498"/>
    <s v="PATRICIA ANDREA RIVERA CHAMORRO"/>
    <d v="2025-03-01T00:00:00"/>
    <s v="DUPLICADO"/>
    <n v="136642076"/>
    <n v="65384177"/>
    <n v="5020"/>
    <n v="0"/>
    <n v="5020"/>
    <n v="0"/>
    <n v="5020"/>
    <n v="136642076"/>
    <n v="285123"/>
    <s v="CORP DE BIENESTAR DEL PERSONAL DE A F P"/>
    <d v="2025-03-01T00:00:00"/>
    <d v="2025-03-26T00:00:00"/>
    <d v="2025-02-27T00:00:00"/>
    <d v="2025-02-27T00:00:00"/>
    <s v="AMBULATORIOS"/>
    <n v="22770737"/>
    <n v="3311105"/>
    <n v="69251055"/>
    <s v="TRASSA"/>
    <n v="463060"/>
    <n v="78070"/>
    <s v="SAL"/>
    <s v="AM04"/>
    <s v="EXAMENES DE LABORATORIO"/>
    <s v="EXAMENES DE LABORATORIO"/>
    <s v="EXAMENES DE LABORATORIO"/>
    <n v="0"/>
    <n v="0"/>
    <n v="99573490"/>
    <n v="7"/>
    <s v="SIN ISAPRE"/>
    <s v="PRIVERAC@AFPHABITAT.CL"/>
    <s v="13963498|99573490|136642076|65384177"/>
    <s v="GASTO FISICO"/>
    <b v="0"/>
    <s v="DEPOSITADO EN CUENTA"/>
  </r>
  <r>
    <s v="12 DE SEPTIEMBRE DE 2025"/>
    <x v="62"/>
    <s v="FERNANDO RUBEN REINES ARAYA"/>
    <n v="20163889"/>
    <s v="FELIPE REINES CORNEJO"/>
    <d v="2025-03-01T00:00:00"/>
    <s v="INICIAL"/>
    <n v="136704758"/>
    <n v="136704758"/>
    <n v="32979"/>
    <n v="23085"/>
    <n v="9894"/>
    <n v="0"/>
    <n v="9894"/>
    <n v="136704758"/>
    <n v="285123"/>
    <s v="CORP DE BIENESTAR DEL PERSONAL DE A F P"/>
    <d v="2025-03-01T00:00:00"/>
    <d v="2025-03-01T00:00:00"/>
    <d v="2025-03-01T00:00:00"/>
    <d v="2025-03-01T00:00:00"/>
    <s v="SALUD MENTAL"/>
    <n v="22676559"/>
    <n v="3101656"/>
    <n v="68997647"/>
    <s v="TRASSA"/>
    <n v="9032025"/>
    <n v="77868"/>
    <s v="SAL"/>
    <s v="SM01"/>
    <s v="CONSULTA O SESIONES PSIQUIATRICAS"/>
    <s v="CONSULTA PSIQUIATRICA"/>
    <s v="CONSULTA PSIQUIATRICA"/>
    <s v="IMED SALUD"/>
    <n v="0"/>
    <n v="76098454"/>
    <s v="K"/>
    <s v="COLMENA GOLDEN CROSS"/>
    <s v="FREINES@AFPHABITAT.CL"/>
    <s v="8573655|76098454|136704758|136704758"/>
    <s v="IMED SALUD"/>
    <b v="1"/>
    <s v="APORTE VIA IMED"/>
  </r>
  <r>
    <s v="12 DE SEPTIEMBRE DE 2025"/>
    <x v="62"/>
    <s v="FERNANDO RUBEN REINES ARAYA"/>
    <n v="20163889"/>
    <s v="FELIPE REINES CORNEJO"/>
    <d v="2025-03-01T00:00:00"/>
    <s v="DUPLICADO"/>
    <n v="136704758"/>
    <n v="65383676"/>
    <n v="10052"/>
    <n v="0"/>
    <n v="10052"/>
    <n v="0"/>
    <n v="10052"/>
    <n v="136704758"/>
    <n v="285123"/>
    <s v="CORP DE BIENESTAR DEL PERSONAL DE A F P"/>
    <d v="2025-03-01T00:00:00"/>
    <d v="2025-03-26T00:00:00"/>
    <d v="2025-03-01T00:00:00"/>
    <d v="2025-03-01T00:00:00"/>
    <s v="SALUD MENTAL"/>
    <n v="22772353"/>
    <n v="3311105"/>
    <n v="69250567"/>
    <s v="TRASSA"/>
    <n v="213192158"/>
    <n v="78070"/>
    <s v="SAL"/>
    <s v="SM01"/>
    <s v="CONSULTA O SESIONES PSIQUIATRICAS"/>
    <s v="CONSULTA PSIQUIATRICA"/>
    <s v="CONSULTA PSIQUIATRICA"/>
    <n v="0"/>
    <n v="0"/>
    <n v="76098454"/>
    <s v="K"/>
    <s v="SIN ISAPRE"/>
    <s v="FREINES@AFPHABITAT.CL"/>
    <s v="8573655|76098454|136704758|65383676"/>
    <s v="GASTO FISICO"/>
    <b v="0"/>
    <s v="DEPOSITADO EN CUENTA"/>
  </r>
  <r>
    <s v="12 DE SEPTIEMBRE DE 2025"/>
    <x v="63"/>
    <s v="MYRIAM HUERTA LEON"/>
    <n v="13031474"/>
    <s v="MYRIAM HUERTA LEON"/>
    <d v="2025-03-01T00:00:00"/>
    <s v="INICIAL"/>
    <n v="136715980"/>
    <n v="136715980"/>
    <n v="290055"/>
    <n v="152095"/>
    <n v="137960"/>
    <n v="0"/>
    <n v="137960"/>
    <n v="136715980"/>
    <n v="285123"/>
    <s v="CORP DE BIENESTAR DEL PERSONAL DE A F P"/>
    <d v="2025-03-03T00:00:00"/>
    <d v="2025-03-03T00:00:00"/>
    <d v="2025-03-03T00:00:00"/>
    <d v="2025-03-03T00:00:00"/>
    <s v="AMBULATORIOS"/>
    <n v="22676603"/>
    <n v="3101656"/>
    <n v="68996631"/>
    <s v="TRASSA"/>
    <n v="9032025"/>
    <n v="77868"/>
    <s v="SAL"/>
    <s v="AM07"/>
    <s v="PROCEDIMIENTOS TERAPEUTICOS"/>
    <s v="PROCEDIMIENTOS TERAPEUTICOS"/>
    <s v="PROCEDIMIENTOS TERAPEUTICOS"/>
    <s v="IMED SALUD"/>
    <n v="0"/>
    <n v="78317440"/>
    <n v="5"/>
    <s v="COLMENA GOLDEN CROSS"/>
    <s v="MHUERTAL@AFPHABITAT.CL"/>
    <s v="13031474|78317440|136715980|136715980"/>
    <s v="IMED SALUD"/>
    <b v="1"/>
    <s v="APORTE VIA IMED"/>
  </r>
  <r>
    <s v="12 DE SEPTIEMBRE DE 2025"/>
    <x v="63"/>
    <s v="MYRIAM HUERTA LEON"/>
    <n v="13031474"/>
    <s v="MYRIAM HUERTA LEON"/>
    <d v="2025-03-01T00:00:00"/>
    <s v="DUPLICADO"/>
    <n v="136715980"/>
    <n v="65384065"/>
    <n v="118013"/>
    <n v="0"/>
    <n v="118013"/>
    <n v="0"/>
    <n v="118013"/>
    <n v="136715980"/>
    <n v="285123"/>
    <s v="CORP DE BIENESTAR DEL PERSONAL DE A F P"/>
    <d v="2025-03-03T00:00:00"/>
    <d v="2025-03-26T00:00:00"/>
    <d v="2025-03-03T00:00:00"/>
    <d v="2025-03-03T00:00:00"/>
    <s v="AMBULATORIOS"/>
    <n v="22772368"/>
    <n v="3311105"/>
    <n v="69250953"/>
    <s v="TRASSA"/>
    <n v="73378419"/>
    <n v="78070"/>
    <s v="SAL"/>
    <s v="AM07"/>
    <s v="PROCEDIMIENTOS TERAPEUTICOS"/>
    <s v="PROCEDIMIENTOS TERAPEUTICOS"/>
    <s v="PROCEDIMIENTOS TERAPEUTICOS"/>
    <n v="0"/>
    <n v="0"/>
    <n v="78317440"/>
    <n v="5"/>
    <s v="SIN ISAPRE"/>
    <s v="MHUERTAL@AFPHABITAT.CL"/>
    <s v="13031474|78317440|136715980|65384065"/>
    <s v="GASTO FISICO"/>
    <b v="0"/>
    <s v="DEPOSITADO EN CUENTA"/>
  </r>
  <r>
    <s v="12 DE SEPTIEMBRE DE 2025"/>
    <x v="56"/>
    <s v="MARIA CAMPOS HERNANDEZ"/>
    <n v="10151614"/>
    <s v="MARIA CAMPOS HERNANDEZ"/>
    <d v="2025-03-01T00:00:00"/>
    <s v="INICIAL"/>
    <n v="136733761"/>
    <n v="136733761"/>
    <n v="54758"/>
    <n v="40532"/>
    <n v="14226"/>
    <n v="0"/>
    <n v="14226"/>
    <n v="136733761"/>
    <n v="285123"/>
    <s v="CORP DE BIENESTAR DEL PERSONAL DE A F P"/>
    <d v="2025-03-03T00:00:00"/>
    <d v="2025-03-03T00:00:00"/>
    <d v="2025-03-03T00:00:00"/>
    <d v="2025-03-03T00:00:00"/>
    <s v="SALUD MENTAL"/>
    <n v="22676582"/>
    <n v="3101656"/>
    <n v="68996678"/>
    <s v="TRASSA"/>
    <n v="9032025"/>
    <n v="77868"/>
    <s v="SAL"/>
    <s v="SM01"/>
    <s v="CONSULTA O SESIONES PSIQUIATRICAS"/>
    <s v="CONSULTA PSIQUIATRICA"/>
    <s v="CONSULTA PSIQUIATRICA"/>
    <s v="IMED SALUD"/>
    <n v="0"/>
    <n v="71023600"/>
    <n v="3"/>
    <s v="COLMENA GOLDEN CROSS"/>
    <s v="MARIA.CAMPOS@AFPHABITAT.CL"/>
    <s v="10151614|71023600|136733761|136733761"/>
    <s v="IMED SALUD"/>
    <b v="1"/>
    <s v="APORTE VIA IMED"/>
  </r>
  <r>
    <s v="12 DE SEPTIEMBRE DE 2025"/>
    <x v="56"/>
    <s v="MARIA CAMPOS HERNANDEZ"/>
    <n v="10151614"/>
    <s v="MARIA CAMPOS HERNANDEZ"/>
    <d v="2025-03-01T00:00:00"/>
    <s v="DUPLICADO"/>
    <n v="136733761"/>
    <n v="65383806"/>
    <n v="14316"/>
    <n v="0"/>
    <n v="14316"/>
    <n v="0"/>
    <n v="14316"/>
    <n v="136733761"/>
    <n v="285123"/>
    <s v="CORP DE BIENESTAR DEL PERSONAL DE A F P"/>
    <d v="2025-03-03T00:00:00"/>
    <d v="2025-03-26T00:00:00"/>
    <d v="2025-03-03T00:00:00"/>
    <d v="2025-03-03T00:00:00"/>
    <s v="SALUD MENTAL"/>
    <n v="22772363"/>
    <n v="3311105"/>
    <n v="69250695"/>
    <s v="TRASSA"/>
    <n v="210689048"/>
    <n v="78070"/>
    <s v="SAL"/>
    <s v="SM01"/>
    <s v="CONSULTA O SESIONES PSIQUIATRICAS"/>
    <s v="CONSULTA PSIQUIATRICA"/>
    <s v="CONSULTA PSIQUIATRICA"/>
    <n v="0"/>
    <n v="0"/>
    <n v="71023600"/>
    <n v="3"/>
    <s v="SIN ISAPRE"/>
    <s v="MARIA.CAMPOS@AFPHABITAT.CL"/>
    <s v="10151614|71023600|136733761|65383806"/>
    <s v="GASTO FISICO"/>
    <b v="0"/>
    <s v="DEPOSITADO EN CUENTA"/>
  </r>
  <r>
    <s v="12 DE SEPTIEMBRE DE 2025"/>
    <x v="43"/>
    <s v="ALEJANDRA VANESSA MEDINA BAEZA"/>
    <n v="11946769"/>
    <s v="ALEJANDRA VANESSA MEDINA BAEZA"/>
    <d v="2025-03-01T00:00:00"/>
    <s v="INICIAL"/>
    <n v="136763432"/>
    <n v="136763432"/>
    <n v="24427"/>
    <n v="20763"/>
    <n v="3664"/>
    <n v="0"/>
    <n v="3664"/>
    <n v="136763432"/>
    <n v="285123"/>
    <s v="CORP DE BIENESTAR DEL PERSONAL DE A F P"/>
    <d v="2025-03-04T00:00:00"/>
    <d v="2025-03-04T00:00:00"/>
    <d v="2025-03-04T00:00:00"/>
    <d v="2025-03-04T00:00:00"/>
    <s v="AMBULATORIOS"/>
    <n v="22676651"/>
    <n v="3101656"/>
    <n v="68997084"/>
    <s v="TRASSA"/>
    <n v="9032025"/>
    <n v="77868"/>
    <s v="SAL"/>
    <s v="AM05"/>
    <s v="EXAMENES RADIOLOGICOS"/>
    <s v="EXAMENES RADIOLOGICOS"/>
    <s v="EXAMENES RADIOLOGICOS"/>
    <s v="IMED SALUD"/>
    <n v="0"/>
    <n v="76098454"/>
    <s v="K"/>
    <s v="COLMENA GOLDEN CROSS"/>
    <s v="AMEDINAB@AFPHABITAT.CL"/>
    <s v="11946769|76098454|136763432|136763432"/>
    <s v="IMED SALUD"/>
    <b v="1"/>
    <s v="APORTE VIA IMED"/>
  </r>
  <r>
    <s v="12 DE SEPTIEMBRE DE 2025"/>
    <x v="43"/>
    <s v="ALEJANDRA VANESSA MEDINA BAEZA"/>
    <n v="11946769"/>
    <s v="ALEJANDRA VANESSA MEDINA BAEZA"/>
    <d v="2025-03-01T00:00:00"/>
    <s v="DUPLICADO"/>
    <n v="136763432"/>
    <n v="65383981"/>
    <n v="3870"/>
    <n v="0"/>
    <n v="3870"/>
    <n v="0"/>
    <n v="3870"/>
    <n v="136763432"/>
    <n v="285123"/>
    <s v="CORP DE BIENESTAR DEL PERSONAL DE A F P"/>
    <d v="2025-03-04T00:00:00"/>
    <d v="2025-03-26T00:00:00"/>
    <d v="2025-03-04T00:00:00"/>
    <d v="2025-03-04T00:00:00"/>
    <s v="AMBULATORIOS"/>
    <n v="22772392"/>
    <n v="3311105"/>
    <n v="69250869"/>
    <s v="TRASSA"/>
    <n v="970593489"/>
    <n v="78070"/>
    <s v="SAL"/>
    <s v="AM05"/>
    <s v="EXAMENES RADIOLOGICOS"/>
    <s v="EXAMENES RADIOLOGICOS"/>
    <s v="EXAMENES RADIOLOGICOS"/>
    <n v="0"/>
    <n v="0"/>
    <n v="76098454"/>
    <s v="K"/>
    <s v="SIN ISAPRE"/>
    <s v="AMEDINAB@AFPHABITAT.CL"/>
    <s v="11946769|76098454|136763432|65383981"/>
    <s v="GASTO FISICO"/>
    <b v="0"/>
    <s v="DEPOSITADO EN CUENTA"/>
  </r>
  <r>
    <s v="12 DE SEPTIEMBRE DE 2025"/>
    <x v="64"/>
    <s v="MARIA JOSE BRANTT PINCHEIRA"/>
    <n v="23056718"/>
    <s v="CATALINA CAMARA BRANTT"/>
    <d v="2025-03-01T00:00:00"/>
    <s v="INICIAL"/>
    <n v="136770400"/>
    <n v="136770400"/>
    <n v="12654"/>
    <n v="9570"/>
    <n v="3084"/>
    <n v="0"/>
    <n v="3084"/>
    <n v="136770400"/>
    <n v="285123"/>
    <s v="CORP DE BIENESTAR DEL PERSONAL DE A F P"/>
    <d v="2025-03-04T00:00:00"/>
    <d v="2025-03-04T00:00:00"/>
    <d v="2025-03-04T00:00:00"/>
    <d v="2025-03-04T00:00:00"/>
    <s v="AMBULATORIOS"/>
    <n v="22676664"/>
    <n v="3101656"/>
    <n v="68997840"/>
    <s v="TRASSA"/>
    <n v="9032025"/>
    <n v="77868"/>
    <s v="SAL"/>
    <s v="AM07"/>
    <s v="PROCEDIMIENTOS TERAPEUTICOS"/>
    <s v="PROCEDIMIENTOS TERAPEUTICOS"/>
    <s v="PROCEDIMIENTOS TERAPEUTICOS"/>
    <s v="IMED SALUD"/>
    <n v="0"/>
    <n v="76098454"/>
    <s v="K"/>
    <s v="COLMENA GOLDEN CROSS"/>
    <s v="MBRANTT@AFPHABITAT.CL"/>
    <s v="14011130|76098454|136770400|136770400"/>
    <s v="IMED SALUD"/>
    <b v="1"/>
    <s v="APORTE VIA IMED"/>
  </r>
  <r>
    <s v="12 DE SEPTIEMBRE DE 2025"/>
    <x v="64"/>
    <s v="MARIA JOSE BRANTT PINCHEIRA"/>
    <n v="23056718"/>
    <s v="CATALINA CAMARA BRANTT"/>
    <d v="2025-03-01T00:00:00"/>
    <s v="DUPLICADO"/>
    <n v="136770400"/>
    <n v="65384192"/>
    <n v="3096"/>
    <n v="0"/>
    <n v="3096"/>
    <n v="0"/>
    <n v="3096"/>
    <n v="136770400"/>
    <n v="285123"/>
    <s v="CORP DE BIENESTAR DEL PERSONAL DE A F P"/>
    <d v="2025-03-04T00:00:00"/>
    <d v="2025-03-26T00:00:00"/>
    <d v="2025-03-04T00:00:00"/>
    <d v="2025-03-04T00:00:00"/>
    <s v="AMBULATORIOS"/>
    <n v="22772395"/>
    <n v="3311105"/>
    <n v="69251068"/>
    <s v="TRASSA"/>
    <n v="68951852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MBRANTT@AFPHABITAT.CL"/>
    <s v="14011130|76098454|136770400|65384192"/>
    <s v="GASTO FISICO"/>
    <b v="0"/>
    <s v="DEPOSITADO EN CUENTA"/>
  </r>
  <r>
    <s v="12 DE SEPTIEMBRE DE 2025"/>
    <x v="65"/>
    <s v="DANITSA ALEJANDRA FUENTES FUENTES"/>
    <n v="23216419"/>
    <s v="AGUSTIN ESCOBAR FUENTES"/>
    <d v="2025-03-01T00:00:00"/>
    <s v="INICIAL"/>
    <n v="136770464"/>
    <n v="136770464"/>
    <n v="15280"/>
    <n v="13604"/>
    <n v="1676"/>
    <n v="0"/>
    <n v="1676"/>
    <n v="136770464"/>
    <n v="285123"/>
    <s v="CORP DE BIENESTAR DEL PERSONAL DE A F P"/>
    <d v="2025-03-04T00:00:00"/>
    <d v="2025-03-04T00:00:00"/>
    <d v="2025-03-04T00:00:00"/>
    <d v="2025-03-04T00:00:00"/>
    <s v="AMBULATORIOS"/>
    <n v="22676667"/>
    <n v="3101656"/>
    <n v="68993397"/>
    <s v="TRASSA"/>
    <n v="9032025"/>
    <n v="77868"/>
    <s v="SAL"/>
    <s v="AM05"/>
    <s v="EXAMENES RADIOLOGICOS"/>
    <s v="EXAMENES RADIOLOGICOS"/>
    <s v="EXAMENES RADIOLOGICOS"/>
    <s v="IMED SALUD"/>
    <n v="0"/>
    <n v="77270020"/>
    <n v="2"/>
    <s v="COLMENA GOLDEN CROSS"/>
    <s v="DFUENTEF@AFPHABITAT.CL"/>
    <s v="15106738|77270020|136770464|136770464"/>
    <s v="IMED SALUD"/>
    <b v="1"/>
    <s v="APORTE VIA IMED"/>
  </r>
  <r>
    <s v="12 DE SEPTIEMBRE DE 2025"/>
    <x v="65"/>
    <s v="DANITSA ALEJANDRA FUENTES FUENTES"/>
    <n v="23216419"/>
    <s v="AGUSTIN ESCOBAR FUENTES"/>
    <d v="2025-03-01T00:00:00"/>
    <s v="DUPLICADO"/>
    <n v="136770464"/>
    <n v="65384253"/>
    <n v="1548"/>
    <n v="0"/>
    <n v="1548"/>
    <n v="0"/>
    <n v="1548"/>
    <n v="136770464"/>
    <n v="285123"/>
    <s v="CORP DE BIENESTAR DEL PERSONAL DE A F P"/>
    <d v="2025-03-04T00:00:00"/>
    <d v="2025-03-26T00:00:00"/>
    <d v="2025-03-04T00:00:00"/>
    <d v="2025-03-04T00:00:00"/>
    <s v="AMBULATORIOS"/>
    <n v="22772396"/>
    <n v="3311105"/>
    <n v="69251126"/>
    <s v="TRASSA"/>
    <n v="16010010070"/>
    <n v="78070"/>
    <s v="SAL"/>
    <s v="AM05"/>
    <s v="EXAMENES RADIOLOGICOS"/>
    <s v="EXAMENES RADIOLOGICOS"/>
    <s v="EXAMENES RADIOLOGICOS"/>
    <n v="0"/>
    <n v="0"/>
    <n v="77270020"/>
    <n v="2"/>
    <s v="SIN ISAPRE"/>
    <s v="DFUENTEF@AFPHABITAT.CL"/>
    <s v="15106738|77270020|136770464|65384253"/>
    <s v="GASTO FISICO"/>
    <b v="0"/>
    <s v="DEPOSITADO EN CUENTA"/>
  </r>
  <r>
    <s v="12 DE SEPTIEMBRE DE 2025"/>
    <x v="66"/>
    <s v="MARIA FLORES CONCHA"/>
    <n v="7813243"/>
    <s v="MARIA FLORES CONCHA"/>
    <d v="2025-03-01T00:00:00"/>
    <s v="INICIAL"/>
    <n v="136781436"/>
    <n v="136781436"/>
    <n v="49630"/>
    <n v="41760"/>
    <n v="7870"/>
    <n v="0"/>
    <n v="7870"/>
    <n v="136781436"/>
    <n v="285123"/>
    <s v="CORP DE BIENESTAR DEL PERSONAL DE A F P"/>
    <d v="2025-03-05T00:00:00"/>
    <d v="2025-03-05T00:00:00"/>
    <d v="2025-03-05T00:00:00"/>
    <d v="2025-03-05T00:00:00"/>
    <s v="AMBULATORIOS"/>
    <n v="22676691"/>
    <n v="3101656"/>
    <n v="68995375"/>
    <s v="TRASSA"/>
    <n v="9032025"/>
    <n v="77868"/>
    <s v="SAL"/>
    <s v="AM04"/>
    <s v="EXAMENES DE LABORATORIO"/>
    <s v="EXAMENES DE LABORATORIO"/>
    <s v="EXAMENES DE LABORATORIO"/>
    <s v="IMED SALUD"/>
    <n v="0"/>
    <n v="92051000"/>
    <n v="0"/>
    <s v="COLMENA GOLDEN CROSS"/>
    <s v="MFLORESC@AFPHABITAT.CL"/>
    <s v="7813243|92051000|136781436|136781436"/>
    <s v="IMED SALUD"/>
    <b v="1"/>
    <s v="APORTE VIA IMED"/>
  </r>
  <r>
    <s v="12 DE SEPTIEMBRE DE 2025"/>
    <x v="66"/>
    <s v="MARIA FLORES CONCHA"/>
    <n v="7813243"/>
    <s v="MARIA FLORES CONCHA"/>
    <d v="2025-03-01T00:00:00"/>
    <s v="DUPLICADO"/>
    <n v="136781436"/>
    <n v="65383628"/>
    <n v="8129"/>
    <n v="0"/>
    <n v="8129"/>
    <n v="0"/>
    <n v="8129"/>
    <n v="136781436"/>
    <n v="285123"/>
    <s v="CORP DE BIENESTAR DEL PERSONAL DE A F P"/>
    <d v="2025-03-05T00:00:00"/>
    <d v="2025-03-26T00:00:00"/>
    <d v="2025-03-05T00:00:00"/>
    <d v="2025-03-05T00:00:00"/>
    <s v="AMBULATORIOS"/>
    <n v="22772401"/>
    <n v="3311105"/>
    <n v="69250519"/>
    <s v="TRASSA"/>
    <n v="50918307"/>
    <n v="78070"/>
    <s v="SAL"/>
    <s v="AM04"/>
    <s v="EXAMENES DE LABORATORIO"/>
    <s v="EXAMENES DE LABORATORIO"/>
    <s v="EXAMENES DE LABORATORIO"/>
    <n v="0"/>
    <n v="0"/>
    <n v="92051000"/>
    <n v="0"/>
    <s v="SIN ISAPRE"/>
    <s v="MFLORESC@AFPHABITAT.CL"/>
    <s v="7813243|92051000|136781436|65383628"/>
    <s v="GASTO FISICO"/>
    <b v="0"/>
    <s v="DEPOSITADO EN CUENTA"/>
  </r>
  <r>
    <s v="12 DE SEPTIEMBRE DE 2025"/>
    <x v="66"/>
    <s v="MARIA FLORES CONCHA"/>
    <n v="7813243"/>
    <s v="MARIA FLORES CONCHA"/>
    <d v="2025-03-01T00:00:00"/>
    <s v="INICIAL"/>
    <n v="136781437"/>
    <n v="136781437"/>
    <n v="37280"/>
    <n v="31689"/>
    <n v="5591"/>
    <n v="0"/>
    <n v="5591"/>
    <n v="136781437"/>
    <n v="285123"/>
    <s v="CORP DE BIENESTAR DEL PERSONAL DE A F P"/>
    <d v="2025-03-05T00:00:00"/>
    <d v="2025-03-05T00:00:00"/>
    <d v="2025-03-05T00:00:00"/>
    <d v="2025-03-05T00:00:00"/>
    <s v="AMBULATORIOS"/>
    <n v="22676691"/>
    <n v="3101656"/>
    <n v="68994217"/>
    <s v="TRASSA"/>
    <n v="9032025"/>
    <n v="77868"/>
    <s v="SAL"/>
    <s v="AM04"/>
    <s v="EXAMENES DE LABORATORIO"/>
    <s v="EXAMENES DE LABORATORIO"/>
    <s v="EXAMENES DE LABORATORIO"/>
    <s v="IMED SALUD"/>
    <n v="0"/>
    <n v="92051000"/>
    <n v="0"/>
    <s v="COLMENA GOLDEN CROSS"/>
    <s v="MFLORESC@AFPHABITAT.CL"/>
    <s v="7813243|92051000|136781437|136781437"/>
    <s v="IMED SALUD"/>
    <b v="1"/>
    <s v="APORTE VIA IMED"/>
  </r>
  <r>
    <s v="12 DE SEPTIEMBRE DE 2025"/>
    <x v="66"/>
    <s v="MARIA FLORES CONCHA"/>
    <n v="7813243"/>
    <s v="MARIA FLORES CONCHA"/>
    <d v="2025-03-01T00:00:00"/>
    <s v="DUPLICADO"/>
    <n v="136781437"/>
    <n v="65383629"/>
    <n v="5031"/>
    <n v="0"/>
    <n v="5031"/>
    <n v="0"/>
    <n v="5031"/>
    <n v="136781437"/>
    <n v="285123"/>
    <s v="CORP DE BIENESTAR DEL PERSONAL DE A F P"/>
    <d v="2025-03-05T00:00:00"/>
    <d v="2025-03-26T00:00:00"/>
    <d v="2025-03-05T00:00:00"/>
    <d v="2025-03-05T00:00:00"/>
    <s v="AMBULATORIOS"/>
    <n v="22772401"/>
    <n v="3311105"/>
    <n v="69250520"/>
    <s v="TRASSA"/>
    <n v="50918307"/>
    <n v="78070"/>
    <s v="SAL"/>
    <s v="AM04"/>
    <s v="EXAMENES DE LABORATORIO"/>
    <s v="EXAMENES DE LABORATORIO"/>
    <s v="EXAMENES DE LABORATORIO"/>
    <n v="0"/>
    <n v="0"/>
    <n v="92051000"/>
    <n v="0"/>
    <s v="SIN ISAPRE"/>
    <s v="MFLORESC@AFPHABITAT.CL"/>
    <s v="7813243|92051000|136781437|65383629"/>
    <s v="GASTO FISICO"/>
    <b v="0"/>
    <s v="DEPOSITADO EN CUENTA"/>
  </r>
  <r>
    <s v="12 DE SEPTIEMBRE DE 2025"/>
    <x v="66"/>
    <s v="MARIA FLORES CONCHA"/>
    <n v="7813243"/>
    <s v="MARIA FLORES CONCHA"/>
    <d v="2025-03-01T00:00:00"/>
    <s v="INICIAL"/>
    <n v="136781438"/>
    <n v="136781438"/>
    <n v="48980"/>
    <n v="34111"/>
    <n v="14869"/>
    <n v="0"/>
    <n v="14869"/>
    <n v="136781438"/>
    <n v="285123"/>
    <s v="CORP DE BIENESTAR DEL PERSONAL DE A F P"/>
    <d v="2025-03-05T00:00:00"/>
    <d v="2025-03-05T00:00:00"/>
    <d v="2025-03-05T00:00:00"/>
    <d v="2025-03-05T00:00:00"/>
    <s v="AMBULATORIOS"/>
    <n v="22676691"/>
    <n v="3101656"/>
    <n v="68997722"/>
    <s v="TRASSA"/>
    <n v="9032025"/>
    <n v="77868"/>
    <s v="SAL"/>
    <s v="AM04"/>
    <s v="EXAMENES DE LABORATORIO"/>
    <s v="EXAMENES DE LABORATORIO"/>
    <s v="EXAMENES DE LABORATORIO"/>
    <s v="IMED SALUD"/>
    <n v="0"/>
    <n v="92051000"/>
    <n v="0"/>
    <s v="COLMENA GOLDEN CROSS"/>
    <s v="MFLORESC@AFPHABITAT.CL"/>
    <s v="7813243|92051000|136781438|136781438"/>
    <s v="IMED SALUD"/>
    <b v="1"/>
    <s v="APORTE VIA IMED"/>
  </r>
  <r>
    <s v="12 DE SEPTIEMBRE DE 2025"/>
    <x v="66"/>
    <s v="MARIA FLORES CONCHA"/>
    <n v="7813243"/>
    <s v="MARIA FLORES CONCHA"/>
    <d v="2025-03-01T00:00:00"/>
    <s v="DUPLICADO"/>
    <n v="136781438"/>
    <n v="65383630"/>
    <n v="12389"/>
    <n v="0"/>
    <n v="12389"/>
    <n v="0"/>
    <n v="12389"/>
    <n v="136781438"/>
    <n v="285123"/>
    <s v="CORP DE BIENESTAR DEL PERSONAL DE A F P"/>
    <d v="2025-03-05T00:00:00"/>
    <d v="2025-03-26T00:00:00"/>
    <d v="2025-03-05T00:00:00"/>
    <d v="2025-03-05T00:00:00"/>
    <s v="AMBULATORIOS"/>
    <n v="22772401"/>
    <n v="3311105"/>
    <n v="69250521"/>
    <s v="TRASSA"/>
    <n v="50918307"/>
    <n v="78070"/>
    <s v="SAL"/>
    <s v="AM04"/>
    <s v="EXAMENES DE LABORATORIO"/>
    <s v="EXAMENES DE LABORATORIO"/>
    <s v="EXAMENES DE LABORATORIO"/>
    <n v="0"/>
    <n v="0"/>
    <n v="92051000"/>
    <n v="0"/>
    <s v="SIN ISAPRE"/>
    <s v="MFLORESC@AFPHABITAT.CL"/>
    <s v="7813243|92051000|136781438|65383630"/>
    <s v="GASTO FISICO"/>
    <b v="0"/>
    <s v="DEPOSITADO EN CUENTA"/>
  </r>
  <r>
    <s v="12 DE SEPTIEMBRE DE 2025"/>
    <x v="66"/>
    <s v="MARIA FLORES CONCHA"/>
    <n v="7813243"/>
    <s v="MARIA FLORES CONCHA"/>
    <d v="2025-03-01T00:00:00"/>
    <s v="INICIAL"/>
    <n v="136781439"/>
    <n v="136781439"/>
    <n v="4610"/>
    <n v="3862"/>
    <n v="748"/>
    <n v="0"/>
    <n v="748"/>
    <n v="136781439"/>
    <n v="285123"/>
    <s v="CORP DE BIENESTAR DEL PERSONAL DE A F P"/>
    <d v="2025-03-05T00:00:00"/>
    <d v="2025-03-05T00:00:00"/>
    <d v="2025-03-05T00:00:00"/>
    <d v="2025-03-05T00:00:00"/>
    <s v="AMBULATORIOS"/>
    <n v="22676691"/>
    <n v="3101656"/>
    <n v="68995878"/>
    <s v="TRASSA"/>
    <n v="9032025"/>
    <n v="77868"/>
    <s v="SAL"/>
    <s v="AM04"/>
    <s v="EXAMENES DE LABORATORIO"/>
    <s v="EXAMENES DE LABORATORIO"/>
    <s v="EXAMENES DE LABORATORIO"/>
    <s v="IMED SALUD"/>
    <n v="0"/>
    <n v="92051000"/>
    <n v="0"/>
    <s v="COLMENA GOLDEN CROSS"/>
    <s v="MFLORESC@AFPHABITAT.CL"/>
    <s v="7813243|92051000|136781439|136781439"/>
    <s v="IMED SALUD"/>
    <b v="1"/>
    <s v="APORTE VIA IMED"/>
  </r>
  <r>
    <s v="12 DE SEPTIEMBRE DE 2025"/>
    <x v="66"/>
    <s v="MARIA FLORES CONCHA"/>
    <n v="7813243"/>
    <s v="MARIA FLORES CONCHA"/>
    <d v="2025-03-01T00:00:00"/>
    <s v="DUPLICADO"/>
    <n v="136781439"/>
    <n v="65383631"/>
    <n v="774"/>
    <n v="0"/>
    <n v="774"/>
    <n v="0"/>
    <n v="774"/>
    <n v="136781439"/>
    <n v="285123"/>
    <s v="CORP DE BIENESTAR DEL PERSONAL DE A F P"/>
    <d v="2025-03-05T00:00:00"/>
    <d v="2025-03-26T00:00:00"/>
    <d v="2025-03-05T00:00:00"/>
    <d v="2025-03-05T00:00:00"/>
    <s v="AMBULATORIOS"/>
    <n v="22772401"/>
    <n v="3311105"/>
    <n v="69250522"/>
    <s v="TRASSA"/>
    <n v="50918307"/>
    <n v="78070"/>
    <s v="SAL"/>
    <s v="AM04"/>
    <s v="EXAMENES DE LABORATORIO"/>
    <s v="EXAMENES DE LABORATORIO"/>
    <s v="EXAMENES DE LABORATORIO"/>
    <n v="0"/>
    <n v="0"/>
    <n v="92051000"/>
    <n v="0"/>
    <s v="SIN ISAPRE"/>
    <s v="MFLORESC@AFPHABITAT.CL"/>
    <s v="7813243|92051000|136781439|65383631"/>
    <s v="GASTO FISICO"/>
    <b v="0"/>
    <s v="DEPOSITADO EN CUENTA"/>
  </r>
  <r>
    <s v="12 DE SEPTIEMBRE DE 2025"/>
    <x v="67"/>
    <s v="EDUARDO PEREZ URETA"/>
    <n v="7895144"/>
    <s v="EDUARDO PEREZ URETA"/>
    <d v="2025-03-01T00:00:00"/>
    <s v="INICIAL"/>
    <n v="136814362"/>
    <n v="136814362"/>
    <n v="28028"/>
    <n v="19620"/>
    <n v="8408"/>
    <n v="0"/>
    <n v="8408"/>
    <n v="136814362"/>
    <n v="285123"/>
    <s v="CORP DE BIENESTAR DEL PERSONAL DE A F P"/>
    <d v="2025-03-06T00:00:00"/>
    <d v="2025-03-06T00:00:00"/>
    <d v="2025-03-06T00:00:00"/>
    <d v="2025-03-06T00:00:00"/>
    <s v="AMBULATORIOS"/>
    <n v="22676754"/>
    <n v="3101656"/>
    <n v="68997667"/>
    <s v="TRASSA"/>
    <n v="9032025"/>
    <n v="77868"/>
    <s v="SAL"/>
    <s v="AM04"/>
    <s v="EXAMENES DE LABORATORIO"/>
    <s v="EXAMENES DE LABORATORIO"/>
    <s v="EXAMENES DE LABORATORIO"/>
    <s v="IMED SALUD"/>
    <n v="0"/>
    <n v="96986050"/>
    <n v="3"/>
    <s v="COLMENA GOLDEN CROSS"/>
    <s v="EPEREZ@AFPHABITAT.CL"/>
    <s v="7895144|96986050|136814362|136814362"/>
    <s v="IMED SALUD"/>
    <b v="1"/>
    <s v="APORTE VIA IMED"/>
  </r>
  <r>
    <s v="12 DE SEPTIEMBRE DE 2025"/>
    <x v="67"/>
    <s v="EDUARDO PEREZ URETA"/>
    <n v="7895144"/>
    <s v="EDUARDO PEREZ URETA"/>
    <d v="2025-03-01T00:00:00"/>
    <s v="DUPLICADO"/>
    <n v="136814362"/>
    <n v="65383637"/>
    <n v="8133"/>
    <n v="0"/>
    <n v="8133"/>
    <n v="0"/>
    <n v="8133"/>
    <n v="136814362"/>
    <n v="285123"/>
    <s v="CORP DE BIENESTAR DEL PERSONAL DE A F P"/>
    <d v="2025-03-06T00:00:00"/>
    <d v="2025-03-26T00:00:00"/>
    <d v="2025-03-06T00:00:00"/>
    <d v="2025-03-06T00:00:00"/>
    <s v="AMBULATORIOS"/>
    <n v="22772420"/>
    <n v="3311105"/>
    <n v="69250528"/>
    <s v="TRASSA"/>
    <n v="970483683"/>
    <n v="78070"/>
    <s v="SAL"/>
    <s v="AM04"/>
    <s v="EXAMENES DE LABORATORIO"/>
    <s v="EXAMENES DE LABORATORIO"/>
    <s v="EXAMENES DE LABORATORIO"/>
    <n v="0"/>
    <n v="0"/>
    <n v="96986050"/>
    <n v="3"/>
    <s v="SIN ISAPRE"/>
    <s v="EPEREZ@AFPHABITAT.CL"/>
    <s v="7895144|96986050|136814362|65383637"/>
    <s v="GASTO FISICO"/>
    <b v="0"/>
    <s v="DEPOSITADO EN CUENTA"/>
  </r>
  <r>
    <s v="12 DE SEPTIEMBRE DE 2025"/>
    <x v="67"/>
    <s v="EDUARDO PEREZ URETA"/>
    <n v="7895144"/>
    <s v="EDUARDO PEREZ URETA"/>
    <d v="2025-03-01T00:00:00"/>
    <s v="INICIAL"/>
    <n v="136814363"/>
    <n v="136814363"/>
    <n v="70913"/>
    <n v="22292"/>
    <n v="48621"/>
    <n v="0"/>
    <n v="48621"/>
    <n v="136814363"/>
    <n v="285123"/>
    <s v="CORP DE BIENESTAR DEL PERSONAL DE A F P"/>
    <d v="2025-03-06T00:00:00"/>
    <d v="2025-03-06T00:00:00"/>
    <d v="2025-03-06T00:00:00"/>
    <d v="2025-03-06T00:00:00"/>
    <s v="AMBULATORIOS"/>
    <n v="22676754"/>
    <n v="3101656"/>
    <n v="68995816"/>
    <s v="TRASSA"/>
    <n v="9032025"/>
    <n v="77868"/>
    <s v="SAL"/>
    <s v="AM04"/>
    <s v="EXAMENES DE LABORATORIO"/>
    <s v="EXAMENES DE LABORATORIO"/>
    <s v="EXAMENES DE LABORATORIO"/>
    <s v="IMED SALUD"/>
    <n v="0"/>
    <n v="96986050"/>
    <n v="3"/>
    <s v="COLMENA GOLDEN CROSS"/>
    <s v="EPEREZ@AFPHABITAT.CL"/>
    <s v="7895144|96986050|136814363|136814363"/>
    <s v="IMED SALUD"/>
    <b v="1"/>
    <s v="APORTE VIA IMED"/>
  </r>
  <r>
    <s v="12 DE SEPTIEMBRE DE 2025"/>
    <x v="67"/>
    <s v="EDUARDO PEREZ URETA"/>
    <n v="7895144"/>
    <s v="EDUARDO PEREZ URETA"/>
    <d v="2025-03-01T00:00:00"/>
    <s v="DUPLICADO"/>
    <n v="136814363"/>
    <n v="65383638"/>
    <n v="40286"/>
    <n v="0"/>
    <n v="40286"/>
    <n v="0"/>
    <n v="40286"/>
    <n v="136814363"/>
    <n v="285123"/>
    <s v="CORP DE BIENESTAR DEL PERSONAL DE A F P"/>
    <d v="2025-03-06T00:00:00"/>
    <d v="2025-03-26T00:00:00"/>
    <d v="2025-03-06T00:00:00"/>
    <d v="2025-03-06T00:00:00"/>
    <s v="AMBULATORIOS"/>
    <n v="22772420"/>
    <n v="3311105"/>
    <n v="69250529"/>
    <s v="TRASSA"/>
    <n v="970483683"/>
    <n v="78070"/>
    <s v="SAL"/>
    <s v="AM04"/>
    <s v="EXAMENES DE LABORATORIO"/>
    <s v="EXAMENES DE LABORATORIO"/>
    <s v="EXAMENES DE LABORATORIO"/>
    <n v="0"/>
    <n v="0"/>
    <n v="96986050"/>
    <n v="3"/>
    <s v="SIN ISAPRE"/>
    <s v="EPEREZ@AFPHABITAT.CL"/>
    <s v="7895144|96986050|136814363|65383638"/>
    <s v="GASTO FISICO"/>
    <b v="0"/>
    <s v="DEPOSITADO EN CUENTA"/>
  </r>
  <r>
    <s v="12 DE SEPTIEMBRE DE 2025"/>
    <x v="64"/>
    <s v="MARIA JOSE BRANTT PINCHEIRA"/>
    <n v="14011130"/>
    <s v="MARIA JOSE BRANTT PINCHEIRA"/>
    <d v="2025-03-01T00:00:00"/>
    <s v="INICIAL"/>
    <n v="136828730"/>
    <n v="136828730"/>
    <n v="10740"/>
    <n v="8592"/>
    <n v="2148"/>
    <n v="0"/>
    <n v="2148"/>
    <n v="136828730"/>
    <n v="285123"/>
    <s v="CORP DE BIENESTAR DEL PERSONAL DE A F P"/>
    <d v="2025-03-06T00:00:00"/>
    <d v="2025-03-06T00:00:00"/>
    <d v="2025-03-06T00:00:00"/>
    <d v="2025-03-06T00:00:00"/>
    <s v="AMBULATORIOS"/>
    <n v="22676782"/>
    <n v="3101656"/>
    <n v="68995154"/>
    <s v="TRASSA"/>
    <n v="9032025"/>
    <n v="77868"/>
    <s v="SAL"/>
    <s v="AM07"/>
    <s v="PROCEDIMIENTOS TERAPEUTICOS"/>
    <s v="PROCEDIMIENTOS TERAPEUTICOS"/>
    <s v="PROCEDIMIENTOS TERAPEUTICOS"/>
    <s v="IMED SALUD"/>
    <n v="0"/>
    <n v="77270020"/>
    <n v="2"/>
    <s v="COLMENA GOLDEN CROSS"/>
    <s v="MBRANTT@AFPHABITAT.CL"/>
    <s v="14011130|77270020|136828730|136828730"/>
    <s v="IMED SALUD"/>
    <b v="1"/>
    <s v="APORTE VIA IMED"/>
  </r>
  <r>
    <s v="12 DE SEPTIEMBRE DE 2025"/>
    <x v="64"/>
    <s v="MARIA JOSE BRANTT PINCHEIRA"/>
    <n v="14011130"/>
    <s v="MARIA JOSE BRANTT PINCHEIRA"/>
    <d v="2025-03-01T00:00:00"/>
    <s v="DUPLICADO"/>
    <n v="136828730"/>
    <n v="65384187"/>
    <n v="2324"/>
    <n v="0"/>
    <n v="2324"/>
    <n v="0"/>
    <n v="2324"/>
    <n v="136828730"/>
    <n v="285123"/>
    <s v="CORP DE BIENESTAR DEL PERSONAL DE A F P"/>
    <d v="2025-03-06T00:00:00"/>
    <d v="2025-03-26T00:00:00"/>
    <d v="2025-03-06T00:00:00"/>
    <d v="2025-03-06T00:00:00"/>
    <s v="AMBULATORIOS"/>
    <n v="22772435"/>
    <n v="3311105"/>
    <n v="69251063"/>
    <s v="TRASSA"/>
    <n v="68951852"/>
    <n v="78070"/>
    <s v="SAL"/>
    <s v="AM07"/>
    <s v="PROCEDIMIENTOS TERAPEUTICOS"/>
    <s v="PROCEDIMIENTOS TERAPEUTICOS"/>
    <s v="PROCEDIMIENTOS TERAPEUTICOS"/>
    <n v="0"/>
    <n v="0"/>
    <n v="77270020"/>
    <n v="2"/>
    <s v="SIN ISAPRE"/>
    <s v="MBRANTT@AFPHABITAT.CL"/>
    <s v="14011130|77270020|136828730|65384187"/>
    <s v="GASTO FISICO"/>
    <b v="0"/>
    <s v="DEPOSITADO EN CUENTA"/>
  </r>
  <r>
    <s v="12 DE SEPTIEMBRE DE 2025"/>
    <x v="49"/>
    <s v="SANDRA SALGADO BECERRA"/>
    <n v="10125251"/>
    <s v="SANDRA SALGADO BECERRA"/>
    <d v="2025-03-01T00:00:00"/>
    <s v="INICIAL"/>
    <n v="136840550"/>
    <n v="136840550"/>
    <n v="23640"/>
    <n v="20094"/>
    <n v="3546"/>
    <n v="0"/>
    <n v="3546"/>
    <n v="136840550"/>
    <n v="285123"/>
    <s v="CORP DE BIENESTAR DEL PERSONAL DE A F P"/>
    <d v="2025-03-06T00:00:00"/>
    <d v="2025-03-06T00:00:00"/>
    <d v="2025-03-06T00:00:00"/>
    <d v="2025-03-06T00:00:00"/>
    <s v="AMBULATORIOS"/>
    <n v="22676763"/>
    <n v="3101656"/>
    <n v="68994469"/>
    <s v="TRASSA"/>
    <n v="9032025"/>
    <n v="77868"/>
    <s v="SAL"/>
    <s v="AM05"/>
    <s v="EXAMENES RADIOLOGICOS"/>
    <s v="EXAMENES RADIOLOGICOS"/>
    <s v="EXAMENES RADIOLOGICOS"/>
    <s v="IMED SALUD"/>
    <n v="0"/>
    <n v="96942400"/>
    <n v="2"/>
    <s v="COLMENA GOLDEN CROSS"/>
    <s v="SSALGADB@AFPHABITAT.CL"/>
    <s v="10125251|96942400|136840550|136840550"/>
    <s v="IMED SALUD"/>
    <b v="1"/>
    <s v="APORTE VIA IMED"/>
  </r>
  <r>
    <s v="12 DE SEPTIEMBRE DE 2025"/>
    <x v="49"/>
    <s v="SANDRA SALGADO BECERRA"/>
    <n v="10125251"/>
    <s v="SANDRA SALGADO BECERRA"/>
    <d v="2025-03-01T00:00:00"/>
    <s v="DUPLICADO"/>
    <n v="136840550"/>
    <n v="65383800"/>
    <n v="3486"/>
    <n v="0"/>
    <n v="3486"/>
    <n v="0"/>
    <n v="3486"/>
    <n v="136840550"/>
    <n v="285123"/>
    <s v="CORP DE BIENESTAR DEL PERSONAL DE A F P"/>
    <d v="2025-03-06T00:00:00"/>
    <d v="2025-03-26T00:00:00"/>
    <d v="2025-03-06T00:00:00"/>
    <d v="2025-03-06T00:00:00"/>
    <s v="AMBULATORIOS"/>
    <n v="22772423"/>
    <n v="3311105"/>
    <n v="69250689"/>
    <s v="TRASSA"/>
    <n v="13038066"/>
    <n v="78070"/>
    <s v="SAL"/>
    <s v="AM05"/>
    <s v="EXAMENES RADIOLOGICOS"/>
    <s v="EXAMENES RADIOLOGICOS"/>
    <s v="EXAMENES RADIOLOGICOS"/>
    <n v="0"/>
    <n v="0"/>
    <n v="96942400"/>
    <n v="2"/>
    <s v="SIN ISAPRE"/>
    <s v="SSALGADB@AFPHABITAT.CL"/>
    <s v="10125251|96942400|136840550|65383800"/>
    <s v="GASTO FISICO"/>
    <b v="0"/>
    <s v="DEPOSITADO EN CUENTA"/>
  </r>
  <r>
    <s v="12 DE SEPTIEMBRE DE 2025"/>
    <x v="49"/>
    <s v="SANDRA SALGADO BECERRA"/>
    <n v="10125251"/>
    <s v="SANDRA SALGADO BECERRA"/>
    <d v="2025-03-01T00:00:00"/>
    <s v="INICIAL"/>
    <n v="136840596"/>
    <n v="136840596"/>
    <n v="18920"/>
    <n v="16082"/>
    <n v="2838"/>
    <n v="0"/>
    <n v="2838"/>
    <n v="136840596"/>
    <n v="285123"/>
    <s v="CORP DE BIENESTAR DEL PERSONAL DE A F P"/>
    <d v="2025-03-06T00:00:00"/>
    <d v="2025-03-06T00:00:00"/>
    <d v="2025-03-06T00:00:00"/>
    <d v="2025-03-06T00:00:00"/>
    <s v="AMBULATORIOS"/>
    <n v="22676763"/>
    <n v="3101656"/>
    <n v="68993862"/>
    <s v="TRASSA"/>
    <n v="9032025"/>
    <n v="77868"/>
    <s v="SAL"/>
    <s v="AM05"/>
    <s v="EXAMENES RADIOLOGICOS"/>
    <s v="EXAMENES RADIOLOGICOS"/>
    <s v="EXAMENES RADIOLOGICOS"/>
    <s v="IMED SALUD"/>
    <n v="0"/>
    <n v="96942400"/>
    <n v="2"/>
    <s v="COLMENA GOLDEN CROSS"/>
    <s v="SSALGADB@AFPHABITAT.CL"/>
    <s v="10125251|96942400|136840596|136840596"/>
    <s v="IMED SALUD"/>
    <b v="1"/>
    <s v="APORTE VIA IMED"/>
  </r>
  <r>
    <s v="12 DE SEPTIEMBRE DE 2025"/>
    <x v="49"/>
    <s v="SANDRA SALGADO BECERRA"/>
    <n v="10125251"/>
    <s v="SANDRA SALGADO BECERRA"/>
    <d v="2025-03-01T00:00:00"/>
    <s v="DUPLICADO"/>
    <n v="136840596"/>
    <n v="65383801"/>
    <n v="3099"/>
    <n v="0"/>
    <n v="3099"/>
    <n v="0"/>
    <n v="3099"/>
    <n v="136840596"/>
    <n v="285123"/>
    <s v="CORP DE BIENESTAR DEL PERSONAL DE A F P"/>
    <d v="2025-03-06T00:00:00"/>
    <d v="2025-03-26T00:00:00"/>
    <d v="2025-03-06T00:00:00"/>
    <d v="2025-03-06T00:00:00"/>
    <s v="AMBULATORIOS"/>
    <n v="22772423"/>
    <n v="3311105"/>
    <n v="69250690"/>
    <s v="TRASSA"/>
    <n v="13038066"/>
    <n v="78070"/>
    <s v="SAL"/>
    <s v="AM05"/>
    <s v="EXAMENES RADIOLOGICOS"/>
    <s v="EXAMENES RADIOLOGICOS"/>
    <s v="EXAMENES RADIOLOGICOS"/>
    <n v="0"/>
    <n v="0"/>
    <n v="96942400"/>
    <n v="2"/>
    <s v="SIN ISAPRE"/>
    <s v="SSALGADB@AFPHABITAT.CL"/>
    <s v="10125251|96942400|136840596|65383801"/>
    <s v="GASTO FISICO"/>
    <b v="0"/>
    <s v="DEPOSITADO EN CUENTA"/>
  </r>
  <r>
    <s v="12 DE SEPTIEMBRE DE 2025"/>
    <x v="1"/>
    <s v="NICOLAS VILLAGRAN MUÑOZ"/>
    <n v="16695748"/>
    <s v="NICOLAS VILLAGRAN MUÑOZ"/>
    <d v="2025-03-01T00:00:00"/>
    <s v="INICIAL"/>
    <n v="136849213"/>
    <n v="136849213"/>
    <n v="14860"/>
    <n v="10402"/>
    <n v="4458"/>
    <n v="0"/>
    <n v="4458"/>
    <n v="136849213"/>
    <n v="285123"/>
    <s v="CORP DE BIENESTAR DEL PERSONAL DE A F P"/>
    <d v="2025-03-07T00:00:00"/>
    <d v="2025-03-07T00:00:00"/>
    <d v="2025-03-07T00:00:00"/>
    <d v="2025-03-07T00:00:00"/>
    <s v="AMBULATORIOS"/>
    <n v="22676848"/>
    <n v="3101656"/>
    <n v="68993157"/>
    <s v="TRASSA"/>
    <n v="9032025"/>
    <n v="77868"/>
    <s v="SAL"/>
    <s v="AM04"/>
    <s v="EXAMENES DE LABORATORIO"/>
    <s v="EXAMENES DE LABORATORIO"/>
    <s v="EXAMENES DE LABORATORIO"/>
    <s v="IMED SALUD"/>
    <n v="0"/>
    <n v="96942400"/>
    <n v="2"/>
    <s v="COLMENA GOLDEN CROSS"/>
    <s v="NVILLAGR@AFPHABITAT.CL"/>
    <s v="16695748|96942400|136849213|136849213"/>
    <s v="IMED SALUD"/>
    <b v="1"/>
    <s v="APORTE VIA IMED"/>
  </r>
  <r>
    <s v="12 DE SEPTIEMBRE DE 2025"/>
    <x v="1"/>
    <s v="NICOLAS VILLAGRAN MUÑOZ"/>
    <n v="16695748"/>
    <s v="NICOLAS VILLAGRAN MUÑOZ"/>
    <d v="2025-03-01T00:00:00"/>
    <s v="DUPLICADO"/>
    <n v="136849213"/>
    <n v="65384379"/>
    <n v="4649"/>
    <n v="0"/>
    <n v="4649"/>
    <n v="0"/>
    <n v="4649"/>
    <n v="136849213"/>
    <n v="285123"/>
    <s v="CORP DE BIENESTAR DEL PERSONAL DE A F P"/>
    <d v="2025-03-07T00:00:00"/>
    <d v="2025-03-26T00:00:00"/>
    <d v="2025-03-07T00:00:00"/>
    <d v="2025-03-07T00:00:00"/>
    <s v="AMBULATORIOS"/>
    <n v="22772454"/>
    <n v="3311105"/>
    <n v="69251257"/>
    <s v="TRASSA"/>
    <n v="76659184"/>
    <n v="78070"/>
    <s v="SAL"/>
    <s v="AM04"/>
    <s v="EXAMENES DE LABORATORIO"/>
    <s v="EXAMENES DE LABORATORIO"/>
    <s v="EXAMENES DE LABORATORIO"/>
    <n v="0"/>
    <n v="0"/>
    <n v="96942400"/>
    <n v="2"/>
    <s v="SIN ISAPRE"/>
    <s v="NVILLAGR@AFPHABITAT.CL"/>
    <s v="16695748|96942400|136849213|65384379"/>
    <s v="GASTO FISICO"/>
    <b v="0"/>
    <s v="DEPOSITADO EN CUENTA"/>
  </r>
  <r>
    <s v="12 DE SEPTIEMBRE DE 2025"/>
    <x v="1"/>
    <s v="NICOLAS VILLAGRAN MUÑOZ"/>
    <n v="16695748"/>
    <s v="NICOLAS VILLAGRAN MUÑOZ"/>
    <d v="2025-03-01T00:00:00"/>
    <s v="INICIAL"/>
    <n v="136850152"/>
    <n v="136850152"/>
    <n v="11500"/>
    <n v="8050"/>
    <n v="3450"/>
    <n v="0"/>
    <n v="3450"/>
    <n v="136850152"/>
    <n v="285123"/>
    <s v="CORP DE BIENESTAR DEL PERSONAL DE A F P"/>
    <d v="2025-03-07T00:00:00"/>
    <d v="2025-03-07T00:00:00"/>
    <d v="2025-03-07T00:00:00"/>
    <d v="2025-03-07T00:00:00"/>
    <s v="AMBULATORIOS"/>
    <n v="22676848"/>
    <n v="3101656"/>
    <n v="68994320"/>
    <s v="TRASSA"/>
    <n v="9032025"/>
    <n v="77868"/>
    <s v="SAL"/>
    <s v="AM07"/>
    <s v="PROCEDIMIENTOS TERAPEUTICOS"/>
    <s v="PROCEDIMIENTOS TERAPEUTICOS"/>
    <s v="PROCEDIMIENTOS TERAPEUTICOS"/>
    <s v="IMED SALUD"/>
    <n v="0"/>
    <n v="96942400"/>
    <n v="2"/>
    <s v="COLMENA GOLDEN CROSS"/>
    <s v="NVILLAGR@AFPHABITAT.CL"/>
    <s v="16695748|96942400|136850152|136850152"/>
    <s v="IMED SALUD"/>
    <b v="1"/>
    <s v="APORTE VIA IMED"/>
  </r>
  <r>
    <s v="12 DE SEPTIEMBRE DE 2025"/>
    <x v="1"/>
    <s v="NICOLAS VILLAGRAN MUÑOZ"/>
    <n v="16695748"/>
    <s v="NICOLAS VILLAGRAN MUÑOZ"/>
    <d v="2025-03-01T00:00:00"/>
    <s v="DUPLICADO"/>
    <n v="136850152"/>
    <n v="65384380"/>
    <n v="3487"/>
    <n v="0"/>
    <n v="3487"/>
    <n v="0"/>
    <n v="3487"/>
    <n v="136850152"/>
    <n v="285123"/>
    <s v="CORP DE BIENESTAR DEL PERSONAL DE A F P"/>
    <d v="2025-03-07T00:00:00"/>
    <d v="2025-03-26T00:00:00"/>
    <d v="2025-03-07T00:00:00"/>
    <d v="2025-03-07T00:00:00"/>
    <s v="AMBULATORIOS"/>
    <n v="22772454"/>
    <n v="3311105"/>
    <n v="69251258"/>
    <s v="TRASSA"/>
    <n v="76659184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NVILLAGR@AFPHABITAT.CL"/>
    <s v="16695748|96942400|136850152|65384380"/>
    <s v="GASTO FISICO"/>
    <b v="0"/>
    <s v="DEPOSITADO EN CUENTA"/>
  </r>
  <r>
    <s v="12 DE SEPTIEMBRE DE 2025"/>
    <x v="62"/>
    <s v="FERNANDO RUBEN REINES ARAYA"/>
    <n v="20163889"/>
    <s v="FELIPE REINES CORNEJO"/>
    <d v="2025-03-01T00:00:00"/>
    <s v="INICIAL"/>
    <n v="136886854"/>
    <n v="136886854"/>
    <n v="32979"/>
    <n v="23085"/>
    <n v="9894"/>
    <n v="0"/>
    <n v="9894"/>
    <n v="136886854"/>
    <n v="285123"/>
    <s v="CORP DE BIENESTAR DEL PERSONAL DE A F P"/>
    <d v="2025-03-08T00:00:00"/>
    <d v="2025-03-08T00:00:00"/>
    <d v="2025-03-08T00:00:00"/>
    <d v="2025-03-08T00:00:00"/>
    <s v="SALUD MENTAL"/>
    <n v="22676862"/>
    <n v="3101656"/>
    <n v="68995158"/>
    <s v="TRASSA"/>
    <n v="9032025"/>
    <n v="77868"/>
    <s v="SAL"/>
    <s v="SM01"/>
    <s v="CONSULTA O SESIONES PSIQUIATRICAS"/>
    <s v="CONSULTA PSIQUIATRICA"/>
    <s v="CONSULTA PSIQUIATRICA"/>
    <s v="IMED SALUD"/>
    <n v="0"/>
    <n v="76098454"/>
    <s v="K"/>
    <s v="COLMENA GOLDEN CROSS"/>
    <s v="FREINES@AFPHABITAT.CL"/>
    <s v="8573655|76098454|136886854|136886854"/>
    <s v="IMED SALUD"/>
    <b v="1"/>
    <s v="APORTE VIA IMED"/>
  </r>
  <r>
    <s v="12 DE SEPTIEMBRE DE 2025"/>
    <x v="62"/>
    <s v="FERNANDO RUBEN REINES ARAYA"/>
    <n v="20163889"/>
    <s v="FELIPE REINES CORNEJO"/>
    <d v="2025-03-01T00:00:00"/>
    <s v="DUPLICADO"/>
    <n v="136886854"/>
    <n v="65383677"/>
    <n v="10079"/>
    <n v="0"/>
    <n v="10079"/>
    <n v="0"/>
    <n v="10079"/>
    <n v="136886854"/>
    <n v="285123"/>
    <s v="CORP DE BIENESTAR DEL PERSONAL DE A F P"/>
    <d v="2025-03-08T00:00:00"/>
    <d v="2025-03-26T00:00:00"/>
    <d v="2025-03-08T00:00:00"/>
    <d v="2025-03-08T00:00:00"/>
    <s v="SALUD MENTAL"/>
    <n v="22772459"/>
    <n v="3311105"/>
    <n v="69250568"/>
    <s v="TRASSA"/>
    <n v="213192158"/>
    <n v="78070"/>
    <s v="SAL"/>
    <s v="SM01"/>
    <s v="CONSULTA O SESIONES PSIQUIATRICAS"/>
    <s v="CONSULTA PSIQUIATRICA"/>
    <s v="CONSULTA PSIQUIATRICA"/>
    <n v="0"/>
    <n v="0"/>
    <n v="76098454"/>
    <s v="K"/>
    <s v="SIN ISAPRE"/>
    <s v="FREINES@AFPHABITAT.CL"/>
    <s v="8573655|76098454|136886854|65383677"/>
    <s v="GASTO FISICO"/>
    <b v="0"/>
    <s v="DEPOSITADO EN CUENTA"/>
  </r>
  <r>
    <s v="12 DE SEPTIEMBRE DE 2025"/>
    <x v="43"/>
    <s v="ALEJANDRA VANESSA MEDINA BAEZA"/>
    <n v="11946769"/>
    <s v="ALEJANDRA VANESSA MEDINA BAEZA"/>
    <d v="2025-03-01T00:00:00"/>
    <s v="INICIAL"/>
    <n v="136889208"/>
    <n v="136889208"/>
    <n v="165818"/>
    <n v="140946"/>
    <n v="24872"/>
    <n v="0"/>
    <n v="24872"/>
    <n v="136889208"/>
    <n v="285123"/>
    <s v="CORP DE BIENESTAR DEL PERSONAL DE A F P"/>
    <d v="2025-03-09T00:00:00"/>
    <d v="2025-03-09T00:00:00"/>
    <d v="2025-03-09T00:00:00"/>
    <d v="2025-03-09T00:00:00"/>
    <s v="AMBULATORIOS"/>
    <n v="22703054"/>
    <n v="3181006"/>
    <n v="69051504"/>
    <s v="TRASSA"/>
    <n v="16032025"/>
    <n v="77922"/>
    <s v="SAL"/>
    <s v="AM05"/>
    <s v="EXAMENES RADIOLOGICOS"/>
    <s v="EXAMENES RADIOLOGICOS"/>
    <s v="EXAMENES RADIOLOGICOS"/>
    <s v="IMED SALUD"/>
    <n v="0"/>
    <n v="76098454"/>
    <s v="K"/>
    <s v="COLMENA GOLDEN CROSS"/>
    <s v="AMEDINAB@AFPHABITAT.CL"/>
    <s v="11946769|76098454|136889208|136889208"/>
    <s v="IMED SALUD"/>
    <b v="1"/>
    <s v="APORTE VIA IMED"/>
  </r>
  <r>
    <s v="12 DE SEPTIEMBRE DE 2025"/>
    <x v="43"/>
    <s v="ALEJANDRA VANESSA MEDINA BAEZA"/>
    <n v="11946769"/>
    <s v="ALEJANDRA VANESSA MEDINA BAEZA"/>
    <d v="2025-03-01T00:00:00"/>
    <s v="DUPLICADO"/>
    <n v="136889208"/>
    <n v="65383982"/>
    <n v="24821"/>
    <n v="0"/>
    <n v="24821"/>
    <n v="0"/>
    <n v="24821"/>
    <n v="136889208"/>
    <n v="285123"/>
    <s v="CORP DE BIENESTAR DEL PERSONAL DE A F P"/>
    <d v="2025-03-09T00:00:00"/>
    <d v="2025-03-26T00:00:00"/>
    <d v="2025-03-09T00:00:00"/>
    <d v="2025-03-09T00:00:00"/>
    <s v="AMBULATORIOS"/>
    <n v="22772467"/>
    <n v="3311105"/>
    <n v="69250870"/>
    <s v="TRASSA"/>
    <n v="970593489"/>
    <n v="78070"/>
    <s v="SAL"/>
    <s v="AM05"/>
    <s v="EXAMENES RADIOLOGICOS"/>
    <s v="EXAMENES RADIOLOGICOS"/>
    <s v="EXAMENES RADIOLOGICOS"/>
    <n v="0"/>
    <n v="0"/>
    <n v="76098454"/>
    <s v="K"/>
    <s v="SIN ISAPRE"/>
    <s v="AMEDINAB@AFPHABITAT.CL"/>
    <s v="11946769|76098454|136889208|65383982"/>
    <s v="GASTO FISICO"/>
    <b v="0"/>
    <s v="DEPOSITADO EN CUENTA"/>
  </r>
  <r>
    <s v="12 DE SEPTIEMBRE DE 2025"/>
    <x v="68"/>
    <s v="PATRICIA PELAITAY PALMA"/>
    <n v="21442073"/>
    <s v="PATRICIA PELAITAY PALMA"/>
    <d v="2025-02-01T00:00:00"/>
    <s v="INICIAL"/>
    <n v="242932336"/>
    <n v="985666"/>
    <n v="22200"/>
    <n v="0"/>
    <n v="22200"/>
    <n v="0"/>
    <n v="22200"/>
    <n v="242932336"/>
    <n v="285123"/>
    <s v="CORP DE BIENESTAR DEL PERSONAL DE A F P"/>
    <d v="2025-02-17T00:00:00"/>
    <d v="2025-02-17T00:00:00"/>
    <d v="2025-01-27T00:00:00"/>
    <d v="2025-01-27T00:00:00"/>
    <s v="AMBULATORIOS"/>
    <n v="22616394"/>
    <n v="2251257"/>
    <n v="68922830"/>
    <s v="TRASSA"/>
    <n v="1713549343"/>
    <n v="77692"/>
    <s v="SAL"/>
    <s v="AM13"/>
    <s v="MEDICAMENTOS GENÉRICOS"/>
    <s v="MEDICAMENTO NO GENERICO ( GRUPO ) "/>
    <s v="MEDICAMENTO"/>
    <n v="0"/>
    <n v="0"/>
    <n v="59111330"/>
    <n v="5"/>
    <s v="SIN ISAPRE"/>
    <s v="PPELAITA@AFPHABITAT.CL"/>
    <s v="21442073|59111330|242932336|985666"/>
    <s v="GASTO FISICO"/>
    <b v="0"/>
    <s v="DEPOSITADO EN CUENTA"/>
  </r>
  <r>
    <s v="12 DE SEPTIEMBRE DE 2025"/>
    <x v="68"/>
    <s v="PATRICIA PELAITAY PALMA"/>
    <n v="21442073"/>
    <s v="PATRICIA PELAITAY PALMA"/>
    <d v="2025-03-01T00:00:00"/>
    <s v="DUPLICADO"/>
    <n v="242932336"/>
    <n v="65213308"/>
    <n v="22637"/>
    <n v="0"/>
    <n v="22637"/>
    <n v="0"/>
    <n v="22637"/>
    <n v="242932336"/>
    <n v="285123"/>
    <s v="CORP DE BIENESTAR DEL PERSONAL DE A F P"/>
    <d v="2025-03-01T00:00:00"/>
    <d v="2025-03-17T00:00:00"/>
    <d v="2025-01-27T00:00:00"/>
    <d v="2025-01-27T00:00:00"/>
    <s v="AMBULATORIOS"/>
    <n v="22753722"/>
    <n v="3251558"/>
    <n v="69156675"/>
    <s v="TRASSA"/>
    <n v="1713549343"/>
    <n v="78017"/>
    <s v="SAL"/>
    <s v="AM13"/>
    <s v="MEDICAMENTOS GENÉRICOS"/>
    <s v="MEDICAMENTO NO GENERICO ( GRUPO ) "/>
    <s v="MEDICAMENTO"/>
    <n v="0"/>
    <n v="0"/>
    <n v="59111330"/>
    <n v="5"/>
    <s v="SIN ISAPRE"/>
    <s v="PPELAITA@AFPHABITAT.CL"/>
    <s v="21442073|59111330|242932336|65213308"/>
    <s v="GASTO FISICO"/>
    <b v="0"/>
    <s v="DEPOSITADO EN CUENTA"/>
  </r>
  <r>
    <s v="12 DE SEPTIEMBRE DE 2025"/>
    <x v="69"/>
    <s v="CARLOS FAUNDEZ SAEZ"/>
    <n v="13228306"/>
    <s v="CARLOS FAUNDEZ SAEZ"/>
    <d v="2025-02-01T00:00:00"/>
    <s v="INICIAL"/>
    <n v="316930228"/>
    <n v="988762"/>
    <n v="31229"/>
    <n v="9486"/>
    <n v="21743"/>
    <n v="0"/>
    <n v="21743"/>
    <n v="316930228"/>
    <n v="285123"/>
    <s v="CORP DE BIENESTAR DEL PERSONAL DE A F P"/>
    <d v="2025-02-26T00:00:00"/>
    <d v="2025-02-26T00:00:00"/>
    <d v="2025-02-14T00:00:00"/>
    <d v="2025-02-14T00:00:00"/>
    <s v="AMBULATORIOS"/>
    <n v="22640391"/>
    <n v="3031016"/>
    <n v="68930799"/>
    <s v="TRASSA"/>
    <n v="14070048661"/>
    <n v="77739"/>
    <s v="SAL"/>
    <s v="AM12"/>
    <s v="MEDICAMENTOS DE MARCA"/>
    <s v="MEDICAMENTO NO GENERICO ( GRUPO ) "/>
    <s v="MEDICAMENTO"/>
    <n v="0"/>
    <n v="0"/>
    <n v="76378831"/>
    <n v="8"/>
    <s v="SIN ISAPRE"/>
    <s v="CFAUNDEZ@AFPHABITAT.CL"/>
    <s v="13228306|76378831|316930228|988762"/>
    <s v="GASTO FISICO"/>
    <b v="0"/>
    <s v="DEPOSITADO EN CUENTA"/>
  </r>
  <r>
    <s v="12 DE SEPTIEMBRE DE 2025"/>
    <x v="69"/>
    <s v="CARLOS FAUNDEZ SAEZ"/>
    <n v="13228306"/>
    <s v="CARLOS FAUNDEZ SAEZ"/>
    <d v="2025-03-01T00:00:00"/>
    <s v="DUPLICADO"/>
    <n v="316930228"/>
    <n v="65213087"/>
    <n v="21935"/>
    <n v="0"/>
    <n v="21935"/>
    <n v="0"/>
    <n v="21935"/>
    <n v="316930228"/>
    <n v="285123"/>
    <s v="CORP DE BIENESTAR DEL PERSONAL DE A F P"/>
    <d v="2025-03-01T00:00:00"/>
    <d v="2025-03-17T00:00:00"/>
    <d v="2025-02-14T00:00:00"/>
    <d v="2025-02-14T00:00:00"/>
    <s v="AMBULATORIOS"/>
    <n v="22753788"/>
    <n v="3251558"/>
    <n v="69156483"/>
    <s v="TRASSA"/>
    <n v="14070048661"/>
    <n v="78017"/>
    <s v="SAL"/>
    <s v="AM12"/>
    <s v="MEDICAMENTOS DE MARCA"/>
    <s v="MEDICAMENTO NO GENERICO ( GRUPO ) "/>
    <s v="MEDICAMENTO"/>
    <n v="0"/>
    <n v="0"/>
    <n v="76378831"/>
    <n v="8"/>
    <s v="SIN ISAPRE"/>
    <s v="CFAUNDEZ@AFPHABITAT.CL"/>
    <s v="13228306|76378831|316930228|65213087"/>
    <s v="GASTO FISICO"/>
    <b v="0"/>
    <s v="DEPOSITADO EN CUENTA"/>
  </r>
  <r>
    <s v="12 DE SEPTIEMBRE DE 2025"/>
    <x v="29"/>
    <s v="ANDREA SOLEDAD CASANUEVA LABRA"/>
    <n v="16427949"/>
    <s v="ANDREA SOLEDAD CASANUEVA LABRA"/>
    <d v="2025-02-01T00:00:00"/>
    <s v="INICIAL"/>
    <n v="321698578"/>
    <n v="986664"/>
    <n v="28129"/>
    <n v="0"/>
    <n v="16877"/>
    <n v="0"/>
    <n v="16877"/>
    <n v="321698578"/>
    <n v="285123"/>
    <s v="CORP DE BIENESTAR DEL PERSONAL DE A F P"/>
    <d v="2025-02-19T00:00:00"/>
    <d v="2025-02-19T00:00:00"/>
    <d v="2025-01-18T00:00:00"/>
    <d v="2025-01-18T00:00:00"/>
    <s v="AMBULATORIOS"/>
    <n v="22616411"/>
    <n v="2251257"/>
    <n v="68923144"/>
    <s v="TRASSA"/>
    <n v="36670179791"/>
    <n v="77692"/>
    <s v="SAL"/>
    <s v="AM12"/>
    <s v="MEDICAMENTOS DE MARCA"/>
    <s v="MEDICAMENTO NO GENERICO ( GRUPO ) "/>
    <s v="MEDICAMENTO"/>
    <n v="0"/>
    <n v="0"/>
    <n v="76378831"/>
    <n v="8"/>
    <s v="SIN ISAPRE"/>
    <s v="ANDREA.CASANUEVA@AFPHABITAT.CL"/>
    <s v="16427949|76378831|321698578|986664"/>
    <s v="GASTO FISICO"/>
    <b v="0"/>
    <s v="DEPOSITADO EN CUENTA"/>
  </r>
  <r>
    <s v="12 DE SEPTIEMBRE DE 2025"/>
    <x v="29"/>
    <s v="ANDREA SOLEDAD CASANUEVA LABRA"/>
    <n v="16427949"/>
    <s v="ANDREA SOLEDAD CASANUEVA LABRA"/>
    <d v="2025-03-01T00:00:00"/>
    <s v="DUPLICADO"/>
    <n v="321698578"/>
    <n v="65213212"/>
    <n v="28041"/>
    <n v="0"/>
    <n v="28041"/>
    <n v="0"/>
    <n v="28041"/>
    <n v="321698578"/>
    <n v="285123"/>
    <s v="CORP DE BIENESTAR DEL PERSONAL DE A F P"/>
    <d v="2025-03-01T00:00:00"/>
    <d v="2025-03-17T00:00:00"/>
    <d v="2025-01-18T00:00:00"/>
    <d v="2025-01-18T00:00:00"/>
    <s v="AMBULATORIOS"/>
    <n v="22753603"/>
    <n v="3251558"/>
    <n v="69156593"/>
    <s v="TRASSA"/>
    <n v="36670179791"/>
    <n v="78017"/>
    <s v="SAL"/>
    <s v="AM12"/>
    <s v="MEDICAMENTOS DE MARCA"/>
    <s v="MEDICAMENTO NO GENERICO ( GRUPO ) "/>
    <s v="MEDICAMENTO"/>
    <n v="0"/>
    <n v="0"/>
    <n v="76378831"/>
    <n v="8"/>
    <s v="SIN ISAPRE"/>
    <s v="ANDREA.CASANUEVA@AFPHABITAT.CL"/>
    <s v="16427949|76378831|321698578|65213212"/>
    <s v="GASTO FISICO"/>
    <b v="0"/>
    <s v="DEPOSITADO EN CUENTA"/>
  </r>
  <r>
    <s v="12 DE SEPTIEMBRE DE 2025"/>
    <x v="29"/>
    <s v="ANDREA SOLEDAD CASANUEVA LABRA"/>
    <n v="16427949"/>
    <s v="ANDREA SOLEDAD CASANUEVA LABRA"/>
    <d v="2025-02-01T00:00:00"/>
    <s v="INICIAL"/>
    <n v="327992095"/>
    <n v="986666"/>
    <n v="107353"/>
    <n v="0"/>
    <n v="64412"/>
    <n v="0"/>
    <n v="64412"/>
    <n v="327992095"/>
    <n v="285123"/>
    <s v="CORP DE BIENESTAR DEL PERSONAL DE A F P"/>
    <d v="2025-02-19T00:00:00"/>
    <d v="2025-02-19T00:00:00"/>
    <d v="2025-01-31T00:00:00"/>
    <d v="2025-01-31T00:00:00"/>
    <s v="AMBULATORIOS"/>
    <n v="22616411"/>
    <n v="2251257"/>
    <n v="68923145"/>
    <s v="TRASSA"/>
    <n v="36670179791"/>
    <n v="77692"/>
    <s v="SAL"/>
    <s v="AM12"/>
    <s v="MEDICAMENTOS DE MARCA"/>
    <s v="MEDICAMENTO NO GENERICO ( GRUPO ) "/>
    <s v="MEDICAMENTO"/>
    <n v="0"/>
    <n v="0"/>
    <n v="76378831"/>
    <n v="8"/>
    <s v="SIN ISAPRE"/>
    <s v="ANDREA.CASANUEVA@AFPHABITAT.CL"/>
    <s v="16427949|76378831|327992095|986666"/>
    <s v="GASTO FISICO"/>
    <b v="0"/>
    <s v="DEPOSITADO EN CUENTA"/>
  </r>
  <r>
    <s v="12 DE SEPTIEMBRE DE 2025"/>
    <x v="29"/>
    <s v="ANDREA SOLEDAD CASANUEVA LABRA"/>
    <n v="16427949"/>
    <s v="ANDREA SOLEDAD CASANUEVA LABRA"/>
    <d v="2025-03-01T00:00:00"/>
    <s v="DUPLICADO"/>
    <n v="327992095"/>
    <n v="65213213"/>
    <n v="107469"/>
    <n v="0"/>
    <n v="107469"/>
    <n v="0"/>
    <n v="107469"/>
    <n v="327992095"/>
    <n v="285123"/>
    <s v="CORP DE BIENESTAR DEL PERSONAL DE A F P"/>
    <d v="2025-03-01T00:00:00"/>
    <d v="2025-03-17T00:00:00"/>
    <d v="2025-01-31T00:00:00"/>
    <d v="2025-01-31T00:00:00"/>
    <s v="AMBULATORIOS"/>
    <n v="22753689"/>
    <n v="3251558"/>
    <n v="69156594"/>
    <s v="TRASSA"/>
    <n v="36670179791"/>
    <n v="78017"/>
    <s v="SAL"/>
    <s v="AM12"/>
    <s v="MEDICAMENTOS DE MARCA"/>
    <s v="MEDICAMENTO NO GENERICO ( GRUPO ) "/>
    <s v="MEDICAMENTO"/>
    <n v="0"/>
    <n v="0"/>
    <n v="76378831"/>
    <n v="8"/>
    <s v="SIN ISAPRE"/>
    <s v="ANDREA.CASANUEVA@AFPHABITAT.CL"/>
    <s v="16427949|76378831|327992095|65213213"/>
    <s v="GASTO FISICO"/>
    <b v="0"/>
    <s v="DEPOSITADO EN CUENTA"/>
  </r>
  <r>
    <s v="12 DE SEPTIEMBRE DE 2025"/>
    <x v="70"/>
    <s v="SANDRA LORETO BALLESTEROS BUXTON"/>
    <n v="22055770"/>
    <s v="AGUSTIN CANALES BALLESTEROS"/>
    <d v="2025-01-01T00:00:00"/>
    <s v="INICIAL"/>
    <n v="370124354"/>
    <n v="370124354"/>
    <n v="45456"/>
    <n v="36365"/>
    <n v="9091"/>
    <n v="0"/>
    <n v="9091"/>
    <n v="370124354"/>
    <n v="285123"/>
    <s v="CORP DE BIENESTAR DEL PERSONAL DE A F P"/>
    <d v="2025-01-03T00:00:00"/>
    <d v="2025-01-03T00:00:00"/>
    <d v="2025-01-03T00:00:00"/>
    <d v="2025-01-03T00:00:00"/>
    <s v="AMBULATORIOS"/>
    <n v="22473651"/>
    <n v="1061637"/>
    <n v="68611626"/>
    <s v="TRASSA"/>
    <n v="5012025"/>
    <n v="77320"/>
    <s v="SAL"/>
    <s v="AM04"/>
    <s v="EXAMENES DE LABORATORIO"/>
    <s v="EXAMENES DE LABORATORIO"/>
    <s v="EXAMENES DE LABORATORIO"/>
    <s v="IMED SALUD"/>
    <n v="0"/>
    <n v="77040170"/>
    <n v="4"/>
    <s v="BANMÉDICA"/>
    <s v="SBALLEST@AFPHABITAT.CL"/>
    <s v="8376812|77040170|370124354|370124354"/>
    <s v="IMED SALUD"/>
    <b v="1"/>
    <s v="APORTE VIA IMED"/>
  </r>
  <r>
    <s v="12 DE SEPTIEMBRE DE 2025"/>
    <x v="70"/>
    <s v="SANDRA LORETO BALLESTEROS BUXTON"/>
    <n v="22055770"/>
    <s v="AGUSTIN CANALES BALLESTEROS"/>
    <d v="2025-03-01T00:00:00"/>
    <s v="DUPLICADO"/>
    <n v="370124354"/>
    <n v="65383657"/>
    <n v="9220"/>
    <n v="0"/>
    <n v="9220"/>
    <n v="0"/>
    <n v="9220"/>
    <n v="370124354"/>
    <n v="285123"/>
    <s v="CORP DE BIENESTAR DEL PERSONAL DE A F P"/>
    <d v="2025-03-01T00:00:00"/>
    <d v="2025-03-26T00:00:00"/>
    <d v="2025-01-03T00:00:00"/>
    <d v="2025-01-03T00:00:00"/>
    <s v="AMBULATORIOS"/>
    <n v="22770279"/>
    <n v="3311105"/>
    <n v="69250548"/>
    <s v="TRASSA"/>
    <n v="0"/>
    <n v="78070"/>
    <s v="SAL"/>
    <s v="AM04"/>
    <s v="EXAMENES DE LABORATORIO"/>
    <s v="EXAMENES DE LABORATORIO"/>
    <s v="EXAMENES DE LABORATORIO"/>
    <n v="0"/>
    <n v="0"/>
    <n v="77040170"/>
    <n v="4"/>
    <s v="SIN ISAPRE"/>
    <s v="SBALLEST@AFPHABITAT.CL"/>
    <s v="8376812|77040170|370124354|65383657"/>
    <s v="GASTO FISICO"/>
    <b v="0"/>
    <s v="DEPOSITADO EN CUENTA"/>
  </r>
  <r>
    <s v="12 DE SEPTIEMBRE DE 2025"/>
    <x v="70"/>
    <s v="SANDRA LORETO BALLESTEROS BUXTON"/>
    <n v="22055770"/>
    <s v="AGUSTIN CANALES BALLESTEROS"/>
    <d v="2025-01-01T00:00:00"/>
    <s v="INICIAL"/>
    <n v="370124355"/>
    <n v="370124355"/>
    <n v="27888"/>
    <n v="22309"/>
    <n v="5579"/>
    <n v="0"/>
    <n v="5579"/>
    <n v="370124355"/>
    <n v="285123"/>
    <s v="CORP DE BIENESTAR DEL PERSONAL DE A F P"/>
    <d v="2025-01-03T00:00:00"/>
    <d v="2025-01-03T00:00:00"/>
    <d v="2025-01-03T00:00:00"/>
    <d v="2025-01-03T00:00:00"/>
    <s v="AMBULATORIOS"/>
    <n v="22473651"/>
    <n v="1061637"/>
    <n v="68611625"/>
    <s v="TRASSA"/>
    <n v="5012025"/>
    <n v="77320"/>
    <s v="SAL"/>
    <s v="AM04"/>
    <s v="EXAMENES DE LABORATORIO"/>
    <s v="EXAMENES DE LABORATORIO"/>
    <s v="EXAMENES DE LABORATORIO"/>
    <s v="IMED SALUD"/>
    <n v="0"/>
    <n v="77040170"/>
    <n v="4"/>
    <s v="BANMÉDICA"/>
    <s v="SBALLEST@AFPHABITAT.CL"/>
    <s v="8376812|77040170|370124355|370124355"/>
    <s v="IMED SALUD"/>
    <b v="1"/>
    <s v="APORTE VIA IMED"/>
  </r>
  <r>
    <s v="12 DE SEPTIEMBRE DE 2025"/>
    <x v="70"/>
    <s v="SANDRA LORETO BALLESTEROS BUXTON"/>
    <n v="22055770"/>
    <s v="AGUSTIN CANALES BALLESTEROS"/>
    <d v="2025-03-01T00:00:00"/>
    <s v="DUPLICADO"/>
    <n v="370124355"/>
    <n v="65383658"/>
    <n v="5376"/>
    <n v="0"/>
    <n v="5376"/>
    <n v="0"/>
    <n v="5376"/>
    <n v="370124355"/>
    <n v="285123"/>
    <s v="CORP DE BIENESTAR DEL PERSONAL DE A F P"/>
    <d v="2025-03-01T00:00:00"/>
    <d v="2025-03-26T00:00:00"/>
    <d v="2025-01-03T00:00:00"/>
    <d v="2025-01-03T00:00:00"/>
    <s v="AMBULATORIOS"/>
    <n v="22770279"/>
    <n v="3311105"/>
    <n v="69250549"/>
    <s v="TRASSA"/>
    <n v="0"/>
    <n v="78070"/>
    <s v="SAL"/>
    <s v="AM04"/>
    <s v="EXAMENES DE LABORATORIO"/>
    <s v="EXAMENES DE LABORATORIO"/>
    <s v="EXAMENES DE LABORATORIO"/>
    <n v="0"/>
    <n v="0"/>
    <n v="77040170"/>
    <n v="4"/>
    <s v="SIN ISAPRE"/>
    <s v="SBALLEST@AFPHABITAT.CL"/>
    <s v="8376812|77040170|370124355|65383658"/>
    <s v="GASTO FISICO"/>
    <b v="0"/>
    <s v="DEPOSITADO EN CUENTA"/>
  </r>
  <r>
    <s v="12 DE SEPTIEMBRE DE 2025"/>
    <x v="70"/>
    <s v="SANDRA LORETO BALLESTEROS BUXTON"/>
    <n v="22055770"/>
    <s v="AGUSTIN CANALES BALLESTEROS"/>
    <d v="2025-01-01T00:00:00"/>
    <s v="INICIAL"/>
    <n v="370124356"/>
    <n v="370124356"/>
    <n v="1360"/>
    <n v="1088"/>
    <n v="272"/>
    <n v="0"/>
    <n v="272"/>
    <n v="370124356"/>
    <n v="285123"/>
    <s v="CORP DE BIENESTAR DEL PERSONAL DE A F P"/>
    <d v="2025-01-03T00:00:00"/>
    <d v="2025-01-03T00:00:00"/>
    <d v="2025-01-03T00:00:00"/>
    <d v="2025-01-03T00:00:00"/>
    <s v="AMBULATORIOS"/>
    <n v="22473651"/>
    <n v="1061637"/>
    <n v="68611624"/>
    <s v="TRASSA"/>
    <n v="5012025"/>
    <n v="77320"/>
    <s v="SAL"/>
    <s v="AM04"/>
    <s v="EXAMENES DE LABORATORIO"/>
    <s v="EXAMENES DE LABORATORIO"/>
    <s v="EXAMENES DE LABORATORIO"/>
    <s v="IMED SALUD"/>
    <n v="0"/>
    <n v="77040170"/>
    <n v="4"/>
    <s v="BANMÉDICA"/>
    <s v="SBALLEST@AFPHABITAT.CL"/>
    <s v="8376812|77040170|370124356|370124356"/>
    <s v="IMED SALUD"/>
    <b v="1"/>
    <s v="APORTE VIA IMED"/>
  </r>
  <r>
    <s v="12 DE SEPTIEMBRE DE 2025"/>
    <x v="70"/>
    <s v="SANDRA LORETO BALLESTEROS BUXTON"/>
    <n v="22055770"/>
    <s v="AGUSTIN CANALES BALLESTEROS"/>
    <d v="2025-03-01T00:00:00"/>
    <s v="DUPLICADO"/>
    <n v="370124356"/>
    <n v="65383659"/>
    <n v="384"/>
    <n v="0"/>
    <n v="384"/>
    <n v="0"/>
    <n v="384"/>
    <n v="370124356"/>
    <n v="285123"/>
    <s v="CORP DE BIENESTAR DEL PERSONAL DE A F P"/>
    <d v="2025-03-01T00:00:00"/>
    <d v="2025-03-26T00:00:00"/>
    <d v="2025-01-03T00:00:00"/>
    <d v="2025-01-03T00:00:00"/>
    <s v="AMBULATORIOS"/>
    <n v="22770279"/>
    <n v="3311105"/>
    <n v="69250550"/>
    <s v="TRASSA"/>
    <n v="0"/>
    <n v="78070"/>
    <s v="SAL"/>
    <s v="AM04"/>
    <s v="EXAMENES DE LABORATORIO"/>
    <s v="EXAMENES DE LABORATORIO"/>
    <s v="EXAMENES DE LABORATORIO"/>
    <n v="0"/>
    <n v="0"/>
    <n v="77040170"/>
    <n v="4"/>
    <s v="SIN ISAPRE"/>
    <s v="SBALLEST@AFPHABITAT.CL"/>
    <s v="8376812|77040170|370124356|65383659"/>
    <s v="GASTO FISICO"/>
    <b v="0"/>
    <s v="DEPOSITADO EN CUENTA"/>
  </r>
  <r>
    <s v="12 DE SEPTIEMBRE DE 2025"/>
    <x v="71"/>
    <s v="KAROLINA VICTORIA ESPINOZA ARCE"/>
    <n v="15344033"/>
    <s v="KAROLINA VICTORIA ESPINOZA ARCE"/>
    <d v="2025-01-01T00:00:00"/>
    <s v="INICIAL"/>
    <n v="370193109"/>
    <n v="370193109"/>
    <n v="7552"/>
    <n v="5286"/>
    <n v="2266"/>
    <n v="0"/>
    <n v="2266"/>
    <n v="370193109"/>
    <n v="285123"/>
    <s v="CORP DE BIENESTAR DEL PERSONAL DE A F P"/>
    <d v="2025-01-06T00:00:00"/>
    <d v="2025-01-06T00:00:00"/>
    <d v="2025-01-06T00:00:00"/>
    <d v="2025-01-06T00:00:00"/>
    <s v="AMBULATORIOS"/>
    <n v="22462220"/>
    <n v="1131703"/>
    <n v="68649143"/>
    <s v="TRASSA"/>
    <n v="12012025"/>
    <n v="77298"/>
    <s v="SAL"/>
    <s v="AM04"/>
    <s v="EXAMENES DE LABORATORIO"/>
    <s v="EXAMENES DE LABORATORIO"/>
    <s v="EXAMENES DE LABORATORIO"/>
    <s v="IMED SALUD"/>
    <n v="0"/>
    <n v="96530470"/>
    <n v="3"/>
    <s v="BANMÉDICA"/>
    <s v="KESPINOZ@AFPHABITAT.CL"/>
    <s v="15344033|96530470|370193109|370193109"/>
    <s v="IMED SALUD"/>
    <b v="1"/>
    <s v="APORTE VIA IMED"/>
  </r>
  <r>
    <s v="12 DE SEPTIEMBRE DE 2025"/>
    <x v="71"/>
    <s v="KAROLINA VICTORIA ESPINOZA ARCE"/>
    <n v="15344033"/>
    <s v="KAROLINA VICTORIA ESPINOZA ARCE"/>
    <d v="2025-03-01T00:00:00"/>
    <s v="DUPLICADO"/>
    <n v="370193109"/>
    <n v="65384272"/>
    <n v="2688"/>
    <n v="0"/>
    <n v="2688"/>
    <n v="0"/>
    <n v="2688"/>
    <n v="370193109"/>
    <n v="285123"/>
    <s v="CORP DE BIENESTAR DEL PERSONAL DE A F P"/>
    <d v="2025-03-01T00:00:00"/>
    <d v="2025-03-26T00:00:00"/>
    <d v="2025-01-06T00:00:00"/>
    <d v="2025-01-06T00:00:00"/>
    <s v="AMBULATORIOS"/>
    <n v="22770296"/>
    <n v="3311105"/>
    <n v="69251145"/>
    <s v="TRASSA"/>
    <n v="37507648"/>
    <n v="78070"/>
    <s v="SAL"/>
    <s v="AM04"/>
    <s v="EXAMENES DE LABORATORIO"/>
    <s v="EXAMENES DE LABORATORIO"/>
    <s v="EXAMENES DE LABORATORIO"/>
    <n v="0"/>
    <n v="0"/>
    <n v="96530470"/>
    <n v="3"/>
    <s v="SIN ISAPRE"/>
    <s v="KESPINOZ@AFPHABITAT.CL"/>
    <s v="15344033|96530470|370193109|65384272"/>
    <s v="GASTO FISICO"/>
    <b v="0"/>
    <s v="DEPOSITADO EN CUENTA"/>
  </r>
  <r>
    <s v="12 DE SEPTIEMBRE DE 2025"/>
    <x v="72"/>
    <s v="ALEJANDRA SUSAN HIDALGO CARDENAS"/>
    <n v="13666280"/>
    <s v="ALEJANDRA SUSAN HIDALGO CARDENAS"/>
    <d v="2025-01-01T00:00:00"/>
    <s v="INICIAL"/>
    <n v="370209492"/>
    <n v="370209492"/>
    <n v="28992"/>
    <n v="20294"/>
    <n v="8698"/>
    <n v="0"/>
    <n v="8698"/>
    <n v="370209492"/>
    <n v="285123"/>
    <s v="CORP DE BIENESTAR DEL PERSONAL DE A F P"/>
    <d v="2025-01-06T00:00:00"/>
    <d v="2025-01-06T00:00:00"/>
    <d v="2025-01-06T00:00:00"/>
    <d v="2025-01-06T00:00:00"/>
    <s v="AMBULATORIOS"/>
    <n v="22462216"/>
    <n v="1131703"/>
    <n v="68649388"/>
    <s v="TRASSA"/>
    <n v="12012025"/>
    <n v="77298"/>
    <s v="SAL"/>
    <s v="AM05"/>
    <s v="EXAMENES RADIOLOGICOS"/>
    <s v="EXAMENES RADIOLOGICOS"/>
    <s v="EXAMENES RADIOLOGICOS"/>
    <s v="IMED SALUD"/>
    <n v="0"/>
    <n v="96942400"/>
    <n v="2"/>
    <s v="BANMÉDICA"/>
    <s v="AHIDALGC@AFPHABITAT.CL"/>
    <s v="13666280|96942400|370209492|370209492"/>
    <s v="IMED SALUD"/>
    <b v="1"/>
    <s v="APORTE VIA IMED"/>
  </r>
  <r>
    <s v="12 DE SEPTIEMBRE DE 2025"/>
    <x v="72"/>
    <s v="ALEJANDRA SUSAN HIDALGO CARDENAS"/>
    <n v="13666280"/>
    <s v="ALEJANDRA SUSAN HIDALGO CARDENAS"/>
    <d v="2025-03-01T00:00:00"/>
    <s v="DUPLICADO"/>
    <n v="370209492"/>
    <n v="65384131"/>
    <n v="8839"/>
    <n v="0"/>
    <n v="8839"/>
    <n v="0"/>
    <n v="8839"/>
    <n v="370209492"/>
    <n v="285123"/>
    <s v="CORP DE BIENESTAR DEL PERSONAL DE A F P"/>
    <d v="2025-03-01T00:00:00"/>
    <d v="2025-03-26T00:00:00"/>
    <d v="2025-01-06T00:00:00"/>
    <d v="2025-01-06T00:00:00"/>
    <s v="AMBULATORIOS"/>
    <n v="22770294"/>
    <n v="3311105"/>
    <n v="69251012"/>
    <s v="TRASSA"/>
    <n v="13666280"/>
    <n v="78070"/>
    <s v="SAL"/>
    <s v="AM05"/>
    <s v="EXAMENES RADIOLOGICOS"/>
    <s v="EXAMENES RADIOLOGICOS"/>
    <s v="EXAMENES RADIOLOGICOS"/>
    <n v="0"/>
    <n v="0"/>
    <n v="96942400"/>
    <n v="2"/>
    <s v="SIN ISAPRE"/>
    <s v="AHIDALGC@AFPHABITAT.CL"/>
    <s v="13666280|96942400|370209492|65384131"/>
    <s v="GASTO FISICO"/>
    <b v="0"/>
    <s v="DEPOSITADO EN CUENTA"/>
  </r>
  <r>
    <s v="12 DE SEPTIEMBRE DE 2025"/>
    <x v="73"/>
    <s v="INGRID CACERES FUENZALIDA"/>
    <n v="12838615"/>
    <s v="INGRID CACERES FUENZALIDA"/>
    <d v="2025-01-01T00:00:00"/>
    <s v="INICIAL"/>
    <n v="370250532"/>
    <n v="370250532"/>
    <n v="37552"/>
    <n v="18346"/>
    <n v="19206"/>
    <n v="0"/>
    <n v="19206"/>
    <n v="370250532"/>
    <n v="285123"/>
    <s v="CORP DE BIENESTAR DEL PERSONAL DE A F P"/>
    <d v="2025-01-07T00:00:00"/>
    <d v="2025-01-07T00:00:00"/>
    <d v="2025-01-07T00:00:00"/>
    <d v="2025-01-07T00:00:00"/>
    <s v="AMBULATORIOS"/>
    <n v="22462236"/>
    <n v="1131703"/>
    <n v="68649921"/>
    <s v="TRASSA"/>
    <n v="12012025"/>
    <n v="77298"/>
    <s v="SAL"/>
    <s v="AM04"/>
    <s v="EXAMENES DE LABORATORIO"/>
    <s v="EXAMENES DE LABORATORIO"/>
    <s v="EXAMENES DE LABORATORIO"/>
    <s v="IMED SALUD"/>
    <n v="0"/>
    <n v="86687700"/>
    <n v="9"/>
    <s v="BANMÉDICA"/>
    <s v="ICACERES@AFPHABITAT.CL"/>
    <s v="12838615|86687700|370250532|370250532"/>
    <s v="IMED SALUD"/>
    <b v="1"/>
    <s v="APORTE VIA IMED"/>
  </r>
  <r>
    <s v="12 DE SEPTIEMBRE DE 2025"/>
    <x v="73"/>
    <s v="INGRID CACERES FUENZALIDA"/>
    <n v="12838615"/>
    <s v="INGRID CACERES FUENZALIDA"/>
    <d v="2025-03-01T00:00:00"/>
    <s v="DUPLICADO"/>
    <n v="370250532"/>
    <n v="65384048"/>
    <n v="18062"/>
    <n v="0"/>
    <n v="18062"/>
    <n v="0"/>
    <n v="18062"/>
    <n v="370250532"/>
    <n v="285123"/>
    <s v="CORP DE BIENESTAR DEL PERSONAL DE A F P"/>
    <d v="2025-03-01T00:00:00"/>
    <d v="2025-03-26T00:00:00"/>
    <d v="2025-01-07T00:00:00"/>
    <d v="2025-01-07T00:00:00"/>
    <s v="AMBULATORIOS"/>
    <n v="22770306"/>
    <n v="3311105"/>
    <n v="69250936"/>
    <s v="TRASSA"/>
    <n v="28074735"/>
    <n v="78070"/>
    <s v="SAL"/>
    <s v="AM04"/>
    <s v="EXAMENES DE LABORATORIO"/>
    <s v="EXAMENES DE LABORATORIO"/>
    <s v="EXAMENES DE LABORATORIO"/>
    <n v="0"/>
    <n v="0"/>
    <n v="86687700"/>
    <n v="9"/>
    <s v="SIN ISAPRE"/>
    <s v="ICACERES@AFPHABITAT.CL"/>
    <s v="12838615|86687700|370250532|65384048"/>
    <s v="GASTO FISICO"/>
    <b v="0"/>
    <s v="DEPOSITADO EN CUENTA"/>
  </r>
  <r>
    <s v="12 DE SEPTIEMBRE DE 2025"/>
    <x v="74"/>
    <s v="VERONICA ROJO LIRA"/>
    <n v="8378249"/>
    <s v="VERONICA ROJO LIRA"/>
    <d v="2025-01-01T00:00:00"/>
    <s v="INICIAL"/>
    <n v="370262588"/>
    <n v="370262588"/>
    <n v="68184"/>
    <n v="50209"/>
    <n v="17975"/>
    <n v="0"/>
    <n v="17975"/>
    <n v="370262588"/>
    <n v="285123"/>
    <s v="CORP DE BIENESTAR DEL PERSONAL DE A F P"/>
    <d v="2025-01-07T00:00:00"/>
    <d v="2025-01-07T00:00:00"/>
    <d v="2025-01-07T00:00:00"/>
    <d v="2025-01-07T00:00:00"/>
    <s v="AMBULATORIOS"/>
    <n v="22462229"/>
    <n v="1131703"/>
    <n v="68650136"/>
    <s v="TRASSA"/>
    <n v="12012025"/>
    <n v="77298"/>
    <s v="SAL"/>
    <s v="AM05"/>
    <s v="EXAMENES RADIOLOGICOS"/>
    <s v="EXAMENES RADIOLOGICOS"/>
    <s v="EXAMENES RADIOLOGICOS"/>
    <s v="IMED SALUD"/>
    <n v="0"/>
    <n v="79980070"/>
    <n v="5"/>
    <s v="BANMÉDICA"/>
    <s v="VROJOL@AFPHABITAT.CL"/>
    <s v="8378249|79980070|370262588|370262588"/>
    <s v="IMED SALUD"/>
    <b v="1"/>
    <s v="APORTE VIA IMED"/>
  </r>
  <r>
    <s v="12 DE SEPTIEMBRE DE 2025"/>
    <x v="74"/>
    <s v="VERONICA ROJO LIRA"/>
    <n v="8378249"/>
    <s v="VERONICA ROJO LIRA"/>
    <d v="2025-03-01T00:00:00"/>
    <s v="DUPLICADO"/>
    <n v="370262588"/>
    <n v="65383660"/>
    <n v="18447"/>
    <n v="0"/>
    <n v="18447"/>
    <n v="0"/>
    <n v="18447"/>
    <n v="370262588"/>
    <n v="285123"/>
    <s v="CORP DE BIENESTAR DEL PERSONAL DE A F P"/>
    <d v="2025-03-01T00:00:00"/>
    <d v="2025-03-26T00:00:00"/>
    <d v="2025-01-07T00:00:00"/>
    <d v="2025-01-07T00:00:00"/>
    <s v="AMBULATORIOS"/>
    <n v="22770300"/>
    <n v="3311105"/>
    <n v="69250551"/>
    <s v="TRASSA"/>
    <n v="24803715"/>
    <n v="78070"/>
    <s v="SAL"/>
    <s v="AM05"/>
    <s v="EXAMENES RADIOLOGICOS"/>
    <s v="EXAMENES RADIOLOGICOS"/>
    <s v="EXAMENES RADIOLOGICOS"/>
    <n v="0"/>
    <n v="0"/>
    <n v="79980070"/>
    <n v="5"/>
    <s v="SIN ISAPRE"/>
    <s v="VROJOL@AFPHABITAT.CL"/>
    <s v="8378249|79980070|370262588|65383660"/>
    <s v="GASTO FISICO"/>
    <b v="0"/>
    <s v="DEPOSITADO EN CUENTA"/>
  </r>
  <r>
    <s v="12 DE SEPTIEMBRE DE 2025"/>
    <x v="74"/>
    <s v="VERONICA ROJO LIRA"/>
    <n v="8378249"/>
    <s v="VERONICA ROJO LIRA"/>
    <d v="2025-01-01T00:00:00"/>
    <s v="INICIAL"/>
    <n v="370262686"/>
    <n v="370262686"/>
    <n v="36559"/>
    <n v="31076"/>
    <n v="5483"/>
    <n v="0"/>
    <n v="5483"/>
    <n v="370262686"/>
    <n v="285123"/>
    <s v="CORP DE BIENESTAR DEL PERSONAL DE A F P"/>
    <d v="2025-01-07T00:00:00"/>
    <d v="2025-01-07T00:00:00"/>
    <d v="2025-01-07T00:00:00"/>
    <d v="2025-01-07T00:00:00"/>
    <s v="AMBULATORIOS"/>
    <n v="22462229"/>
    <n v="1131703"/>
    <n v="68650138"/>
    <s v="TRASSA"/>
    <n v="12012025"/>
    <n v="77298"/>
    <s v="SAL"/>
    <s v="AM05"/>
    <s v="EXAMENES RADIOLOGICOS"/>
    <s v="EXAMENES RADIOLOGICOS"/>
    <s v="EXAMENES RADIOLOGICOS"/>
    <s v="IMED SALUD"/>
    <n v="0"/>
    <n v="79980070"/>
    <n v="5"/>
    <s v="BANMÉDICA"/>
    <s v="VROJOL@AFPHABITAT.CL"/>
    <s v="8378249|79980070|370262686|370262686"/>
    <s v="IMED SALUD"/>
    <b v="1"/>
    <s v="APORTE VIA IMED"/>
  </r>
  <r>
    <s v="12 DE SEPTIEMBRE DE 2025"/>
    <x v="74"/>
    <s v="VERONICA ROJO LIRA"/>
    <n v="8378249"/>
    <s v="VERONICA ROJO LIRA"/>
    <d v="2025-03-01T00:00:00"/>
    <s v="DUPLICADO"/>
    <n v="370262686"/>
    <n v="65383661"/>
    <n v="5380"/>
    <n v="0"/>
    <n v="5380"/>
    <n v="0"/>
    <n v="5380"/>
    <n v="370262686"/>
    <n v="285123"/>
    <s v="CORP DE BIENESTAR DEL PERSONAL DE A F P"/>
    <d v="2025-03-01T00:00:00"/>
    <d v="2025-03-26T00:00:00"/>
    <d v="2025-01-07T00:00:00"/>
    <d v="2025-01-07T00:00:00"/>
    <s v="AMBULATORIOS"/>
    <n v="22770300"/>
    <n v="3311105"/>
    <n v="69250552"/>
    <s v="TRASSA"/>
    <n v="24803715"/>
    <n v="78070"/>
    <s v="SAL"/>
    <s v="AM05"/>
    <s v="EXAMENES RADIOLOGICOS"/>
    <s v="EXAMENES RADIOLOGICOS"/>
    <s v="EXAMENES RADIOLOGICOS"/>
    <n v="0"/>
    <n v="0"/>
    <n v="79980070"/>
    <n v="5"/>
    <s v="SIN ISAPRE"/>
    <s v="VROJOL@AFPHABITAT.CL"/>
    <s v="8378249|79980070|370262686|65383661"/>
    <s v="GASTO FISICO"/>
    <b v="0"/>
    <s v="DEPOSITADO EN CUENTA"/>
  </r>
  <r>
    <s v="12 DE SEPTIEMBRE DE 2025"/>
    <x v="75"/>
    <s v="MAXIMO SAEZ MOLINA"/>
    <n v="12488563"/>
    <s v="MAXIMO SAEZ MOLINA"/>
    <d v="2025-01-01T00:00:00"/>
    <s v="INICIAL"/>
    <n v="370274117"/>
    <n v="370274117"/>
    <n v="26512"/>
    <n v="18559"/>
    <n v="7953"/>
    <n v="0"/>
    <n v="7953"/>
    <n v="370274117"/>
    <n v="285123"/>
    <s v="CORP DE BIENESTAR DEL PERSONAL DE A F P"/>
    <d v="2025-01-07T00:00:00"/>
    <d v="2025-01-07T00:00:00"/>
    <d v="2025-01-07T00:00:00"/>
    <d v="2025-01-07T00:00:00"/>
    <s v="AMBULATORIOS"/>
    <n v="22462235"/>
    <n v="1131703"/>
    <n v="68650262"/>
    <s v="TRASSA"/>
    <n v="12012025"/>
    <n v="77298"/>
    <s v="SAL"/>
    <s v="AM05"/>
    <s v="EXAMENES RADIOLOGICOS"/>
    <s v="EXAMENES RADIOLOGICOS"/>
    <s v="EXAMENES RADIOLOGICOS"/>
    <s v="IMED SALUD"/>
    <n v="0"/>
    <n v="76098454"/>
    <s v="K"/>
    <s v="BANMÉDICA"/>
    <s v="MSAEZ@AFPHABITAT.CL"/>
    <s v="12488563|76098454|370274117|370274117"/>
    <s v="IMED SALUD"/>
    <b v="1"/>
    <s v="APORTE VIA IMED"/>
  </r>
  <r>
    <s v="12 DE SEPTIEMBRE DE 2025"/>
    <x v="75"/>
    <s v="MAXIMO SAEZ MOLINA"/>
    <n v="12488563"/>
    <s v="MAXIMO SAEZ MOLINA"/>
    <d v="2025-03-01T00:00:00"/>
    <s v="DUPLICADO"/>
    <n v="370274117"/>
    <n v="65384017"/>
    <n v="7686"/>
    <n v="0"/>
    <n v="7686"/>
    <n v="0"/>
    <n v="7686"/>
    <n v="370274117"/>
    <n v="285123"/>
    <s v="CORP DE BIENESTAR DEL PERSONAL DE A F P"/>
    <d v="2025-03-01T00:00:00"/>
    <d v="2025-03-26T00:00:00"/>
    <d v="2025-01-07T00:00:00"/>
    <d v="2025-01-07T00:00:00"/>
    <s v="AMBULATORIOS"/>
    <n v="22770305"/>
    <n v="3311105"/>
    <n v="69250905"/>
    <s v="TRASSA"/>
    <n v="12488563"/>
    <n v="78070"/>
    <s v="SAL"/>
    <s v="AM05"/>
    <s v="EXAMENES RADIOLOGICOS"/>
    <s v="EXAMENES RADIOLOGICOS"/>
    <s v="EXAMENES RADIOLOGICOS"/>
    <n v="0"/>
    <n v="0"/>
    <n v="76098454"/>
    <s v="K"/>
    <s v="SIN ISAPRE"/>
    <s v="MSAEZ@AFPHABITAT.CL"/>
    <s v="12488563|76098454|370274117|65384017"/>
    <s v="GASTO FISICO"/>
    <b v="0"/>
    <s v="DEPOSITADO EN CUENTA"/>
  </r>
  <r>
    <s v="12 DE SEPTIEMBRE DE 2025"/>
    <x v="73"/>
    <s v="INGRID CACERES FUENZALIDA"/>
    <n v="12838615"/>
    <s v="INGRID CACERES FUENZALIDA"/>
    <d v="2025-01-01T00:00:00"/>
    <s v="INICIAL"/>
    <n v="370320841"/>
    <n v="370320841"/>
    <n v="365526"/>
    <n v="209056"/>
    <n v="156470"/>
    <n v="0"/>
    <n v="156470"/>
    <n v="370320841"/>
    <n v="285123"/>
    <s v="CORP DE BIENESTAR DEL PERSONAL DE A F P"/>
    <d v="2025-01-08T00:00:00"/>
    <d v="2025-01-08T00:00:00"/>
    <d v="2025-01-08T00:00:00"/>
    <d v="2025-01-08T00:00:00"/>
    <s v="AMBULATORIOS"/>
    <n v="22462259"/>
    <n v="1131703"/>
    <n v="68650944"/>
    <s v="TRASSA"/>
    <n v="12012025"/>
    <n v="77298"/>
    <s v="SAL"/>
    <s v="AM05"/>
    <s v="EXAMENES RADIOLOGICOS"/>
    <s v="EXAMENES RADIOLOGICOS"/>
    <s v="EXAMENES RADIOLOGICOS"/>
    <s v="IMED SALUD"/>
    <n v="0"/>
    <n v="70377400"/>
    <n v="8"/>
    <s v="BANMÉDICA"/>
    <s v="ICACERES@AFPHABITAT.CL"/>
    <s v="12838615|70377400|370320841|370320841"/>
    <s v="IMED SALUD"/>
    <b v="1"/>
    <s v="APORTE VIA IMED"/>
  </r>
  <r>
    <s v="12 DE SEPTIEMBRE DE 2025"/>
    <x v="73"/>
    <s v="INGRID CACERES FUENZALIDA"/>
    <n v="12838615"/>
    <s v="INGRID CACERES FUENZALIDA"/>
    <d v="2025-03-01T00:00:00"/>
    <s v="DUPLICADO"/>
    <n v="370320841"/>
    <n v="65384049"/>
    <n v="163739"/>
    <n v="0"/>
    <n v="163739"/>
    <n v="0"/>
    <n v="159105"/>
    <n v="370320841"/>
    <n v="285123"/>
    <s v="CORP DE BIENESTAR DEL PERSONAL DE A F P"/>
    <d v="2025-03-01T00:00:00"/>
    <d v="2025-03-26T00:00:00"/>
    <d v="2025-01-08T00:00:00"/>
    <d v="2025-01-08T00:00:00"/>
    <s v="AMBULATORIOS"/>
    <n v="22770314"/>
    <n v="3311105"/>
    <n v="69250937"/>
    <s v="TRASSA"/>
    <n v="28074735"/>
    <n v="78070"/>
    <s v="SAL"/>
    <s v="AM05"/>
    <s v="EXAMENES RADIOLOGICOS"/>
    <s v="EXAMENES RADIOLOGICOS"/>
    <s v="EXAMENES RADIOLOGICOS"/>
    <n v="0"/>
    <n v="0"/>
    <n v="70377400"/>
    <n v="8"/>
    <s v="SIN ISAPRE"/>
    <s v="ICACERES@AFPHABITAT.CL"/>
    <s v="12838615|70377400|370320841|65384049"/>
    <s v="GASTO FISICO"/>
    <b v="0"/>
    <s v="DEPOSITADO EN CUENTA"/>
  </r>
  <r>
    <s v="12 DE SEPTIEMBRE DE 2025"/>
    <x v="76"/>
    <s v="FELIPE VARGAS OLGUIN"/>
    <n v="15331538"/>
    <s v="JENNIFER PINEIRO SOTO"/>
    <d v="2025-01-01T00:00:00"/>
    <s v="INICIAL"/>
    <n v="370766655"/>
    <n v="370766655"/>
    <n v="200565"/>
    <n v="140395"/>
    <n v="60170"/>
    <n v="0"/>
    <n v="60170"/>
    <n v="370766655"/>
    <n v="285123"/>
    <s v="CORP DE BIENESTAR DEL PERSONAL DE A F P"/>
    <d v="2025-01-20T00:00:00"/>
    <d v="2025-01-20T00:00:00"/>
    <d v="2025-01-20T00:00:00"/>
    <d v="2025-01-20T00:00:00"/>
    <s v="AMBULATORIOS"/>
    <n v="22524605"/>
    <n v="1271320"/>
    <n v="68705892"/>
    <s v="TRASSA"/>
    <n v="26012025"/>
    <n v="77442"/>
    <s v="SAL"/>
    <s v="AM05"/>
    <s v="EXAMENES RADIOLOGICOS"/>
    <s v="EXAMENES RADIOLOGICOS"/>
    <s v="EXAMENES RADIOLOGICOS"/>
    <s v="IMED SALUD"/>
    <n v="0"/>
    <n v="93930000"/>
    <n v="7"/>
    <s v="BANMÉDICA"/>
    <s v="FVARGASO@AFPHABITAT.CL"/>
    <s v="15375295|93930000|370766655|370766655"/>
    <s v="IMED SALUD"/>
    <b v="1"/>
    <s v="APORTE VIA IMED"/>
  </r>
  <r>
    <s v="12 DE SEPTIEMBRE DE 2025"/>
    <x v="76"/>
    <s v="FELIPE VARGAS OLGUIN"/>
    <n v="15331538"/>
    <s v="JENNIFER PINEIRO SOTO"/>
    <d v="2025-03-01T00:00:00"/>
    <s v="DUPLICADO"/>
    <n v="370766655"/>
    <n v="65384277"/>
    <n v="60305"/>
    <n v="0"/>
    <n v="60305"/>
    <n v="0"/>
    <n v="60305"/>
    <n v="370766655"/>
    <n v="285123"/>
    <s v="CORP DE BIENESTAR DEL PERSONAL DE A F P"/>
    <d v="2025-03-01T00:00:00"/>
    <d v="2025-03-26T00:00:00"/>
    <d v="2025-01-20T00:00:00"/>
    <d v="2025-01-20T00:00:00"/>
    <s v="AMBULATORIOS"/>
    <n v="22770387"/>
    <n v="3311105"/>
    <n v="69251160"/>
    <s v="TRASSA"/>
    <n v="3680644510"/>
    <n v="78070"/>
    <s v="SAL"/>
    <s v="AM05"/>
    <s v="EXAMENES RADIOLOGICOS"/>
    <s v="EXAMENES RADIOLOGICOS"/>
    <s v="EXAMENES RADIOLOGICOS"/>
    <n v="0"/>
    <n v="0"/>
    <n v="93930000"/>
    <n v="7"/>
    <s v="SIN ISAPRE"/>
    <s v="FVARGASO@AFPHABITAT.CL"/>
    <s v="15375295|93930000|370766655|65384277"/>
    <s v="GASTO FISICO"/>
    <b v="0"/>
    <s v="DEPOSITADO EN CUENTA"/>
  </r>
  <r>
    <s v="12 DE SEPTIEMBRE DE 2025"/>
    <x v="77"/>
    <s v="MARIA DROGUETT SEPULVEDA"/>
    <n v="7233912"/>
    <s v="MARIA DROGUETT SEPULVEDA"/>
    <d v="2025-01-01T00:00:00"/>
    <s v="INICIAL"/>
    <n v="370778875"/>
    <n v="370778875"/>
    <n v="90148"/>
    <n v="23941"/>
    <n v="66207"/>
    <n v="0"/>
    <n v="66207"/>
    <n v="370778875"/>
    <n v="285123"/>
    <s v="CORP DE BIENESTAR DEL PERSONAL DE A F P"/>
    <d v="2025-01-20T00:00:00"/>
    <d v="2025-01-20T00:00:00"/>
    <d v="2025-01-20T00:00:00"/>
    <d v="2025-01-20T00:00:00"/>
    <s v="AMBULATORIOS"/>
    <n v="22524581"/>
    <n v="1271320"/>
    <n v="68706097"/>
    <s v="TRASSA"/>
    <n v="26012025"/>
    <n v="77442"/>
    <s v="SAL"/>
    <s v="AM07"/>
    <s v="PROCEDIMIENTOS TERAPEUTICOS"/>
    <s v="PROCEDIMIENTOS TERAPEUTICOS"/>
    <s v="PROCEDIMIENTOS TERAPEUTICOS"/>
    <s v="IMED SALUD"/>
    <n v="0"/>
    <n v="76098454"/>
    <s v="K"/>
    <s v="BANMÉDICA"/>
    <s v="MDROGUET@AFPHABITAT.CL"/>
    <s v="7233912|76098454|370778875|370778875"/>
    <s v="IMED SALUD"/>
    <b v="1"/>
    <s v="APORTE VIA IMED"/>
  </r>
  <r>
    <s v="12 DE SEPTIEMBRE DE 2025"/>
    <x v="77"/>
    <s v="MARIA DROGUETT SEPULVEDA"/>
    <n v="7233912"/>
    <s v="MARIA DROGUETT SEPULVEDA"/>
    <d v="2025-03-01T00:00:00"/>
    <s v="DUPLICADO"/>
    <n v="370778875"/>
    <n v="65383609"/>
    <n v="55696"/>
    <n v="0"/>
    <n v="55696"/>
    <n v="0"/>
    <n v="55696"/>
    <n v="370778875"/>
    <n v="285123"/>
    <s v="CORP DE BIENESTAR DEL PERSONAL DE A F P"/>
    <d v="2025-03-01T00:00:00"/>
    <d v="2025-03-26T00:00:00"/>
    <d v="2025-01-20T00:00:00"/>
    <d v="2025-01-20T00:00:00"/>
    <s v="AMBULATORIOS"/>
    <n v="22770382"/>
    <n v="3311105"/>
    <n v="69250500"/>
    <s v="TRASSA"/>
    <n v="36583162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MDROGUET@AFPHABITAT.CL"/>
    <s v="7233912|76098454|370778875|65383609"/>
    <s v="GASTO FISICO"/>
    <b v="0"/>
    <s v="DEPOSITADO EN CUENTA"/>
  </r>
  <r>
    <s v="12 DE SEPTIEMBRE DE 2025"/>
    <x v="77"/>
    <s v="MARIA DROGUETT SEPULVEDA"/>
    <n v="7233912"/>
    <s v="MARIA DROGUETT SEPULVEDA"/>
    <d v="2025-01-01T00:00:00"/>
    <s v="INICIAL"/>
    <n v="370792503"/>
    <n v="370792503"/>
    <n v="34598"/>
    <n v="17190"/>
    <n v="17408"/>
    <n v="0"/>
    <n v="17408"/>
    <n v="370792503"/>
    <n v="285123"/>
    <s v="CORP DE BIENESTAR DEL PERSONAL DE A F P"/>
    <d v="2025-01-20T00:00:00"/>
    <d v="2025-01-20T00:00:00"/>
    <d v="2025-01-20T00:00:00"/>
    <d v="2025-01-20T00:00:00"/>
    <s v="AMBULATORIOS"/>
    <n v="22524581"/>
    <n v="1271320"/>
    <n v="68706306"/>
    <s v="TRASSA"/>
    <n v="26012025"/>
    <n v="77442"/>
    <s v="SAL"/>
    <s v="AM05"/>
    <s v="EXAMENES RADIOLOGICOS"/>
    <s v="EXAMENES RADIOLOGICOS"/>
    <s v="EXAMENES RADIOLOGICOS"/>
    <s v="IMED SALUD"/>
    <n v="0"/>
    <n v="96617350"/>
    <n v="5"/>
    <s v="BANMÉDICA"/>
    <s v="MDROGUET@AFPHABITAT.CL"/>
    <s v="7233912|96617350|370792503|370792503"/>
    <s v="IMED SALUD"/>
    <b v="1"/>
    <s v="APORTE VIA IMED"/>
  </r>
  <r>
    <s v="12 DE SEPTIEMBRE DE 2025"/>
    <x v="77"/>
    <s v="MARIA DROGUETT SEPULVEDA"/>
    <n v="7233912"/>
    <s v="MARIA DROGUETT SEPULVEDA"/>
    <d v="2025-03-01T00:00:00"/>
    <s v="DUPLICADO"/>
    <n v="370792503"/>
    <n v="65383610"/>
    <n v="17285"/>
    <n v="0"/>
    <n v="17285"/>
    <n v="0"/>
    <n v="17285"/>
    <n v="370792503"/>
    <n v="285123"/>
    <s v="CORP DE BIENESTAR DEL PERSONAL DE A F P"/>
    <d v="2025-03-01T00:00:00"/>
    <d v="2025-03-26T00:00:00"/>
    <d v="2025-01-20T00:00:00"/>
    <d v="2025-01-20T00:00:00"/>
    <s v="AMBULATORIOS"/>
    <n v="22770382"/>
    <n v="3311105"/>
    <n v="69250501"/>
    <s v="TRASSA"/>
    <n v="36583162"/>
    <n v="78070"/>
    <s v="SAL"/>
    <s v="AM05"/>
    <s v="EXAMENES RADIOLOGICOS"/>
    <s v="EXAMENES RADIOLOGICOS"/>
    <s v="EXAMENES RADIOLOGICOS"/>
    <n v="0"/>
    <n v="0"/>
    <n v="96617350"/>
    <n v="5"/>
    <s v="SIN ISAPRE"/>
    <s v="MDROGUET@AFPHABITAT.CL"/>
    <s v="7233912|96617350|370792503|65383610"/>
    <s v="GASTO FISICO"/>
    <b v="0"/>
    <s v="DEPOSITADO EN CUENTA"/>
  </r>
  <r>
    <s v="12 DE SEPTIEMBRE DE 2025"/>
    <x v="78"/>
    <s v="NICOLAS ATALIVAR ROMO DROGUETT"/>
    <n v="22500441"/>
    <s v="SANTIAGO ROMO SANCHEZ"/>
    <d v="2025-01-01T00:00:00"/>
    <s v="INICIAL"/>
    <n v="370848911"/>
    <n v="370848911"/>
    <n v="10713"/>
    <n v="8570"/>
    <n v="2143"/>
    <n v="0"/>
    <n v="2143"/>
    <n v="370848911"/>
    <n v="285123"/>
    <s v="CORP DE BIENESTAR DEL PERSONAL DE A F P"/>
    <d v="2025-01-21T00:00:00"/>
    <d v="2025-01-21T00:00:00"/>
    <d v="2025-01-21T00:00:00"/>
    <d v="2025-01-21T00:00:00"/>
    <s v="AMBULATORIOS"/>
    <n v="22524647"/>
    <n v="1271320"/>
    <n v="68707128"/>
    <s v="TRASSA"/>
    <n v="26012025"/>
    <n v="77442"/>
    <s v="SAL"/>
    <s v="AM07"/>
    <s v="PROCEDIMIENTOS TERAPEUTICOS"/>
    <s v="PROCEDIMIENTOS TERAPEUTICOS"/>
    <s v="PROCEDIMIENTOS TERAPEUTICOS"/>
    <s v="IMED SALUD"/>
    <n v="0"/>
    <n v="76098454"/>
    <s v="K"/>
    <s v="BANMÉDICA"/>
    <s v="NROMOD@AFPHABITAT.CL"/>
    <s v="12722154|76098454|370848911|370848911"/>
    <s v="IMED SALUD"/>
    <b v="1"/>
    <s v="APORTE VIA IMED"/>
  </r>
  <r>
    <s v="12 DE SEPTIEMBRE DE 2025"/>
    <x v="78"/>
    <s v="NICOLAS ATALIVAR ROMO DROGUETT"/>
    <n v="22500441"/>
    <s v="SANTIAGO ROMO SANCHEZ"/>
    <d v="2025-03-01T00:00:00"/>
    <s v="DUPLICADO"/>
    <n v="370848911"/>
    <n v="65384039"/>
    <n v="2304"/>
    <n v="0"/>
    <n v="2304"/>
    <n v="0"/>
    <n v="2304"/>
    <n v="370848911"/>
    <n v="285123"/>
    <s v="CORP DE BIENESTAR DEL PERSONAL DE A F P"/>
    <d v="2025-03-01T00:00:00"/>
    <d v="2025-03-26T00:00:00"/>
    <d v="2025-01-21T00:00:00"/>
    <d v="2025-01-21T00:00:00"/>
    <s v="AMBULATORIOS"/>
    <n v="22770394"/>
    <n v="3311105"/>
    <n v="69250927"/>
    <s v="TRASSA"/>
    <n v="67585852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NROMOD@AFPHABITAT.CL"/>
    <s v="12722154|76098454|370848911|65384039"/>
    <s v="GASTO FISICO"/>
    <b v="0"/>
    <s v="DEPOSITADO EN CUENTA"/>
  </r>
  <r>
    <s v="12 DE SEPTIEMBRE DE 2025"/>
    <x v="78"/>
    <s v="NICOLAS ATALIVAR ROMO DROGUETT"/>
    <n v="22500441"/>
    <s v="SANTIAGO ROMO SANCHEZ"/>
    <d v="2025-01-01T00:00:00"/>
    <s v="INICIAL"/>
    <n v="370849643"/>
    <n v="370849643"/>
    <n v="114720"/>
    <n v="91776"/>
    <n v="22944"/>
    <n v="0"/>
    <n v="22944"/>
    <n v="370849643"/>
    <n v="285123"/>
    <s v="CORP DE BIENESTAR DEL PERSONAL DE A F P"/>
    <d v="2025-01-21T00:00:00"/>
    <d v="2025-01-21T00:00:00"/>
    <d v="2025-01-21T00:00:00"/>
    <d v="2025-01-21T00:00:00"/>
    <s v="AMBULATORIOS"/>
    <n v="22524647"/>
    <n v="1271320"/>
    <n v="68707145"/>
    <s v="TRASSA"/>
    <n v="26012025"/>
    <n v="77442"/>
    <s v="SAL"/>
    <s v="AM07"/>
    <s v="PROCEDIMIENTOS TERAPEUTICOS"/>
    <s v="PROCEDIMIENTOS TERAPEUTICOS"/>
    <s v="PROCEDIMIENTOS TERAPEUTICOS"/>
    <s v="IMED SALUD"/>
    <n v="0"/>
    <n v="76098454"/>
    <s v="K"/>
    <s v="BANMÉDICA"/>
    <s v="NROMOD@AFPHABITAT.CL"/>
    <s v="12722154|76098454|370849643|370849643"/>
    <s v="IMED SALUD"/>
    <b v="1"/>
    <s v="APORTE VIA IMED"/>
  </r>
  <r>
    <s v="12 DE SEPTIEMBRE DE 2025"/>
    <x v="78"/>
    <s v="NICOLAS ATALIVAR ROMO DROGUETT"/>
    <n v="22500441"/>
    <s v="SANTIAGO ROMO SANCHEZ"/>
    <d v="2025-03-01T00:00:00"/>
    <s v="DUPLICADO"/>
    <n v="370849643"/>
    <n v="65384040"/>
    <n v="23045"/>
    <n v="0"/>
    <n v="23045"/>
    <n v="0"/>
    <n v="23045"/>
    <n v="370849643"/>
    <n v="285123"/>
    <s v="CORP DE BIENESTAR DEL PERSONAL DE A F P"/>
    <d v="2025-03-01T00:00:00"/>
    <d v="2025-03-26T00:00:00"/>
    <d v="2025-01-21T00:00:00"/>
    <d v="2025-01-21T00:00:00"/>
    <s v="AMBULATORIOS"/>
    <n v="22770394"/>
    <n v="3311105"/>
    <n v="69250928"/>
    <s v="TRASSA"/>
    <n v="67585852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NROMOD@AFPHABITAT.CL"/>
    <s v="12722154|76098454|370849643|65384040"/>
    <s v="GASTO FISICO"/>
    <b v="0"/>
    <s v="DEPOSITADO EN CUENTA"/>
  </r>
  <r>
    <s v="12 DE SEPTIEMBRE DE 2025"/>
    <x v="79"/>
    <s v="ASTRID SCHLOSS DIAZ"/>
    <n v="14036485"/>
    <s v="ASTRID SCHLOSS DIAZ"/>
    <d v="2025-01-01T00:00:00"/>
    <s v="INICIAL"/>
    <n v="370851838"/>
    <n v="370851838"/>
    <n v="279094"/>
    <n v="209321"/>
    <n v="69773"/>
    <n v="0"/>
    <n v="69773"/>
    <n v="370851838"/>
    <n v="285123"/>
    <s v="CORP DE BIENESTAR DEL PERSONAL DE A F P"/>
    <d v="2025-01-21T00:00:00"/>
    <d v="2025-01-21T00:00:00"/>
    <d v="2025-01-21T00:00:00"/>
    <d v="2025-01-21T00:00:00"/>
    <s v="AMBULATORIOS"/>
    <n v="22524656"/>
    <n v="1271320"/>
    <n v="68707183"/>
    <s v="TRASSA"/>
    <n v="26012025"/>
    <n v="77442"/>
    <s v="SAL"/>
    <s v="AM05"/>
    <s v="EXAMENES RADIOLOGICOS"/>
    <s v="EXAMENES RADIOLOGICOS"/>
    <s v="EXAMENES RADIOLOGICOS"/>
    <s v="IMED SALUD"/>
    <n v="0"/>
    <n v="76436880"/>
    <n v="0"/>
    <s v="VIDA TRES"/>
    <s v="ASCHLOSS@AFPHABITAT.CL"/>
    <s v="14036485|76436880|370851838|370851838"/>
    <s v="IMED SALUD"/>
    <b v="1"/>
    <s v="APORTE VIA IMED"/>
  </r>
  <r>
    <s v="12 DE SEPTIEMBRE DE 2025"/>
    <x v="79"/>
    <s v="ASTRID SCHLOSS DIAZ"/>
    <n v="14036485"/>
    <s v="ASTRID SCHLOSS DIAZ"/>
    <d v="2025-03-01T00:00:00"/>
    <s v="DUPLICADO"/>
    <n v="370851838"/>
    <n v="65384200"/>
    <n v="70288"/>
    <n v="0"/>
    <n v="70288"/>
    <n v="0"/>
    <n v="70288"/>
    <n v="370851838"/>
    <n v="285123"/>
    <s v="CORP DE BIENESTAR DEL PERSONAL DE A F P"/>
    <d v="2025-03-01T00:00:00"/>
    <d v="2025-03-26T00:00:00"/>
    <d v="2025-01-21T00:00:00"/>
    <d v="2025-01-21T00:00:00"/>
    <s v="AMBULATORIOS"/>
    <n v="22770396"/>
    <n v="3311105"/>
    <n v="69251076"/>
    <s v="TRASSA"/>
    <n v="3681435602"/>
    <n v="78070"/>
    <s v="SAL"/>
    <s v="AM05"/>
    <s v="EXAMENES RADIOLOGICOS"/>
    <s v="EXAMENES RADIOLOGICOS"/>
    <s v="EXAMENES RADIOLOGICOS"/>
    <n v="0"/>
    <n v="0"/>
    <n v="76436880"/>
    <n v="0"/>
    <s v="SIN ISAPRE"/>
    <s v="ASCHLOSS@AFPHABITAT.CL"/>
    <s v="14036485|76436880|370851838|65384200"/>
    <s v="GASTO FISICO"/>
    <b v="0"/>
    <s v="DEPOSITADO EN CUENTA"/>
  </r>
  <r>
    <s v="12 DE SEPTIEMBRE DE 2025"/>
    <x v="80"/>
    <s v="CAROLINA SANCHEZ ESPINOZA"/>
    <n v="11867573"/>
    <s v="CAROLINA SANCHEZ ESPINOZA"/>
    <d v="2025-01-01T00:00:00"/>
    <s v="INICIAL"/>
    <n v="370870987"/>
    <n v="370870987"/>
    <n v="12246"/>
    <n v="4710"/>
    <n v="7536"/>
    <n v="0"/>
    <n v="7536"/>
    <n v="370870987"/>
    <n v="285123"/>
    <s v="CORP DE BIENESTAR DEL PERSONAL DE A F P"/>
    <d v="2025-01-22T00:00:00"/>
    <d v="2025-01-22T00:00:00"/>
    <d v="2025-01-22T00:00:00"/>
    <d v="2025-01-22T00:00:00"/>
    <s v="AMBULATORIOS"/>
    <n v="22524692"/>
    <n v="1271320"/>
    <n v="68707460"/>
    <s v="TRASSA"/>
    <n v="26012025"/>
    <n v="77442"/>
    <s v="SAL"/>
    <s v="AM04"/>
    <s v="EXAMENES DE LABORATORIO"/>
    <s v="EXAMENES DE LABORATORIO"/>
    <s v="EXAMENES DE LABORATORIO"/>
    <s v="IMED SALUD"/>
    <n v="0"/>
    <n v="96942400"/>
    <n v="2"/>
    <s v="BANMÉDICA"/>
    <s v="CAROLINA.SANCHEZ.ESPINOZA@AFPHABITAT.CL"/>
    <s v="11867573|96942400|370870987|370870987"/>
    <s v="IMED SALUD"/>
    <b v="1"/>
    <s v="APORTE VIA IMED"/>
  </r>
  <r>
    <s v="12 DE SEPTIEMBRE DE 2025"/>
    <x v="80"/>
    <s v="CAROLINA SANCHEZ ESPINOZA"/>
    <n v="11867573"/>
    <s v="CAROLINA SANCHEZ ESPINOZA"/>
    <d v="2025-03-01T00:00:00"/>
    <s v="DUPLICADO"/>
    <n v="370870987"/>
    <n v="65383969"/>
    <n v="6528"/>
    <n v="0"/>
    <n v="6528"/>
    <n v="0"/>
    <n v="6528"/>
    <n v="370870987"/>
    <n v="285123"/>
    <s v="CORP DE BIENESTAR DEL PERSONAL DE A F P"/>
    <d v="2025-03-01T00:00:00"/>
    <d v="2025-03-26T00:00:00"/>
    <d v="2025-01-22T00:00:00"/>
    <d v="2025-01-22T00:00:00"/>
    <s v="AMBULATORIOS"/>
    <n v="22770406"/>
    <n v="3311105"/>
    <n v="69250857"/>
    <s v="TRASSA"/>
    <n v="6920217"/>
    <n v="78070"/>
    <s v="SAL"/>
    <s v="AM04"/>
    <s v="EXAMENES DE LABORATORIO"/>
    <s v="EXAMENES DE LABORATORIO"/>
    <s v="EXAMENES DE LABORATORIO"/>
    <n v="0"/>
    <n v="0"/>
    <n v="96942400"/>
    <n v="2"/>
    <s v="SIN ISAPRE"/>
    <s v="CAROLINA.SANCHEZ.ESPINOZA@AFPHABITAT.CL"/>
    <s v="11867573|96942400|370870987|65383969"/>
    <s v="GASTO FISICO"/>
    <b v="0"/>
    <s v="DEPOSITADO EN CUENTA"/>
  </r>
  <r>
    <s v="12 DE SEPTIEMBRE DE 2025"/>
    <x v="81"/>
    <s v="MARCELA CELEDON MORA"/>
    <n v="17764749"/>
    <s v="MARCELA CELEDON MORA"/>
    <d v="2025-01-01T00:00:00"/>
    <s v="INICIAL"/>
    <n v="370901391"/>
    <n v="370901391"/>
    <n v="38556"/>
    <n v="30845"/>
    <n v="7711"/>
    <n v="0"/>
    <n v="7711"/>
    <n v="370901391"/>
    <n v="285123"/>
    <s v="CORP DE BIENESTAR DEL PERSONAL DE A F P"/>
    <d v="2025-01-22T00:00:00"/>
    <d v="2025-01-22T00:00:00"/>
    <d v="2025-01-22T00:00:00"/>
    <d v="2025-01-22T00:00:00"/>
    <s v="AMBULATORIOS"/>
    <n v="22524722"/>
    <n v="1271320"/>
    <n v="68707924"/>
    <s v="TRASSA"/>
    <n v="26012025"/>
    <n v="77442"/>
    <s v="SAL"/>
    <s v="AM05"/>
    <s v="EXAMENES RADIOLOGICOS"/>
    <s v="EXAMENES RADIOLOGICOS"/>
    <s v="EXAMENES RADIOLOGICOS"/>
    <s v="IMED SALUD"/>
    <n v="0"/>
    <n v="77200240"/>
    <n v="8"/>
    <s v="BANMÉDICA"/>
    <s v="MCELEDON@AFPHABITAT.CL"/>
    <s v="17764749|77200240|370901391|370901391"/>
    <s v="IMED SALUD"/>
    <b v="1"/>
    <s v="APORTE VIA IMED"/>
  </r>
  <r>
    <s v="12 DE SEPTIEMBRE DE 2025"/>
    <x v="81"/>
    <s v="MARCELA CELEDON MORA"/>
    <n v="17764749"/>
    <s v="MARCELA CELEDON MORA"/>
    <d v="2025-03-01T00:00:00"/>
    <s v="DUPLICADO"/>
    <n v="370901391"/>
    <n v="65384433"/>
    <n v="7681"/>
    <n v="0"/>
    <n v="7681"/>
    <n v="0"/>
    <n v="7681"/>
    <n v="370901391"/>
    <n v="285123"/>
    <s v="CORP DE BIENESTAR DEL PERSONAL DE A F P"/>
    <d v="2025-03-01T00:00:00"/>
    <d v="2025-03-26T00:00:00"/>
    <d v="2025-01-22T00:00:00"/>
    <d v="2025-01-22T00:00:00"/>
    <s v="AMBULATORIOS"/>
    <n v="22770412"/>
    <n v="3311105"/>
    <n v="69251301"/>
    <s v="TRASSA"/>
    <n v="17764749"/>
    <n v="78070"/>
    <s v="SAL"/>
    <s v="AM05"/>
    <s v="EXAMENES RADIOLOGICOS"/>
    <s v="EXAMENES RADIOLOGICOS"/>
    <s v="EXAMENES RADIOLOGICOS"/>
    <n v="0"/>
    <n v="0"/>
    <n v="77200240"/>
    <n v="8"/>
    <s v="SIN ISAPRE"/>
    <s v="MCELEDON@AFPHABITAT.CL"/>
    <s v="17764749|77200240|370901391|65384433"/>
    <s v="GASTO FISICO"/>
    <b v="0"/>
    <s v="DEPOSITADO EN CUENTA"/>
  </r>
  <r>
    <s v="12 DE SEPTIEMBRE DE 2025"/>
    <x v="82"/>
    <s v="CARMEN DIAZ BRICEÑO"/>
    <n v="9583535"/>
    <s v="CARMEN DIAZ BRICEÑO"/>
    <d v="2025-01-01T00:00:00"/>
    <s v="INICIAL"/>
    <n v="370916180"/>
    <n v="370916180"/>
    <n v="17498"/>
    <n v="12704"/>
    <n v="4794"/>
    <n v="0"/>
    <n v="4794"/>
    <n v="370916180"/>
    <n v="285123"/>
    <s v="CORP DE BIENESTAR DEL PERSONAL DE A F P"/>
    <d v="2025-01-23T00:00:00"/>
    <d v="2025-01-23T00:00:00"/>
    <d v="2025-01-23T00:00:00"/>
    <d v="2025-01-23T00:00:00"/>
    <s v="AMBULATORIOS"/>
    <n v="22524737"/>
    <n v="1271320"/>
    <n v="68708130"/>
    <s v="TRASSA"/>
    <n v="26012025"/>
    <n v="77442"/>
    <s v="SAL"/>
    <s v="AM04"/>
    <s v="EXAMENES DE LABORATORIO"/>
    <s v="EXAMENES DE LABORATORIO"/>
    <s v="EXAMENES DE LABORATORIO"/>
    <s v="IMED SALUD"/>
    <n v="0"/>
    <n v="96942400"/>
    <n v="2"/>
    <s v="BANMÉDICA"/>
    <s v="CDIAZB@AFPHABITAT.CL"/>
    <s v="9583535|96942400|370916180|370916180"/>
    <s v="IMED SALUD"/>
    <b v="1"/>
    <s v="APORTE VIA IMED"/>
  </r>
  <r>
    <s v="12 DE SEPTIEMBRE DE 2025"/>
    <x v="82"/>
    <s v="CARMEN DIAZ BRICEÑO"/>
    <n v="9583535"/>
    <s v="CARMEN DIAZ BRICEÑO"/>
    <d v="2025-03-01T00:00:00"/>
    <s v="DUPLICADO"/>
    <n v="370916180"/>
    <n v="65383746"/>
    <n v="4608"/>
    <n v="0"/>
    <n v="4608"/>
    <n v="0"/>
    <n v="4608"/>
    <n v="370916180"/>
    <n v="285123"/>
    <s v="CORP DE BIENESTAR DEL PERSONAL DE A F P"/>
    <d v="2025-03-01T00:00:00"/>
    <d v="2025-03-26T00:00:00"/>
    <d v="2025-01-23T00:00:00"/>
    <d v="2025-01-23T00:00:00"/>
    <s v="AMBULATORIOS"/>
    <n v="22770416"/>
    <n v="3311105"/>
    <n v="69250636"/>
    <s v="TRASSA"/>
    <n v="985897999"/>
    <n v="78070"/>
    <s v="SAL"/>
    <s v="AM04"/>
    <s v="EXAMENES DE LABORATORIO"/>
    <s v="EXAMENES DE LABORATORIO"/>
    <s v="EXAMENES DE LABORATORIO"/>
    <n v="0"/>
    <n v="0"/>
    <n v="96942400"/>
    <n v="2"/>
    <s v="SIN ISAPRE"/>
    <s v="CDIAZB@AFPHABITAT.CL"/>
    <s v="9583535|96942400|370916180|65383746"/>
    <s v="GASTO FISICO"/>
    <b v="0"/>
    <s v="DEPOSITADO EN CUENTA"/>
  </r>
  <r>
    <s v="12 DE SEPTIEMBRE DE 2025"/>
    <x v="82"/>
    <s v="CARMEN DIAZ BRICEÑO"/>
    <n v="9583535"/>
    <s v="CARMEN DIAZ BRICEÑO"/>
    <d v="2025-01-01T00:00:00"/>
    <s v="INICIAL"/>
    <n v="370916278"/>
    <n v="370916278"/>
    <n v="5512"/>
    <n v="4226"/>
    <n v="1286"/>
    <n v="0"/>
    <n v="1286"/>
    <n v="370916278"/>
    <n v="285123"/>
    <s v="CORP DE BIENESTAR DEL PERSONAL DE A F P"/>
    <d v="2025-01-23T00:00:00"/>
    <d v="2025-01-23T00:00:00"/>
    <d v="2025-01-23T00:00:00"/>
    <d v="2025-01-23T00:00:00"/>
    <s v="AMBULATORIOS"/>
    <n v="22524737"/>
    <n v="1271320"/>
    <n v="68708135"/>
    <s v="TRASSA"/>
    <n v="26012025"/>
    <n v="77442"/>
    <s v="SAL"/>
    <s v="AM04"/>
    <s v="EXAMENES DE LABORATORIO"/>
    <s v="EXAMENES DE LABORATORIO"/>
    <s v="EXAMENES DE LABORATORIO"/>
    <s v="IMED SALUD"/>
    <n v="0"/>
    <n v="96942400"/>
    <n v="2"/>
    <s v="BANMÉDICA"/>
    <s v="CDIAZB@AFPHABITAT.CL"/>
    <s v="9583535|96942400|370916278|370916278"/>
    <s v="IMED SALUD"/>
    <b v="1"/>
    <s v="APORTE VIA IMED"/>
  </r>
  <r>
    <s v="12 DE SEPTIEMBRE DE 2025"/>
    <x v="82"/>
    <s v="CARMEN DIAZ BRICEÑO"/>
    <n v="9583535"/>
    <s v="CARMEN DIAZ BRICEÑO"/>
    <d v="2025-03-01T00:00:00"/>
    <s v="DUPLICADO"/>
    <n v="370916278"/>
    <n v="65383747"/>
    <n v="1152"/>
    <n v="0"/>
    <n v="1152"/>
    <n v="0"/>
    <n v="1152"/>
    <n v="370916278"/>
    <n v="285123"/>
    <s v="CORP DE BIENESTAR DEL PERSONAL DE A F P"/>
    <d v="2025-03-01T00:00:00"/>
    <d v="2025-03-26T00:00:00"/>
    <d v="2025-01-23T00:00:00"/>
    <d v="2025-01-23T00:00:00"/>
    <s v="AMBULATORIOS"/>
    <n v="22770416"/>
    <n v="3311105"/>
    <n v="69250637"/>
    <s v="TRASSA"/>
    <n v="985897999"/>
    <n v="78070"/>
    <s v="SAL"/>
    <s v="AM04"/>
    <s v="EXAMENES DE LABORATORIO"/>
    <s v="EXAMENES DE LABORATORIO"/>
    <s v="EXAMENES DE LABORATORIO"/>
    <n v="0"/>
    <n v="0"/>
    <n v="96942400"/>
    <n v="2"/>
    <s v="SIN ISAPRE"/>
    <s v="CDIAZB@AFPHABITAT.CL"/>
    <s v="9583535|96942400|370916278|65383747"/>
    <s v="GASTO FISICO"/>
    <b v="0"/>
    <s v="DEPOSITADO EN CUENTA"/>
  </r>
  <r>
    <s v="12 DE SEPTIEMBRE DE 2025"/>
    <x v="83"/>
    <s v="CHRISTIAN ROJO GAETE"/>
    <n v="9209607"/>
    <s v="CHRISTIAN ROJO GAETE"/>
    <d v="2025-01-01T00:00:00"/>
    <s v="INICIAL"/>
    <n v="371063126"/>
    <n v="371063126"/>
    <n v="175315"/>
    <n v="142520"/>
    <n v="32795"/>
    <n v="0"/>
    <n v="32795"/>
    <n v="371063126"/>
    <n v="285123"/>
    <s v="CORP DE BIENESTAR DEL PERSONAL DE A F P"/>
    <d v="2025-01-27T00:00:00"/>
    <d v="2025-01-27T00:00:00"/>
    <d v="2025-01-27T00:00:00"/>
    <d v="2025-01-27T00:00:00"/>
    <s v="AMBULATORIOS"/>
    <n v="22560794"/>
    <n v="2040929"/>
    <n v="68808229"/>
    <s v="TRASSA"/>
    <n v="2022025"/>
    <n v="77562"/>
    <s v="SAL"/>
    <s v="AM07"/>
    <s v="PROCEDIMIENTOS TERAPEUTICOS"/>
    <s v="PROCEDIMIENTOS TERAPEUTICOS"/>
    <s v="PROCEDIMIENTOS TERAPEUTICOS"/>
    <s v="IMED SALUD"/>
    <n v="0"/>
    <n v="96617350"/>
    <n v="5"/>
    <s v="VIDA TRES"/>
    <s v="CROJO@AFPHABITAT.CL"/>
    <s v="9209607|96617350|371063126|371063126"/>
    <s v="IMED SALUD"/>
    <b v="1"/>
    <s v="APORTE VIA IMED"/>
  </r>
  <r>
    <s v="12 DE SEPTIEMBRE DE 2025"/>
    <x v="83"/>
    <s v="CHRISTIAN ROJO GAETE"/>
    <n v="9209607"/>
    <s v="CHRISTIAN ROJO GAETE"/>
    <d v="2025-03-01T00:00:00"/>
    <s v="DUPLICADO"/>
    <n v="371063126"/>
    <n v="65383716"/>
    <n v="32250"/>
    <n v="0"/>
    <n v="32250"/>
    <n v="0"/>
    <n v="32250"/>
    <n v="371063126"/>
    <n v="285123"/>
    <s v="CORP DE BIENESTAR DEL PERSONAL DE A F P"/>
    <d v="2025-03-01T00:00:00"/>
    <d v="2025-03-26T00:00:00"/>
    <d v="2025-01-27T00:00:00"/>
    <d v="2025-01-27T00:00:00"/>
    <s v="AMBULATORIOS"/>
    <n v="22770436"/>
    <n v="3311105"/>
    <n v="69250607"/>
    <s v="TRASSA"/>
    <n v="850008495"/>
    <n v="78070"/>
    <s v="SAL"/>
    <s v="AM07"/>
    <s v="PROCEDIMIENTOS TERAPEUTICOS"/>
    <s v="PROCEDIMIENTOS TERAPEUTICOS"/>
    <s v="PROCEDIMIENTOS TERAPEUTICOS"/>
    <n v="0"/>
    <n v="0"/>
    <n v="96617350"/>
    <n v="5"/>
    <s v="SIN ISAPRE"/>
    <s v="CROJO@AFPHABITAT.CL"/>
    <s v="9209607|96617350|371063126|65383716"/>
    <s v="GASTO FISICO"/>
    <b v="0"/>
    <s v="DEPOSITADO EN CUENTA"/>
  </r>
  <r>
    <s v="12 DE SEPTIEMBRE DE 2025"/>
    <x v="84"/>
    <s v="ISABEL MARGARITA GARCES TORO"/>
    <n v="15933075"/>
    <s v="ISABEL MARGARITA GARCES TORO"/>
    <d v="2025-01-01T00:00:00"/>
    <s v="INICIAL"/>
    <n v="371083247"/>
    <n v="371083247"/>
    <n v="62479"/>
    <n v="43736"/>
    <n v="18743"/>
    <n v="0"/>
    <n v="18743"/>
    <n v="371083247"/>
    <n v="285123"/>
    <s v="CORP DE BIENESTAR DEL PERSONAL DE A F P"/>
    <d v="2025-01-28T00:00:00"/>
    <d v="2025-01-28T00:00:00"/>
    <d v="2025-01-28T00:00:00"/>
    <d v="2025-01-28T00:00:00"/>
    <s v="AMBULATORIOS"/>
    <n v="22560881"/>
    <n v="2040929"/>
    <n v="68808501"/>
    <s v="TRASSA"/>
    <n v="2022025"/>
    <n v="77562"/>
    <s v="SAL"/>
    <s v="AM04"/>
    <s v="EXAMENES DE LABORATORIO"/>
    <s v="EXAMENES DE LABORATORIO"/>
    <s v="EXAMENES DE LABORATORIO"/>
    <s v="IMED SALUD"/>
    <n v="0"/>
    <n v="71614000"/>
    <n v="8"/>
    <s v="VIDA TRES"/>
    <s v="IGARCES@AFPHABITAT.CL"/>
    <s v="15933075|71614000|371083247|371083247"/>
    <s v="IMED SALUD"/>
    <b v="1"/>
    <s v="APORTE VIA IMED"/>
  </r>
  <r>
    <s v="12 DE SEPTIEMBRE DE 2025"/>
    <x v="84"/>
    <s v="ISABEL MARGARITA GARCES TORO"/>
    <n v="15933075"/>
    <s v="ISABEL MARGARITA GARCES TORO"/>
    <d v="2025-03-01T00:00:00"/>
    <s v="DUPLICADO"/>
    <n v="371083247"/>
    <n v="65384344"/>
    <n v="18426"/>
    <n v="0"/>
    <n v="18426"/>
    <n v="0"/>
    <n v="18426"/>
    <n v="371083247"/>
    <n v="285123"/>
    <s v="CORP DE BIENESTAR DEL PERSONAL DE A F P"/>
    <d v="2025-03-01T00:00:00"/>
    <d v="2025-03-26T00:00:00"/>
    <d v="2025-01-28T00:00:00"/>
    <d v="2025-01-28T00:00:00"/>
    <s v="AMBULATORIOS"/>
    <n v="22770458"/>
    <n v="3311105"/>
    <n v="69251227"/>
    <s v="TRASSA"/>
    <n v="15933075"/>
    <n v="78070"/>
    <s v="SAL"/>
    <s v="AM04"/>
    <s v="EXAMENES DE LABORATORIO"/>
    <s v="EXAMENES DE LABORATORIO"/>
    <s v="EXAMENES DE LABORATORIO"/>
    <n v="0"/>
    <n v="0"/>
    <n v="71614000"/>
    <n v="8"/>
    <s v="SIN ISAPRE"/>
    <s v="IGARCES@AFPHABITAT.CL"/>
    <s v="15933075|71614000|371083247|65384344"/>
    <s v="GASTO FISICO"/>
    <b v="0"/>
    <s v="DEPOSITADO EN CUENTA"/>
  </r>
  <r>
    <s v="12 DE SEPTIEMBRE DE 2025"/>
    <x v="84"/>
    <s v="ISABEL MARGARITA GARCES TORO"/>
    <n v="15933075"/>
    <s v="ISABEL MARGARITA GARCES TORO"/>
    <d v="2025-01-01T00:00:00"/>
    <s v="INICIAL"/>
    <n v="371083248"/>
    <n v="371083248"/>
    <n v="131590"/>
    <n v="92113"/>
    <n v="39477"/>
    <n v="0"/>
    <n v="39477"/>
    <n v="371083248"/>
    <n v="285123"/>
    <s v="CORP DE BIENESTAR DEL PERSONAL DE A F P"/>
    <d v="2025-01-28T00:00:00"/>
    <d v="2025-01-28T00:00:00"/>
    <d v="2025-01-28T00:00:00"/>
    <d v="2025-01-28T00:00:00"/>
    <s v="AMBULATORIOS"/>
    <n v="22560881"/>
    <n v="2040929"/>
    <n v="68808500"/>
    <s v="TRASSA"/>
    <n v="2022025"/>
    <n v="77562"/>
    <s v="SAL"/>
    <s v="AM04"/>
    <s v="EXAMENES DE LABORATORIO"/>
    <s v="EXAMENES DE LABORATORIO"/>
    <s v="EXAMENES DE LABORATORIO"/>
    <s v="IMED SALUD"/>
    <n v="0"/>
    <n v="71614000"/>
    <n v="8"/>
    <s v="VIDA TRES"/>
    <s v="IGARCES@AFPHABITAT.CL"/>
    <s v="15933075|71614000|371083248|371083248"/>
    <s v="IMED SALUD"/>
    <b v="1"/>
    <s v="APORTE VIA IMED"/>
  </r>
  <r>
    <s v="12 DE SEPTIEMBRE DE 2025"/>
    <x v="84"/>
    <s v="ISABEL MARGARITA GARCES TORO"/>
    <n v="15933075"/>
    <s v="ISABEL MARGARITA GARCES TORO"/>
    <d v="2025-03-01T00:00:00"/>
    <s v="DUPLICADO"/>
    <n v="371083248"/>
    <n v="65384345"/>
    <n v="39157"/>
    <n v="0"/>
    <n v="39157"/>
    <n v="0"/>
    <n v="39157"/>
    <n v="371083248"/>
    <n v="285123"/>
    <s v="CORP DE BIENESTAR DEL PERSONAL DE A F P"/>
    <d v="2025-03-01T00:00:00"/>
    <d v="2025-03-26T00:00:00"/>
    <d v="2025-01-28T00:00:00"/>
    <d v="2025-01-28T00:00:00"/>
    <s v="AMBULATORIOS"/>
    <n v="22770458"/>
    <n v="3311105"/>
    <n v="69251228"/>
    <s v="TRASSA"/>
    <n v="15933075"/>
    <n v="78070"/>
    <s v="SAL"/>
    <s v="AM04"/>
    <s v="EXAMENES DE LABORATORIO"/>
    <s v="EXAMENES DE LABORATORIO"/>
    <s v="EXAMENES DE LABORATORIO"/>
    <n v="0"/>
    <n v="0"/>
    <n v="71614000"/>
    <n v="8"/>
    <s v="SIN ISAPRE"/>
    <s v="IGARCES@AFPHABITAT.CL"/>
    <s v="15933075|71614000|371083248|65384345"/>
    <s v="GASTO FISICO"/>
    <b v="0"/>
    <s v="DEPOSITADO EN CUENTA"/>
  </r>
  <r>
    <s v="12 DE SEPTIEMBRE DE 2025"/>
    <x v="84"/>
    <s v="ISABEL MARGARITA GARCES TORO"/>
    <n v="15933075"/>
    <s v="ISABEL MARGARITA GARCES TORO"/>
    <d v="2025-01-01T00:00:00"/>
    <s v="INICIAL"/>
    <n v="371083249"/>
    <n v="371083249"/>
    <n v="27681"/>
    <n v="19377"/>
    <n v="8304"/>
    <n v="0"/>
    <n v="8304"/>
    <n v="371083249"/>
    <n v="285123"/>
    <s v="CORP DE BIENESTAR DEL PERSONAL DE A F P"/>
    <d v="2025-01-28T00:00:00"/>
    <d v="2025-01-28T00:00:00"/>
    <d v="2025-01-28T00:00:00"/>
    <d v="2025-01-28T00:00:00"/>
    <s v="AMBULATORIOS"/>
    <n v="22560881"/>
    <n v="2040929"/>
    <n v="68808499"/>
    <s v="TRASSA"/>
    <n v="2022025"/>
    <n v="77562"/>
    <s v="SAL"/>
    <s v="AM04"/>
    <s v="EXAMENES DE LABORATORIO"/>
    <s v="EXAMENES DE LABORATORIO"/>
    <s v="EXAMENES DE LABORATORIO"/>
    <s v="IMED SALUD"/>
    <n v="0"/>
    <n v="71614000"/>
    <n v="8"/>
    <s v="VIDA TRES"/>
    <s v="IGARCES@AFPHABITAT.CL"/>
    <s v="15933075|71614000|371083249|371083249"/>
    <s v="IMED SALUD"/>
    <b v="1"/>
    <s v="APORTE VIA IMED"/>
  </r>
  <r>
    <s v="12 DE SEPTIEMBRE DE 2025"/>
    <x v="84"/>
    <s v="ISABEL MARGARITA GARCES TORO"/>
    <n v="15933075"/>
    <s v="ISABEL MARGARITA GARCES TORO"/>
    <d v="2025-03-01T00:00:00"/>
    <s v="DUPLICADO"/>
    <n v="371083249"/>
    <n v="65384346"/>
    <n v="8061"/>
    <n v="0"/>
    <n v="8061"/>
    <n v="0"/>
    <n v="8061"/>
    <n v="371083249"/>
    <n v="285123"/>
    <s v="CORP DE BIENESTAR DEL PERSONAL DE A F P"/>
    <d v="2025-03-01T00:00:00"/>
    <d v="2025-03-26T00:00:00"/>
    <d v="2025-01-28T00:00:00"/>
    <d v="2025-01-28T00:00:00"/>
    <s v="AMBULATORIOS"/>
    <n v="22770458"/>
    <n v="3311105"/>
    <n v="69251229"/>
    <s v="TRASSA"/>
    <n v="15933075"/>
    <n v="78070"/>
    <s v="SAL"/>
    <s v="AM04"/>
    <s v="EXAMENES DE LABORATORIO"/>
    <s v="EXAMENES DE LABORATORIO"/>
    <s v="EXAMENES DE LABORATORIO"/>
    <n v="0"/>
    <n v="0"/>
    <n v="71614000"/>
    <n v="8"/>
    <s v="SIN ISAPRE"/>
    <s v="IGARCES@AFPHABITAT.CL"/>
    <s v="15933075|71614000|371083249|65384346"/>
    <s v="GASTO FISICO"/>
    <b v="0"/>
    <s v="DEPOSITADO EN CUENTA"/>
  </r>
  <r>
    <s v="12 DE SEPTIEMBRE DE 2025"/>
    <x v="84"/>
    <s v="ISABEL MARGARITA GARCES TORO"/>
    <n v="15933075"/>
    <s v="ISABEL MARGARITA GARCES TORO"/>
    <d v="2025-01-01T00:00:00"/>
    <s v="INICIAL"/>
    <n v="371084929"/>
    <n v="371084929"/>
    <n v="132393"/>
    <n v="107410"/>
    <n v="24983"/>
    <n v="0"/>
    <n v="24983"/>
    <n v="371084929"/>
    <n v="285123"/>
    <s v="CORP DE BIENESTAR DEL PERSONAL DE A F P"/>
    <d v="2025-01-28T00:00:00"/>
    <d v="2025-01-28T00:00:00"/>
    <d v="2025-01-28T00:00:00"/>
    <d v="2025-01-28T00:00:00"/>
    <s v="AMBULATORIOS"/>
    <n v="22560881"/>
    <n v="2040929"/>
    <n v="68808550"/>
    <s v="TRASSA"/>
    <n v="2022025"/>
    <n v="77562"/>
    <s v="SAL"/>
    <s v="AM05"/>
    <s v="EXAMENES RADIOLOGICOS"/>
    <s v="EXAMENES RADIOLOGICOS"/>
    <s v="EXAMENES RADIOLOGICOS"/>
    <s v="IMED SALUD"/>
    <n v="0"/>
    <n v="71614000"/>
    <n v="8"/>
    <s v="VIDA TRES"/>
    <s v="IGARCES@AFPHABITAT.CL"/>
    <s v="15933075|71614000|371084929|371084929"/>
    <s v="IMED SALUD"/>
    <b v="1"/>
    <s v="APORTE VIA IMED"/>
  </r>
  <r>
    <s v="12 DE SEPTIEMBRE DE 2025"/>
    <x v="84"/>
    <s v="ISABEL MARGARITA GARCES TORO"/>
    <n v="15933075"/>
    <s v="ISABEL MARGARITA GARCES TORO"/>
    <d v="2025-03-01T00:00:00"/>
    <s v="DUPLICADO"/>
    <n v="371084929"/>
    <n v="65384347"/>
    <n v="24570"/>
    <n v="0"/>
    <n v="24570"/>
    <n v="0"/>
    <n v="24570"/>
    <n v="371084929"/>
    <n v="285123"/>
    <s v="CORP DE BIENESTAR DEL PERSONAL DE A F P"/>
    <d v="2025-03-01T00:00:00"/>
    <d v="2025-03-26T00:00:00"/>
    <d v="2025-01-28T00:00:00"/>
    <d v="2025-01-28T00:00:00"/>
    <s v="AMBULATORIOS"/>
    <n v="22770458"/>
    <n v="3311105"/>
    <n v="69251230"/>
    <s v="TRASSA"/>
    <n v="15933075"/>
    <n v="78070"/>
    <s v="SAL"/>
    <s v="AM05"/>
    <s v="EXAMENES RADIOLOGICOS"/>
    <s v="EXAMENES RADIOLOGICOS"/>
    <s v="EXAMENES RADIOLOGICOS"/>
    <n v="0"/>
    <n v="0"/>
    <n v="71614000"/>
    <n v="8"/>
    <s v="SIN ISAPRE"/>
    <s v="IGARCES@AFPHABITAT.CL"/>
    <s v="15933075|71614000|371084929|65384347"/>
    <s v="GASTO FISICO"/>
    <b v="0"/>
    <s v="DEPOSITADO EN CUENTA"/>
  </r>
  <r>
    <s v="12 DE SEPTIEMBRE DE 2025"/>
    <x v="83"/>
    <s v="CHRISTIAN ROJO GAETE"/>
    <n v="9209607"/>
    <s v="CHRISTIAN ROJO GAETE"/>
    <d v="2025-01-01T00:00:00"/>
    <s v="INICIAL"/>
    <n v="371096865"/>
    <n v="371096865"/>
    <n v="77102"/>
    <n v="54743"/>
    <n v="22359"/>
    <n v="0"/>
    <n v="22359"/>
    <n v="371096865"/>
    <n v="285123"/>
    <s v="CORP DE BIENESTAR DEL PERSONAL DE A F P"/>
    <d v="2025-01-28T00:00:00"/>
    <d v="2025-01-28T00:00:00"/>
    <d v="2025-01-28T00:00:00"/>
    <d v="2025-01-28T00:00:00"/>
    <s v="AMBULATORIOS"/>
    <n v="22560851"/>
    <n v="2040929"/>
    <n v="68808791"/>
    <s v="TRASSA"/>
    <n v="2022025"/>
    <n v="77562"/>
    <s v="SAL"/>
    <s v="AM07"/>
    <s v="PROCEDIMIENTOS TERAPEUTICOS"/>
    <s v="PROCEDIMIENTOS TERAPEUTICOS"/>
    <s v="PROCEDIMIENTOS TERAPEUTICOS"/>
    <s v="IMED SALUD"/>
    <n v="0"/>
    <n v="96617350"/>
    <n v="5"/>
    <s v="VIDA TRES"/>
    <s v="CROJO@AFPHABITAT.CL"/>
    <s v="9209607|96617350|371096865|371096865"/>
    <s v="IMED SALUD"/>
    <b v="1"/>
    <s v="APORTE VIA IMED"/>
  </r>
  <r>
    <s v="12 DE SEPTIEMBRE DE 2025"/>
    <x v="83"/>
    <s v="CHRISTIAN ROJO GAETE"/>
    <n v="9209607"/>
    <s v="CHRISTIAN ROJO GAETE"/>
    <d v="2025-03-01T00:00:00"/>
    <s v="DUPLICADO"/>
    <n v="371096865"/>
    <n v="65383717"/>
    <n v="22267"/>
    <n v="0"/>
    <n v="22267"/>
    <n v="0"/>
    <n v="22267"/>
    <n v="371096865"/>
    <n v="285123"/>
    <s v="CORP DE BIENESTAR DEL PERSONAL DE A F P"/>
    <d v="2025-03-01T00:00:00"/>
    <d v="2025-03-26T00:00:00"/>
    <d v="2025-01-28T00:00:00"/>
    <d v="2025-01-28T00:00:00"/>
    <s v="AMBULATORIOS"/>
    <n v="22770448"/>
    <n v="3311105"/>
    <n v="69250608"/>
    <s v="TRASSA"/>
    <n v="850008495"/>
    <n v="78070"/>
    <s v="SAL"/>
    <s v="AM07"/>
    <s v="PROCEDIMIENTOS TERAPEUTICOS"/>
    <s v="PROCEDIMIENTOS TERAPEUTICOS"/>
    <s v="PROCEDIMIENTOS TERAPEUTICOS"/>
    <n v="0"/>
    <n v="0"/>
    <n v="96617350"/>
    <n v="5"/>
    <s v="SIN ISAPRE"/>
    <s v="CROJO@AFPHABITAT.CL"/>
    <s v="9209607|96617350|371096865|65383717"/>
    <s v="GASTO FISICO"/>
    <b v="0"/>
    <s v="DEPOSITADO EN CUENTA"/>
  </r>
  <r>
    <s v="12 DE SEPTIEMBRE DE 2025"/>
    <x v="71"/>
    <s v="KAROLINA VICTORIA ESPINOZA ARCE"/>
    <n v="15344033"/>
    <s v="KAROLINA VICTORIA ESPINOZA ARCE"/>
    <d v="2025-01-01T00:00:00"/>
    <s v="INICIAL"/>
    <n v="371132439"/>
    <n v="371132439"/>
    <n v="1423"/>
    <n v="996"/>
    <n v="427"/>
    <n v="0"/>
    <n v="427"/>
    <n v="371132439"/>
    <n v="285123"/>
    <s v="CORP DE BIENESTAR DEL PERSONAL DE A F P"/>
    <d v="2025-01-29T00:00:00"/>
    <d v="2025-01-29T00:00:00"/>
    <d v="2025-01-29T00:00:00"/>
    <d v="2025-01-29T00:00:00"/>
    <s v="AMBULATORIOS"/>
    <n v="22560923"/>
    <n v="2040929"/>
    <n v="68809241"/>
    <s v="TRASSA"/>
    <n v="2022025"/>
    <n v="77562"/>
    <s v="SAL"/>
    <s v="AM04"/>
    <s v="EXAMENES DE LABORATORIO"/>
    <s v="EXAMENES DE LABORATORIO"/>
    <s v="EXAMENES DE LABORATORIO"/>
    <s v="IMED SALUD"/>
    <n v="0"/>
    <n v="96530470"/>
    <n v="3"/>
    <s v="BANMÉDICA"/>
    <s v="KESPINOZ@AFPHABITAT.CL"/>
    <s v="15344033|96530470|371132439|371132439"/>
    <s v="IMED SALUD"/>
    <b v="1"/>
    <s v="APORTE VIA IMED"/>
  </r>
  <r>
    <s v="12 DE SEPTIEMBRE DE 2025"/>
    <x v="71"/>
    <s v="KAROLINA VICTORIA ESPINOZA ARCE"/>
    <n v="15344033"/>
    <s v="KAROLINA VICTORIA ESPINOZA ARCE"/>
    <d v="2025-03-01T00:00:00"/>
    <s v="DUPLICADO"/>
    <n v="371132439"/>
    <n v="65384273"/>
    <n v="383"/>
    <n v="0"/>
    <n v="383"/>
    <n v="0"/>
    <n v="383"/>
    <n v="371132439"/>
    <n v="285123"/>
    <s v="CORP DE BIENESTAR DEL PERSONAL DE A F P"/>
    <d v="2025-03-01T00:00:00"/>
    <d v="2025-03-26T00:00:00"/>
    <d v="2025-01-29T00:00:00"/>
    <d v="2025-01-29T00:00:00"/>
    <s v="AMBULATORIOS"/>
    <n v="22770464"/>
    <n v="3311105"/>
    <n v="69251146"/>
    <s v="TRASSA"/>
    <n v="37507648"/>
    <n v="78070"/>
    <s v="SAL"/>
    <s v="AM04"/>
    <s v="EXAMENES DE LABORATORIO"/>
    <s v="EXAMENES DE LABORATORIO"/>
    <s v="EXAMENES DE LABORATORIO"/>
    <n v="0"/>
    <n v="0"/>
    <n v="96530470"/>
    <n v="3"/>
    <s v="SIN ISAPRE"/>
    <s v="KESPINOZ@AFPHABITAT.CL"/>
    <s v="15344033|96530470|371132439|65384273"/>
    <s v="GASTO FISICO"/>
    <b v="0"/>
    <s v="DEPOSITADO EN CUENTA"/>
  </r>
  <r>
    <s v="12 DE SEPTIEMBRE DE 2025"/>
    <x v="85"/>
    <s v="CESAR SCARCELA LARIO"/>
    <n v="19204324"/>
    <s v="CESAR SCARCELA LARIO"/>
    <d v="2025-01-01T00:00:00"/>
    <s v="INICIAL"/>
    <n v="371164415"/>
    <n v="371164415"/>
    <n v="33869"/>
    <n v="23708"/>
    <n v="10161"/>
    <n v="0"/>
    <n v="10161"/>
    <n v="371164415"/>
    <n v="285123"/>
    <s v="CORP DE BIENESTAR DEL PERSONAL DE A F P"/>
    <d v="2025-01-29T00:00:00"/>
    <d v="2025-01-29T00:00:00"/>
    <d v="2025-01-29T00:00:00"/>
    <d v="2025-01-29T00:00:00"/>
    <s v="SALUD MENTAL"/>
    <n v="22560938"/>
    <n v="2040929"/>
    <n v="68809746"/>
    <s v="TRASSA"/>
    <n v="2022025"/>
    <n v="77562"/>
    <s v="SAL"/>
    <s v="SM01"/>
    <s v="CONSULTA O SESIONES PSIQUIATRICAS"/>
    <s v="CONSULTA PSIQUIATRICA"/>
    <s v="CONSULTA PSIQUIATRICA"/>
    <s v="IMED SALUD"/>
    <n v="0"/>
    <n v="60910000"/>
    <n v="1"/>
    <s v="BANMÉDICA"/>
    <s v="CSCARCEL@AFPHABITAT.CL"/>
    <s v="19204324|60910000|371164415|371164415"/>
    <s v="IMED SALUD"/>
    <b v="1"/>
    <s v="APORTE VIA IMED"/>
  </r>
  <r>
    <s v="12 DE SEPTIEMBRE DE 2025"/>
    <x v="85"/>
    <s v="CESAR SCARCELA LARIO"/>
    <n v="19204324"/>
    <s v="CESAR SCARCELA LARIO"/>
    <d v="2025-03-01T00:00:00"/>
    <s v="DUPLICADO"/>
    <n v="371164415"/>
    <n v="65384478"/>
    <n v="9981"/>
    <n v="0"/>
    <n v="9981"/>
    <n v="0"/>
    <n v="9981"/>
    <n v="371164415"/>
    <n v="285123"/>
    <s v="CORP DE BIENESTAR DEL PERSONAL DE A F P"/>
    <d v="2025-03-01T00:00:00"/>
    <d v="2025-03-26T00:00:00"/>
    <d v="2025-01-29T00:00:00"/>
    <d v="2025-01-29T00:00:00"/>
    <s v="SALUD MENTAL"/>
    <n v="22770466"/>
    <n v="3311105"/>
    <n v="69251344"/>
    <s v="TRASSA"/>
    <n v="19204324"/>
    <n v="78070"/>
    <s v="SAL"/>
    <s v="SM01"/>
    <s v="CONSULTA O SESIONES PSIQUIATRICAS"/>
    <s v="CONSULTA PSIQUIATRICA"/>
    <s v="CONSULTA PSIQUIATRICA"/>
    <n v="0"/>
    <n v="0"/>
    <n v="60910000"/>
    <n v="1"/>
    <s v="SIN ISAPRE"/>
    <s v="CSCARCEL@AFPHABITAT.CL"/>
    <s v="19204324|60910000|371164415|65384478"/>
    <s v="GASTO FISICO"/>
    <b v="0"/>
    <s v="DEPOSITADO EN CUENTA"/>
  </r>
  <r>
    <s v="12 DE SEPTIEMBRE DE 2025"/>
    <x v="17"/>
    <s v="VICTORIA OLIVIA BARDET DIAZ"/>
    <n v="17408534"/>
    <s v="VICTORIA OLIVIA BARDET DIAZ"/>
    <d v="2025-01-01T00:00:00"/>
    <s v="INICIAL"/>
    <n v="371184002"/>
    <n v="371184002"/>
    <n v="65473"/>
    <n v="49106"/>
    <n v="16367"/>
    <n v="0"/>
    <n v="16367"/>
    <n v="371184002"/>
    <n v="285123"/>
    <s v="CORP DE BIENESTAR DEL PERSONAL DE A F P"/>
    <d v="2025-01-30T00:00:00"/>
    <d v="2025-01-30T00:00:00"/>
    <d v="2025-01-30T00:00:00"/>
    <d v="2025-01-30T00:00:00"/>
    <s v="AMBULATORIOS"/>
    <n v="22560980"/>
    <n v="2040929"/>
    <n v="68810080"/>
    <s v="TRASSA"/>
    <n v="2022025"/>
    <n v="77562"/>
    <s v="SAL"/>
    <s v="AM05"/>
    <s v="EXAMENES RADIOLOGICOS"/>
    <s v="EXAMENES RADIOLOGICOS"/>
    <s v="EXAMENES RADIOLOGICOS"/>
    <s v="IMED SALUD"/>
    <n v="0"/>
    <n v="76055963"/>
    <n v="6"/>
    <s v="BANMÉDICA"/>
    <s v="VICTORIA.BARDET@AFPHABITAT.CL"/>
    <s v="17408534|76055963|371184002|371184002"/>
    <s v="IMED SALUD"/>
    <b v="1"/>
    <s v="APORTE VIA IMED"/>
  </r>
  <r>
    <s v="12 DE SEPTIEMBRE DE 2025"/>
    <x v="17"/>
    <s v="VICTORIA OLIVIA BARDEL DIAZ"/>
    <n v="17408534"/>
    <s v="VICTORIA OLIVIA BARDEL DIAZ"/>
    <d v="2025-03-01T00:00:00"/>
    <s v="DUPLICADO"/>
    <n v="371184002"/>
    <n v="65384416"/>
    <n v="16890"/>
    <n v="0"/>
    <n v="16890"/>
    <n v="0"/>
    <n v="16890"/>
    <n v="371184002"/>
    <n v="285123"/>
    <s v="CORP DE BIENESTAR DEL PERSONAL DE A F P"/>
    <d v="2025-03-01T00:00:00"/>
    <d v="2025-03-26T00:00:00"/>
    <d v="2025-01-30T00:00:00"/>
    <d v="2025-01-30T00:00:00"/>
    <s v="AMBULATORIOS"/>
    <n v="22770476"/>
    <n v="3311105"/>
    <n v="69251286"/>
    <s v="TRASSA"/>
    <n v="65704633"/>
    <n v="78070"/>
    <s v="SAL"/>
    <s v="AM05"/>
    <s v="EXAMENES RADIOLOGICOS"/>
    <s v="EXAMENES RADIOLOGICOS"/>
    <s v="EXAMENES RADIOLOGICOS"/>
    <n v="0"/>
    <n v="0"/>
    <n v="76055963"/>
    <n v="6"/>
    <s v="SIN ISAPRE"/>
    <s v="VICTORIA.BARDET@AFPHABITAT.CL"/>
    <s v="17408534|76055963|371184002|65384416"/>
    <s v="GASTO FISICO"/>
    <b v="0"/>
    <s v="DEPOSITADO EN CUENTA"/>
  </r>
  <r>
    <s v="12 DE SEPTIEMBRE DE 2025"/>
    <x v="86"/>
    <s v="CLAUDIA RODRIGUEZ SANCHEZ"/>
    <n v="12097117"/>
    <s v="CLAUDIA RODRIGUEZ SANCHEZ"/>
    <d v="2025-01-01T00:00:00"/>
    <s v="INICIAL"/>
    <n v="371187102"/>
    <n v="371187102"/>
    <n v="52364"/>
    <n v="36655"/>
    <n v="15709"/>
    <n v="0"/>
    <n v="15709"/>
    <n v="371187102"/>
    <n v="285123"/>
    <s v="CORP DE BIENESTAR DEL PERSONAL DE A F P"/>
    <d v="2025-01-30T00:00:00"/>
    <d v="2025-01-30T00:00:00"/>
    <d v="2025-01-30T00:00:00"/>
    <d v="2025-01-30T00:00:00"/>
    <s v="AMBULATORIOS"/>
    <n v="22560960"/>
    <n v="2040929"/>
    <n v="68810148"/>
    <s v="TRASSA"/>
    <n v="2022025"/>
    <n v="77562"/>
    <s v="SAL"/>
    <s v="AM05"/>
    <s v="EXAMENES RADIOLOGICOS"/>
    <s v="EXAMENES RADIOLOGICOS"/>
    <s v="EXAMENES RADIOLOGICOS"/>
    <s v="IMED SALUD"/>
    <n v="0"/>
    <n v="70095900"/>
    <n v="7"/>
    <s v="VIDA TRES"/>
    <s v="CLAUDIA.RODRIGUEZ@AFPHABITAT.CL"/>
    <s v="12097117|70095900|371187102|371187102"/>
    <s v="IMED SALUD"/>
    <b v="1"/>
    <s v="APORTE VIA IMED"/>
  </r>
  <r>
    <s v="12 DE SEPTIEMBRE DE 2025"/>
    <x v="86"/>
    <s v="CLAUDIA RODRIGUEZ SANCHEZ"/>
    <n v="12097117"/>
    <s v="CLAUDIA RODRIGUEZ SANCHEZ"/>
    <d v="2025-03-01T00:00:00"/>
    <s v="DUPLICADO"/>
    <n v="371187102"/>
    <n v="65383987"/>
    <n v="15737"/>
    <n v="0"/>
    <n v="15737"/>
    <n v="0"/>
    <n v="15737"/>
    <n v="371187102"/>
    <n v="285123"/>
    <s v="CORP DE BIENESTAR DEL PERSONAL DE A F P"/>
    <d v="2025-03-01T00:00:00"/>
    <d v="2025-03-26T00:00:00"/>
    <d v="2025-01-30T00:00:00"/>
    <d v="2025-01-30T00:00:00"/>
    <s v="AMBULATORIOS"/>
    <n v="22770470"/>
    <n v="3311105"/>
    <n v="69250875"/>
    <s v="TRASSA"/>
    <n v="14251405"/>
    <n v="78070"/>
    <s v="SAL"/>
    <s v="AM05"/>
    <s v="EXAMENES RADIOLOGICOS"/>
    <s v="EXAMENES RADIOLOGICOS"/>
    <s v="EXAMENES RADIOLOGICOS"/>
    <n v="0"/>
    <n v="0"/>
    <n v="70095900"/>
    <n v="7"/>
    <s v="SIN ISAPRE"/>
    <s v="CLAUDIA.RODRIGUEZ@AFPHABITAT.CL"/>
    <s v="12097117|70095900|371187102|65383987"/>
    <s v="GASTO FISICO"/>
    <b v="0"/>
    <s v="DEPOSITADO EN CUENTA"/>
  </r>
  <r>
    <s v="12 DE SEPTIEMBRE DE 2025"/>
    <x v="86"/>
    <s v="CLAUDIA RODRIGUEZ SANCHEZ"/>
    <n v="12097117"/>
    <s v="CLAUDIA RODRIGUEZ SANCHEZ"/>
    <d v="2025-01-01T00:00:00"/>
    <s v="INICIAL"/>
    <n v="371196291"/>
    <n v="371196291"/>
    <n v="18876"/>
    <n v="13213"/>
    <n v="5663"/>
    <n v="0"/>
    <n v="5663"/>
    <n v="371196291"/>
    <n v="285123"/>
    <s v="CORP DE BIENESTAR DEL PERSONAL DE A F P"/>
    <d v="2025-01-30T00:00:00"/>
    <d v="2025-01-30T00:00:00"/>
    <d v="2025-01-30T00:00:00"/>
    <d v="2025-01-30T00:00:00"/>
    <s v="AMBULATORIOS"/>
    <n v="22560960"/>
    <n v="2040929"/>
    <n v="68810314"/>
    <s v="TRASSA"/>
    <n v="2022025"/>
    <n v="77562"/>
    <s v="SAL"/>
    <s v="AM05"/>
    <s v="EXAMENES RADIOLOGICOS"/>
    <s v="EXAMENES RADIOLOGICOS"/>
    <s v="EXAMENES RADIOLOGICOS"/>
    <s v="IMED SALUD"/>
    <n v="0"/>
    <n v="70095900"/>
    <n v="7"/>
    <s v="VIDA TRES"/>
    <s v="CLAUDIA.RODRIGUEZ@AFPHABITAT.CL"/>
    <s v="12097117|70095900|371196291|371196291"/>
    <s v="IMED SALUD"/>
    <b v="1"/>
    <s v="APORTE VIA IMED"/>
  </r>
  <r>
    <s v="12 DE SEPTIEMBRE DE 2025"/>
    <x v="86"/>
    <s v="CLAUDIA RODRIGUEZ SANCHEZ"/>
    <n v="12097117"/>
    <s v="CLAUDIA RODRIGUEZ SANCHEZ"/>
    <d v="2025-03-01T00:00:00"/>
    <s v="DUPLICADO"/>
    <n v="371196291"/>
    <n v="65383988"/>
    <n v="5758"/>
    <n v="0"/>
    <n v="5758"/>
    <n v="0"/>
    <n v="5758"/>
    <n v="371196291"/>
    <n v="285123"/>
    <s v="CORP DE BIENESTAR DEL PERSONAL DE A F P"/>
    <d v="2025-03-01T00:00:00"/>
    <d v="2025-03-26T00:00:00"/>
    <d v="2025-01-30T00:00:00"/>
    <d v="2025-01-30T00:00:00"/>
    <s v="AMBULATORIOS"/>
    <n v="22770470"/>
    <n v="3311105"/>
    <n v="69250876"/>
    <s v="TRASSA"/>
    <n v="14251405"/>
    <n v="78070"/>
    <s v="SAL"/>
    <s v="AM05"/>
    <s v="EXAMENES RADIOLOGICOS"/>
    <s v="EXAMENES RADIOLOGICOS"/>
    <s v="EXAMENES RADIOLOGICOS"/>
    <n v="0"/>
    <n v="0"/>
    <n v="70095900"/>
    <n v="7"/>
    <s v="SIN ISAPRE"/>
    <s v="CLAUDIA.RODRIGUEZ@AFPHABITAT.CL"/>
    <s v="12097117|70095900|371196291|65383988"/>
    <s v="GASTO FISICO"/>
    <b v="0"/>
    <s v="DEPOSITADO EN CUENTA"/>
  </r>
  <r>
    <s v="12 DE SEPTIEMBRE DE 2025"/>
    <x v="87"/>
    <s v="JOSE MIGUEL VALDIVIA NUÑEZ"/>
    <n v="16615487"/>
    <s v="CRISTHEL VENEGAS BUSTOS"/>
    <d v="2025-01-01T00:00:00"/>
    <s v="INICIAL"/>
    <n v="371198062"/>
    <n v="371198062"/>
    <n v="42027"/>
    <n v="29420"/>
    <n v="12607"/>
    <n v="0"/>
    <n v="12607"/>
    <n v="371198062"/>
    <n v="285123"/>
    <s v="CORP DE BIENESTAR DEL PERSONAL DE A F P"/>
    <d v="2025-01-30T00:00:00"/>
    <d v="2025-01-30T00:00:00"/>
    <d v="2025-01-30T00:00:00"/>
    <d v="2025-01-30T00:00:00"/>
    <s v="AMBULATORIOS"/>
    <n v="22560974"/>
    <n v="2040929"/>
    <n v="68810349"/>
    <s v="TRASSA"/>
    <n v="2022025"/>
    <n v="77562"/>
    <s v="SAL"/>
    <s v="AM04"/>
    <s v="EXAMENES DE LABORATORIO"/>
    <s v="EXAMENES DE LABORATORIO"/>
    <s v="EXAMENES DE LABORATORIO"/>
    <s v="IMED SALUD"/>
    <n v="0"/>
    <n v="96530470"/>
    <n v="3"/>
    <s v="BANMÉDICA"/>
    <s v="JVALDIVN@AFPHABITAT.CL"/>
    <s v="15510748|96530470|371198062|371198062"/>
    <s v="IMED SALUD"/>
    <b v="1"/>
    <s v="APORTE VIA IMED"/>
  </r>
  <r>
    <s v="12 DE SEPTIEMBRE DE 2025"/>
    <x v="87"/>
    <s v="JOSE MIGUEL VALDIVIA NUÑEZ"/>
    <n v="16615487"/>
    <s v="CRISTHEL VENEGAS BUSTOS"/>
    <d v="2025-03-01T00:00:00"/>
    <s v="DUPLICADO"/>
    <n v="371198062"/>
    <n v="65384298"/>
    <n v="12281"/>
    <n v="0"/>
    <n v="12281"/>
    <n v="0"/>
    <n v="12281"/>
    <n v="371198062"/>
    <n v="285123"/>
    <s v="CORP DE BIENESTAR DEL PERSONAL DE A F P"/>
    <d v="2025-03-01T00:00:00"/>
    <d v="2025-03-26T00:00:00"/>
    <d v="2025-01-30T00:00:00"/>
    <d v="2025-01-30T00:00:00"/>
    <s v="AMBULATORIOS"/>
    <n v="22770475"/>
    <n v="3311105"/>
    <n v="69251181"/>
    <s v="TRASSA"/>
    <n v="104294701"/>
    <n v="78070"/>
    <s v="SAL"/>
    <s v="AM04"/>
    <s v="EXAMENES DE LABORATORIO"/>
    <s v="EXAMENES DE LABORATORIO"/>
    <s v="EXAMENES DE LABORATORIO"/>
    <n v="0"/>
    <n v="0"/>
    <n v="96530470"/>
    <n v="3"/>
    <s v="SIN ISAPRE"/>
    <s v="JVALDIVN@AFPHABITAT.CL"/>
    <s v="15510748|96530470|371198062|65384298"/>
    <s v="GASTO FISICO"/>
    <b v="0"/>
    <s v="DEPOSITADO EN CUENTA"/>
  </r>
  <r>
    <s v="12 DE SEPTIEMBRE DE 2025"/>
    <x v="88"/>
    <s v="URSULA NAHIR ROJAS MARTINEZ"/>
    <n v="17816435"/>
    <s v="URSULA NAHIR ROJAS MARTINEZ"/>
    <d v="2025-01-01T00:00:00"/>
    <s v="INICIAL"/>
    <n v="371225448"/>
    <n v="371225448"/>
    <n v="33472"/>
    <n v="23430"/>
    <n v="10042"/>
    <n v="0"/>
    <n v="10042"/>
    <n v="371225448"/>
    <n v="285123"/>
    <s v="CORP DE BIENESTAR DEL PERSONAL DE A F P"/>
    <d v="2025-01-31T00:00:00"/>
    <d v="2025-01-31T00:00:00"/>
    <d v="2025-01-31T00:00:00"/>
    <d v="2025-01-31T00:00:00"/>
    <s v="AMBULATORIOS"/>
    <n v="22561025"/>
    <n v="2040929"/>
    <n v="68810742"/>
    <s v="TRASSA"/>
    <n v="2022025"/>
    <n v="77562"/>
    <s v="SAL"/>
    <s v="AM04"/>
    <s v="EXAMENES DE LABORATORIO"/>
    <s v="EXAMENES DE LABORATORIO"/>
    <s v="EXAMENES DE LABORATORIO"/>
    <s v="IMED SALUD"/>
    <n v="0"/>
    <n v="99573490"/>
    <n v="7"/>
    <s v="BANMÉDICA"/>
    <s v="UROJASM@AFPHABITAT.CL"/>
    <s v="17816435|99573490|371225448|371225448"/>
    <s v="IMED SALUD"/>
    <b v="1"/>
    <s v="APORTE VIA IMED"/>
  </r>
  <r>
    <s v="12 DE SEPTIEMBRE DE 2025"/>
    <x v="88"/>
    <s v="URSULA NAHIR ROJAS MARTINEZ"/>
    <n v="17816435"/>
    <s v="URSULA NAHIR ROJAS MARTINEZ"/>
    <d v="2025-03-01T00:00:00"/>
    <s v="DUPLICADO"/>
    <n v="371225448"/>
    <n v="65384438"/>
    <n v="9977"/>
    <n v="0"/>
    <n v="9977"/>
    <n v="0"/>
    <n v="9977"/>
    <n v="371225448"/>
    <n v="285123"/>
    <s v="CORP DE BIENESTAR DEL PERSONAL DE A F P"/>
    <d v="2025-03-01T00:00:00"/>
    <d v="2025-03-26T00:00:00"/>
    <d v="2025-01-31T00:00:00"/>
    <d v="2025-01-31T00:00:00"/>
    <s v="AMBULATORIOS"/>
    <n v="22770489"/>
    <n v="3311105"/>
    <n v="69251306"/>
    <s v="TRASSA"/>
    <n v="63306417"/>
    <n v="78070"/>
    <s v="SAL"/>
    <s v="AM04"/>
    <s v="EXAMENES DE LABORATORIO"/>
    <s v="EXAMENES DE LABORATORIO"/>
    <s v="EXAMENES DE LABORATORIO"/>
    <n v="0"/>
    <n v="0"/>
    <n v="99573490"/>
    <n v="7"/>
    <s v="SIN ISAPRE"/>
    <s v="UROJASM@AFPHABITAT.CL"/>
    <s v="17816435|99573490|371225448|65384438"/>
    <s v="GASTO FISICO"/>
    <b v="0"/>
    <s v="DEPOSITADO EN CUENTA"/>
  </r>
  <r>
    <s v="12 DE SEPTIEMBRE DE 2025"/>
    <x v="88"/>
    <s v="URSULA NAHIR ROJAS MARTINEZ"/>
    <n v="17816435"/>
    <s v="URSULA NAHIR ROJAS MARTINEZ"/>
    <d v="2025-01-01T00:00:00"/>
    <s v="INICIAL"/>
    <n v="371225449"/>
    <n v="371225449"/>
    <n v="44336"/>
    <n v="31036"/>
    <n v="13300"/>
    <n v="0"/>
    <n v="13300"/>
    <n v="371225449"/>
    <n v="285123"/>
    <s v="CORP DE BIENESTAR DEL PERSONAL DE A F P"/>
    <d v="2025-01-31T00:00:00"/>
    <d v="2025-01-31T00:00:00"/>
    <d v="2025-01-31T00:00:00"/>
    <d v="2025-01-31T00:00:00"/>
    <s v="AMBULATORIOS"/>
    <n v="22561025"/>
    <n v="2040929"/>
    <n v="68810741"/>
    <s v="TRASSA"/>
    <n v="2022025"/>
    <n v="77562"/>
    <s v="SAL"/>
    <s v="AM04"/>
    <s v="EXAMENES DE LABORATORIO"/>
    <s v="EXAMENES DE LABORATORIO"/>
    <s v="EXAMENES DE LABORATORIO"/>
    <s v="IMED SALUD"/>
    <n v="0"/>
    <n v="99573490"/>
    <n v="7"/>
    <s v="BANMÉDICA"/>
    <s v="UROJASM@AFPHABITAT.CL"/>
    <s v="17816435|99573490|371225449|371225449"/>
    <s v="IMED SALUD"/>
    <b v="1"/>
    <s v="APORTE VIA IMED"/>
  </r>
  <r>
    <s v="12 DE SEPTIEMBRE DE 2025"/>
    <x v="88"/>
    <s v="URSULA NAHIR ROJAS MARTINEZ"/>
    <n v="17816435"/>
    <s v="URSULA NAHIR ROJAS MARTINEZ"/>
    <d v="2025-03-01T00:00:00"/>
    <s v="DUPLICADO"/>
    <n v="371225449"/>
    <n v="65384439"/>
    <n v="13432"/>
    <n v="0"/>
    <n v="13432"/>
    <n v="0"/>
    <n v="13432"/>
    <n v="371225449"/>
    <n v="285123"/>
    <s v="CORP DE BIENESTAR DEL PERSONAL DE A F P"/>
    <d v="2025-03-01T00:00:00"/>
    <d v="2025-03-26T00:00:00"/>
    <d v="2025-01-31T00:00:00"/>
    <d v="2025-01-31T00:00:00"/>
    <s v="AMBULATORIOS"/>
    <n v="22770489"/>
    <n v="3311105"/>
    <n v="69251307"/>
    <s v="TRASSA"/>
    <n v="63306417"/>
    <n v="78070"/>
    <s v="SAL"/>
    <s v="AM04"/>
    <s v="EXAMENES DE LABORATORIO"/>
    <s v="EXAMENES DE LABORATORIO"/>
    <s v="EXAMENES DE LABORATORIO"/>
    <n v="0"/>
    <n v="0"/>
    <n v="99573490"/>
    <n v="7"/>
    <s v="SIN ISAPRE"/>
    <s v="UROJASM@AFPHABITAT.CL"/>
    <s v="17816435|99573490|371225449|65384439"/>
    <s v="GASTO FISICO"/>
    <b v="0"/>
    <s v="DEPOSITADO EN CUENTA"/>
  </r>
  <r>
    <s v="12 DE SEPTIEMBRE DE 2025"/>
    <x v="88"/>
    <s v="URSULA NAHIR ROJAS MARTINEZ"/>
    <n v="17816435"/>
    <s v="URSULA NAHIR ROJAS MARTINEZ"/>
    <d v="2025-01-01T00:00:00"/>
    <s v="INICIAL"/>
    <n v="371225450"/>
    <n v="371225450"/>
    <n v="71056"/>
    <n v="49740"/>
    <n v="21316"/>
    <n v="0"/>
    <n v="21316"/>
    <n v="371225450"/>
    <n v="285123"/>
    <s v="CORP DE BIENESTAR DEL PERSONAL DE A F P"/>
    <d v="2025-01-31T00:00:00"/>
    <d v="2025-01-31T00:00:00"/>
    <d v="2025-01-31T00:00:00"/>
    <d v="2025-01-31T00:00:00"/>
    <s v="AMBULATORIOS"/>
    <n v="22561025"/>
    <n v="2040929"/>
    <n v="68810740"/>
    <s v="TRASSA"/>
    <n v="2022025"/>
    <n v="77562"/>
    <s v="SAL"/>
    <s v="AM04"/>
    <s v="EXAMENES DE LABORATORIO"/>
    <s v="EXAMENES DE LABORATORIO"/>
    <s v="EXAMENES DE LABORATORIO"/>
    <s v="IMED SALUD"/>
    <n v="0"/>
    <n v="99573490"/>
    <n v="7"/>
    <s v="BANMÉDICA"/>
    <s v="UROJASM@AFPHABITAT.CL"/>
    <s v="17816435|99573490|371225450|371225450"/>
    <s v="IMED SALUD"/>
    <b v="1"/>
    <s v="APORTE VIA IMED"/>
  </r>
  <r>
    <s v="12 DE SEPTIEMBRE DE 2025"/>
    <x v="88"/>
    <s v="URSULA NAHIR ROJAS MARTINEZ"/>
    <n v="17816435"/>
    <s v="URSULA NAHIR ROJAS MARTINEZ"/>
    <d v="2025-03-01T00:00:00"/>
    <s v="DUPLICADO"/>
    <n v="371225450"/>
    <n v="65384440"/>
    <n v="20725"/>
    <n v="0"/>
    <n v="20725"/>
    <n v="0"/>
    <n v="20725"/>
    <n v="371225450"/>
    <n v="285123"/>
    <s v="CORP DE BIENESTAR DEL PERSONAL DE A F P"/>
    <d v="2025-03-01T00:00:00"/>
    <d v="2025-03-26T00:00:00"/>
    <d v="2025-01-31T00:00:00"/>
    <d v="2025-01-31T00:00:00"/>
    <s v="AMBULATORIOS"/>
    <n v="22770489"/>
    <n v="3311105"/>
    <n v="69251308"/>
    <s v="TRASSA"/>
    <n v="63306417"/>
    <n v="78070"/>
    <s v="SAL"/>
    <s v="AM04"/>
    <s v="EXAMENES DE LABORATORIO"/>
    <s v="EXAMENES DE LABORATORIO"/>
    <s v="EXAMENES DE LABORATORIO"/>
    <n v="0"/>
    <n v="0"/>
    <n v="99573490"/>
    <n v="7"/>
    <s v="SIN ISAPRE"/>
    <s v="UROJASM@AFPHABITAT.CL"/>
    <s v="17816435|99573490|371225450|65384440"/>
    <s v="GASTO FISICO"/>
    <b v="0"/>
    <s v="DEPOSITADO EN CUENTA"/>
  </r>
  <r>
    <s v="12 DE SEPTIEMBRE DE 2025"/>
    <x v="88"/>
    <s v="URSULA NAHIR ROJAS MARTINEZ"/>
    <n v="17816435"/>
    <s v="URSULA NAHIR ROJAS MARTINEZ"/>
    <d v="2025-01-01T00:00:00"/>
    <s v="INICIAL"/>
    <n v="371225597"/>
    <n v="371225597"/>
    <n v="9856"/>
    <n v="6899"/>
    <n v="2957"/>
    <n v="0"/>
    <n v="2957"/>
    <n v="371225597"/>
    <n v="285123"/>
    <s v="CORP DE BIENESTAR DEL PERSONAL DE A F P"/>
    <d v="2025-01-31T00:00:00"/>
    <d v="2025-01-31T00:00:00"/>
    <d v="2025-01-31T00:00:00"/>
    <d v="2025-01-31T00:00:00"/>
    <s v="AMBULATORIOS"/>
    <n v="22561025"/>
    <n v="2040929"/>
    <n v="68810745"/>
    <s v="TRASSA"/>
    <n v="2022025"/>
    <n v="77562"/>
    <s v="SAL"/>
    <s v="AM04"/>
    <s v="EXAMENES DE LABORATORIO"/>
    <s v="EXAMENES DE LABORATORIO"/>
    <s v="EXAMENES DE LABORATORIO"/>
    <s v="IMED SALUD"/>
    <n v="0"/>
    <n v="99573490"/>
    <n v="7"/>
    <s v="BANMÉDICA"/>
    <s v="UROJASM@AFPHABITAT.CL"/>
    <s v="17816435|99573490|371225597|371225597"/>
    <s v="IMED SALUD"/>
    <b v="1"/>
    <s v="APORTE VIA IMED"/>
  </r>
  <r>
    <s v="12 DE SEPTIEMBRE DE 2025"/>
    <x v="88"/>
    <s v="URSULA NAHIR ROJAS MARTINEZ"/>
    <n v="17816435"/>
    <s v="URSULA NAHIR ROJAS MARTINEZ"/>
    <d v="2025-03-01T00:00:00"/>
    <s v="DUPLICADO"/>
    <n v="371225597"/>
    <n v="65384441"/>
    <n v="3070"/>
    <n v="0"/>
    <n v="3070"/>
    <n v="0"/>
    <n v="3070"/>
    <n v="371225597"/>
    <n v="285123"/>
    <s v="CORP DE BIENESTAR DEL PERSONAL DE A F P"/>
    <d v="2025-03-01T00:00:00"/>
    <d v="2025-03-26T00:00:00"/>
    <d v="2025-01-31T00:00:00"/>
    <d v="2025-01-31T00:00:00"/>
    <s v="AMBULATORIOS"/>
    <n v="22770489"/>
    <n v="3311105"/>
    <n v="69251309"/>
    <s v="TRASSA"/>
    <n v="63306417"/>
    <n v="78070"/>
    <s v="SAL"/>
    <s v="AM04"/>
    <s v="EXAMENES DE LABORATORIO"/>
    <s v="EXAMENES DE LABORATORIO"/>
    <s v="EXAMENES DE LABORATORIO"/>
    <n v="0"/>
    <n v="0"/>
    <n v="99573490"/>
    <n v="7"/>
    <s v="SIN ISAPRE"/>
    <s v="UROJASM@AFPHABITAT.CL"/>
    <s v="17816435|99573490|371225597|65384441"/>
    <s v="GASTO FISICO"/>
    <b v="0"/>
    <s v="DEPOSITADO EN CUENTA"/>
  </r>
  <r>
    <s v="12 DE SEPTIEMBRE DE 2025"/>
    <x v="87"/>
    <s v="JOSE MIGUEL VALDIVIA NUÑEZ"/>
    <n v="16615487"/>
    <s v="CRISTHEL VENEGAS BUSTOS"/>
    <d v="2025-01-01T00:00:00"/>
    <s v="INICIAL"/>
    <n v="371260185"/>
    <n v="371260185"/>
    <n v="345378"/>
    <n v="283549"/>
    <n v="61829"/>
    <n v="0"/>
    <n v="61829"/>
    <n v="371260185"/>
    <n v="285123"/>
    <s v="CORP DE BIENESTAR DEL PERSONAL DE A F P"/>
    <d v="2025-01-31T00:00:00"/>
    <d v="2025-01-31T00:00:00"/>
    <d v="2025-01-31T00:00:00"/>
    <d v="2025-01-31T00:00:00"/>
    <s v="AMBULATORIOS"/>
    <n v="22561018"/>
    <n v="2040929"/>
    <n v="68811377"/>
    <s v="TRASSA"/>
    <n v="2022025"/>
    <n v="77562"/>
    <s v="SAL"/>
    <s v="AM05"/>
    <s v="EXAMENES RADIOLOGICOS"/>
    <s v="EXAMENES RADIOLOGICOS"/>
    <s v="EXAMENES RADIOLOGICOS"/>
    <s v="IMED SALUD"/>
    <n v="0"/>
    <n v="79980070"/>
    <n v="5"/>
    <s v="BANMÉDICA"/>
    <s v="JVALDIVN@AFPHABITAT.CL"/>
    <s v="15510748|79980070|371260185|371260185"/>
    <s v="IMED SALUD"/>
    <b v="1"/>
    <s v="APORTE VIA IMED"/>
  </r>
  <r>
    <s v="12 DE SEPTIEMBRE DE 2025"/>
    <x v="87"/>
    <s v="JOSE MIGUEL VALDIVIA NUÑEZ"/>
    <n v="16615487"/>
    <s v="CRISTHEL VENEGAS BUSTOS"/>
    <d v="2025-03-01T00:00:00"/>
    <s v="DUPLICADO"/>
    <n v="371260185"/>
    <n v="65384299"/>
    <n v="61798"/>
    <n v="0"/>
    <n v="61798"/>
    <n v="0"/>
    <n v="55418"/>
    <n v="371260185"/>
    <n v="285123"/>
    <s v="CORP DE BIENESTAR DEL PERSONAL DE A F P"/>
    <d v="2025-03-01T00:00:00"/>
    <d v="2025-03-26T00:00:00"/>
    <d v="2025-01-31T00:00:00"/>
    <d v="2025-01-31T00:00:00"/>
    <s v="AMBULATORIOS"/>
    <n v="22770486"/>
    <n v="3311105"/>
    <n v="69251182"/>
    <s v="TRASSA"/>
    <n v="104294701"/>
    <n v="78070"/>
    <s v="SAL"/>
    <s v="AM05"/>
    <s v="EXAMENES RADIOLOGICOS"/>
    <s v="EXAMENES RADIOLOGICOS"/>
    <s v="EXAMENES RADIOLOGICOS"/>
    <n v="0"/>
    <n v="0"/>
    <n v="79980070"/>
    <n v="5"/>
    <s v="SIN ISAPRE"/>
    <s v="JVALDIVN@AFPHABITAT.CL"/>
    <s v="15510748|79980070|371260185|65384299"/>
    <s v="GASTO FISICO"/>
    <b v="0"/>
    <s v="DEPOSITADO EN CUENTA"/>
  </r>
  <r>
    <s v="12 DE SEPTIEMBRE DE 2025"/>
    <x v="80"/>
    <s v="CAROLINA SANCHEZ ESPINOZA"/>
    <n v="11867573"/>
    <s v="CAROLINA SANCHEZ ESPINOZA"/>
    <d v="2025-02-01T00:00:00"/>
    <s v="INICIAL"/>
    <n v="371268340"/>
    <n v="371268340"/>
    <n v="29519"/>
    <n v="21819"/>
    <n v="7700"/>
    <n v="0"/>
    <n v="7700"/>
    <n v="371268340"/>
    <n v="285123"/>
    <s v="CORP DE BIENESTAR DEL PERSONAL DE A F P"/>
    <d v="2025-02-01T00:00:00"/>
    <d v="2025-02-01T00:00:00"/>
    <d v="2025-02-01T00:00:00"/>
    <d v="2025-02-01T00:00:00"/>
    <s v="AMBULATORIOS"/>
    <n v="22566099"/>
    <n v="2101551"/>
    <n v="68819698"/>
    <s v="TRASSA"/>
    <n v="9022025"/>
    <n v="77586"/>
    <s v="SAL"/>
    <s v="AM04"/>
    <s v="EXAMENES DE LABORATORIO"/>
    <s v="EXAMENES DE LABORATORIO"/>
    <s v="EXAMENES DE LABORATORIO"/>
    <s v="IMED SALUD"/>
    <n v="0"/>
    <n v="96617350"/>
    <n v="5"/>
    <s v="BANMÉDICA"/>
    <s v="CAROLINA.SANCHEZ.ESPINOZA@AFPHABITAT.CL"/>
    <s v="11867573|96617350|371268340|371268340"/>
    <s v="IMED SALUD"/>
    <b v="1"/>
    <s v="APORTE VIA IMED"/>
  </r>
  <r>
    <s v="12 DE SEPTIEMBRE DE 2025"/>
    <x v="80"/>
    <s v="CAROLINA SANCHEZ ESPINOZA"/>
    <n v="11867573"/>
    <s v="CAROLINA SANCHEZ ESPINOZA"/>
    <d v="2025-03-01T00:00:00"/>
    <s v="DUPLICADO"/>
    <n v="371268340"/>
    <n v="65383970"/>
    <n v="7289"/>
    <n v="0"/>
    <n v="7289"/>
    <n v="0"/>
    <n v="7289"/>
    <n v="371268340"/>
    <n v="285123"/>
    <s v="CORP DE BIENESTAR DEL PERSONAL DE A F P"/>
    <d v="2025-03-01T00:00:00"/>
    <d v="2025-03-26T00:00:00"/>
    <d v="2025-02-01T00:00:00"/>
    <d v="2025-02-01T00:00:00"/>
    <s v="AMBULATORIOS"/>
    <n v="22770505"/>
    <n v="3311105"/>
    <n v="69250858"/>
    <s v="TRASSA"/>
    <n v="6920217"/>
    <n v="78070"/>
    <s v="SAL"/>
    <s v="AM04"/>
    <s v="EXAMENES DE LABORATORIO"/>
    <s v="EXAMENES DE LABORATORIO"/>
    <s v="EXAMENES DE LABORATORIO"/>
    <n v="0"/>
    <n v="0"/>
    <n v="96617350"/>
    <n v="5"/>
    <s v="SIN ISAPRE"/>
    <s v="CAROLINA.SANCHEZ.ESPINOZA@AFPHABITAT.CL"/>
    <s v="11867573|96617350|371268340|65383970"/>
    <s v="GASTO FISICO"/>
    <b v="0"/>
    <s v="DEPOSITADO EN CUENTA"/>
  </r>
  <r>
    <s v="12 DE SEPTIEMBRE DE 2025"/>
    <x v="80"/>
    <s v="CAROLINA SANCHEZ ESPINOZA"/>
    <n v="11867573"/>
    <s v="CAROLINA SANCHEZ ESPINOZA"/>
    <d v="2025-02-01T00:00:00"/>
    <s v="INICIAL"/>
    <n v="371268341"/>
    <n v="371268341"/>
    <n v="11959"/>
    <n v="11529"/>
    <n v="430"/>
    <n v="0"/>
    <n v="430"/>
    <n v="371268341"/>
    <n v="285123"/>
    <s v="CORP DE BIENESTAR DEL PERSONAL DE A F P"/>
    <d v="2025-02-01T00:00:00"/>
    <d v="2025-02-01T00:00:00"/>
    <d v="2025-02-01T00:00:00"/>
    <d v="2025-02-01T00:00:00"/>
    <s v="AMBULATORIOS"/>
    <n v="22566099"/>
    <n v="2101551"/>
    <n v="68819697"/>
    <s v="TRASSA"/>
    <n v="9022025"/>
    <n v="77586"/>
    <s v="SAL"/>
    <s v="AM04"/>
    <s v="EXAMENES DE LABORATORIO"/>
    <s v="EXAMENES DE LABORATORIO"/>
    <s v="EXAMENES DE LABORATORIO"/>
    <s v="IMED SALUD"/>
    <n v="0"/>
    <n v="96617350"/>
    <n v="5"/>
    <s v="BANMÉDICA"/>
    <s v="CAROLINA.SANCHEZ.ESPINOZA@AFPHABITAT.CL"/>
    <s v="11867573|96617350|371268341|371268341"/>
    <s v="IMED SALUD"/>
    <b v="1"/>
    <s v="APORTE VIA IMED"/>
  </r>
  <r>
    <s v="12 DE SEPTIEMBRE DE 2025"/>
    <x v="80"/>
    <s v="CAROLINA SANCHEZ ESPINOZA"/>
    <n v="11867573"/>
    <s v="CAROLINA SANCHEZ ESPINOZA"/>
    <d v="2025-03-01T00:00:00"/>
    <s v="DUPLICADO"/>
    <n v="371268341"/>
    <n v="65383971"/>
    <n v="766"/>
    <n v="0"/>
    <n v="766"/>
    <n v="0"/>
    <n v="766"/>
    <n v="371268341"/>
    <n v="285123"/>
    <s v="CORP DE BIENESTAR DEL PERSONAL DE A F P"/>
    <d v="2025-03-01T00:00:00"/>
    <d v="2025-03-26T00:00:00"/>
    <d v="2025-02-01T00:00:00"/>
    <d v="2025-02-01T00:00:00"/>
    <s v="AMBULATORIOS"/>
    <n v="22770505"/>
    <n v="3311105"/>
    <n v="69250859"/>
    <s v="TRASSA"/>
    <n v="6920217"/>
    <n v="78070"/>
    <s v="SAL"/>
    <s v="AM04"/>
    <s v="EXAMENES DE LABORATORIO"/>
    <s v="EXAMENES DE LABORATORIO"/>
    <s v="EXAMENES DE LABORATORIO"/>
    <n v="0"/>
    <n v="0"/>
    <n v="96617350"/>
    <n v="5"/>
    <s v="SIN ISAPRE"/>
    <s v="CAROLINA.SANCHEZ.ESPINOZA@AFPHABITAT.CL"/>
    <s v="11867573|96617350|371268341|65383971"/>
    <s v="GASTO FISICO"/>
    <b v="0"/>
    <s v="DEPOSITADO EN CUENTA"/>
  </r>
  <r>
    <s v="12 DE SEPTIEMBRE DE 2025"/>
    <x v="80"/>
    <s v="CAROLINA SANCHEZ ESPINOZA"/>
    <n v="11867573"/>
    <s v="CAROLINA SANCHEZ ESPINOZA"/>
    <d v="2025-02-01T00:00:00"/>
    <s v="INICIAL"/>
    <n v="371268342"/>
    <n v="371268342"/>
    <n v="4649"/>
    <n v="2859"/>
    <n v="1790"/>
    <n v="0"/>
    <n v="1790"/>
    <n v="371268342"/>
    <n v="285123"/>
    <s v="CORP DE BIENESTAR DEL PERSONAL DE A F P"/>
    <d v="2025-02-01T00:00:00"/>
    <d v="2025-02-01T00:00:00"/>
    <d v="2025-02-01T00:00:00"/>
    <d v="2025-02-01T00:00:00"/>
    <s v="AMBULATORIOS"/>
    <n v="22566099"/>
    <n v="2101551"/>
    <n v="68819696"/>
    <s v="TRASSA"/>
    <n v="9022025"/>
    <n v="77586"/>
    <s v="SAL"/>
    <s v="AM04"/>
    <s v="EXAMENES DE LABORATORIO"/>
    <s v="EXAMENES DE LABORATORIO"/>
    <s v="EXAMENES DE LABORATORIO"/>
    <s v="IMED SALUD"/>
    <n v="0"/>
    <n v="96617350"/>
    <n v="5"/>
    <s v="BANMÉDICA"/>
    <s v="CAROLINA.SANCHEZ.ESPINOZA@AFPHABITAT.CL"/>
    <s v="11867573|96617350|371268342|371268342"/>
    <s v="IMED SALUD"/>
    <b v="1"/>
    <s v="APORTE VIA IMED"/>
  </r>
  <r>
    <s v="12 DE SEPTIEMBRE DE 2025"/>
    <x v="80"/>
    <s v="CAROLINA SANCHEZ ESPINOZA"/>
    <n v="11867573"/>
    <s v="CAROLINA SANCHEZ ESPINOZA"/>
    <d v="2025-03-01T00:00:00"/>
    <s v="DUPLICADO"/>
    <n v="371268342"/>
    <n v="65383972"/>
    <n v="1918"/>
    <n v="0"/>
    <n v="1918"/>
    <n v="0"/>
    <n v="1918"/>
    <n v="371268342"/>
    <n v="285123"/>
    <s v="CORP DE BIENESTAR DEL PERSONAL DE A F P"/>
    <d v="2025-03-01T00:00:00"/>
    <d v="2025-03-26T00:00:00"/>
    <d v="2025-02-01T00:00:00"/>
    <d v="2025-02-01T00:00:00"/>
    <s v="AMBULATORIOS"/>
    <n v="22770505"/>
    <n v="3311105"/>
    <n v="69250860"/>
    <s v="TRASSA"/>
    <n v="6920217"/>
    <n v="78070"/>
    <s v="SAL"/>
    <s v="AM04"/>
    <s v="EXAMENES DE LABORATORIO"/>
    <s v="EXAMENES DE LABORATORIO"/>
    <s v="EXAMENES DE LABORATORIO"/>
    <n v="0"/>
    <n v="0"/>
    <n v="96617350"/>
    <n v="5"/>
    <s v="SIN ISAPRE"/>
    <s v="CAROLINA.SANCHEZ.ESPINOZA@AFPHABITAT.CL"/>
    <s v="11867573|96617350|371268342|65383972"/>
    <s v="GASTO FISICO"/>
    <b v="0"/>
    <s v="DEPOSITADO EN CUENTA"/>
  </r>
  <r>
    <s v="12 DE SEPTIEMBRE DE 2025"/>
    <x v="89"/>
    <s v="PATRICIA ELENA DIAZ GILIBERTO"/>
    <n v="12240014"/>
    <s v="PATRICIA ELENA DIAZ GILIBERTO"/>
    <d v="2025-02-01T00:00:00"/>
    <s v="INICIAL"/>
    <n v="371325529"/>
    <n v="371325529"/>
    <n v="28808"/>
    <n v="20166"/>
    <n v="8642"/>
    <n v="0"/>
    <n v="8642"/>
    <n v="371325529"/>
    <n v="285123"/>
    <s v="CORP DE BIENESTAR DEL PERSONAL DE A F P"/>
    <d v="2025-02-03T00:00:00"/>
    <d v="2025-02-03T00:00:00"/>
    <d v="2025-02-03T00:00:00"/>
    <d v="2025-02-03T00:00:00"/>
    <s v="AMBULATORIOS"/>
    <n v="22566123"/>
    <n v="2101551"/>
    <n v="68820628"/>
    <s v="TRASSA"/>
    <n v="9022025"/>
    <n v="77586"/>
    <s v="SAL"/>
    <s v="AM05"/>
    <s v="EXAMENES RADIOLOGICOS"/>
    <s v="EXAMENES RADIOLOGICOS"/>
    <s v="EXAMENES RADIOLOGICOS"/>
    <s v="IMED SALUD"/>
    <n v="0"/>
    <n v="76098454"/>
    <s v="K"/>
    <s v="BANMÉDICA"/>
    <s v="PATRICIA.DIAZ@AFPHABITAT.CL"/>
    <s v="12240014|76098454|371325529|371325529"/>
    <s v="IMED SALUD"/>
    <b v="1"/>
    <s v="APORTE VIA IMED"/>
  </r>
  <r>
    <s v="12 DE SEPTIEMBRE DE 2025"/>
    <x v="89"/>
    <s v="PATRICIA ELENA DIAZ GILIBERTO"/>
    <n v="12240014"/>
    <s v="PATRICIA ELENA DIAZ GILIBERTO"/>
    <d v="2025-03-01T00:00:00"/>
    <s v="DUPLICADO"/>
    <n v="371325529"/>
    <n v="65384000"/>
    <n v="8826"/>
    <n v="0"/>
    <n v="8826"/>
    <n v="0"/>
    <n v="8826"/>
    <n v="371325529"/>
    <n v="285123"/>
    <s v="CORP DE BIENESTAR DEL PERSONAL DE A F P"/>
    <d v="2025-03-01T00:00:00"/>
    <d v="2025-03-26T00:00:00"/>
    <d v="2025-02-03T00:00:00"/>
    <d v="2025-02-03T00:00:00"/>
    <s v="AMBULATORIOS"/>
    <n v="22770513"/>
    <n v="3311105"/>
    <n v="69250888"/>
    <s v="TRASSA"/>
    <n v="206025047"/>
    <n v="78070"/>
    <s v="SAL"/>
    <s v="AM05"/>
    <s v="EXAMENES RADIOLOGICOS"/>
    <s v="EXAMENES RADIOLOGICOS"/>
    <s v="EXAMENES RADIOLOGICOS"/>
    <n v="0"/>
    <n v="0"/>
    <n v="76098454"/>
    <s v="K"/>
    <s v="SIN ISAPRE"/>
    <s v="PATRICIA.DIAZ@AFPHABITAT.CL"/>
    <s v="12240014|76098454|371325529|65384000"/>
    <s v="GASTO FISICO"/>
    <b v="0"/>
    <s v="DEPOSITADO EN CUENTA"/>
  </r>
  <r>
    <s v="12 DE SEPTIEMBRE DE 2025"/>
    <x v="89"/>
    <s v="PATRICIA ELENA DIAZ GILIBERTO"/>
    <n v="12240014"/>
    <s v="PATRICIA ELENA DIAZ GILIBERTO"/>
    <d v="2025-02-01T00:00:00"/>
    <s v="INICIAL"/>
    <n v="371325587"/>
    <n v="371325587"/>
    <n v="23556"/>
    <n v="16489"/>
    <n v="7067"/>
    <n v="0"/>
    <n v="7067"/>
    <n v="371325587"/>
    <n v="285123"/>
    <s v="CORP DE BIENESTAR DEL PERSONAL DE A F P"/>
    <d v="2025-02-03T00:00:00"/>
    <d v="2025-02-03T00:00:00"/>
    <d v="2025-02-03T00:00:00"/>
    <d v="2025-02-03T00:00:00"/>
    <s v="AMBULATORIOS"/>
    <n v="22566123"/>
    <n v="2101551"/>
    <n v="68820630"/>
    <s v="TRASSA"/>
    <n v="9022025"/>
    <n v="77586"/>
    <s v="SAL"/>
    <s v="AM05"/>
    <s v="EXAMENES RADIOLOGICOS"/>
    <s v="EXAMENES RADIOLOGICOS"/>
    <s v="EXAMENES RADIOLOGICOS"/>
    <s v="IMED SALUD"/>
    <n v="0"/>
    <n v="76098454"/>
    <s v="K"/>
    <s v="BANMÉDICA"/>
    <s v="PATRICIA.DIAZ@AFPHABITAT.CL"/>
    <s v="12240014|76098454|371325587|371325587"/>
    <s v="IMED SALUD"/>
    <b v="1"/>
    <s v="APORTE VIA IMED"/>
  </r>
  <r>
    <s v="12 DE SEPTIEMBRE DE 2025"/>
    <x v="89"/>
    <s v="PATRICIA ELENA DIAZ GILIBERTO"/>
    <n v="12240014"/>
    <s v="PATRICIA ELENA DIAZ GILIBERTO"/>
    <d v="2025-03-01T00:00:00"/>
    <s v="DUPLICADO"/>
    <n v="371325587"/>
    <n v="65384001"/>
    <n v="6907"/>
    <n v="0"/>
    <n v="6907"/>
    <n v="0"/>
    <n v="6907"/>
    <n v="371325587"/>
    <n v="285123"/>
    <s v="CORP DE BIENESTAR DEL PERSONAL DE A F P"/>
    <d v="2025-03-01T00:00:00"/>
    <d v="2025-03-26T00:00:00"/>
    <d v="2025-02-03T00:00:00"/>
    <d v="2025-02-03T00:00:00"/>
    <s v="AMBULATORIOS"/>
    <n v="22770513"/>
    <n v="3311105"/>
    <n v="69250889"/>
    <s v="TRASSA"/>
    <n v="206025047"/>
    <n v="78070"/>
    <s v="SAL"/>
    <s v="AM05"/>
    <s v="EXAMENES RADIOLOGICOS"/>
    <s v="EXAMENES RADIOLOGICOS"/>
    <s v="EXAMENES RADIOLOGICOS"/>
    <n v="0"/>
    <n v="0"/>
    <n v="76098454"/>
    <s v="K"/>
    <s v="SIN ISAPRE"/>
    <s v="PATRICIA.DIAZ@AFPHABITAT.CL"/>
    <s v="12240014|76098454|371325587|65384001"/>
    <s v="GASTO FISICO"/>
    <b v="0"/>
    <s v="DEPOSITADO EN CUENTA"/>
  </r>
  <r>
    <s v="12 DE SEPTIEMBRE DE 2025"/>
    <x v="74"/>
    <s v="VERONICA ROJO LIRA"/>
    <n v="8378249"/>
    <s v="VERONICA ROJO LIRA"/>
    <d v="2025-02-01T00:00:00"/>
    <s v="INICIAL"/>
    <n v="371344875"/>
    <n v="371344875"/>
    <n v="40394"/>
    <n v="34337"/>
    <n v="6057"/>
    <n v="0"/>
    <n v="6057"/>
    <n v="371344875"/>
    <n v="285123"/>
    <s v="CORP DE BIENESTAR DEL PERSONAL DE A F P"/>
    <d v="2025-02-04T00:00:00"/>
    <d v="2025-02-04T00:00:00"/>
    <d v="2025-02-04T00:00:00"/>
    <d v="2025-02-04T00:00:00"/>
    <s v="AMBULATORIOS"/>
    <n v="22566152"/>
    <n v="2101551"/>
    <n v="68820866"/>
    <s v="TRASSA"/>
    <n v="9022025"/>
    <n v="77586"/>
    <s v="SAL"/>
    <s v="AM04"/>
    <s v="EXAMENES DE LABORATORIO"/>
    <s v="EXAMENES DE LABORATORIO"/>
    <s v="EXAMENES DE LABORATORIO"/>
    <s v="IMED SALUD"/>
    <n v="0"/>
    <n v="99573490"/>
    <n v="7"/>
    <s v="BANMÉDICA"/>
    <s v="VROJOL@AFPHABITAT.CL"/>
    <s v="8378249|99573490|371344875|371344875"/>
    <s v="IMED SALUD"/>
    <b v="1"/>
    <s v="APORTE VIA IMED"/>
  </r>
  <r>
    <s v="12 DE SEPTIEMBRE DE 2025"/>
    <x v="74"/>
    <s v="VERONICA ROJO LIRA"/>
    <n v="8378249"/>
    <s v="VERONICA ROJO LIRA"/>
    <d v="2025-03-01T00:00:00"/>
    <s v="DUPLICADO"/>
    <n v="371344875"/>
    <n v="65383662"/>
    <n v="6137"/>
    <n v="0"/>
    <n v="6137"/>
    <n v="0"/>
    <n v="6137"/>
    <n v="371344875"/>
    <n v="285123"/>
    <s v="CORP DE BIENESTAR DEL PERSONAL DE A F P"/>
    <d v="2025-03-01T00:00:00"/>
    <d v="2025-03-26T00:00:00"/>
    <d v="2025-02-04T00:00:00"/>
    <d v="2025-02-04T00:00:00"/>
    <s v="AMBULATORIOS"/>
    <n v="22770523"/>
    <n v="3311105"/>
    <n v="69250553"/>
    <s v="TRASSA"/>
    <n v="24803715"/>
    <n v="78070"/>
    <s v="SAL"/>
    <s v="AM04"/>
    <s v="EXAMENES DE LABORATORIO"/>
    <s v="EXAMENES DE LABORATORIO"/>
    <s v="EXAMENES DE LABORATORIO"/>
    <n v="0"/>
    <n v="0"/>
    <n v="99573490"/>
    <n v="7"/>
    <s v="SIN ISAPRE"/>
    <s v="VROJOL@AFPHABITAT.CL"/>
    <s v="8378249|99573490|371344875|65383662"/>
    <s v="GASTO FISICO"/>
    <b v="0"/>
    <s v="DEPOSITADO EN CUENTA"/>
  </r>
  <r>
    <s v="12 DE SEPTIEMBRE DE 2025"/>
    <x v="74"/>
    <s v="VERONICA ROJO LIRA"/>
    <n v="8378249"/>
    <s v="VERONICA ROJO LIRA"/>
    <d v="2025-02-01T00:00:00"/>
    <s v="INICIAL"/>
    <n v="371344876"/>
    <n v="371344876"/>
    <n v="44117"/>
    <n v="37501"/>
    <n v="6616"/>
    <n v="0"/>
    <n v="6616"/>
    <n v="371344876"/>
    <n v="285123"/>
    <s v="CORP DE BIENESTAR DEL PERSONAL DE A F P"/>
    <d v="2025-02-04T00:00:00"/>
    <d v="2025-02-04T00:00:00"/>
    <d v="2025-02-04T00:00:00"/>
    <d v="2025-02-04T00:00:00"/>
    <s v="AMBULATORIOS"/>
    <n v="22566152"/>
    <n v="2101551"/>
    <n v="68820865"/>
    <s v="TRASSA"/>
    <n v="9022025"/>
    <n v="77586"/>
    <s v="SAL"/>
    <s v="AM04"/>
    <s v="EXAMENES DE LABORATORIO"/>
    <s v="EXAMENES DE LABORATORIO"/>
    <s v="EXAMENES DE LABORATORIO"/>
    <s v="IMED SALUD"/>
    <n v="0"/>
    <n v="99573490"/>
    <n v="7"/>
    <s v="BANMÉDICA"/>
    <s v="VROJOL@AFPHABITAT.CL"/>
    <s v="8378249|99573490|371344876|371344876"/>
    <s v="IMED SALUD"/>
    <b v="1"/>
    <s v="APORTE VIA IMED"/>
  </r>
  <r>
    <s v="12 DE SEPTIEMBRE DE 2025"/>
    <x v="74"/>
    <s v="VERONICA ROJO LIRA"/>
    <n v="8378249"/>
    <s v="VERONICA ROJO LIRA"/>
    <d v="2025-03-01T00:00:00"/>
    <s v="DUPLICADO"/>
    <n v="371344876"/>
    <n v="65383663"/>
    <n v="6905"/>
    <n v="0"/>
    <n v="6905"/>
    <n v="0"/>
    <n v="6905"/>
    <n v="371344876"/>
    <n v="285123"/>
    <s v="CORP DE BIENESTAR DEL PERSONAL DE A F P"/>
    <d v="2025-03-01T00:00:00"/>
    <d v="2025-03-26T00:00:00"/>
    <d v="2025-02-04T00:00:00"/>
    <d v="2025-02-04T00:00:00"/>
    <s v="AMBULATORIOS"/>
    <n v="22770523"/>
    <n v="3311105"/>
    <n v="69250554"/>
    <s v="TRASSA"/>
    <n v="24803715"/>
    <n v="78070"/>
    <s v="SAL"/>
    <s v="AM04"/>
    <s v="EXAMENES DE LABORATORIO"/>
    <s v="EXAMENES DE LABORATORIO"/>
    <s v="EXAMENES DE LABORATORIO"/>
    <n v="0"/>
    <n v="0"/>
    <n v="99573490"/>
    <n v="7"/>
    <s v="SIN ISAPRE"/>
    <s v="VROJOL@AFPHABITAT.CL"/>
    <s v="8378249|99573490|371344876|65383663"/>
    <s v="GASTO FISICO"/>
    <b v="0"/>
    <s v="DEPOSITADO EN CUENTA"/>
  </r>
  <r>
    <s v="12 DE SEPTIEMBRE DE 2025"/>
    <x v="74"/>
    <s v="VERONICA ROJO LIRA"/>
    <n v="8378249"/>
    <s v="VERONICA ROJO LIRA"/>
    <d v="2025-02-01T00:00:00"/>
    <s v="INICIAL"/>
    <n v="371344877"/>
    <n v="371344877"/>
    <n v="45388"/>
    <n v="38581"/>
    <n v="6807"/>
    <n v="0"/>
    <n v="6807"/>
    <n v="371344877"/>
    <n v="285123"/>
    <s v="CORP DE BIENESTAR DEL PERSONAL DE A F P"/>
    <d v="2025-02-04T00:00:00"/>
    <d v="2025-02-04T00:00:00"/>
    <d v="2025-02-04T00:00:00"/>
    <d v="2025-02-04T00:00:00"/>
    <s v="AMBULATORIOS"/>
    <n v="22566152"/>
    <n v="2101551"/>
    <n v="68820864"/>
    <s v="TRASSA"/>
    <n v="9022025"/>
    <n v="77586"/>
    <s v="SAL"/>
    <s v="AM04"/>
    <s v="EXAMENES DE LABORATORIO"/>
    <s v="EXAMENES DE LABORATORIO"/>
    <s v="EXAMENES DE LABORATORIO"/>
    <s v="IMED SALUD"/>
    <n v="0"/>
    <n v="99573490"/>
    <n v="7"/>
    <s v="BANMÉDICA"/>
    <s v="VROJOL@AFPHABITAT.CL"/>
    <s v="8378249|99573490|371344877|371344877"/>
    <s v="IMED SALUD"/>
    <b v="1"/>
    <s v="APORTE VIA IMED"/>
  </r>
  <r>
    <s v="12 DE SEPTIEMBRE DE 2025"/>
    <x v="74"/>
    <s v="VERONICA ROJO LIRA"/>
    <n v="8378249"/>
    <s v="VERONICA ROJO LIRA"/>
    <d v="2025-03-01T00:00:00"/>
    <s v="DUPLICADO"/>
    <n v="371344877"/>
    <n v="65383664"/>
    <n v="6905"/>
    <n v="0"/>
    <n v="6905"/>
    <n v="0"/>
    <n v="6905"/>
    <n v="371344877"/>
    <n v="285123"/>
    <s v="CORP DE BIENESTAR DEL PERSONAL DE A F P"/>
    <d v="2025-03-01T00:00:00"/>
    <d v="2025-03-26T00:00:00"/>
    <d v="2025-02-04T00:00:00"/>
    <d v="2025-02-04T00:00:00"/>
    <s v="AMBULATORIOS"/>
    <n v="22770523"/>
    <n v="3311105"/>
    <n v="69250555"/>
    <s v="TRASSA"/>
    <n v="24803715"/>
    <n v="78070"/>
    <s v="SAL"/>
    <s v="AM04"/>
    <s v="EXAMENES DE LABORATORIO"/>
    <s v="EXAMENES DE LABORATORIO"/>
    <s v="EXAMENES DE LABORATORIO"/>
    <n v="0"/>
    <n v="0"/>
    <n v="99573490"/>
    <n v="7"/>
    <s v="SIN ISAPRE"/>
    <s v="VROJOL@AFPHABITAT.CL"/>
    <s v="8378249|99573490|371344877|65383664"/>
    <s v="GASTO FISICO"/>
    <b v="0"/>
    <s v="DEPOSITADO EN CUENTA"/>
  </r>
  <r>
    <s v="12 DE SEPTIEMBRE DE 2025"/>
    <x v="74"/>
    <s v="VERONICA ROJO LIRA"/>
    <n v="8378249"/>
    <s v="VERONICA ROJO LIRA"/>
    <d v="2025-02-01T00:00:00"/>
    <s v="INICIAL"/>
    <n v="371344878"/>
    <n v="371344878"/>
    <n v="98458"/>
    <n v="83691"/>
    <n v="14767"/>
    <n v="0"/>
    <n v="14767"/>
    <n v="371344878"/>
    <n v="285123"/>
    <s v="CORP DE BIENESTAR DEL PERSONAL DE A F P"/>
    <d v="2025-02-04T00:00:00"/>
    <d v="2025-02-04T00:00:00"/>
    <d v="2025-02-04T00:00:00"/>
    <d v="2025-02-04T00:00:00"/>
    <s v="AMBULATORIOS"/>
    <n v="22566152"/>
    <n v="2101551"/>
    <n v="68820863"/>
    <s v="TRASSA"/>
    <n v="9022025"/>
    <n v="77586"/>
    <s v="SAL"/>
    <s v="AM04"/>
    <s v="EXAMENES DE LABORATORIO"/>
    <s v="EXAMENES DE LABORATORIO"/>
    <s v="EXAMENES DE LABORATORIO"/>
    <s v="IMED SALUD"/>
    <n v="0"/>
    <n v="99573490"/>
    <n v="7"/>
    <s v="BANMÉDICA"/>
    <s v="VROJOL@AFPHABITAT.CL"/>
    <s v="8378249|99573490|371344878|371344878"/>
    <s v="IMED SALUD"/>
    <b v="1"/>
    <s v="APORTE VIA IMED"/>
  </r>
  <r>
    <s v="12 DE SEPTIEMBRE DE 2025"/>
    <x v="74"/>
    <s v="VERONICA ROJO LIRA"/>
    <n v="8378249"/>
    <s v="VERONICA ROJO LIRA"/>
    <d v="2025-03-01T00:00:00"/>
    <s v="DUPLICADO"/>
    <n v="371344878"/>
    <n v="65383665"/>
    <n v="14963"/>
    <n v="0"/>
    <n v="14963"/>
    <n v="0"/>
    <n v="14963"/>
    <n v="371344878"/>
    <n v="285123"/>
    <s v="CORP DE BIENESTAR DEL PERSONAL DE A F P"/>
    <d v="2025-03-01T00:00:00"/>
    <d v="2025-03-26T00:00:00"/>
    <d v="2025-02-04T00:00:00"/>
    <d v="2025-02-04T00:00:00"/>
    <s v="AMBULATORIOS"/>
    <n v="22770523"/>
    <n v="3311105"/>
    <n v="69250556"/>
    <s v="TRASSA"/>
    <n v="24803715"/>
    <n v="78070"/>
    <s v="SAL"/>
    <s v="AM04"/>
    <s v="EXAMENES DE LABORATORIO"/>
    <s v="EXAMENES DE LABORATORIO"/>
    <s v="EXAMENES DE LABORATORIO"/>
    <n v="0"/>
    <n v="0"/>
    <n v="99573490"/>
    <n v="7"/>
    <s v="SIN ISAPRE"/>
    <s v="VROJOL@AFPHABITAT.CL"/>
    <s v="8378249|99573490|371344878|65383665"/>
    <s v="GASTO FISICO"/>
    <b v="0"/>
    <s v="DEPOSITADO EN CUENTA"/>
  </r>
  <r>
    <s v="12 DE SEPTIEMBRE DE 2025"/>
    <x v="89"/>
    <s v="PATRICIA ELENA DIAZ GILIBERTO"/>
    <n v="12240014"/>
    <s v="PATRICIA ELENA DIAZ GILIBERTO"/>
    <d v="2025-02-01T00:00:00"/>
    <s v="INICIAL"/>
    <n v="371346868"/>
    <n v="371346868"/>
    <n v="36164"/>
    <n v="25316"/>
    <n v="10848"/>
    <n v="0"/>
    <n v="10848"/>
    <n v="371346868"/>
    <n v="285123"/>
    <s v="CORP DE BIENESTAR DEL PERSONAL DE A F P"/>
    <d v="2025-02-04T00:00:00"/>
    <d v="2025-02-04T00:00:00"/>
    <d v="2025-02-04T00:00:00"/>
    <d v="2025-02-04T00:00:00"/>
    <s v="AMBULATORIOS"/>
    <n v="22566167"/>
    <n v="2101551"/>
    <n v="68820910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BANMÉDICA"/>
    <s v="PATRICIA.DIAZ@AFPHABITAT.CL"/>
    <s v="12240014|96986050|371346868|371346868"/>
    <s v="IMED SALUD"/>
    <b v="1"/>
    <s v="APORTE VIA IMED"/>
  </r>
  <r>
    <s v="12 DE SEPTIEMBRE DE 2025"/>
    <x v="89"/>
    <s v="PATRICIA ELENA DIAZ GILIBERTO"/>
    <n v="12240014"/>
    <s v="PATRICIA ELENA DIAZ GILIBERTO"/>
    <d v="2025-03-01T00:00:00"/>
    <s v="DUPLICADO"/>
    <n v="371346868"/>
    <n v="65384002"/>
    <n v="11126"/>
    <n v="0"/>
    <n v="11126"/>
    <n v="0"/>
    <n v="11126"/>
    <n v="371346868"/>
    <n v="285123"/>
    <s v="CORP DE BIENESTAR DEL PERSONAL DE A F P"/>
    <d v="2025-03-01T00:00:00"/>
    <d v="2025-03-26T00:00:00"/>
    <d v="2025-02-04T00:00:00"/>
    <d v="2025-02-04T00:00:00"/>
    <s v="AMBULATORIOS"/>
    <n v="22770530"/>
    <n v="3311105"/>
    <n v="69250890"/>
    <s v="TRASSA"/>
    <n v="206025047"/>
    <n v="78070"/>
    <s v="SAL"/>
    <s v="AM04"/>
    <s v="EXAMENES DE LABORATORIO"/>
    <s v="EXAMENES DE LABORATORIO"/>
    <s v="EXAMENES DE LABORATORIO"/>
    <n v="0"/>
    <n v="0"/>
    <n v="96986050"/>
    <n v="3"/>
    <s v="SIN ISAPRE"/>
    <s v="PATRICIA.DIAZ@AFPHABITAT.CL"/>
    <s v="12240014|96986050|371346868|65384002"/>
    <s v="GASTO FISICO"/>
    <b v="0"/>
    <s v="DEPOSITADO EN CUENTA"/>
  </r>
  <r>
    <s v="12 DE SEPTIEMBRE DE 2025"/>
    <x v="89"/>
    <s v="PATRICIA ELENA DIAZ GILIBERTO"/>
    <n v="12240014"/>
    <s v="PATRICIA ELENA DIAZ GILIBERTO"/>
    <d v="2025-02-01T00:00:00"/>
    <s v="INICIAL"/>
    <n v="371346869"/>
    <n v="371346869"/>
    <n v="16984"/>
    <n v="11889"/>
    <n v="5095"/>
    <n v="0"/>
    <n v="5095"/>
    <n v="371346869"/>
    <n v="285123"/>
    <s v="CORP DE BIENESTAR DEL PERSONAL DE A F P"/>
    <d v="2025-02-04T00:00:00"/>
    <d v="2025-02-04T00:00:00"/>
    <d v="2025-02-04T00:00:00"/>
    <d v="2025-02-04T00:00:00"/>
    <s v="AMBULATORIOS"/>
    <n v="22566167"/>
    <n v="2101551"/>
    <n v="68820909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BANMÉDICA"/>
    <s v="PATRICIA.DIAZ@AFPHABITAT.CL"/>
    <s v="12240014|96986050|371346869|371346869"/>
    <s v="IMED SALUD"/>
    <b v="1"/>
    <s v="APORTE VIA IMED"/>
  </r>
  <r>
    <s v="12 DE SEPTIEMBRE DE 2025"/>
    <x v="89"/>
    <s v="PATRICIA ELENA DIAZ GILIBERTO"/>
    <n v="12240014"/>
    <s v="PATRICIA ELENA DIAZ GILIBERTO"/>
    <d v="2025-03-01T00:00:00"/>
    <s v="DUPLICADO"/>
    <n v="371346869"/>
    <n v="65384003"/>
    <n v="4986"/>
    <n v="0"/>
    <n v="4986"/>
    <n v="0"/>
    <n v="4986"/>
    <n v="371346869"/>
    <n v="285123"/>
    <s v="CORP DE BIENESTAR DEL PERSONAL DE A F P"/>
    <d v="2025-03-01T00:00:00"/>
    <d v="2025-03-26T00:00:00"/>
    <d v="2025-02-04T00:00:00"/>
    <d v="2025-02-04T00:00:00"/>
    <s v="AMBULATORIOS"/>
    <n v="22770530"/>
    <n v="3311105"/>
    <n v="69250891"/>
    <s v="TRASSA"/>
    <n v="206025047"/>
    <n v="78070"/>
    <s v="SAL"/>
    <s v="AM04"/>
    <s v="EXAMENES DE LABORATORIO"/>
    <s v="EXAMENES DE LABORATORIO"/>
    <s v="EXAMENES DE LABORATORIO"/>
    <n v="0"/>
    <n v="0"/>
    <n v="96986050"/>
    <n v="3"/>
    <s v="SIN ISAPRE"/>
    <s v="PATRICIA.DIAZ@AFPHABITAT.CL"/>
    <s v="12240014|96986050|371346869|65384003"/>
    <s v="GASTO FISICO"/>
    <b v="0"/>
    <s v="DEPOSITADO EN CUENTA"/>
  </r>
  <r>
    <s v="12 DE SEPTIEMBRE DE 2025"/>
    <x v="90"/>
    <s v="JOSE CANDIA BELMAR"/>
    <n v="23384556"/>
    <s v="SANTIAGO CANDIA VERA"/>
    <d v="2025-02-01T00:00:00"/>
    <s v="INICIAL"/>
    <n v="371351490"/>
    <n v="371351490"/>
    <n v="36608"/>
    <n v="25626"/>
    <n v="10982"/>
    <n v="0"/>
    <n v="10982"/>
    <n v="371351490"/>
    <n v="285123"/>
    <s v="CORP DE BIENESTAR DEL PERSONAL DE A F P"/>
    <d v="2025-02-04T00:00:00"/>
    <d v="2025-02-04T00:00:00"/>
    <d v="2025-02-04T00:00:00"/>
    <d v="2025-02-04T00:00:00"/>
    <s v="AMBULATORIOS"/>
    <n v="22566151"/>
    <n v="2101551"/>
    <n v="68821031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VIDA TRES"/>
    <s v="HCANDIA@AFPHABITAT.CL"/>
    <s v="8179361|96986050|371351490|371351490"/>
    <s v="IMED SALUD"/>
    <b v="1"/>
    <s v="APORTE VIA IMED"/>
  </r>
  <r>
    <s v="12 DE SEPTIEMBRE DE 2025"/>
    <x v="90"/>
    <s v="JOSE CANDIA BELMAR"/>
    <n v="23384556"/>
    <s v="SANTIAGO CANDIA VERA"/>
    <d v="2025-03-01T00:00:00"/>
    <s v="DUPLICADO"/>
    <n v="371351490"/>
    <n v="65383644"/>
    <n v="11125"/>
    <n v="0"/>
    <n v="11125"/>
    <n v="0"/>
    <n v="11125"/>
    <n v="371351490"/>
    <n v="285123"/>
    <s v="CORP DE BIENESTAR DEL PERSONAL DE A F P"/>
    <d v="2025-03-01T00:00:00"/>
    <d v="2025-03-26T00:00:00"/>
    <d v="2025-02-04T00:00:00"/>
    <d v="2025-02-04T00:00:00"/>
    <s v="AMBULATORIOS"/>
    <n v="22770522"/>
    <n v="3311105"/>
    <n v="69250535"/>
    <s v="TRASSA"/>
    <n v="979050782"/>
    <n v="78070"/>
    <s v="SAL"/>
    <s v="AM04"/>
    <s v="EXAMENES DE LABORATORIO"/>
    <s v="EXAMENES DE LABORATORIO"/>
    <s v="EXAMENES DE LABORATORIO"/>
    <n v="0"/>
    <n v="0"/>
    <n v="96986050"/>
    <n v="3"/>
    <s v="SIN ISAPRE"/>
    <s v="HCANDIA@AFPHABITAT.CL"/>
    <s v="8179361|96986050|371351490|65383644"/>
    <s v="GASTO FISICO"/>
    <b v="0"/>
    <s v="DEPOSITADO EN CUENTA"/>
  </r>
  <r>
    <s v="12 DE SEPTIEMBRE DE 2025"/>
    <x v="90"/>
    <s v="JOSE CANDIA BELMAR"/>
    <n v="23384556"/>
    <s v="SANTIAGO CANDIA VERA"/>
    <d v="2025-02-01T00:00:00"/>
    <s v="INICIAL"/>
    <n v="371351491"/>
    <n v="371351491"/>
    <n v="20389"/>
    <n v="14272"/>
    <n v="6117"/>
    <n v="0"/>
    <n v="6117"/>
    <n v="371351491"/>
    <n v="285123"/>
    <s v="CORP DE BIENESTAR DEL PERSONAL DE A F P"/>
    <d v="2025-02-04T00:00:00"/>
    <d v="2025-02-04T00:00:00"/>
    <d v="2025-02-04T00:00:00"/>
    <d v="2025-02-04T00:00:00"/>
    <s v="AMBULATORIOS"/>
    <n v="22566151"/>
    <n v="2101551"/>
    <n v="68821030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VIDA TRES"/>
    <s v="HCANDIA@AFPHABITAT.CL"/>
    <s v="8179361|96986050|371351491|371351491"/>
    <s v="IMED SALUD"/>
    <b v="1"/>
    <s v="APORTE VIA IMED"/>
  </r>
  <r>
    <s v="12 DE SEPTIEMBRE DE 2025"/>
    <x v="90"/>
    <s v="JOSE CANDIA BELMAR"/>
    <n v="23384556"/>
    <s v="SANTIAGO CANDIA VERA"/>
    <d v="2025-03-01T00:00:00"/>
    <s v="DUPLICADO"/>
    <n v="371351491"/>
    <n v="65383645"/>
    <n v="6521"/>
    <n v="0"/>
    <n v="6521"/>
    <n v="0"/>
    <n v="6521"/>
    <n v="371351491"/>
    <n v="285123"/>
    <s v="CORP DE BIENESTAR DEL PERSONAL DE A F P"/>
    <d v="2025-03-01T00:00:00"/>
    <d v="2025-03-26T00:00:00"/>
    <d v="2025-02-04T00:00:00"/>
    <d v="2025-02-04T00:00:00"/>
    <s v="AMBULATORIOS"/>
    <n v="22770522"/>
    <n v="3311105"/>
    <n v="69250536"/>
    <s v="TRASSA"/>
    <n v="979050782"/>
    <n v="78070"/>
    <s v="SAL"/>
    <s v="AM04"/>
    <s v="EXAMENES DE LABORATORIO"/>
    <s v="EXAMENES DE LABORATORIO"/>
    <s v="EXAMENES DE LABORATORIO"/>
    <n v="0"/>
    <n v="0"/>
    <n v="96986050"/>
    <n v="3"/>
    <s v="SIN ISAPRE"/>
    <s v="HCANDIA@AFPHABITAT.CL"/>
    <s v="8179361|96986050|371351491|65383645"/>
    <s v="GASTO FISICO"/>
    <b v="0"/>
    <s v="DEPOSITADO EN CUENTA"/>
  </r>
  <r>
    <s v="12 DE SEPTIEMBRE DE 2025"/>
    <x v="82"/>
    <s v="CARMEN DIAZ BRICEÑO"/>
    <n v="9583535"/>
    <s v="CARMEN DIAZ BRICEÑO"/>
    <d v="2025-02-01T00:00:00"/>
    <s v="INICIAL"/>
    <n v="371354816"/>
    <n v="371354816"/>
    <n v="27180"/>
    <n v="15755"/>
    <n v="11425"/>
    <n v="0"/>
    <n v="11425"/>
    <n v="371354816"/>
    <n v="285123"/>
    <s v="CORP DE BIENESTAR DEL PERSONAL DE A F P"/>
    <d v="2025-02-04T00:00:00"/>
    <d v="2025-02-04T00:00:00"/>
    <d v="2025-02-04T00:00:00"/>
    <d v="2025-02-04T00:00:00"/>
    <s v="AMBULATORIOS"/>
    <n v="22566155"/>
    <n v="2101551"/>
    <n v="68821083"/>
    <s v="TRASSA"/>
    <n v="9022025"/>
    <n v="77586"/>
    <s v="SAL"/>
    <s v="AM05"/>
    <s v="EXAMENES RADIOLOGICOS"/>
    <s v="EXAMENES RADIOLOGICOS"/>
    <s v="EXAMENES RADIOLOGICOS"/>
    <s v="IMED SALUD"/>
    <n v="0"/>
    <n v="76098454"/>
    <s v="K"/>
    <s v="BANMÉDICA"/>
    <s v="CDIAZB@AFPHABITAT.CL"/>
    <s v="9583535|76098454|371354816|371354816"/>
    <s v="IMED SALUD"/>
    <b v="1"/>
    <s v="APORTE VIA IMED"/>
  </r>
  <r>
    <s v="12 DE SEPTIEMBRE DE 2025"/>
    <x v="82"/>
    <s v="CARMEN DIAZ BRICEÑO"/>
    <n v="9583535"/>
    <s v="CARMEN DIAZ BRICEÑO"/>
    <d v="2025-03-01T00:00:00"/>
    <s v="DUPLICADO"/>
    <n v="371354816"/>
    <n v="65383748"/>
    <n v="11512"/>
    <n v="0"/>
    <n v="11512"/>
    <n v="0"/>
    <n v="11512"/>
    <n v="371354816"/>
    <n v="285123"/>
    <s v="CORP DE BIENESTAR DEL PERSONAL DE A F P"/>
    <d v="2025-03-01T00:00:00"/>
    <d v="2025-03-26T00:00:00"/>
    <d v="2025-02-04T00:00:00"/>
    <d v="2025-02-04T00:00:00"/>
    <s v="AMBULATORIOS"/>
    <n v="22770526"/>
    <n v="3311105"/>
    <n v="69250638"/>
    <s v="TRASSA"/>
    <n v="985897999"/>
    <n v="78070"/>
    <s v="SAL"/>
    <s v="AM05"/>
    <s v="EXAMENES RADIOLOGICOS"/>
    <s v="EXAMENES RADIOLOGICOS"/>
    <s v="EXAMENES RADIOLOGICOS"/>
    <n v="0"/>
    <n v="0"/>
    <n v="76098454"/>
    <s v="K"/>
    <s v="SIN ISAPRE"/>
    <s v="CDIAZB@AFPHABITAT.CL"/>
    <s v="9583535|76098454|371354816|65383748"/>
    <s v="GASTO FISICO"/>
    <b v="0"/>
    <s v="DEPOSITADO EN CUENTA"/>
  </r>
  <r>
    <s v="12 DE SEPTIEMBRE DE 2025"/>
    <x v="82"/>
    <s v="CARMEN DIAZ BRICEÑO"/>
    <n v="9583535"/>
    <s v="CARMEN DIAZ BRICEÑO"/>
    <d v="2025-02-01T00:00:00"/>
    <s v="INICIAL"/>
    <n v="371355019"/>
    <n v="371355019"/>
    <n v="53024"/>
    <n v="30800"/>
    <n v="22224"/>
    <n v="0"/>
    <n v="22224"/>
    <n v="371355019"/>
    <n v="285123"/>
    <s v="CORP DE BIENESTAR DEL PERSONAL DE A F P"/>
    <d v="2025-02-04T00:00:00"/>
    <d v="2025-02-04T00:00:00"/>
    <d v="2025-02-04T00:00:00"/>
    <d v="2025-02-04T00:00:00"/>
    <s v="AMBULATORIOS"/>
    <n v="22566155"/>
    <n v="2101551"/>
    <n v="68821088"/>
    <s v="TRASSA"/>
    <n v="9022025"/>
    <n v="77586"/>
    <s v="SAL"/>
    <s v="AM05"/>
    <s v="EXAMENES RADIOLOGICOS"/>
    <s v="EXAMENES RADIOLOGICOS"/>
    <s v="EXAMENES RADIOLOGICOS"/>
    <s v="IMED SALUD"/>
    <n v="0"/>
    <n v="76098454"/>
    <s v="K"/>
    <s v="BANMÉDICA"/>
    <s v="CDIAZB@AFPHABITAT.CL"/>
    <s v="9583535|76098454|371355019|371355019"/>
    <s v="IMED SALUD"/>
    <b v="1"/>
    <s v="APORTE VIA IMED"/>
  </r>
  <r>
    <s v="12 DE SEPTIEMBRE DE 2025"/>
    <x v="82"/>
    <s v="CARMEN DIAZ BRICEÑO"/>
    <n v="9583535"/>
    <s v="CARMEN DIAZ BRICEÑO"/>
    <d v="2025-03-01T00:00:00"/>
    <s v="DUPLICADO"/>
    <n v="371355019"/>
    <n v="65383749"/>
    <n v="22256"/>
    <n v="0"/>
    <n v="22256"/>
    <n v="0"/>
    <n v="22256"/>
    <n v="371355019"/>
    <n v="285123"/>
    <s v="CORP DE BIENESTAR DEL PERSONAL DE A F P"/>
    <d v="2025-03-01T00:00:00"/>
    <d v="2025-03-26T00:00:00"/>
    <d v="2025-02-04T00:00:00"/>
    <d v="2025-02-04T00:00:00"/>
    <s v="AMBULATORIOS"/>
    <n v="22770526"/>
    <n v="3311105"/>
    <n v="69250639"/>
    <s v="TRASSA"/>
    <n v="985897999"/>
    <n v="78070"/>
    <s v="SAL"/>
    <s v="AM05"/>
    <s v="EXAMENES RADIOLOGICOS"/>
    <s v="EXAMENES RADIOLOGICOS"/>
    <s v="EXAMENES RADIOLOGICOS"/>
    <n v="0"/>
    <n v="0"/>
    <n v="76098454"/>
    <s v="K"/>
    <s v="SIN ISAPRE"/>
    <s v="CDIAZB@AFPHABITAT.CL"/>
    <s v="9583535|76098454|371355019|65383749"/>
    <s v="GASTO FISICO"/>
    <b v="0"/>
    <s v="DEPOSITADO EN CUENTA"/>
  </r>
  <r>
    <s v="12 DE SEPTIEMBRE DE 2025"/>
    <x v="86"/>
    <s v="CLAUDIA RODRIGUEZ SANCHEZ"/>
    <n v="22832363"/>
    <s v="IGNACIA BASCUNAN RODRIGUEZ"/>
    <d v="2025-02-01T00:00:00"/>
    <s v="INICIAL"/>
    <n v="371363684"/>
    <n v="371363684"/>
    <n v="23801"/>
    <n v="16661"/>
    <n v="7140"/>
    <n v="0"/>
    <n v="7140"/>
    <n v="371363684"/>
    <n v="285123"/>
    <s v="CORP DE BIENESTAR DEL PERSONAL DE A F P"/>
    <d v="2025-02-04T00:00:00"/>
    <d v="2025-02-04T00:00:00"/>
    <d v="2025-02-04T00:00:00"/>
    <d v="2025-02-04T00:00:00"/>
    <s v="AMBULATORIOS"/>
    <n v="22566166"/>
    <n v="2101551"/>
    <n v="68821189"/>
    <s v="TRASSA"/>
    <n v="9022025"/>
    <n v="77586"/>
    <s v="SAL"/>
    <s v="AM05"/>
    <s v="EXAMENES RADIOLOGICOS"/>
    <s v="EXAMENES RADIOLOGICOS"/>
    <s v="EXAMENES RADIOLOGICOS"/>
    <s v="IMED SALUD"/>
    <n v="0"/>
    <n v="77200240"/>
    <n v="8"/>
    <s v="VIDA TRES"/>
    <s v="CLAUDIA.RODRIGUEZ@AFPHABITAT.CL"/>
    <s v="12097117|77200240|371363684|371363684"/>
    <s v="IMED SALUD"/>
    <b v="1"/>
    <s v="APORTE VIA IMED"/>
  </r>
  <r>
    <s v="12 DE SEPTIEMBRE DE 2025"/>
    <x v="86"/>
    <s v="CLAUDIA RODRIGUEZ SANCHEZ"/>
    <n v="22832363"/>
    <s v="IGNACIA BASCUNAN RODRIGUEZ"/>
    <d v="2025-03-01T00:00:00"/>
    <s v="DUPLICADO"/>
    <n v="371363684"/>
    <n v="65383989"/>
    <n v="7291"/>
    <n v="0"/>
    <n v="7291"/>
    <n v="0"/>
    <n v="7291"/>
    <n v="371363684"/>
    <n v="285123"/>
    <s v="CORP DE BIENESTAR DEL PERSONAL DE A F P"/>
    <d v="2025-03-01T00:00:00"/>
    <d v="2025-03-26T00:00:00"/>
    <d v="2025-02-04T00:00:00"/>
    <d v="2025-02-04T00:00:00"/>
    <s v="AMBULATORIOS"/>
    <n v="22770529"/>
    <n v="3311105"/>
    <n v="69250877"/>
    <s v="TRASSA"/>
    <n v="14251405"/>
    <n v="78070"/>
    <s v="SAL"/>
    <s v="AM05"/>
    <s v="EXAMENES RADIOLOGICOS"/>
    <s v="EXAMENES RADIOLOGICOS"/>
    <s v="EXAMENES RADIOLOGICOS"/>
    <n v="0"/>
    <n v="0"/>
    <n v="77200240"/>
    <n v="8"/>
    <s v="SIN ISAPRE"/>
    <s v="CLAUDIA.RODRIGUEZ@AFPHABITAT.CL"/>
    <s v="12097117|77200240|371363684|65383989"/>
    <s v="GASTO FISICO"/>
    <b v="0"/>
    <s v="DEPOSITADO EN CUENTA"/>
  </r>
  <r>
    <s v="12 DE SEPTIEMBRE DE 2025"/>
    <x v="91"/>
    <s v="MIGUEL CAMPOS ZAMORA"/>
    <n v="11663256"/>
    <s v="MIGUEL CAMPOS ZAMORA"/>
    <d v="2025-02-01T00:00:00"/>
    <s v="INICIAL"/>
    <n v="371385895"/>
    <n v="371385895"/>
    <n v="58008"/>
    <n v="40606"/>
    <n v="17402"/>
    <n v="0"/>
    <n v="17402"/>
    <n v="371385895"/>
    <n v="285123"/>
    <s v="CORP DE BIENESTAR DEL PERSONAL DE A F P"/>
    <d v="2025-02-05T00:00:00"/>
    <d v="2025-02-05T00:00:00"/>
    <d v="2025-02-05T00:00:00"/>
    <d v="2025-02-05T00:00:00"/>
    <s v="AMBULATORIOS"/>
    <n v="22566207"/>
    <n v="2101551"/>
    <n v="68821483"/>
    <s v="TRASSA"/>
    <n v="9022025"/>
    <n v="77586"/>
    <s v="SAL"/>
    <s v="AM04"/>
    <s v="EXAMENES DE LABORATORIO"/>
    <s v="EXAMENES DE LABORATORIO"/>
    <s v="EXAMENES DE LABORATORIO"/>
    <s v="IMED SALUD"/>
    <n v="0"/>
    <n v="96617350"/>
    <n v="5"/>
    <s v="BANMÉDICA"/>
    <s v="MCAMPOS@AFPHABITAT.CL"/>
    <s v="11663256|96617350|371385895|371385895"/>
    <s v="IMED SALUD"/>
    <b v="1"/>
    <s v="APORTE VIA IMED"/>
  </r>
  <r>
    <s v="12 DE SEPTIEMBRE DE 2025"/>
    <x v="91"/>
    <s v="MIGUEL CAMPOS ZAMORA"/>
    <n v="11663256"/>
    <s v="MIGUEL CAMPOS ZAMORA"/>
    <d v="2025-03-01T00:00:00"/>
    <s v="DUPLICADO"/>
    <n v="371385895"/>
    <n v="65383951"/>
    <n v="17264"/>
    <n v="0"/>
    <n v="17264"/>
    <n v="0"/>
    <n v="17264"/>
    <n v="371385895"/>
    <n v="285123"/>
    <s v="CORP DE BIENESTAR DEL PERSONAL DE A F P"/>
    <d v="2025-03-01T00:00:00"/>
    <d v="2025-03-26T00:00:00"/>
    <d v="2025-02-05T00:00:00"/>
    <d v="2025-02-05T00:00:00"/>
    <s v="AMBULATORIOS"/>
    <n v="22770540"/>
    <n v="3311105"/>
    <n v="69250839"/>
    <s v="TRASSA"/>
    <n v="220432706"/>
    <n v="78070"/>
    <s v="SAL"/>
    <s v="AM04"/>
    <s v="EXAMENES DE LABORATORIO"/>
    <s v="EXAMENES DE LABORATORIO"/>
    <s v="EXAMENES DE LABORATORIO"/>
    <n v="0"/>
    <n v="0"/>
    <n v="96617350"/>
    <n v="5"/>
    <s v="SIN ISAPRE"/>
    <s v="MCAMPOS@AFPHABITAT.CL"/>
    <s v="11663256|96617350|371385895|65383951"/>
    <s v="GASTO FISICO"/>
    <b v="0"/>
    <s v="DEPOSITADO EN CUENTA"/>
  </r>
  <r>
    <s v="12 DE SEPTIEMBRE DE 2025"/>
    <x v="91"/>
    <s v="MIGUEL CAMPOS ZAMORA"/>
    <n v="11663256"/>
    <s v="MIGUEL CAMPOS ZAMORA"/>
    <d v="2025-02-01T00:00:00"/>
    <s v="INICIAL"/>
    <n v="371385897"/>
    <n v="371385897"/>
    <n v="23683"/>
    <n v="16578"/>
    <n v="7105"/>
    <n v="0"/>
    <n v="7105"/>
    <n v="371385897"/>
    <n v="285123"/>
    <s v="CORP DE BIENESTAR DEL PERSONAL DE A F P"/>
    <d v="2025-02-05T00:00:00"/>
    <d v="2025-02-05T00:00:00"/>
    <d v="2025-02-05T00:00:00"/>
    <d v="2025-02-05T00:00:00"/>
    <s v="AMBULATORIOS"/>
    <n v="22566207"/>
    <n v="2101551"/>
    <n v="68821482"/>
    <s v="TRASSA"/>
    <n v="9022025"/>
    <n v="77586"/>
    <s v="SAL"/>
    <s v="AM04"/>
    <s v="EXAMENES DE LABORATORIO"/>
    <s v="EXAMENES DE LABORATORIO"/>
    <s v="EXAMENES DE LABORATORIO"/>
    <s v="IMED SALUD"/>
    <n v="0"/>
    <n v="96617350"/>
    <n v="5"/>
    <s v="BANMÉDICA"/>
    <s v="MCAMPOS@AFPHABITAT.CL"/>
    <s v="11663256|96617350|371385897|371385897"/>
    <s v="IMED SALUD"/>
    <b v="1"/>
    <s v="APORTE VIA IMED"/>
  </r>
  <r>
    <s v="12 DE SEPTIEMBRE DE 2025"/>
    <x v="91"/>
    <s v="MIGUEL CAMPOS ZAMORA"/>
    <n v="11663256"/>
    <s v="MIGUEL CAMPOS ZAMORA"/>
    <d v="2025-03-01T00:00:00"/>
    <s v="DUPLICADO"/>
    <n v="371385897"/>
    <n v="65383952"/>
    <n v="7289"/>
    <n v="0"/>
    <n v="7289"/>
    <n v="0"/>
    <n v="7289"/>
    <n v="371385897"/>
    <n v="285123"/>
    <s v="CORP DE BIENESTAR DEL PERSONAL DE A F P"/>
    <d v="2025-03-01T00:00:00"/>
    <d v="2025-03-26T00:00:00"/>
    <d v="2025-02-05T00:00:00"/>
    <d v="2025-02-05T00:00:00"/>
    <s v="AMBULATORIOS"/>
    <n v="22770540"/>
    <n v="3311105"/>
    <n v="69250840"/>
    <s v="TRASSA"/>
    <n v="220432706"/>
    <n v="78070"/>
    <s v="SAL"/>
    <s v="AM04"/>
    <s v="EXAMENES DE LABORATORIO"/>
    <s v="EXAMENES DE LABORATORIO"/>
    <s v="EXAMENES DE LABORATORIO"/>
    <n v="0"/>
    <n v="0"/>
    <n v="96617350"/>
    <n v="5"/>
    <s v="SIN ISAPRE"/>
    <s v="MCAMPOS@AFPHABITAT.CL"/>
    <s v="11663256|96617350|371385897|65383952"/>
    <s v="GASTO FISICO"/>
    <b v="0"/>
    <s v="DEPOSITADO EN CUENTA"/>
  </r>
  <r>
    <s v="12 DE SEPTIEMBRE DE 2025"/>
    <x v="92"/>
    <s v="RAMON ORELLANA ROJAS"/>
    <n v="14551107"/>
    <s v="RAMON ORELLANA ROJAS"/>
    <d v="2025-02-01T00:00:00"/>
    <s v="INICIAL"/>
    <n v="371387072"/>
    <n v="371387072"/>
    <n v="21203"/>
    <n v="14842"/>
    <n v="6361"/>
    <n v="0"/>
    <n v="6361"/>
    <n v="371387072"/>
    <n v="285123"/>
    <s v="CORP DE BIENESTAR DEL PERSONAL DE A F P"/>
    <d v="2025-02-05T00:00:00"/>
    <d v="2025-02-05T00:00:00"/>
    <d v="2025-02-05T00:00:00"/>
    <d v="2025-02-05T00:00:00"/>
    <s v="AMBULATORIOS"/>
    <n v="22566220"/>
    <n v="2101551"/>
    <n v="68821529"/>
    <s v="TRASSA"/>
    <n v="9022025"/>
    <n v="77586"/>
    <s v="SAL"/>
    <s v="AM04"/>
    <s v="EXAMENES DE LABORATORIO"/>
    <s v="EXAMENES DE LABORATORIO"/>
    <s v="EXAMENES DE LABORATORIO"/>
    <s v="IMED SALUD"/>
    <n v="0"/>
    <n v="96942400"/>
    <n v="2"/>
    <s v="BANMÉDICA"/>
    <s v="RORELLAN@AFPHABITAT.CL"/>
    <s v="14551107|96942400|371387072|371387072"/>
    <s v="IMED SALUD"/>
    <b v="1"/>
    <s v="APORTE VIA IMED"/>
  </r>
  <r>
    <s v="12 DE SEPTIEMBRE DE 2025"/>
    <x v="92"/>
    <s v="RAMON ORELLANA ROJAS"/>
    <n v="14551107"/>
    <s v="RAMON ORELLANA ROJAS"/>
    <d v="2025-03-01T00:00:00"/>
    <s v="DUPLICADO"/>
    <n v="371387072"/>
    <n v="65384244"/>
    <n v="6138"/>
    <n v="0"/>
    <n v="6138"/>
    <n v="0"/>
    <n v="6138"/>
    <n v="371387072"/>
    <n v="285123"/>
    <s v="CORP DE BIENESTAR DEL PERSONAL DE A F P"/>
    <d v="2025-03-01T00:00:00"/>
    <d v="2025-03-26T00:00:00"/>
    <d v="2025-02-05T00:00:00"/>
    <d v="2025-02-05T00:00:00"/>
    <s v="AMBULATORIOS"/>
    <n v="22770544"/>
    <n v="3311105"/>
    <n v="69251117"/>
    <s v="TRASSA"/>
    <n v="984289359"/>
    <n v="78070"/>
    <s v="SAL"/>
    <s v="AM04"/>
    <s v="EXAMENES DE LABORATORIO"/>
    <s v="EXAMENES DE LABORATORIO"/>
    <s v="EXAMENES DE LABORATORIO"/>
    <n v="0"/>
    <n v="0"/>
    <n v="96942400"/>
    <n v="2"/>
    <s v="SIN ISAPRE"/>
    <s v="RORELLAN@AFPHABITAT.CL"/>
    <s v="14551107|96942400|371387072|65384244"/>
    <s v="GASTO FISICO"/>
    <b v="0"/>
    <s v="DEPOSITADO EN CUENTA"/>
  </r>
  <r>
    <s v="12 DE SEPTIEMBRE DE 2025"/>
    <x v="87"/>
    <s v="JOSE MIGUEL VALDIVIA NUÑEZ"/>
    <n v="15510748"/>
    <s v="JOSE MIGUEL VALDIVIA NUÑEZ"/>
    <d v="2025-02-01T00:00:00"/>
    <s v="INICIAL"/>
    <n v="371395787"/>
    <n v="371395787"/>
    <n v="14673"/>
    <n v="11738"/>
    <n v="2935"/>
    <n v="0"/>
    <n v="2935"/>
    <n v="371395787"/>
    <n v="285123"/>
    <s v="CORP DE BIENESTAR DEL PERSONAL DE A F P"/>
    <d v="2025-02-05T00:00:00"/>
    <d v="2025-02-05T00:00:00"/>
    <d v="2025-02-05T00:00:00"/>
    <d v="2025-02-05T00:00:00"/>
    <s v="AMBULATORIOS"/>
    <n v="22566228"/>
    <n v="2101551"/>
    <n v="68821752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BANMÉDICA"/>
    <s v="JVALDIVN@AFPHABITAT.CL"/>
    <s v="15510748|96986050|371395787|371395787"/>
    <s v="IMED SALUD"/>
    <b v="1"/>
    <s v="APORTE VIA IMED"/>
  </r>
  <r>
    <s v="12 DE SEPTIEMBRE DE 2025"/>
    <x v="87"/>
    <s v="JOSE MIGUEL VALDIVIA NUÑEZ"/>
    <n v="15510748"/>
    <s v="JOSE MIGUEL VALDIVIA NUÑEZ"/>
    <d v="2025-03-01T00:00:00"/>
    <s v="DUPLICADO"/>
    <n v="371395787"/>
    <n v="65384290"/>
    <n v="3067"/>
    <n v="0"/>
    <n v="3067"/>
    <n v="0"/>
    <n v="3067"/>
    <n v="371395787"/>
    <n v="285123"/>
    <s v="CORP DE BIENESTAR DEL PERSONAL DE A F P"/>
    <d v="2025-03-01T00:00:00"/>
    <d v="2025-03-26T00:00:00"/>
    <d v="2025-02-05T00:00:00"/>
    <d v="2025-02-05T00:00:00"/>
    <s v="AMBULATORIOS"/>
    <n v="22770546"/>
    <n v="3311105"/>
    <n v="69251173"/>
    <s v="TRASSA"/>
    <n v="104294701"/>
    <n v="78070"/>
    <s v="SAL"/>
    <s v="AM04"/>
    <s v="EXAMENES DE LABORATORIO"/>
    <s v="EXAMENES DE LABORATORIO"/>
    <s v="EXAMENES DE LABORATORIO"/>
    <n v="0"/>
    <n v="0"/>
    <n v="96986050"/>
    <n v="3"/>
    <s v="SIN ISAPRE"/>
    <s v="JVALDIVN@AFPHABITAT.CL"/>
    <s v="15510748|96986050|371395787|65384290"/>
    <s v="GASTO FISICO"/>
    <b v="0"/>
    <s v="DEPOSITADO EN CUENTA"/>
  </r>
  <r>
    <s v="12 DE SEPTIEMBRE DE 2025"/>
    <x v="87"/>
    <s v="JOSE MIGUEL VALDIVIA NUÑEZ"/>
    <n v="15510748"/>
    <s v="JOSE MIGUEL VALDIVIA NUÑEZ"/>
    <d v="2025-02-01T00:00:00"/>
    <s v="INICIAL"/>
    <n v="371395788"/>
    <n v="371395788"/>
    <n v="31133"/>
    <n v="24906"/>
    <n v="6227"/>
    <n v="0"/>
    <n v="6227"/>
    <n v="371395788"/>
    <n v="285123"/>
    <s v="CORP DE BIENESTAR DEL PERSONAL DE A F P"/>
    <d v="2025-02-05T00:00:00"/>
    <d v="2025-02-05T00:00:00"/>
    <d v="2025-02-05T00:00:00"/>
    <d v="2025-02-05T00:00:00"/>
    <s v="AMBULATORIOS"/>
    <n v="22566228"/>
    <n v="2101551"/>
    <n v="68821751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BANMÉDICA"/>
    <s v="JVALDIVN@AFPHABITAT.CL"/>
    <s v="15510748|96986050|371395788|371395788"/>
    <s v="IMED SALUD"/>
    <b v="1"/>
    <s v="APORTE VIA IMED"/>
  </r>
  <r>
    <s v="12 DE SEPTIEMBRE DE 2025"/>
    <x v="87"/>
    <s v="JOSE MIGUEL VALDIVIA NUÑEZ"/>
    <n v="15510748"/>
    <s v="JOSE MIGUEL VALDIVIA NUÑEZ"/>
    <d v="2025-03-01T00:00:00"/>
    <s v="DUPLICADO"/>
    <n v="371395788"/>
    <n v="65384291"/>
    <n v="6521"/>
    <n v="0"/>
    <n v="6521"/>
    <n v="0"/>
    <n v="6521"/>
    <n v="371395788"/>
    <n v="285123"/>
    <s v="CORP DE BIENESTAR DEL PERSONAL DE A F P"/>
    <d v="2025-03-01T00:00:00"/>
    <d v="2025-03-26T00:00:00"/>
    <d v="2025-02-05T00:00:00"/>
    <d v="2025-02-05T00:00:00"/>
    <s v="AMBULATORIOS"/>
    <n v="22770546"/>
    <n v="3311105"/>
    <n v="69251174"/>
    <s v="TRASSA"/>
    <n v="104294701"/>
    <n v="78070"/>
    <s v="SAL"/>
    <s v="AM04"/>
    <s v="EXAMENES DE LABORATORIO"/>
    <s v="EXAMENES DE LABORATORIO"/>
    <s v="EXAMENES DE LABORATORIO"/>
    <n v="0"/>
    <n v="0"/>
    <n v="96986050"/>
    <n v="3"/>
    <s v="SIN ISAPRE"/>
    <s v="JVALDIVN@AFPHABITAT.CL"/>
    <s v="15510748|96986050|371395788|65384291"/>
    <s v="GASTO FISICO"/>
    <b v="0"/>
    <s v="DEPOSITADO EN CUENTA"/>
  </r>
  <r>
    <s v="12 DE SEPTIEMBRE DE 2025"/>
    <x v="87"/>
    <s v="JOSE MIGUEL VALDIVIA NUÑEZ"/>
    <n v="15510748"/>
    <s v="JOSE MIGUEL VALDIVIA NUÑEZ"/>
    <d v="2025-02-01T00:00:00"/>
    <s v="INICIAL"/>
    <n v="371395789"/>
    <n v="371395789"/>
    <n v="31130"/>
    <n v="24903"/>
    <n v="6227"/>
    <n v="0"/>
    <n v="6227"/>
    <n v="371395789"/>
    <n v="285123"/>
    <s v="CORP DE BIENESTAR DEL PERSONAL DE A F P"/>
    <d v="2025-02-05T00:00:00"/>
    <d v="2025-02-05T00:00:00"/>
    <d v="2025-02-05T00:00:00"/>
    <d v="2025-02-05T00:00:00"/>
    <s v="AMBULATORIOS"/>
    <n v="22566228"/>
    <n v="2101551"/>
    <n v="68821750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BANMÉDICA"/>
    <s v="JVALDIVN@AFPHABITAT.CL"/>
    <s v="15510748|96986050|371395789|371395789"/>
    <s v="IMED SALUD"/>
    <b v="1"/>
    <s v="APORTE VIA IMED"/>
  </r>
  <r>
    <s v="12 DE SEPTIEMBRE DE 2025"/>
    <x v="87"/>
    <s v="JOSE MIGUEL VALDIVIA NUÑEZ"/>
    <n v="15510748"/>
    <s v="JOSE MIGUEL VALDIVIA NUÑEZ"/>
    <d v="2025-03-01T00:00:00"/>
    <s v="DUPLICADO"/>
    <n v="371395789"/>
    <n v="65384292"/>
    <n v="6138"/>
    <n v="0"/>
    <n v="6138"/>
    <n v="0"/>
    <n v="6138"/>
    <n v="371395789"/>
    <n v="285123"/>
    <s v="CORP DE BIENESTAR DEL PERSONAL DE A F P"/>
    <d v="2025-03-01T00:00:00"/>
    <d v="2025-03-26T00:00:00"/>
    <d v="2025-02-05T00:00:00"/>
    <d v="2025-02-05T00:00:00"/>
    <s v="AMBULATORIOS"/>
    <n v="22770546"/>
    <n v="3311105"/>
    <n v="69251175"/>
    <s v="TRASSA"/>
    <n v="104294701"/>
    <n v="78070"/>
    <s v="SAL"/>
    <s v="AM04"/>
    <s v="EXAMENES DE LABORATORIO"/>
    <s v="EXAMENES DE LABORATORIO"/>
    <s v="EXAMENES DE LABORATORIO"/>
    <n v="0"/>
    <n v="0"/>
    <n v="96986050"/>
    <n v="3"/>
    <s v="SIN ISAPRE"/>
    <s v="JVALDIVN@AFPHABITAT.CL"/>
    <s v="15510748|96986050|371395789|65384292"/>
    <s v="GASTO FISICO"/>
    <b v="0"/>
    <s v="DEPOSITADO EN CUENTA"/>
  </r>
  <r>
    <s v="12 DE SEPTIEMBRE DE 2025"/>
    <x v="87"/>
    <s v="JOSE MIGUEL VALDIVIA NUÑEZ"/>
    <n v="15510748"/>
    <s v="JOSE MIGUEL VALDIVIA NUÑEZ"/>
    <d v="2025-02-01T00:00:00"/>
    <s v="INICIAL"/>
    <n v="371395790"/>
    <n v="371395790"/>
    <n v="19947"/>
    <n v="15958"/>
    <n v="3989"/>
    <n v="0"/>
    <n v="3989"/>
    <n v="371395790"/>
    <n v="285123"/>
    <s v="CORP DE BIENESTAR DEL PERSONAL DE A F P"/>
    <d v="2025-02-05T00:00:00"/>
    <d v="2025-02-05T00:00:00"/>
    <d v="2025-02-05T00:00:00"/>
    <d v="2025-02-05T00:00:00"/>
    <s v="AMBULATORIOS"/>
    <n v="22566228"/>
    <n v="2101551"/>
    <n v="68821749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BANMÉDICA"/>
    <s v="JVALDIVN@AFPHABITAT.CL"/>
    <s v="15510748|96986050|371395790|371395790"/>
    <s v="IMED SALUD"/>
    <b v="1"/>
    <s v="APORTE VIA IMED"/>
  </r>
  <r>
    <s v="12 DE SEPTIEMBRE DE 2025"/>
    <x v="87"/>
    <s v="JOSE MIGUEL VALDIVIA NUÑEZ"/>
    <n v="15510748"/>
    <s v="JOSE MIGUEL VALDIVIA NUÑEZ"/>
    <d v="2025-03-01T00:00:00"/>
    <s v="DUPLICADO"/>
    <n v="371395790"/>
    <n v="65384293"/>
    <n v="3836"/>
    <n v="0"/>
    <n v="3836"/>
    <n v="0"/>
    <n v="3836"/>
    <n v="371395790"/>
    <n v="285123"/>
    <s v="CORP DE BIENESTAR DEL PERSONAL DE A F P"/>
    <d v="2025-03-01T00:00:00"/>
    <d v="2025-03-26T00:00:00"/>
    <d v="2025-02-05T00:00:00"/>
    <d v="2025-02-05T00:00:00"/>
    <s v="AMBULATORIOS"/>
    <n v="22770546"/>
    <n v="3311105"/>
    <n v="69251176"/>
    <s v="TRASSA"/>
    <n v="104294701"/>
    <n v="78070"/>
    <s v="SAL"/>
    <s v="AM04"/>
    <s v="EXAMENES DE LABORATORIO"/>
    <s v="EXAMENES DE LABORATORIO"/>
    <s v="EXAMENES DE LABORATORIO"/>
    <n v="0"/>
    <n v="0"/>
    <n v="96986050"/>
    <n v="3"/>
    <s v="SIN ISAPRE"/>
    <s v="JVALDIVN@AFPHABITAT.CL"/>
    <s v="15510748|96986050|371395790|65384293"/>
    <s v="GASTO FISICO"/>
    <b v="0"/>
    <s v="DEPOSITADO EN CUENTA"/>
  </r>
  <r>
    <s v="12 DE SEPTIEMBRE DE 2025"/>
    <x v="87"/>
    <s v="JOSE MIGUEL VALDIVIA NUÑEZ"/>
    <n v="15510748"/>
    <s v="JOSE MIGUEL VALDIVIA NUÑEZ"/>
    <d v="2025-02-01T00:00:00"/>
    <s v="INICIAL"/>
    <n v="371403225"/>
    <n v="371403225"/>
    <n v="10713"/>
    <n v="7499"/>
    <n v="3214"/>
    <n v="0"/>
    <n v="3214"/>
    <n v="371403225"/>
    <n v="285123"/>
    <s v="CORP DE BIENESTAR DEL PERSONAL DE A F P"/>
    <d v="2025-02-05T00:00:00"/>
    <d v="2025-02-05T00:00:00"/>
    <d v="2025-02-05T00:00:00"/>
    <d v="2025-02-05T00:00:00"/>
    <s v="AMBULATORIOS"/>
    <n v="22566228"/>
    <n v="2101551"/>
    <n v="68821857"/>
    <s v="TRASSA"/>
    <n v="9022025"/>
    <n v="77586"/>
    <s v="SAL"/>
    <s v="AM07"/>
    <s v="PROCEDIMIENTOS TERAPEUTICOS"/>
    <s v="PROCEDIMIENTOS TERAPEUTICOS"/>
    <s v="PROCEDIMIENTOS TERAPEUTICOS"/>
    <s v="IMED SALUD"/>
    <n v="0"/>
    <n v="76098454"/>
    <s v="K"/>
    <s v="BANMÉDICA"/>
    <s v="JVALDIVN@AFPHABITAT.CL"/>
    <s v="15510748|76098454|371403225|371403225"/>
    <s v="IMED SALUD"/>
    <b v="1"/>
    <s v="APORTE VIA IMED"/>
  </r>
  <r>
    <s v="12 DE SEPTIEMBRE DE 2025"/>
    <x v="87"/>
    <s v="JOSE MIGUEL VALDIVIA NUÑEZ"/>
    <n v="15510748"/>
    <s v="JOSE MIGUEL VALDIVIA NUÑEZ"/>
    <d v="2025-03-01T00:00:00"/>
    <s v="DUPLICADO"/>
    <n v="371403225"/>
    <n v="65384294"/>
    <n v="3069"/>
    <n v="0"/>
    <n v="3069"/>
    <n v="0"/>
    <n v="3069"/>
    <n v="371403225"/>
    <n v="285123"/>
    <s v="CORP DE BIENESTAR DEL PERSONAL DE A F P"/>
    <d v="2025-03-01T00:00:00"/>
    <d v="2025-03-26T00:00:00"/>
    <d v="2025-02-05T00:00:00"/>
    <d v="2025-02-05T00:00:00"/>
    <s v="AMBULATORIOS"/>
    <n v="22770546"/>
    <n v="3311105"/>
    <n v="69251177"/>
    <s v="TRASSA"/>
    <n v="104294701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JVALDIVN@AFPHABITAT.CL"/>
    <s v="15510748|76098454|371403225|65384294"/>
    <s v="GASTO FISICO"/>
    <b v="0"/>
    <s v="DEPOSITADO EN CUENTA"/>
  </r>
  <r>
    <s v="12 DE SEPTIEMBRE DE 2025"/>
    <x v="93"/>
    <s v="JOSE MERINO PETRIC"/>
    <n v="22256448"/>
    <s v="MARTINA MERINO TOSCANO"/>
    <d v="2025-02-01T00:00:00"/>
    <s v="INICIAL"/>
    <n v="371474020"/>
    <n v="371474020"/>
    <n v="31886"/>
    <n v="22321"/>
    <n v="9565"/>
    <n v="0"/>
    <n v="9565"/>
    <n v="371474020"/>
    <n v="285123"/>
    <s v="CORP DE BIENESTAR DEL PERSONAL DE A F P"/>
    <d v="2025-02-07T00:00:00"/>
    <d v="2025-02-07T00:00:00"/>
    <d v="2025-02-07T00:00:00"/>
    <d v="2025-02-07T00:00:00"/>
    <s v="AMBULATORIOS"/>
    <n v="22566287"/>
    <n v="2101551"/>
    <n v="68822982"/>
    <s v="TRASSA"/>
    <n v="9022025"/>
    <n v="77586"/>
    <s v="SAL"/>
    <s v="AM04"/>
    <s v="EXAMENES DE LABORATORIO"/>
    <s v="EXAMENES DE LABORATORIO"/>
    <s v="EXAMENES DE LABORATORIO"/>
    <s v="IMED SALUD"/>
    <n v="0"/>
    <n v="99573490"/>
    <n v="7"/>
    <s v="BANMÉDICA"/>
    <s v="JMERINO@AFPHABITAT.CL"/>
    <s v="11551746|99573490|371474020|371474020"/>
    <s v="IMED SALUD"/>
    <b v="1"/>
    <s v="APORTE VIA IMED"/>
  </r>
  <r>
    <s v="12 DE SEPTIEMBRE DE 2025"/>
    <x v="93"/>
    <s v="JOSE MERINO PETRIC"/>
    <n v="22256448"/>
    <s v="MARTINA MERINO TOSCANO"/>
    <d v="2025-03-01T00:00:00"/>
    <s v="DUPLICADO"/>
    <n v="371474020"/>
    <n v="65383941"/>
    <n v="9206"/>
    <n v="0"/>
    <n v="9206"/>
    <n v="0"/>
    <n v="9206"/>
    <n v="371474020"/>
    <n v="285123"/>
    <s v="CORP DE BIENESTAR DEL PERSONAL DE A F P"/>
    <d v="2025-03-01T00:00:00"/>
    <d v="2025-03-26T00:00:00"/>
    <d v="2025-02-07T00:00:00"/>
    <d v="2025-02-07T00:00:00"/>
    <s v="AMBULATORIOS"/>
    <n v="22770557"/>
    <n v="3311105"/>
    <n v="69250829"/>
    <s v="TRASSA"/>
    <n v="12084650"/>
    <n v="78070"/>
    <s v="SAL"/>
    <s v="AM04"/>
    <s v="EXAMENES DE LABORATORIO"/>
    <s v="EXAMENES DE LABORATORIO"/>
    <s v="EXAMENES DE LABORATORIO"/>
    <n v="0"/>
    <n v="0"/>
    <n v="99573490"/>
    <n v="7"/>
    <s v="SIN ISAPRE"/>
    <s v="JMERINO@AFPHABITAT.CL"/>
    <s v="11551746|99573490|371474020|65383941"/>
    <s v="GASTO FISICO"/>
    <b v="0"/>
    <s v="DEPOSITADO EN CUENTA"/>
  </r>
  <r>
    <s v="12 DE SEPTIEMBRE DE 2025"/>
    <x v="93"/>
    <s v="JOSE MERINO PETRIC"/>
    <n v="22256448"/>
    <s v="MARTINA MERINO TOSCANO"/>
    <d v="2025-02-01T00:00:00"/>
    <s v="INICIAL"/>
    <n v="371474021"/>
    <n v="371474021"/>
    <n v="56638"/>
    <n v="39646"/>
    <n v="16992"/>
    <n v="0"/>
    <n v="16992"/>
    <n v="371474021"/>
    <n v="285123"/>
    <s v="CORP DE BIENESTAR DEL PERSONAL DE A F P"/>
    <d v="2025-02-07T00:00:00"/>
    <d v="2025-02-07T00:00:00"/>
    <d v="2025-02-07T00:00:00"/>
    <d v="2025-02-07T00:00:00"/>
    <s v="AMBULATORIOS"/>
    <n v="22566287"/>
    <n v="2101551"/>
    <n v="68822981"/>
    <s v="TRASSA"/>
    <n v="9022025"/>
    <n v="77586"/>
    <s v="SAL"/>
    <s v="AM04"/>
    <s v="EXAMENES DE LABORATORIO"/>
    <s v="EXAMENES DE LABORATORIO"/>
    <s v="EXAMENES DE LABORATORIO"/>
    <s v="IMED SALUD"/>
    <n v="0"/>
    <n v="99573490"/>
    <n v="7"/>
    <s v="BANMÉDICA"/>
    <s v="JMERINO@AFPHABITAT.CL"/>
    <s v="11551746|99573490|371474021|371474021"/>
    <s v="IMED SALUD"/>
    <b v="1"/>
    <s v="APORTE VIA IMED"/>
  </r>
  <r>
    <s v="12 DE SEPTIEMBRE DE 2025"/>
    <x v="93"/>
    <s v="JOSE MERINO PETRIC"/>
    <n v="22256448"/>
    <s v="MARTINA MERINO TOSCANO"/>
    <d v="2025-03-01T00:00:00"/>
    <s v="DUPLICADO"/>
    <n v="371474021"/>
    <n v="65383942"/>
    <n v="17264"/>
    <n v="0"/>
    <n v="17264"/>
    <n v="0"/>
    <n v="17264"/>
    <n v="371474021"/>
    <n v="285123"/>
    <s v="CORP DE BIENESTAR DEL PERSONAL DE A F P"/>
    <d v="2025-03-01T00:00:00"/>
    <d v="2025-03-26T00:00:00"/>
    <d v="2025-02-07T00:00:00"/>
    <d v="2025-02-07T00:00:00"/>
    <s v="AMBULATORIOS"/>
    <n v="22770557"/>
    <n v="3311105"/>
    <n v="69250830"/>
    <s v="TRASSA"/>
    <n v="12084650"/>
    <n v="78070"/>
    <s v="SAL"/>
    <s v="AM04"/>
    <s v="EXAMENES DE LABORATORIO"/>
    <s v="EXAMENES DE LABORATORIO"/>
    <s v="EXAMENES DE LABORATORIO"/>
    <n v="0"/>
    <n v="0"/>
    <n v="99573490"/>
    <n v="7"/>
    <s v="SIN ISAPRE"/>
    <s v="JMERINO@AFPHABITAT.CL"/>
    <s v="11551746|99573490|371474021|65383942"/>
    <s v="GASTO FISICO"/>
    <b v="0"/>
    <s v="DEPOSITADO EN CUENTA"/>
  </r>
  <r>
    <s v="12 DE SEPTIEMBRE DE 2025"/>
    <x v="93"/>
    <s v="JOSE MERINO PETRIC"/>
    <n v="22256448"/>
    <s v="MARTINA MERINO TOSCANO"/>
    <d v="2025-02-01T00:00:00"/>
    <s v="INICIAL"/>
    <n v="371474022"/>
    <n v="371474022"/>
    <n v="44387"/>
    <n v="31071"/>
    <n v="13316"/>
    <n v="0"/>
    <n v="13316"/>
    <n v="371474022"/>
    <n v="285123"/>
    <s v="CORP DE BIENESTAR DEL PERSONAL DE A F P"/>
    <d v="2025-02-07T00:00:00"/>
    <d v="2025-02-07T00:00:00"/>
    <d v="2025-02-07T00:00:00"/>
    <d v="2025-02-07T00:00:00"/>
    <s v="AMBULATORIOS"/>
    <n v="22566287"/>
    <n v="2101551"/>
    <n v="68822980"/>
    <s v="TRASSA"/>
    <n v="9022025"/>
    <n v="77586"/>
    <s v="SAL"/>
    <s v="AM04"/>
    <s v="EXAMENES DE LABORATORIO"/>
    <s v="EXAMENES DE LABORATORIO"/>
    <s v="EXAMENES DE LABORATORIO"/>
    <s v="IMED SALUD"/>
    <n v="0"/>
    <n v="99573490"/>
    <n v="7"/>
    <s v="BANMÉDICA"/>
    <s v="JMERINO@AFPHABITAT.CL"/>
    <s v="11551746|99573490|371474022|371474022"/>
    <s v="IMED SALUD"/>
    <b v="1"/>
    <s v="APORTE VIA IMED"/>
  </r>
  <r>
    <s v="12 DE SEPTIEMBRE DE 2025"/>
    <x v="93"/>
    <s v="JOSE MERINO PETRIC"/>
    <n v="22256448"/>
    <s v="MARTINA MERINO TOSCANO"/>
    <d v="2025-03-01T00:00:00"/>
    <s v="DUPLICADO"/>
    <n v="371474022"/>
    <n v="65383943"/>
    <n v="13428"/>
    <n v="0"/>
    <n v="13428"/>
    <n v="0"/>
    <n v="13428"/>
    <n v="371474022"/>
    <n v="285123"/>
    <s v="CORP DE BIENESTAR DEL PERSONAL DE A F P"/>
    <d v="2025-03-01T00:00:00"/>
    <d v="2025-03-26T00:00:00"/>
    <d v="2025-02-07T00:00:00"/>
    <d v="2025-02-07T00:00:00"/>
    <s v="AMBULATORIOS"/>
    <n v="22770557"/>
    <n v="3311105"/>
    <n v="69250831"/>
    <s v="TRASSA"/>
    <n v="12084650"/>
    <n v="78070"/>
    <s v="SAL"/>
    <s v="AM04"/>
    <s v="EXAMENES DE LABORATORIO"/>
    <s v="EXAMENES DE LABORATORIO"/>
    <s v="EXAMENES DE LABORATORIO"/>
    <n v="0"/>
    <n v="0"/>
    <n v="99573490"/>
    <n v="7"/>
    <s v="SIN ISAPRE"/>
    <s v="JMERINO@AFPHABITAT.CL"/>
    <s v="11551746|99573490|371474022|65383943"/>
    <s v="GASTO FISICO"/>
    <b v="0"/>
    <s v="DEPOSITADO EN CUENTA"/>
  </r>
  <r>
    <s v="12 DE SEPTIEMBRE DE 2025"/>
    <x v="93"/>
    <s v="JOSE MERINO PETRIC"/>
    <n v="23388501"/>
    <s v="GASTON MERINO TOSCANO"/>
    <d v="2025-02-01T00:00:00"/>
    <s v="INICIAL"/>
    <n v="371474288"/>
    <n v="371474288"/>
    <n v="37231"/>
    <n v="26062"/>
    <n v="11169"/>
    <n v="0"/>
    <n v="11169"/>
    <n v="371474288"/>
    <n v="285123"/>
    <s v="CORP DE BIENESTAR DEL PERSONAL DE A F P"/>
    <d v="2025-02-07T00:00:00"/>
    <d v="2025-02-07T00:00:00"/>
    <d v="2025-02-07T00:00:00"/>
    <d v="2025-02-07T00:00:00"/>
    <s v="AMBULATORIOS"/>
    <n v="22566287"/>
    <n v="2101551"/>
    <n v="68822996"/>
    <s v="TRASSA"/>
    <n v="9022025"/>
    <n v="77586"/>
    <s v="SAL"/>
    <s v="AM04"/>
    <s v="EXAMENES DE LABORATORIO"/>
    <s v="EXAMENES DE LABORATORIO"/>
    <s v="EXAMENES DE LABORATORIO"/>
    <s v="IMED SALUD"/>
    <n v="0"/>
    <n v="99573490"/>
    <n v="7"/>
    <s v="BANMÉDICA"/>
    <s v="JMERINO@AFPHABITAT.CL"/>
    <s v="11551746|99573490|371474288|371474288"/>
    <s v="IMED SALUD"/>
    <b v="1"/>
    <s v="APORTE VIA IMED"/>
  </r>
  <r>
    <s v="12 DE SEPTIEMBRE DE 2025"/>
    <x v="93"/>
    <s v="JOSE MERINO PETRIC"/>
    <n v="23388501"/>
    <s v="GASTON MERINO TOSCANO"/>
    <d v="2025-03-01T00:00:00"/>
    <s v="DUPLICADO"/>
    <n v="371474288"/>
    <n v="65383944"/>
    <n v="11124"/>
    <n v="0"/>
    <n v="11124"/>
    <n v="0"/>
    <n v="11124"/>
    <n v="371474288"/>
    <n v="285123"/>
    <s v="CORP DE BIENESTAR DEL PERSONAL DE A F P"/>
    <d v="2025-03-01T00:00:00"/>
    <d v="2025-03-26T00:00:00"/>
    <d v="2025-02-07T00:00:00"/>
    <d v="2025-02-07T00:00:00"/>
    <s v="AMBULATORIOS"/>
    <n v="22770557"/>
    <n v="3311105"/>
    <n v="69250832"/>
    <s v="TRASSA"/>
    <n v="12084650"/>
    <n v="78070"/>
    <s v="SAL"/>
    <s v="AM04"/>
    <s v="EXAMENES DE LABORATORIO"/>
    <s v="EXAMENES DE LABORATORIO"/>
    <s v="EXAMENES DE LABORATORIO"/>
    <n v="0"/>
    <n v="0"/>
    <n v="99573490"/>
    <n v="7"/>
    <s v="SIN ISAPRE"/>
    <s v="JMERINO@AFPHABITAT.CL"/>
    <s v="11551746|99573490|371474288|65383944"/>
    <s v="GASTO FISICO"/>
    <b v="0"/>
    <s v="DEPOSITADO EN CUENTA"/>
  </r>
  <r>
    <s v="12 DE SEPTIEMBRE DE 2025"/>
    <x v="93"/>
    <s v="JOSE MERINO PETRIC"/>
    <n v="23388501"/>
    <s v="GASTON MERINO TOSCANO"/>
    <d v="2025-02-01T00:00:00"/>
    <s v="INICIAL"/>
    <n v="371474289"/>
    <n v="371474289"/>
    <n v="56909"/>
    <n v="39836"/>
    <n v="17073"/>
    <n v="0"/>
    <n v="17073"/>
    <n v="371474289"/>
    <n v="285123"/>
    <s v="CORP DE BIENESTAR DEL PERSONAL DE A F P"/>
    <d v="2025-02-07T00:00:00"/>
    <d v="2025-02-07T00:00:00"/>
    <d v="2025-02-07T00:00:00"/>
    <d v="2025-02-07T00:00:00"/>
    <s v="AMBULATORIOS"/>
    <n v="22566287"/>
    <n v="2101551"/>
    <n v="68822995"/>
    <s v="TRASSA"/>
    <n v="9022025"/>
    <n v="77586"/>
    <s v="SAL"/>
    <s v="AM04"/>
    <s v="EXAMENES DE LABORATORIO"/>
    <s v="EXAMENES DE LABORATORIO"/>
    <s v="EXAMENES DE LABORATORIO"/>
    <s v="IMED SALUD"/>
    <n v="0"/>
    <n v="99573490"/>
    <n v="7"/>
    <s v="BANMÉDICA"/>
    <s v="JMERINO@AFPHABITAT.CL"/>
    <s v="11551746|99573490|371474289|371474289"/>
    <s v="IMED SALUD"/>
    <b v="1"/>
    <s v="APORTE VIA IMED"/>
  </r>
  <r>
    <s v="12 DE SEPTIEMBRE DE 2025"/>
    <x v="93"/>
    <s v="JOSE MERINO PETRIC"/>
    <n v="23388501"/>
    <s v="GASTON MERINO TOSCANO"/>
    <d v="2025-03-01T00:00:00"/>
    <s v="DUPLICADO"/>
    <n v="371474289"/>
    <n v="65383945"/>
    <n v="17264"/>
    <n v="0"/>
    <n v="17264"/>
    <n v="0"/>
    <n v="17264"/>
    <n v="371474289"/>
    <n v="285123"/>
    <s v="CORP DE BIENESTAR DEL PERSONAL DE A F P"/>
    <d v="2025-03-01T00:00:00"/>
    <d v="2025-03-26T00:00:00"/>
    <d v="2025-02-07T00:00:00"/>
    <d v="2025-02-07T00:00:00"/>
    <s v="AMBULATORIOS"/>
    <n v="22770557"/>
    <n v="3311105"/>
    <n v="69250833"/>
    <s v="TRASSA"/>
    <n v="12084650"/>
    <n v="78070"/>
    <s v="SAL"/>
    <s v="AM04"/>
    <s v="EXAMENES DE LABORATORIO"/>
    <s v="EXAMENES DE LABORATORIO"/>
    <s v="EXAMENES DE LABORATORIO"/>
    <n v="0"/>
    <n v="0"/>
    <n v="99573490"/>
    <n v="7"/>
    <s v="SIN ISAPRE"/>
    <s v="JMERINO@AFPHABITAT.CL"/>
    <s v="11551746|99573490|371474289|65383945"/>
    <s v="GASTO FISICO"/>
    <b v="0"/>
    <s v="DEPOSITADO EN CUENTA"/>
  </r>
  <r>
    <s v="12 DE SEPTIEMBRE DE 2025"/>
    <x v="27"/>
    <s v="TIARE SEYMOUR SECALL"/>
    <n v="27677718"/>
    <s v="ARNAU GUZMAN SEYMOUR"/>
    <d v="2025-02-01T00:00:00"/>
    <s v="INICIAL"/>
    <n v="371491864"/>
    <n v="371491864"/>
    <n v="32040"/>
    <n v="22428"/>
    <n v="9612"/>
    <n v="0"/>
    <n v="9612"/>
    <n v="371491864"/>
    <n v="285123"/>
    <s v="CORP DE BIENESTAR DEL PERSONAL DE A F P"/>
    <d v="2025-02-07T00:00:00"/>
    <d v="2025-02-07T00:00:00"/>
    <d v="2025-02-07T00:00:00"/>
    <d v="2025-02-07T00:00:00"/>
    <s v="AMBULATORIOS"/>
    <n v="22566309"/>
    <n v="2101551"/>
    <n v="68823276"/>
    <s v="TRASSA"/>
    <n v="9022025"/>
    <n v="77586"/>
    <s v="SAL"/>
    <s v="AM04"/>
    <s v="EXAMENES DE LABORATORIO"/>
    <s v="EXAMENES DE LABORATORIO"/>
    <s v="EXAMENES DE LABORATORIO"/>
    <s v="IMED SALUD"/>
    <n v="0"/>
    <n v="90753000"/>
    <n v="0"/>
    <s v="BANMÉDICA"/>
    <s v="TSEYMOUR@AFPHABITAT.CL"/>
    <s v="18307619|90753000|371491864|371491864"/>
    <s v="IMED SALUD"/>
    <b v="1"/>
    <s v="APORTE VIA IMED"/>
  </r>
  <r>
    <s v="12 DE SEPTIEMBRE DE 2025"/>
    <x v="27"/>
    <s v="TIARE SEYMOUR SECALL"/>
    <n v="27677718"/>
    <s v="ARNAU GUZMAN SEYMOUR"/>
    <d v="2025-03-01T00:00:00"/>
    <s v="DUPLICADO"/>
    <n v="371491864"/>
    <n v="65384455"/>
    <n v="9591"/>
    <n v="0"/>
    <n v="9591"/>
    <n v="0"/>
    <n v="9591"/>
    <n v="371491864"/>
    <n v="285123"/>
    <s v="CORP DE BIENESTAR DEL PERSONAL DE A F P"/>
    <d v="2025-03-01T00:00:00"/>
    <d v="2025-03-26T00:00:00"/>
    <d v="2025-02-07T00:00:00"/>
    <d v="2025-02-07T00:00:00"/>
    <s v="AMBULATORIOS"/>
    <n v="22770564"/>
    <n v="3311105"/>
    <n v="69251321"/>
    <s v="TRASSA"/>
    <n v="226499717"/>
    <n v="78070"/>
    <s v="SAL"/>
    <s v="AM04"/>
    <s v="EXAMENES DE LABORATORIO"/>
    <s v="EXAMENES DE LABORATORIO"/>
    <s v="EXAMENES DE LABORATORIO"/>
    <n v="0"/>
    <n v="0"/>
    <n v="90753000"/>
    <n v="0"/>
    <s v="SIN ISAPRE"/>
    <s v="TSEYMOUR@AFPHABITAT.CL"/>
    <s v="18307619|90753000|371491864|65384455"/>
    <s v="GASTO FISICO"/>
    <b v="0"/>
    <s v="DEPOSITADO EN CUENTA"/>
  </r>
  <r>
    <s v="12 DE SEPTIEMBRE DE 2025"/>
    <x v="80"/>
    <s v="CAROLINA SANCHEZ ESPINOZA"/>
    <n v="11867573"/>
    <s v="CAROLINA SANCHEZ ESPINOZA"/>
    <d v="2025-02-01T00:00:00"/>
    <s v="INICIAL"/>
    <n v="371515851"/>
    <n v="371515851"/>
    <n v="25901"/>
    <n v="7260"/>
    <n v="18641"/>
    <n v="0"/>
    <n v="18641"/>
    <n v="371515851"/>
    <n v="285123"/>
    <s v="CORP DE BIENESTAR DEL PERSONAL DE A F P"/>
    <d v="2025-02-08T00:00:00"/>
    <d v="2025-02-08T00:00:00"/>
    <d v="2025-02-08T00:00:00"/>
    <d v="2025-02-08T00:00:00"/>
    <s v="AMBULATORIOS"/>
    <n v="22598295"/>
    <n v="2171709"/>
    <n v="68875571"/>
    <s v="TRASSA"/>
    <n v="16022025"/>
    <n v="77646"/>
    <s v="SAL"/>
    <s v="AM05"/>
    <s v="EXAMENES RADIOLOGICOS"/>
    <s v="EXAMENES RADIOLOGICOS"/>
    <s v="EXAMENES RADIOLOGICOS"/>
    <s v="IMED SALUD"/>
    <n v="0"/>
    <n v="79980070"/>
    <n v="5"/>
    <s v="BANMÉDICA"/>
    <s v="CAROLINA.SANCHEZ.ESPINOZA@AFPHABITAT.CL"/>
    <s v="11867573|79980070|371515851|371515851"/>
    <s v="IMED SALUD"/>
    <b v="1"/>
    <s v="APORTE VIA IMED"/>
  </r>
  <r>
    <s v="12 DE SEPTIEMBRE DE 2025"/>
    <x v="80"/>
    <s v="CAROLINA SANCHEZ ESPINOZA"/>
    <n v="11867573"/>
    <s v="CAROLINA SANCHEZ ESPINOZA"/>
    <d v="2025-03-01T00:00:00"/>
    <s v="DUPLICADO"/>
    <n v="371515851"/>
    <n v="65383973"/>
    <n v="16113"/>
    <n v="0"/>
    <n v="16113"/>
    <n v="0"/>
    <n v="16113"/>
    <n v="371515851"/>
    <n v="285123"/>
    <s v="CORP DE BIENESTAR DEL PERSONAL DE A F P"/>
    <d v="2025-03-01T00:00:00"/>
    <d v="2025-03-26T00:00:00"/>
    <d v="2025-02-08T00:00:00"/>
    <d v="2025-02-08T00:00:00"/>
    <s v="AMBULATORIOS"/>
    <n v="22770567"/>
    <n v="3311105"/>
    <n v="69250861"/>
    <s v="TRASSA"/>
    <n v="6920217"/>
    <n v="78070"/>
    <s v="SAL"/>
    <s v="AM05"/>
    <s v="EXAMENES RADIOLOGICOS"/>
    <s v="EXAMENES RADIOLOGICOS"/>
    <s v="EXAMENES RADIOLOGICOS"/>
    <n v="0"/>
    <n v="0"/>
    <n v="79980070"/>
    <n v="5"/>
    <s v="SIN ISAPRE"/>
    <s v="CAROLINA.SANCHEZ.ESPINOZA@AFPHABITAT.CL"/>
    <s v="11867573|79980070|371515851|65383973"/>
    <s v="GASTO FISICO"/>
    <b v="0"/>
    <s v="DEPOSITADO EN CUENTA"/>
  </r>
  <r>
    <s v="12 DE SEPTIEMBRE DE 2025"/>
    <x v="94"/>
    <s v="ESTER ELIANA MILLAHUAL LIEMPI"/>
    <n v="11128784"/>
    <s v="ESTER ELIANA MILLAHUAL LIEMPI"/>
    <d v="2025-02-01T00:00:00"/>
    <s v="INICIAL"/>
    <n v="371546977"/>
    <n v="371546977"/>
    <n v="208400"/>
    <n v="182800"/>
    <n v="25600"/>
    <n v="0"/>
    <n v="25600"/>
    <n v="371546977"/>
    <n v="285123"/>
    <s v="CORP DE BIENESTAR DEL PERSONAL DE A F P"/>
    <d v="2025-02-10T00:00:00"/>
    <d v="2025-02-10T00:00:00"/>
    <d v="2025-02-10T00:00:00"/>
    <d v="2025-02-10T00:00:00"/>
    <s v="AMBULATORIOS"/>
    <n v="22598327"/>
    <n v="2171709"/>
    <n v="68876063"/>
    <s v="TRASSA"/>
    <n v="16022025"/>
    <n v="77646"/>
    <s v="SAL"/>
    <s v="AM05"/>
    <s v="EXAMENES RADIOLOGICOS"/>
    <s v="EXAMENES RADIOLOGICOS"/>
    <s v="EXAMENES RADIOLOGICOS"/>
    <s v="IMED SALUD"/>
    <n v="0"/>
    <n v="96617350"/>
    <n v="5"/>
    <s v="BANMÉDICA"/>
    <s v="EMILLAHU@AFPHABITAT.CL"/>
    <s v="11128784|96617350|371546977|371546977"/>
    <s v="IMED SALUD"/>
    <b v="1"/>
    <s v="APORTE VIA IMED"/>
  </r>
  <r>
    <s v="12 DE SEPTIEMBRE DE 2025"/>
    <x v="94"/>
    <s v="ESTER ELIANA MILLAHUAL LIEMPI"/>
    <n v="11128784"/>
    <s v="ESTER ELIANA MILLAHUAL LIEMPI"/>
    <d v="2025-03-01T00:00:00"/>
    <s v="DUPLICADO"/>
    <n v="371546977"/>
    <n v="65383910"/>
    <n v="25702"/>
    <n v="0"/>
    <n v="25702"/>
    <n v="0"/>
    <n v="25702"/>
    <n v="371546977"/>
    <n v="285123"/>
    <s v="CORP DE BIENESTAR DEL PERSONAL DE A F P"/>
    <d v="2025-03-01T00:00:00"/>
    <d v="2025-03-26T00:00:00"/>
    <d v="2025-02-10T00:00:00"/>
    <d v="2025-02-10T00:00:00"/>
    <s v="AMBULATORIOS"/>
    <n v="22770579"/>
    <n v="3311105"/>
    <n v="69250799"/>
    <s v="TRASSA"/>
    <n v="1130439"/>
    <n v="78070"/>
    <s v="SAL"/>
    <s v="AM05"/>
    <s v="EXAMENES RADIOLOGICOS"/>
    <s v="EXAMENES RADIOLOGICOS"/>
    <s v="EXAMENES RADIOLOGICOS"/>
    <n v="0"/>
    <n v="0"/>
    <n v="96617350"/>
    <n v="5"/>
    <s v="SIN ISAPRE"/>
    <s v="EMILLAHU@AFPHABITAT.CL"/>
    <s v="11128784|96617350|371546977|65383910"/>
    <s v="GASTO FISICO"/>
    <b v="0"/>
    <s v="DEPOSITADO EN CUENTA"/>
  </r>
  <r>
    <s v="12 DE SEPTIEMBRE DE 2025"/>
    <x v="87"/>
    <s v="JOSE MIGUEL VALDIVIA NUÑEZ"/>
    <n v="15510748"/>
    <s v="JOSE MIGUEL VALDIVIA NUÑEZ"/>
    <d v="2025-02-01T00:00:00"/>
    <s v="INICIAL"/>
    <n v="371548026"/>
    <n v="371548026"/>
    <n v="23556"/>
    <n v="18845"/>
    <n v="4711"/>
    <n v="0"/>
    <n v="4711"/>
    <n v="371548026"/>
    <n v="285123"/>
    <s v="CORP DE BIENESTAR DEL PERSONAL DE A F P"/>
    <d v="2025-02-10T00:00:00"/>
    <d v="2025-02-10T00:00:00"/>
    <d v="2025-02-10T00:00:00"/>
    <d v="2025-02-10T00:00:00"/>
    <s v="AMBULATORIOS"/>
    <n v="22598341"/>
    <n v="2171709"/>
    <n v="68876074"/>
    <s v="TRASSA"/>
    <n v="16022025"/>
    <n v="77646"/>
    <s v="SAL"/>
    <s v="AM05"/>
    <s v="EXAMENES RADIOLOGICOS"/>
    <s v="EXAMENES RADIOLOGICOS"/>
    <s v="EXAMENES RADIOLOGICOS"/>
    <s v="IMED SALUD"/>
    <n v="0"/>
    <n v="76098454"/>
    <s v="K"/>
    <s v="BANMÉDICA"/>
    <s v="JVALDIVN@AFPHABITAT.CL"/>
    <s v="15510748|76098454|371548026|371548026"/>
    <s v="IMED SALUD"/>
    <b v="1"/>
    <s v="APORTE VIA IMED"/>
  </r>
  <r>
    <s v="12 DE SEPTIEMBRE DE 2025"/>
    <x v="87"/>
    <s v="JOSE MIGUEL VALDIVIA NUÑEZ"/>
    <n v="15510748"/>
    <s v="JOSE MIGUEL VALDIVIA NUÑEZ"/>
    <d v="2025-03-01T00:00:00"/>
    <s v="DUPLICADO"/>
    <n v="371548026"/>
    <n v="65384295"/>
    <n v="4603"/>
    <n v="0"/>
    <n v="4603"/>
    <n v="0"/>
    <n v="4603"/>
    <n v="371548026"/>
    <n v="285123"/>
    <s v="CORP DE BIENESTAR DEL PERSONAL DE A F P"/>
    <d v="2025-03-01T00:00:00"/>
    <d v="2025-03-26T00:00:00"/>
    <d v="2025-02-10T00:00:00"/>
    <d v="2025-02-10T00:00:00"/>
    <s v="AMBULATORIOS"/>
    <n v="22770581"/>
    <n v="3311105"/>
    <n v="69251178"/>
    <s v="TRASSA"/>
    <n v="104294701"/>
    <n v="78070"/>
    <s v="SAL"/>
    <s v="AM05"/>
    <s v="EXAMENES RADIOLOGICOS"/>
    <s v="EXAMENES RADIOLOGICOS"/>
    <s v="EXAMENES RADIOLOGICOS"/>
    <n v="0"/>
    <n v="0"/>
    <n v="76098454"/>
    <s v="K"/>
    <s v="SIN ISAPRE"/>
    <s v="JVALDIVN@AFPHABITAT.CL"/>
    <s v="15510748|76098454|371548026|65384295"/>
    <s v="GASTO FISICO"/>
    <b v="0"/>
    <s v="DEPOSITADO EN CUENTA"/>
  </r>
  <r>
    <s v="12 DE SEPTIEMBRE DE 2025"/>
    <x v="95"/>
    <s v="FANNY LOURDES TORRES RODRIGUEZ"/>
    <n v="8592614"/>
    <s v="FANNY LOURDES TORRES RODRIGUEZ"/>
    <d v="2025-02-01T00:00:00"/>
    <s v="INICIAL"/>
    <n v="371556218"/>
    <n v="371556218"/>
    <n v="37690"/>
    <n v="30152"/>
    <n v="7538"/>
    <n v="0"/>
    <n v="7538"/>
    <n v="371556218"/>
    <n v="285123"/>
    <s v="CORP DE BIENESTAR DEL PERSONAL DE A F P"/>
    <d v="2025-02-10T00:00:00"/>
    <d v="2025-02-10T00:00:00"/>
    <d v="2025-02-10T00:00:00"/>
    <d v="2025-02-10T00:00:00"/>
    <s v="AMBULATORIOS"/>
    <n v="22598314"/>
    <n v="2171709"/>
    <n v="68876176"/>
    <s v="TRASSA"/>
    <n v="16022025"/>
    <n v="77646"/>
    <s v="SAL"/>
    <s v="AM05"/>
    <s v="EXAMENES RADIOLOGICOS"/>
    <s v="EXAMENES RADIOLOGICOS"/>
    <s v="EXAMENES RADIOLOGICOS"/>
    <s v="IMED SALUD"/>
    <n v="0"/>
    <n v="96680980"/>
    <n v="9"/>
    <s v="BANMÉDICA"/>
    <s v="FTORRES@AFPHABITAT.CL"/>
    <s v="8592614|96680980|371556218|371556218"/>
    <s v="IMED SALUD"/>
    <b v="1"/>
    <s v="APORTE VIA IMED"/>
  </r>
  <r>
    <s v="12 DE SEPTIEMBRE DE 2025"/>
    <x v="95"/>
    <s v="FANNY LOURDES TORRES RODRIGUEZ"/>
    <n v="8592614"/>
    <s v="FANNY LOURDES TORRES RODRIGUEZ"/>
    <d v="2025-03-01T00:00:00"/>
    <s v="DUPLICADO"/>
    <n v="371556218"/>
    <n v="65383687"/>
    <n v="7288"/>
    <n v="0"/>
    <n v="7288"/>
    <n v="0"/>
    <n v="7288"/>
    <n v="371556218"/>
    <n v="285123"/>
    <s v="CORP DE BIENESTAR DEL PERSONAL DE A F P"/>
    <d v="2025-03-01T00:00:00"/>
    <d v="2025-03-26T00:00:00"/>
    <d v="2025-02-10T00:00:00"/>
    <d v="2025-02-10T00:00:00"/>
    <s v="AMBULATORIOS"/>
    <n v="22770574"/>
    <n v="3311105"/>
    <n v="69250578"/>
    <s v="TRASSA"/>
    <n v="70366080"/>
    <n v="78070"/>
    <s v="SAL"/>
    <s v="AM05"/>
    <s v="EXAMENES RADIOLOGICOS"/>
    <s v="EXAMENES RADIOLOGICOS"/>
    <s v="EXAMENES RADIOLOGICOS"/>
    <n v="0"/>
    <n v="0"/>
    <n v="96680980"/>
    <n v="9"/>
    <s v="SIN ISAPRE"/>
    <s v="FTORRES@AFPHABITAT.CL"/>
    <s v="8592614|96680980|371556218|65383687"/>
    <s v="GASTO FISICO"/>
    <b v="0"/>
    <s v="DEPOSITADO EN CUENTA"/>
  </r>
  <r>
    <s v="12 DE SEPTIEMBRE DE 2025"/>
    <x v="70"/>
    <s v="SANDRA LORETO BALLESTEROS BUXTON"/>
    <n v="21754631"/>
    <s v="ISIDORA CANALES BALLESTEROS"/>
    <d v="2025-02-01T00:00:00"/>
    <s v="INICIAL"/>
    <n v="371561787"/>
    <n v="371561787"/>
    <n v="28146"/>
    <n v="22517"/>
    <n v="5629"/>
    <n v="0"/>
    <n v="5629"/>
    <n v="371561787"/>
    <n v="285123"/>
    <s v="CORP DE BIENESTAR DEL PERSONAL DE A F P"/>
    <d v="2025-02-10T00:00:00"/>
    <d v="2025-02-10T00:00:00"/>
    <d v="2025-02-10T00:00:00"/>
    <d v="2025-02-10T00:00:00"/>
    <s v="AMBULATORIOS"/>
    <n v="22598313"/>
    <n v="2171709"/>
    <n v="68876260"/>
    <s v="TRASSA"/>
    <n v="16022025"/>
    <n v="77646"/>
    <s v="SAL"/>
    <s v="AM05"/>
    <s v="EXAMENES RADIOLOGICOS"/>
    <s v="EXAMENES RADIOLOGICOS"/>
    <s v="EXAMENES RADIOLOGICOS"/>
    <s v="IMED SALUD"/>
    <n v="0"/>
    <n v="76055963"/>
    <n v="6"/>
    <s v="BANMÉDICA"/>
    <s v="SBALLEST@AFPHABITAT.CL"/>
    <s v="8376812|76055963|371561787|371561787"/>
    <s v="IMED SALUD"/>
    <b v="1"/>
    <s v="APORTE VIA IMED"/>
  </r>
  <r>
    <s v="12 DE SEPTIEMBRE DE 2025"/>
    <x v="70"/>
    <s v="SANDRA LORETO BALLESTEROS BUXTON"/>
    <n v="21754631"/>
    <s v="ISIDORA CANALES BALLESTEROS"/>
    <d v="2025-03-01T00:00:00"/>
    <s v="DUPLICADO"/>
    <n v="371561787"/>
    <n v="65383656"/>
    <n v="5754"/>
    <n v="0"/>
    <n v="5754"/>
    <n v="0"/>
    <n v="5754"/>
    <n v="371561787"/>
    <n v="285123"/>
    <s v="CORP DE BIENESTAR DEL PERSONAL DE A F P"/>
    <d v="2025-03-01T00:00:00"/>
    <d v="2025-03-26T00:00:00"/>
    <d v="2025-02-10T00:00:00"/>
    <d v="2025-02-10T00:00:00"/>
    <s v="AMBULATORIOS"/>
    <n v="22770573"/>
    <n v="3311105"/>
    <n v="69250547"/>
    <s v="TRASSA"/>
    <n v="0"/>
    <n v="78070"/>
    <s v="SAL"/>
    <s v="AM05"/>
    <s v="EXAMENES RADIOLOGICOS"/>
    <s v="EXAMENES RADIOLOGICOS"/>
    <s v="EXAMENES RADIOLOGICOS"/>
    <n v="0"/>
    <n v="0"/>
    <n v="76055963"/>
    <n v="6"/>
    <s v="SIN ISAPRE"/>
    <s v="SBALLEST@AFPHABITAT.CL"/>
    <s v="8376812|76055963|371561787|65383656"/>
    <s v="GASTO FISICO"/>
    <b v="0"/>
    <s v="DEPOSITADO EN CUENTA"/>
  </r>
  <r>
    <s v="12 DE SEPTIEMBRE DE 2025"/>
    <x v="96"/>
    <s v="DANIELA OYARCE VASQUEZ"/>
    <n v="15537243"/>
    <s v="DANIELA OYARCE VASQUEZ"/>
    <d v="2025-02-01T00:00:00"/>
    <s v="INICIAL"/>
    <n v="371577111"/>
    <n v="371577111"/>
    <n v="39039"/>
    <n v="27328"/>
    <n v="11711"/>
    <n v="0"/>
    <n v="11711"/>
    <n v="371577111"/>
    <n v="285123"/>
    <s v="CORP DE BIENESTAR DEL PERSONAL DE A F P"/>
    <d v="2025-02-11T00:00:00"/>
    <d v="2025-02-11T00:00:00"/>
    <d v="2025-02-11T00:00:00"/>
    <d v="2025-02-11T00:00:00"/>
    <s v="AMBULATORIOS"/>
    <n v="22598366"/>
    <n v="2171709"/>
    <n v="68876416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BANMÉDICA"/>
    <s v="DOYARCE@AFPHABITAT.CL"/>
    <s v="15537243|96942400|371577111|371577111"/>
    <s v="IMED SALUD"/>
    <b v="1"/>
    <s v="APORTE VIA IMED"/>
  </r>
  <r>
    <s v="12 DE SEPTIEMBRE DE 2025"/>
    <x v="96"/>
    <s v="DANIELA OYARCE VASQUEZ"/>
    <n v="15537243"/>
    <s v="DANIELA OYARCE VASQUEZ"/>
    <d v="2025-03-01T00:00:00"/>
    <s v="DUPLICADO"/>
    <n v="371577111"/>
    <n v="65384306"/>
    <n v="11515"/>
    <n v="0"/>
    <n v="11515"/>
    <n v="0"/>
    <n v="11515"/>
    <n v="371577111"/>
    <n v="285123"/>
    <s v="CORP DE BIENESTAR DEL PERSONAL DE A F P"/>
    <d v="2025-03-01T00:00:00"/>
    <d v="2025-03-26T00:00:00"/>
    <d v="2025-02-11T00:00:00"/>
    <d v="2025-02-11T00:00:00"/>
    <s v="AMBULATORIOS"/>
    <n v="22770590"/>
    <n v="3311105"/>
    <n v="69251189"/>
    <s v="TRASSA"/>
    <n v="230562301"/>
    <n v="78070"/>
    <s v="SAL"/>
    <s v="AM04"/>
    <s v="EXAMENES DE LABORATORIO"/>
    <s v="EXAMENES DE LABORATORIO"/>
    <s v="EXAMENES DE LABORATORIO"/>
    <n v="0"/>
    <n v="0"/>
    <n v="96942400"/>
    <n v="2"/>
    <s v="SIN ISAPRE"/>
    <s v="DOYARCE@AFPHABITAT.CL"/>
    <s v="15537243|96942400|371577111|65384306"/>
    <s v="GASTO FISICO"/>
    <b v="0"/>
    <s v="DEPOSITADO EN CUENTA"/>
  </r>
  <r>
    <s v="12 DE SEPTIEMBRE DE 2025"/>
    <x v="96"/>
    <s v="DANIELA OYARCE VASQUEZ"/>
    <n v="15537243"/>
    <s v="DANIELA OYARCE VASQUEZ"/>
    <d v="2025-02-01T00:00:00"/>
    <s v="INICIAL"/>
    <n v="371577112"/>
    <n v="371577112"/>
    <n v="25623"/>
    <n v="17937"/>
    <n v="7686"/>
    <n v="0"/>
    <n v="7686"/>
    <n v="371577112"/>
    <n v="285123"/>
    <s v="CORP DE BIENESTAR DEL PERSONAL DE A F P"/>
    <d v="2025-02-11T00:00:00"/>
    <d v="2025-02-11T00:00:00"/>
    <d v="2025-02-11T00:00:00"/>
    <d v="2025-02-11T00:00:00"/>
    <s v="AMBULATORIOS"/>
    <n v="22598366"/>
    <n v="2171709"/>
    <n v="68876415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BANMÉDICA"/>
    <s v="DOYARCE@AFPHABITAT.CL"/>
    <s v="15537243|96942400|371577112|371577112"/>
    <s v="IMED SALUD"/>
    <b v="1"/>
    <s v="APORTE VIA IMED"/>
  </r>
  <r>
    <s v="12 DE SEPTIEMBRE DE 2025"/>
    <x v="96"/>
    <s v="DANIELA OYARCE VASQUEZ"/>
    <n v="15537243"/>
    <s v="DANIELA OYARCE VASQUEZ"/>
    <d v="2025-03-01T00:00:00"/>
    <s v="DUPLICADO"/>
    <n v="371577112"/>
    <n v="65384307"/>
    <n v="7291"/>
    <n v="0"/>
    <n v="7291"/>
    <n v="0"/>
    <n v="7291"/>
    <n v="371577112"/>
    <n v="285123"/>
    <s v="CORP DE BIENESTAR DEL PERSONAL DE A F P"/>
    <d v="2025-03-01T00:00:00"/>
    <d v="2025-03-26T00:00:00"/>
    <d v="2025-02-11T00:00:00"/>
    <d v="2025-02-11T00:00:00"/>
    <s v="AMBULATORIOS"/>
    <n v="22770590"/>
    <n v="3311105"/>
    <n v="69251190"/>
    <s v="TRASSA"/>
    <n v="230562301"/>
    <n v="78070"/>
    <s v="SAL"/>
    <s v="AM04"/>
    <s v="EXAMENES DE LABORATORIO"/>
    <s v="EXAMENES DE LABORATORIO"/>
    <s v="EXAMENES DE LABORATORIO"/>
    <n v="0"/>
    <n v="0"/>
    <n v="96942400"/>
    <n v="2"/>
    <s v="SIN ISAPRE"/>
    <s v="DOYARCE@AFPHABITAT.CL"/>
    <s v="15537243|96942400|371577112|65384307"/>
    <s v="GASTO FISICO"/>
    <b v="0"/>
    <s v="DEPOSITADO EN CUENTA"/>
  </r>
  <r>
    <s v="12 DE SEPTIEMBRE DE 2025"/>
    <x v="96"/>
    <s v="DANIELA OYARCE VASQUEZ"/>
    <n v="15537243"/>
    <s v="DANIELA OYARCE VASQUEZ"/>
    <d v="2025-02-01T00:00:00"/>
    <s v="INICIAL"/>
    <n v="371577113"/>
    <n v="371577113"/>
    <n v="13624"/>
    <n v="9538"/>
    <n v="4086"/>
    <n v="0"/>
    <n v="4086"/>
    <n v="371577113"/>
    <n v="285123"/>
    <s v="CORP DE BIENESTAR DEL PERSONAL DE A F P"/>
    <d v="2025-02-11T00:00:00"/>
    <d v="2025-02-11T00:00:00"/>
    <d v="2025-02-11T00:00:00"/>
    <d v="2025-02-11T00:00:00"/>
    <s v="AMBULATORIOS"/>
    <n v="22598366"/>
    <n v="2171709"/>
    <n v="68876414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BANMÉDICA"/>
    <s v="DOYARCE@AFPHABITAT.CL"/>
    <s v="15537243|96942400|371577113|371577113"/>
    <s v="IMED SALUD"/>
    <b v="1"/>
    <s v="APORTE VIA IMED"/>
  </r>
  <r>
    <s v="12 DE SEPTIEMBRE DE 2025"/>
    <x v="96"/>
    <s v="DANIELA OYARCE VASQUEZ"/>
    <n v="15537243"/>
    <s v="DANIELA OYARCE VASQUEZ"/>
    <d v="2025-03-01T00:00:00"/>
    <s v="DUPLICADO"/>
    <n v="371577113"/>
    <n v="65384308"/>
    <n v="3836"/>
    <n v="0"/>
    <n v="3836"/>
    <n v="0"/>
    <n v="3836"/>
    <n v="371577113"/>
    <n v="285123"/>
    <s v="CORP DE BIENESTAR DEL PERSONAL DE A F P"/>
    <d v="2025-03-01T00:00:00"/>
    <d v="2025-03-26T00:00:00"/>
    <d v="2025-02-11T00:00:00"/>
    <d v="2025-02-11T00:00:00"/>
    <s v="AMBULATORIOS"/>
    <n v="22770590"/>
    <n v="3311105"/>
    <n v="69251191"/>
    <s v="TRASSA"/>
    <n v="230562301"/>
    <n v="78070"/>
    <s v="SAL"/>
    <s v="AM04"/>
    <s v="EXAMENES DE LABORATORIO"/>
    <s v="EXAMENES DE LABORATORIO"/>
    <s v="EXAMENES DE LABORATORIO"/>
    <n v="0"/>
    <n v="0"/>
    <n v="96942400"/>
    <n v="2"/>
    <s v="SIN ISAPRE"/>
    <s v="DOYARCE@AFPHABITAT.CL"/>
    <s v="15537243|96942400|371577113|65384308"/>
    <s v="GASTO FISICO"/>
    <b v="0"/>
    <s v="DEPOSITADO EN CUENTA"/>
  </r>
  <r>
    <s v="12 DE SEPTIEMBRE DE 2025"/>
    <x v="96"/>
    <s v="DANIELA OYARCE VASQUEZ"/>
    <n v="15537243"/>
    <s v="DANIELA OYARCE VASQUEZ"/>
    <d v="2025-02-01T00:00:00"/>
    <s v="INICIAL"/>
    <n v="371577222"/>
    <n v="371577222"/>
    <n v="30719"/>
    <n v="21503"/>
    <n v="9216"/>
    <n v="0"/>
    <n v="9216"/>
    <n v="371577222"/>
    <n v="285123"/>
    <s v="CORP DE BIENESTAR DEL PERSONAL DE A F P"/>
    <d v="2025-02-11T00:00:00"/>
    <d v="2025-02-11T00:00:00"/>
    <d v="2025-02-11T00:00:00"/>
    <d v="2025-02-11T00:00:00"/>
    <s v="AMBULATORIOS"/>
    <n v="22598366"/>
    <n v="2171709"/>
    <n v="68876424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BANMÉDICA"/>
    <s v="DOYARCE@AFPHABITAT.CL"/>
    <s v="15537243|96942400|371577222|371577222"/>
    <s v="IMED SALUD"/>
    <b v="1"/>
    <s v="APORTE VIA IMED"/>
  </r>
  <r>
    <s v="12 DE SEPTIEMBRE DE 2025"/>
    <x v="96"/>
    <s v="DANIELA OYARCE VASQUEZ"/>
    <n v="15537243"/>
    <s v="DANIELA OYARCE VASQUEZ"/>
    <d v="2025-03-01T00:00:00"/>
    <s v="DUPLICADO"/>
    <n v="371577222"/>
    <n v="65384309"/>
    <n v="9213"/>
    <n v="0"/>
    <n v="9213"/>
    <n v="0"/>
    <n v="9213"/>
    <n v="371577222"/>
    <n v="285123"/>
    <s v="CORP DE BIENESTAR DEL PERSONAL DE A F P"/>
    <d v="2025-03-01T00:00:00"/>
    <d v="2025-03-26T00:00:00"/>
    <d v="2025-02-11T00:00:00"/>
    <d v="2025-02-11T00:00:00"/>
    <s v="AMBULATORIOS"/>
    <n v="22770590"/>
    <n v="3311105"/>
    <n v="69251192"/>
    <s v="TRASSA"/>
    <n v="230562301"/>
    <n v="78070"/>
    <s v="SAL"/>
    <s v="AM04"/>
    <s v="EXAMENES DE LABORATORIO"/>
    <s v="EXAMENES DE LABORATORIO"/>
    <s v="EXAMENES DE LABORATORIO"/>
    <n v="0"/>
    <n v="0"/>
    <n v="96942400"/>
    <n v="2"/>
    <s v="SIN ISAPRE"/>
    <s v="DOYARCE@AFPHABITAT.CL"/>
    <s v="15537243|96942400|371577222|65384309"/>
    <s v="GASTO FISICO"/>
    <b v="0"/>
    <s v="DEPOSITADO EN CUENTA"/>
  </r>
  <r>
    <s v="12 DE SEPTIEMBRE DE 2025"/>
    <x v="96"/>
    <s v="DANIELA OYARCE VASQUEZ"/>
    <n v="15537243"/>
    <s v="DANIELA OYARCE VASQUEZ"/>
    <d v="2025-02-01T00:00:00"/>
    <s v="INICIAL"/>
    <n v="371577523"/>
    <n v="371577523"/>
    <n v="28808"/>
    <n v="20166"/>
    <n v="8642"/>
    <n v="0"/>
    <n v="8642"/>
    <n v="371577523"/>
    <n v="285123"/>
    <s v="CORP DE BIENESTAR DEL PERSONAL DE A F P"/>
    <d v="2025-02-11T00:00:00"/>
    <d v="2025-02-11T00:00:00"/>
    <d v="2025-02-11T00:00:00"/>
    <d v="2025-02-11T00:00:00"/>
    <s v="AMBULATORIOS"/>
    <n v="22598366"/>
    <n v="2171709"/>
    <n v="68876440"/>
    <s v="TRASSA"/>
    <n v="16022025"/>
    <n v="77646"/>
    <s v="SAL"/>
    <s v="AM05"/>
    <s v="EXAMENES RADIOLOGICOS"/>
    <s v="EXAMENES RADIOLOGICOS"/>
    <s v="EXAMENES RADIOLOGICOS"/>
    <s v="IMED SALUD"/>
    <n v="0"/>
    <n v="96942400"/>
    <n v="2"/>
    <s v="BANMÉDICA"/>
    <s v="DOYARCE@AFPHABITAT.CL"/>
    <s v="15537243|96942400|371577523|371577523"/>
    <s v="IMED SALUD"/>
    <b v="1"/>
    <s v="APORTE VIA IMED"/>
  </r>
  <r>
    <s v="12 DE SEPTIEMBRE DE 2025"/>
    <x v="96"/>
    <s v="DANIELA OYARCE VASQUEZ"/>
    <n v="15537243"/>
    <s v="DANIELA OYARCE VASQUEZ"/>
    <d v="2025-03-01T00:00:00"/>
    <s v="DUPLICADO"/>
    <n v="371577523"/>
    <n v="65384310"/>
    <n v="8830"/>
    <n v="0"/>
    <n v="8830"/>
    <n v="0"/>
    <n v="8830"/>
    <n v="371577523"/>
    <n v="285123"/>
    <s v="CORP DE BIENESTAR DEL PERSONAL DE A F P"/>
    <d v="2025-03-01T00:00:00"/>
    <d v="2025-03-26T00:00:00"/>
    <d v="2025-02-11T00:00:00"/>
    <d v="2025-02-11T00:00:00"/>
    <s v="AMBULATORIOS"/>
    <n v="22770590"/>
    <n v="3311105"/>
    <n v="69251193"/>
    <s v="TRASSA"/>
    <n v="230562301"/>
    <n v="78070"/>
    <s v="SAL"/>
    <s v="AM05"/>
    <s v="EXAMENES RADIOLOGICOS"/>
    <s v="EXAMENES RADIOLOGICOS"/>
    <s v="EXAMENES RADIOLOGICOS"/>
    <n v="0"/>
    <n v="0"/>
    <n v="96942400"/>
    <n v="2"/>
    <s v="SIN ISAPRE"/>
    <s v="DOYARCE@AFPHABITAT.CL"/>
    <s v="15537243|96942400|371577523|65384310"/>
    <s v="GASTO FISICO"/>
    <b v="0"/>
    <s v="DEPOSITADO EN CUENTA"/>
  </r>
  <r>
    <s v="12 DE SEPTIEMBRE DE 2025"/>
    <x v="96"/>
    <s v="DANIELA OYARCE VASQUEZ"/>
    <n v="15537243"/>
    <s v="DANIELA OYARCE VASQUEZ"/>
    <d v="2025-02-01T00:00:00"/>
    <s v="INICIAL"/>
    <n v="371581188"/>
    <n v="371581188"/>
    <n v="99584"/>
    <n v="63524"/>
    <n v="36060"/>
    <n v="0"/>
    <n v="36060"/>
    <n v="371581188"/>
    <n v="285123"/>
    <s v="CORP DE BIENESTAR DEL PERSONAL DE A F P"/>
    <d v="2025-02-11T00:00:00"/>
    <d v="2025-02-11T00:00:00"/>
    <d v="2025-02-11T00:00:00"/>
    <d v="2025-02-11T00:00:00"/>
    <s v="AMBULATORIOS"/>
    <n v="22598366"/>
    <n v="2171709"/>
    <n v="68876551"/>
    <s v="TRASSA"/>
    <n v="16022025"/>
    <n v="77646"/>
    <s v="SAL"/>
    <s v="AM05"/>
    <s v="EXAMENES RADIOLOGICOS"/>
    <s v="EXAMENES RADIOLOGICOS"/>
    <s v="EXAMENES RADIOLOGICOS"/>
    <s v="IMED SALUD"/>
    <n v="0"/>
    <n v="96942400"/>
    <n v="2"/>
    <s v="BANMÉDICA"/>
    <s v="DOYARCE@AFPHABITAT.CL"/>
    <s v="15537243|96942400|371581188|371581188"/>
    <s v="IMED SALUD"/>
    <b v="1"/>
    <s v="APORTE VIA IMED"/>
  </r>
  <r>
    <s v="12 DE SEPTIEMBRE DE 2025"/>
    <x v="96"/>
    <s v="DANIELA OYARCE VASQUEZ"/>
    <n v="15537243"/>
    <s v="DANIELA OYARCE VASQUEZ"/>
    <d v="2025-03-01T00:00:00"/>
    <s v="DUPLICADO"/>
    <n v="371581188"/>
    <n v="65384311"/>
    <n v="36087"/>
    <n v="0"/>
    <n v="36087"/>
    <n v="0"/>
    <n v="36087"/>
    <n v="371581188"/>
    <n v="285123"/>
    <s v="CORP DE BIENESTAR DEL PERSONAL DE A F P"/>
    <d v="2025-03-01T00:00:00"/>
    <d v="2025-03-26T00:00:00"/>
    <d v="2025-02-11T00:00:00"/>
    <d v="2025-02-11T00:00:00"/>
    <s v="AMBULATORIOS"/>
    <n v="22770590"/>
    <n v="3311105"/>
    <n v="69251194"/>
    <s v="TRASSA"/>
    <n v="230562301"/>
    <n v="78070"/>
    <s v="SAL"/>
    <s v="AM05"/>
    <s v="EXAMENES RADIOLOGICOS"/>
    <s v="EXAMENES RADIOLOGICOS"/>
    <s v="EXAMENES RADIOLOGICOS"/>
    <n v="0"/>
    <n v="0"/>
    <n v="96942400"/>
    <n v="2"/>
    <s v="SIN ISAPRE"/>
    <s v="DOYARCE@AFPHABITAT.CL"/>
    <s v="15537243|96942400|371581188|65384311"/>
    <s v="GASTO FISICO"/>
    <b v="0"/>
    <s v="DEPOSITADO EN CUENTA"/>
  </r>
  <r>
    <s v="12 DE SEPTIEMBRE DE 2025"/>
    <x v="96"/>
    <s v="DANIELA OYARCE VASQUEZ"/>
    <n v="15537243"/>
    <s v="DANIELA OYARCE VASQUEZ"/>
    <d v="2025-02-01T00:00:00"/>
    <s v="INICIAL"/>
    <n v="371583394"/>
    <n v="371583394"/>
    <n v="2405"/>
    <n v="1684"/>
    <n v="721"/>
    <n v="0"/>
    <n v="721"/>
    <n v="371583394"/>
    <n v="285123"/>
    <s v="CORP DE BIENESTAR DEL PERSONAL DE A F P"/>
    <d v="2025-02-11T00:00:00"/>
    <d v="2025-02-11T00:00:00"/>
    <d v="2025-02-11T00:00:00"/>
    <d v="2025-02-11T00:00:00"/>
    <s v="AMBULATORIOS"/>
    <n v="22598366"/>
    <n v="2171709"/>
    <n v="68876610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BANMÉDICA"/>
    <s v="DOYARCE@AFPHABITAT.CL"/>
    <s v="15537243|96942400|371583394|371583394"/>
    <s v="IMED SALUD"/>
    <b v="1"/>
    <s v="APORTE VIA IMED"/>
  </r>
  <r>
    <s v="12 DE SEPTIEMBRE DE 2025"/>
    <x v="96"/>
    <s v="DANIELA OYARCE VASQUEZ"/>
    <n v="15537243"/>
    <s v="DANIELA OYARCE VASQUEZ"/>
    <d v="2025-03-01T00:00:00"/>
    <s v="DUPLICADO"/>
    <n v="371583394"/>
    <n v="65384312"/>
    <n v="767"/>
    <n v="0"/>
    <n v="767"/>
    <n v="0"/>
    <n v="767"/>
    <n v="371583394"/>
    <n v="285123"/>
    <s v="CORP DE BIENESTAR DEL PERSONAL DE A F P"/>
    <d v="2025-03-01T00:00:00"/>
    <d v="2025-03-26T00:00:00"/>
    <d v="2025-02-11T00:00:00"/>
    <d v="2025-02-11T00:00:00"/>
    <s v="AMBULATORIOS"/>
    <n v="22770590"/>
    <n v="3311105"/>
    <n v="69251195"/>
    <s v="TRASSA"/>
    <n v="230562301"/>
    <n v="78070"/>
    <s v="SAL"/>
    <s v="AM04"/>
    <s v="EXAMENES DE LABORATORIO"/>
    <s v="EXAMENES DE LABORATORIO"/>
    <s v="EXAMENES DE LABORATORIO"/>
    <n v="0"/>
    <n v="0"/>
    <n v="96942400"/>
    <n v="2"/>
    <s v="SIN ISAPRE"/>
    <s v="DOYARCE@AFPHABITAT.CL"/>
    <s v="15537243|96942400|371583394|65384312"/>
    <s v="GASTO FISICO"/>
    <b v="0"/>
    <s v="DEPOSITADO EN CUENTA"/>
  </r>
  <r>
    <s v="12 DE SEPTIEMBRE DE 2025"/>
    <x v="96"/>
    <s v="DANIELA OYARCE VASQUEZ"/>
    <n v="15537243"/>
    <s v="DANIELA OYARCE VASQUEZ"/>
    <d v="2025-02-01T00:00:00"/>
    <s v="INICIAL"/>
    <n v="371584825"/>
    <n v="371584825"/>
    <n v="23232"/>
    <n v="14155"/>
    <n v="9077"/>
    <n v="0"/>
    <n v="9077"/>
    <n v="371584825"/>
    <n v="285123"/>
    <s v="CORP DE BIENESTAR DEL PERSONAL DE A F P"/>
    <d v="2025-02-11T00:00:00"/>
    <d v="2025-02-11T00:00:00"/>
    <d v="2025-02-11T00:00:00"/>
    <d v="2025-02-11T00:00:00"/>
    <s v="AMBULATORIOS"/>
    <n v="22598366"/>
    <n v="2171709"/>
    <n v="68876641"/>
    <s v="TRASSA"/>
    <n v="16022025"/>
    <n v="77646"/>
    <s v="SAL"/>
    <s v="AM05"/>
    <s v="EXAMENES RADIOLOGICOS"/>
    <s v="EXAMENES RADIOLOGICOS"/>
    <s v="EXAMENES RADIOLOGICOS"/>
    <s v="IMED SALUD"/>
    <n v="0"/>
    <n v="96942400"/>
    <n v="2"/>
    <s v="BANMÉDICA"/>
    <s v="DOYARCE@AFPHABITAT.CL"/>
    <s v="15537243|96942400|371584825|371584825"/>
    <s v="IMED SALUD"/>
    <b v="1"/>
    <s v="APORTE VIA IMED"/>
  </r>
  <r>
    <s v="12 DE SEPTIEMBRE DE 2025"/>
    <x v="96"/>
    <s v="DANIELA OYARCE VASQUEZ"/>
    <n v="15537243"/>
    <s v="DANIELA OYARCE VASQUEZ"/>
    <d v="2025-03-01T00:00:00"/>
    <s v="DUPLICADO"/>
    <n v="371584825"/>
    <n v="65384313"/>
    <n v="9214"/>
    <n v="0"/>
    <n v="9214"/>
    <n v="0"/>
    <n v="9214"/>
    <n v="371584825"/>
    <n v="285123"/>
    <s v="CORP DE BIENESTAR DEL PERSONAL DE A F P"/>
    <d v="2025-03-01T00:00:00"/>
    <d v="2025-03-26T00:00:00"/>
    <d v="2025-02-11T00:00:00"/>
    <d v="2025-02-11T00:00:00"/>
    <s v="AMBULATORIOS"/>
    <n v="22770590"/>
    <n v="3311105"/>
    <n v="69251196"/>
    <s v="TRASSA"/>
    <n v="230562301"/>
    <n v="78070"/>
    <s v="SAL"/>
    <s v="AM05"/>
    <s v="EXAMENES RADIOLOGICOS"/>
    <s v="EXAMENES RADIOLOGICOS"/>
    <s v="EXAMENES RADIOLOGICOS"/>
    <n v="0"/>
    <n v="0"/>
    <n v="96942400"/>
    <n v="2"/>
    <s v="SIN ISAPRE"/>
    <s v="DOYARCE@AFPHABITAT.CL"/>
    <s v="15537243|96942400|371584825|65384313"/>
    <s v="GASTO FISICO"/>
    <b v="0"/>
    <s v="DEPOSITADO EN CUENTA"/>
  </r>
  <r>
    <s v="12 DE SEPTIEMBRE DE 2025"/>
    <x v="96"/>
    <s v="DANIELA OYARCE VASQUEZ"/>
    <n v="15537243"/>
    <s v="DANIELA OYARCE VASQUEZ"/>
    <d v="2025-02-01T00:00:00"/>
    <s v="INICIAL"/>
    <n v="371587620"/>
    <n v="371587620"/>
    <n v="11504"/>
    <n v="8053"/>
    <n v="3451"/>
    <n v="0"/>
    <n v="3451"/>
    <n v="371587620"/>
    <n v="285123"/>
    <s v="CORP DE BIENESTAR DEL PERSONAL DE A F P"/>
    <d v="2025-02-11T00:00:00"/>
    <d v="2025-02-11T00:00:00"/>
    <d v="2025-02-11T00:00:00"/>
    <d v="2025-02-11T00:00:00"/>
    <s v="AMBULATORIOS"/>
    <n v="22598366"/>
    <n v="2171709"/>
    <n v="68876680"/>
    <s v="TRASSA"/>
    <n v="16022025"/>
    <n v="77646"/>
    <s v="SAL"/>
    <s v="AM07"/>
    <s v="PROCEDIMIENTOS TERAPEUTICOS"/>
    <s v="PROCEDIMIENTOS TERAPEUTICOS"/>
    <s v="PROCEDIMIENTOS TERAPEUTICOS"/>
    <s v="IMED SALUD"/>
    <n v="0"/>
    <n v="96942400"/>
    <n v="2"/>
    <s v="BANMÉDICA"/>
    <s v="DOYARCE@AFPHABITAT.CL"/>
    <s v="15537243|96942400|371587620|371587620"/>
    <s v="IMED SALUD"/>
    <b v="1"/>
    <s v="APORTE VIA IMED"/>
  </r>
  <r>
    <s v="12 DE SEPTIEMBRE DE 2025"/>
    <x v="96"/>
    <s v="DANIELA OYARCE VASQUEZ"/>
    <n v="15537243"/>
    <s v="DANIELA OYARCE VASQUEZ"/>
    <d v="2025-03-01T00:00:00"/>
    <s v="DUPLICADO"/>
    <n v="371587620"/>
    <n v="65384314"/>
    <n v="3455"/>
    <n v="0"/>
    <n v="3455"/>
    <n v="0"/>
    <n v="3455"/>
    <n v="371587620"/>
    <n v="285123"/>
    <s v="CORP DE BIENESTAR DEL PERSONAL DE A F P"/>
    <d v="2025-03-01T00:00:00"/>
    <d v="2025-03-26T00:00:00"/>
    <d v="2025-02-11T00:00:00"/>
    <d v="2025-02-11T00:00:00"/>
    <s v="AMBULATORIOS"/>
    <n v="22770590"/>
    <n v="3311105"/>
    <n v="69251197"/>
    <s v="TRASSA"/>
    <n v="230562301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DOYARCE@AFPHABITAT.CL"/>
    <s v="15537243|96942400|371587620|65384314"/>
    <s v="GASTO FISICO"/>
    <b v="0"/>
    <s v="DEPOSITADO EN CUENTA"/>
  </r>
  <r>
    <s v="12 DE SEPTIEMBRE DE 2025"/>
    <x v="97"/>
    <s v="CHRISTIAN EDUARDO BADAL ORELLANA"/>
    <n v="9830180"/>
    <s v="CHRISTIAN EDUARDO BADAL ORELLANA"/>
    <d v="2025-02-01T00:00:00"/>
    <s v="INICIAL"/>
    <n v="371622933"/>
    <n v="371622933"/>
    <n v="20184"/>
    <n v="14130"/>
    <n v="6054"/>
    <n v="0"/>
    <n v="6054"/>
    <n v="371622933"/>
    <n v="285123"/>
    <s v="CORP DE BIENESTAR DEL PERSONAL DE A F P"/>
    <d v="2025-02-12T00:00:00"/>
    <d v="2025-02-12T00:00:00"/>
    <d v="2025-02-12T00:00:00"/>
    <d v="2025-02-12T00:00:00"/>
    <s v="AMBULATORIOS"/>
    <n v="22598394"/>
    <n v="2171709"/>
    <n v="68877109"/>
    <s v="TRASSA"/>
    <n v="16022025"/>
    <n v="77646"/>
    <s v="SAL"/>
    <s v="AM04"/>
    <s v="EXAMENES DE LABORATORIO"/>
    <s v="EXAMENES DE LABORATORIO"/>
    <s v="EXAMENES DE LABORATORIO"/>
    <s v="IMED SALUD"/>
    <n v="0"/>
    <n v="96986050"/>
    <n v="3"/>
    <s v="VIDA TRES"/>
    <s v="CBADAL@AFPHABITAT.CL"/>
    <s v="9830180|96986050|371622933|371622933"/>
    <s v="IMED SALUD"/>
    <b v="1"/>
    <s v="APORTE VIA IMED"/>
  </r>
  <r>
    <s v="12 DE SEPTIEMBRE DE 2025"/>
    <x v="97"/>
    <s v="CHRISTIAN EDUARDO BADAL ORELLANA"/>
    <n v="9830180"/>
    <s v="CHRISTIAN EDUARDO BADAL ORELLANA"/>
    <d v="2025-03-01T00:00:00"/>
    <s v="DUPLICADO"/>
    <n v="371622933"/>
    <n v="65383765"/>
    <n v="6144"/>
    <n v="0"/>
    <n v="6144"/>
    <n v="0"/>
    <n v="6144"/>
    <n v="371622933"/>
    <n v="285123"/>
    <s v="CORP DE BIENESTAR DEL PERSONAL DE A F P"/>
    <d v="2025-03-01T00:00:00"/>
    <d v="2025-03-26T00:00:00"/>
    <d v="2025-02-12T00:00:00"/>
    <d v="2025-02-12T00:00:00"/>
    <s v="AMBULATORIOS"/>
    <n v="22770601"/>
    <n v="3311105"/>
    <n v="69250655"/>
    <s v="TRASSA"/>
    <n v="6771920"/>
    <n v="78070"/>
    <s v="SAL"/>
    <s v="AM04"/>
    <s v="EXAMENES DE LABORATORIO"/>
    <s v="EXAMENES DE LABORATORIO"/>
    <s v="EXAMENES DE LABORATORIO"/>
    <n v="0"/>
    <n v="0"/>
    <n v="96986050"/>
    <n v="3"/>
    <s v="SIN ISAPRE"/>
    <s v="CBADAL@AFPHABITAT.CL"/>
    <s v="9830180|96986050|371622933|65383765"/>
    <s v="GASTO FISICO"/>
    <b v="0"/>
    <s v="DEPOSITADO EN CUENTA"/>
  </r>
  <r>
    <s v="12 DE SEPTIEMBRE DE 2025"/>
    <x v="97"/>
    <s v="CHRISTIAN EDUARDO BADAL ORELLANA"/>
    <n v="9830180"/>
    <s v="CHRISTIAN EDUARDO BADAL ORELLANA"/>
    <d v="2025-02-01T00:00:00"/>
    <s v="INICIAL"/>
    <n v="371622934"/>
    <n v="371622934"/>
    <n v="2035"/>
    <n v="1425"/>
    <n v="610"/>
    <n v="0"/>
    <n v="610"/>
    <n v="371622934"/>
    <n v="285123"/>
    <s v="CORP DE BIENESTAR DEL PERSONAL DE A F P"/>
    <d v="2025-02-12T00:00:00"/>
    <d v="2025-02-12T00:00:00"/>
    <d v="2025-02-12T00:00:00"/>
    <d v="2025-02-12T00:00:00"/>
    <s v="AMBULATORIOS"/>
    <n v="22598394"/>
    <n v="2171709"/>
    <n v="68877108"/>
    <s v="TRASSA"/>
    <n v="16022025"/>
    <n v="77646"/>
    <s v="SAL"/>
    <s v="AM04"/>
    <s v="EXAMENES DE LABORATORIO"/>
    <s v="EXAMENES DE LABORATORIO"/>
    <s v="EXAMENES DE LABORATORIO"/>
    <s v="IMED SALUD"/>
    <n v="0"/>
    <n v="96986050"/>
    <n v="3"/>
    <s v="VIDA TRES"/>
    <s v="CBADAL@AFPHABITAT.CL"/>
    <s v="9830180|96986050|371622934|371622934"/>
    <s v="IMED SALUD"/>
    <b v="1"/>
    <s v="APORTE VIA IMED"/>
  </r>
  <r>
    <s v="12 DE SEPTIEMBRE DE 2025"/>
    <x v="97"/>
    <s v="CHRISTIAN EDUARDO BADAL ORELLANA"/>
    <n v="9830180"/>
    <s v="CHRISTIAN EDUARDO BADAL ORELLANA"/>
    <d v="2025-03-01T00:00:00"/>
    <s v="DUPLICADO"/>
    <n v="371622934"/>
    <n v="65383766"/>
    <n v="768"/>
    <n v="0"/>
    <n v="768"/>
    <n v="0"/>
    <n v="768"/>
    <n v="371622934"/>
    <n v="285123"/>
    <s v="CORP DE BIENESTAR DEL PERSONAL DE A F P"/>
    <d v="2025-03-01T00:00:00"/>
    <d v="2025-03-26T00:00:00"/>
    <d v="2025-02-12T00:00:00"/>
    <d v="2025-02-12T00:00:00"/>
    <s v="AMBULATORIOS"/>
    <n v="22770601"/>
    <n v="3311105"/>
    <n v="69250656"/>
    <s v="TRASSA"/>
    <n v="6771920"/>
    <n v="78070"/>
    <s v="SAL"/>
    <s v="AM04"/>
    <s v="EXAMENES DE LABORATORIO"/>
    <s v="EXAMENES DE LABORATORIO"/>
    <s v="EXAMENES DE LABORATORIO"/>
    <n v="0"/>
    <n v="0"/>
    <n v="96986050"/>
    <n v="3"/>
    <s v="SIN ISAPRE"/>
    <s v="CBADAL@AFPHABITAT.CL"/>
    <s v="9830180|96986050|371622934|65383766"/>
    <s v="GASTO FISICO"/>
    <b v="0"/>
    <s v="DEPOSITADO EN CUENTA"/>
  </r>
  <r>
    <s v="12 DE SEPTIEMBRE DE 2025"/>
    <x v="87"/>
    <s v="JOSE MIGUEL VALDIVIA NUÑEZ"/>
    <n v="15510748"/>
    <s v="JOSE MIGUEL VALDIVIA NUÑEZ"/>
    <d v="2025-02-01T00:00:00"/>
    <s v="INICIAL"/>
    <n v="371641962"/>
    <n v="371641962"/>
    <n v="260211"/>
    <n v="208169"/>
    <n v="52042"/>
    <n v="0"/>
    <n v="52042"/>
    <n v="371641962"/>
    <n v="285123"/>
    <s v="CORP DE BIENESTAR DEL PERSONAL DE A F P"/>
    <d v="2025-02-12T00:00:00"/>
    <d v="2025-02-12T00:00:00"/>
    <d v="2025-02-12T00:00:00"/>
    <d v="2025-02-12T00:00:00"/>
    <s v="AMBULATORIOS"/>
    <n v="22598420"/>
    <n v="2171709"/>
    <n v="68877541"/>
    <s v="TRASSA"/>
    <n v="16022025"/>
    <n v="77646"/>
    <s v="SAL"/>
    <s v="AM05"/>
    <s v="EXAMENES RADIOLOGICOS"/>
    <s v="EXAMENES RADIOLOGICOS"/>
    <s v="EXAMENES RADIOLOGICOS"/>
    <s v="IMED SALUD"/>
    <n v="0"/>
    <n v="76098454"/>
    <s v="K"/>
    <s v="BANMÉDICA"/>
    <s v="JVALDIVN@AFPHABITAT.CL"/>
    <s v="15510748|76098454|371641962|371641962"/>
    <s v="IMED SALUD"/>
    <b v="1"/>
    <s v="APORTE VIA IMED"/>
  </r>
  <r>
    <s v="12 DE SEPTIEMBRE DE 2025"/>
    <x v="87"/>
    <s v="JOSE MIGUEL VALDIVIA NUÑEZ"/>
    <n v="15510748"/>
    <s v="JOSE MIGUEL VALDIVIA NUÑEZ"/>
    <d v="2025-03-01T00:00:00"/>
    <s v="DUPLICADO"/>
    <n v="371641962"/>
    <n v="65384296"/>
    <n v="52233"/>
    <n v="0"/>
    <n v="52233"/>
    <n v="0"/>
    <n v="52233"/>
    <n v="371641962"/>
    <n v="285123"/>
    <s v="CORP DE BIENESTAR DEL PERSONAL DE A F P"/>
    <d v="2025-03-01T00:00:00"/>
    <d v="2025-03-26T00:00:00"/>
    <d v="2025-02-12T00:00:00"/>
    <d v="2025-02-12T00:00:00"/>
    <s v="AMBULATORIOS"/>
    <n v="22770607"/>
    <n v="3311105"/>
    <n v="69251179"/>
    <s v="TRASSA"/>
    <n v="104294701"/>
    <n v="78070"/>
    <s v="SAL"/>
    <s v="AM05"/>
    <s v="EXAMENES RADIOLOGICOS"/>
    <s v="EXAMENES RADIOLOGICOS"/>
    <s v="EXAMENES RADIOLOGICOS"/>
    <n v="0"/>
    <n v="0"/>
    <n v="76098454"/>
    <s v="K"/>
    <s v="SIN ISAPRE"/>
    <s v="JVALDIVN@AFPHABITAT.CL"/>
    <s v="15510748|76098454|371641962|65384296"/>
    <s v="GASTO FISICO"/>
    <b v="0"/>
    <s v="DEPOSITADO EN CUENTA"/>
  </r>
  <r>
    <s v="12 DE SEPTIEMBRE DE 2025"/>
    <x v="87"/>
    <s v="JOSE MIGUEL VALDIVIA NUÑEZ"/>
    <n v="15510748"/>
    <s v="JOSE MIGUEL VALDIVIA NUÑEZ"/>
    <d v="2025-02-01T00:00:00"/>
    <s v="INICIAL"/>
    <n v="371641988"/>
    <n v="371641988"/>
    <n v="260211"/>
    <n v="217931"/>
    <n v="42280"/>
    <n v="0"/>
    <n v="42280"/>
    <n v="371641988"/>
    <n v="285123"/>
    <s v="CORP DE BIENESTAR DEL PERSONAL DE A F P"/>
    <d v="2025-02-12T00:00:00"/>
    <d v="2025-02-12T00:00:00"/>
    <d v="2025-02-12T00:00:00"/>
    <d v="2025-02-12T00:00:00"/>
    <s v="AMBULATORIOS"/>
    <n v="22598420"/>
    <n v="2171709"/>
    <n v="68877542"/>
    <s v="TRASSA"/>
    <n v="16022025"/>
    <n v="77646"/>
    <s v="SAL"/>
    <s v="AM05"/>
    <s v="EXAMENES RADIOLOGICOS"/>
    <s v="EXAMENES RADIOLOGICOS"/>
    <s v="EXAMENES RADIOLOGICOS"/>
    <s v="IMED SALUD"/>
    <n v="0"/>
    <n v="76098454"/>
    <s v="K"/>
    <s v="BANMÉDICA"/>
    <s v="JVALDIVN@AFPHABITAT.CL"/>
    <s v="15510748|76098454|371641988|371641988"/>
    <s v="IMED SALUD"/>
    <b v="1"/>
    <s v="APORTE VIA IMED"/>
  </r>
  <r>
    <s v="12 DE SEPTIEMBRE DE 2025"/>
    <x v="87"/>
    <s v="JOSE MIGUEL VALDIVIA NUÑEZ"/>
    <n v="15510748"/>
    <s v="JOSE MIGUEL VALDIVIA NUÑEZ"/>
    <d v="2025-03-01T00:00:00"/>
    <s v="DUPLICADO"/>
    <n v="371641988"/>
    <n v="65384297"/>
    <n v="42247"/>
    <n v="0"/>
    <n v="42247"/>
    <n v="0"/>
    <n v="42247"/>
    <n v="371641988"/>
    <n v="285123"/>
    <s v="CORP DE BIENESTAR DEL PERSONAL DE A F P"/>
    <d v="2025-03-01T00:00:00"/>
    <d v="2025-03-26T00:00:00"/>
    <d v="2025-02-12T00:00:00"/>
    <d v="2025-02-12T00:00:00"/>
    <s v="AMBULATORIOS"/>
    <n v="22770607"/>
    <n v="3311105"/>
    <n v="69251180"/>
    <s v="TRASSA"/>
    <n v="104294701"/>
    <n v="78070"/>
    <s v="SAL"/>
    <s v="AM05"/>
    <s v="EXAMENES RADIOLOGICOS"/>
    <s v="EXAMENES RADIOLOGICOS"/>
    <s v="EXAMENES RADIOLOGICOS"/>
    <n v="0"/>
    <n v="0"/>
    <n v="76098454"/>
    <s v="K"/>
    <s v="SIN ISAPRE"/>
    <s v="JVALDIVN@AFPHABITAT.CL"/>
    <s v="15510748|76098454|371641988|65384297"/>
    <s v="GASTO FISICO"/>
    <b v="0"/>
    <s v="DEPOSITADO EN CUENTA"/>
  </r>
  <r>
    <s v="12 DE SEPTIEMBRE DE 2025"/>
    <x v="98"/>
    <s v="OSCAR FRANCISCO GARIN MARIN"/>
    <n v="15184207"/>
    <s v="MARIA CARRASCO GONZALEZ"/>
    <d v="2025-02-01T00:00:00"/>
    <s v="INICIAL"/>
    <n v="371703947"/>
    <n v="371703947"/>
    <n v="265948"/>
    <n v="212758"/>
    <n v="53190"/>
    <n v="0"/>
    <n v="53190"/>
    <n v="371703947"/>
    <n v="285123"/>
    <s v="CORP DE BIENESTAR DEL PERSONAL DE A F P"/>
    <d v="2025-02-14T00:00:00"/>
    <d v="2025-02-14T00:00:00"/>
    <d v="2025-02-14T00:00:00"/>
    <d v="2025-02-14T00:00:00"/>
    <s v="AMBULATORIOS"/>
    <n v="22598500"/>
    <n v="2171709"/>
    <n v="68878643"/>
    <s v="TRASSA"/>
    <n v="16022025"/>
    <n v="77646"/>
    <s v="SAL"/>
    <s v="AM05"/>
    <s v="EXAMENES RADIOLOGICOS"/>
    <s v="EXAMENES RADIOLOGICOS"/>
    <s v="EXAMENES RADIOLOGICOS"/>
    <s v="IMED SALUD"/>
    <n v="0"/>
    <n v="77200240"/>
    <n v="8"/>
    <s v="BANMÉDICA"/>
    <s v="OSCAR.GARIN@AFPHABITAT.CL"/>
    <s v="13937747|77200240|371703947|371703947"/>
    <s v="IMED SALUD"/>
    <b v="1"/>
    <s v="APORTE VIA IMED"/>
  </r>
  <r>
    <s v="12 DE SEPTIEMBRE DE 2025"/>
    <x v="98"/>
    <s v="OSCAR FRANCISCO GARIN MARIN"/>
    <n v="15184207"/>
    <s v="MARIA CARRASCO GONZALEZ"/>
    <d v="2025-03-01T00:00:00"/>
    <s v="DUPLICADO"/>
    <n v="371703947"/>
    <n v="65384168"/>
    <n v="53041"/>
    <n v="0"/>
    <n v="53041"/>
    <n v="0"/>
    <n v="53041"/>
    <n v="371703947"/>
    <n v="285123"/>
    <s v="CORP DE BIENESTAR DEL PERSONAL DE A F P"/>
    <d v="2025-03-01T00:00:00"/>
    <d v="2025-03-26T00:00:00"/>
    <d v="2025-02-14T00:00:00"/>
    <d v="2025-02-14T00:00:00"/>
    <s v="AMBULATORIOS"/>
    <n v="22770630"/>
    <n v="3311105"/>
    <n v="69251046"/>
    <s v="TRASSA"/>
    <n v="223759867"/>
    <n v="78070"/>
    <s v="SAL"/>
    <s v="AM05"/>
    <s v="EXAMENES RADIOLOGICOS"/>
    <s v="EXAMENES RADIOLOGICOS"/>
    <s v="EXAMENES RADIOLOGICOS"/>
    <n v="0"/>
    <n v="0"/>
    <n v="77200240"/>
    <n v="8"/>
    <s v="SIN ISAPRE"/>
    <s v="OSCAR.GARIN@AFPHABITAT.CL"/>
    <s v="13937747|77200240|371703947|65384168"/>
    <s v="GASTO FISICO"/>
    <b v="0"/>
    <s v="DEPOSITADO EN CUENTA"/>
  </r>
  <r>
    <s v="12 DE SEPTIEMBRE DE 2025"/>
    <x v="98"/>
    <s v="OSCAR FRANCISCO GARIN MARIN"/>
    <n v="15184207"/>
    <s v="MARIA CARRASCO GONZALEZ"/>
    <d v="2025-02-01T00:00:00"/>
    <s v="INICIAL"/>
    <n v="371712442"/>
    <n v="371712442"/>
    <n v="59189"/>
    <n v="47352"/>
    <n v="11837"/>
    <n v="0"/>
    <n v="11837"/>
    <n v="371712442"/>
    <n v="285123"/>
    <s v="CORP DE BIENESTAR DEL PERSONAL DE A F P"/>
    <d v="2025-02-14T00:00:00"/>
    <d v="2025-02-14T00:00:00"/>
    <d v="2025-02-14T00:00:00"/>
    <d v="2025-02-14T00:00:00"/>
    <s v="AMBULATORIOS"/>
    <n v="22598500"/>
    <n v="2171709"/>
    <n v="68878867"/>
    <s v="TRASSA"/>
    <n v="16022025"/>
    <n v="77646"/>
    <s v="SAL"/>
    <s v="AM04"/>
    <s v="EXAMENES DE LABORATORIO"/>
    <s v="EXAMENES DE LABORATORIO"/>
    <s v="EXAMENES DE LABORATORIO"/>
    <s v="IMED SALUD"/>
    <n v="0"/>
    <n v="90753000"/>
    <n v="0"/>
    <s v="BANMÉDICA"/>
    <s v="OSCAR.GARIN@AFPHABITAT.CL"/>
    <s v="13937747|90753000|371712442|371712442"/>
    <s v="IMED SALUD"/>
    <b v="1"/>
    <s v="APORTE VIA IMED"/>
  </r>
  <r>
    <s v="12 DE SEPTIEMBRE DE 2025"/>
    <x v="98"/>
    <s v="OSCAR FRANCISCO GARIN MARIN"/>
    <n v="15184207"/>
    <s v="MARIA CARRASCO GONZALEZ"/>
    <d v="2025-03-01T00:00:00"/>
    <s v="DUPLICADO"/>
    <n v="371712442"/>
    <n v="65384169"/>
    <n v="11913"/>
    <n v="0"/>
    <n v="11913"/>
    <n v="0"/>
    <n v="11913"/>
    <n v="371712442"/>
    <n v="285123"/>
    <s v="CORP DE BIENESTAR DEL PERSONAL DE A F P"/>
    <d v="2025-03-01T00:00:00"/>
    <d v="2025-03-26T00:00:00"/>
    <d v="2025-02-14T00:00:00"/>
    <d v="2025-02-14T00:00:00"/>
    <s v="AMBULATORIOS"/>
    <n v="22770630"/>
    <n v="3311105"/>
    <n v="69251047"/>
    <s v="TRASSA"/>
    <n v="223759867"/>
    <n v="78070"/>
    <s v="SAL"/>
    <s v="AM04"/>
    <s v="EXAMENES DE LABORATORIO"/>
    <s v="EXAMENES DE LABORATORIO"/>
    <s v="EXAMENES DE LABORATORIO"/>
    <n v="0"/>
    <n v="0"/>
    <n v="90753000"/>
    <n v="0"/>
    <s v="SIN ISAPRE"/>
    <s v="OSCAR.GARIN@AFPHABITAT.CL"/>
    <s v="13937747|90753000|371712442|65384169"/>
    <s v="GASTO FISICO"/>
    <b v="0"/>
    <s v="DEPOSITADO EN CUENTA"/>
  </r>
  <r>
    <s v="12 DE SEPTIEMBRE DE 2025"/>
    <x v="98"/>
    <s v="OSCAR FRANCISCO GARIN MARIN"/>
    <n v="15184207"/>
    <s v="MARIA CARRASCO GONZALEZ"/>
    <d v="2025-02-01T00:00:00"/>
    <s v="INICIAL"/>
    <n v="371712443"/>
    <n v="371712443"/>
    <n v="32580"/>
    <n v="26064"/>
    <n v="6516"/>
    <n v="0"/>
    <n v="6516"/>
    <n v="371712443"/>
    <n v="285123"/>
    <s v="CORP DE BIENESTAR DEL PERSONAL DE A F P"/>
    <d v="2025-02-14T00:00:00"/>
    <d v="2025-02-14T00:00:00"/>
    <d v="2025-02-14T00:00:00"/>
    <d v="2025-02-14T00:00:00"/>
    <s v="AMBULATORIOS"/>
    <n v="22598500"/>
    <n v="2171709"/>
    <n v="68878866"/>
    <s v="TRASSA"/>
    <n v="16022025"/>
    <n v="77646"/>
    <s v="SAL"/>
    <s v="AM04"/>
    <s v="EXAMENES DE LABORATORIO"/>
    <s v="EXAMENES DE LABORATORIO"/>
    <s v="EXAMENES DE LABORATORIO"/>
    <s v="IMED SALUD"/>
    <n v="0"/>
    <n v="90753000"/>
    <n v="0"/>
    <s v="BANMÉDICA"/>
    <s v="OSCAR.GARIN@AFPHABITAT.CL"/>
    <s v="13937747|90753000|371712443|371712443"/>
    <s v="IMED SALUD"/>
    <b v="1"/>
    <s v="APORTE VIA IMED"/>
  </r>
  <r>
    <s v="12 DE SEPTIEMBRE DE 2025"/>
    <x v="98"/>
    <s v="OSCAR FRANCISCO GARIN MARIN"/>
    <n v="15184207"/>
    <s v="MARIA CARRASCO GONZALEZ"/>
    <d v="2025-03-01T00:00:00"/>
    <s v="DUPLICADO"/>
    <n v="371712443"/>
    <n v="65384170"/>
    <n v="6147"/>
    <n v="0"/>
    <n v="6147"/>
    <n v="0"/>
    <n v="6147"/>
    <n v="371712443"/>
    <n v="285123"/>
    <s v="CORP DE BIENESTAR DEL PERSONAL DE A F P"/>
    <d v="2025-03-01T00:00:00"/>
    <d v="2025-03-26T00:00:00"/>
    <d v="2025-02-14T00:00:00"/>
    <d v="2025-02-14T00:00:00"/>
    <s v="AMBULATORIOS"/>
    <n v="22770630"/>
    <n v="3311105"/>
    <n v="69251048"/>
    <s v="TRASSA"/>
    <n v="223759867"/>
    <n v="78070"/>
    <s v="SAL"/>
    <s v="AM04"/>
    <s v="EXAMENES DE LABORATORIO"/>
    <s v="EXAMENES DE LABORATORIO"/>
    <s v="EXAMENES DE LABORATORIO"/>
    <n v="0"/>
    <n v="0"/>
    <n v="90753000"/>
    <n v="0"/>
    <s v="SIN ISAPRE"/>
    <s v="OSCAR.GARIN@AFPHABITAT.CL"/>
    <s v="13937747|90753000|371712443|65384170"/>
    <s v="GASTO FISICO"/>
    <b v="0"/>
    <s v="DEPOSITADO EN CUENTA"/>
  </r>
  <r>
    <s v="12 DE SEPTIEMBRE DE 2025"/>
    <x v="98"/>
    <s v="OSCAR FRANCISCO GARIN MARIN"/>
    <n v="15184207"/>
    <s v="MARIA CARRASCO GONZALEZ"/>
    <d v="2025-02-01T00:00:00"/>
    <s v="INICIAL"/>
    <n v="371716469"/>
    <n v="371716469"/>
    <n v="85479"/>
    <n v="68383"/>
    <n v="17096"/>
    <n v="0"/>
    <n v="17096"/>
    <n v="371716469"/>
    <n v="285123"/>
    <s v="CORP DE BIENESTAR DEL PERSONAL DE A F P"/>
    <d v="2025-02-14T00:00:00"/>
    <d v="2025-02-14T00:00:00"/>
    <d v="2025-02-14T00:00:00"/>
    <d v="2025-02-14T00:00:00"/>
    <s v="AMBULATORIOS"/>
    <n v="22598500"/>
    <n v="2171709"/>
    <n v="68878932"/>
    <s v="TRASSA"/>
    <n v="16022025"/>
    <n v="77646"/>
    <s v="SAL"/>
    <s v="AM07"/>
    <s v="PROCEDIMIENTOS TERAPEUTICOS"/>
    <s v="PROCEDIMIENTOS TERAPEUTICOS"/>
    <s v="PROCEDIMIENTOS TERAPEUTICOS"/>
    <s v="IMED SALUD"/>
    <n v="0"/>
    <n v="77200240"/>
    <n v="8"/>
    <s v="BANMÉDICA"/>
    <s v="OSCAR.GARIN@AFPHABITAT.CL"/>
    <s v="13937747|77200240|371716469|371716469"/>
    <s v="IMED SALUD"/>
    <b v="1"/>
    <s v="APORTE VIA IMED"/>
  </r>
  <r>
    <s v="12 DE SEPTIEMBRE DE 2025"/>
    <x v="98"/>
    <s v="OSCAR FRANCISCO GARIN MARIN"/>
    <n v="15184207"/>
    <s v="MARIA CARRASCO GONZALEZ"/>
    <d v="2025-03-01T00:00:00"/>
    <s v="DUPLICADO"/>
    <n v="371716469"/>
    <n v="65384171"/>
    <n v="16912"/>
    <n v="0"/>
    <n v="16912"/>
    <n v="0"/>
    <n v="16912"/>
    <n v="371716469"/>
    <n v="285123"/>
    <s v="CORP DE BIENESTAR DEL PERSONAL DE A F P"/>
    <d v="2025-03-01T00:00:00"/>
    <d v="2025-03-26T00:00:00"/>
    <d v="2025-02-14T00:00:00"/>
    <d v="2025-02-14T00:00:00"/>
    <s v="AMBULATORIOS"/>
    <n v="22770630"/>
    <n v="3311105"/>
    <n v="69251049"/>
    <s v="TRASSA"/>
    <n v="223759867"/>
    <n v="78070"/>
    <s v="SAL"/>
    <s v="AM07"/>
    <s v="PROCEDIMIENTOS TERAPEUTICOS"/>
    <s v="PROCEDIMIENTOS TERAPEUTICOS"/>
    <s v="PROCEDIMIENTOS TERAPEUTICOS"/>
    <n v="0"/>
    <n v="0"/>
    <n v="77200240"/>
    <n v="8"/>
    <s v="SIN ISAPRE"/>
    <s v="OSCAR.GARIN@AFPHABITAT.CL"/>
    <s v="13937747|77200240|371716469|65384171"/>
    <s v="GASTO FISICO"/>
    <b v="0"/>
    <s v="DEPOSITADO EN CUENTA"/>
  </r>
  <r>
    <s v="12 DE SEPTIEMBRE DE 2025"/>
    <x v="99"/>
    <s v="TATIANA LUISA ROSENBLIT SILVA"/>
    <n v="8576939"/>
    <s v="TATIANA LUISA ROSENBLIT SILVA"/>
    <d v="2025-02-01T00:00:00"/>
    <s v="INICIAL"/>
    <n v="371780152"/>
    <n v="371780152"/>
    <n v="28116"/>
    <n v="19683"/>
    <n v="8433"/>
    <n v="0"/>
    <n v="8433"/>
    <n v="371780152"/>
    <n v="285123"/>
    <s v="CORP DE BIENESTAR DEL PERSONAL DE A F P"/>
    <d v="2025-02-17T00:00:00"/>
    <d v="2025-02-17T00:00:00"/>
    <d v="2025-02-17T00:00:00"/>
    <d v="2025-02-17T00:00:00"/>
    <s v="AMBULATORIOS"/>
    <n v="22621721"/>
    <n v="2250942"/>
    <n v="68909610"/>
    <s v="TRASSA"/>
    <n v="23022025"/>
    <n v="77703"/>
    <s v="SAL"/>
    <s v="AM04"/>
    <s v="EXAMENES DE LABORATORIO"/>
    <s v="EXAMENES DE LABORATORIO"/>
    <s v="EXAMENES DE LABORATORIO"/>
    <s v="IMED SALUD"/>
    <n v="0"/>
    <n v="96986050"/>
    <n v="3"/>
    <s v="VIDA TRES"/>
    <s v="TATIANA.ROSENBLIT@AFPHABITAT.CL"/>
    <s v="8576939|96986050|371780152|371780152"/>
    <s v="IMED SALUD"/>
    <b v="1"/>
    <s v="APORTE VIA IMED"/>
  </r>
  <r>
    <s v="12 DE SEPTIEMBRE DE 2025"/>
    <x v="99"/>
    <s v="TATIANA LUISA ROSENBLIT SILVA"/>
    <n v="8576939"/>
    <s v="TATIANA LUISA ROSENBLIT SILVA"/>
    <d v="2025-03-01T00:00:00"/>
    <s v="DUPLICADO"/>
    <n v="371780152"/>
    <n v="65383678"/>
    <n v="8848"/>
    <n v="0"/>
    <n v="8848"/>
    <n v="0"/>
    <n v="8848"/>
    <n v="371780152"/>
    <n v="285123"/>
    <s v="CORP DE BIENESTAR DEL PERSONAL DE A F P"/>
    <d v="2025-03-01T00:00:00"/>
    <d v="2025-03-26T00:00:00"/>
    <d v="2025-02-17T00:00:00"/>
    <d v="2025-02-17T00:00:00"/>
    <s v="AMBULATORIOS"/>
    <n v="22770640"/>
    <n v="3311105"/>
    <n v="69250569"/>
    <s v="TRASSA"/>
    <n v="40197654"/>
    <n v="78070"/>
    <s v="SAL"/>
    <s v="AM04"/>
    <s v="EXAMENES DE LABORATORIO"/>
    <s v="EXAMENES DE LABORATORIO"/>
    <s v="EXAMENES DE LABORATORIO"/>
    <n v="0"/>
    <n v="0"/>
    <n v="96986050"/>
    <n v="3"/>
    <s v="SIN ISAPRE"/>
    <s v="TATIANA.ROSENBLIT@AFPHABITAT.CL"/>
    <s v="8576939|96986050|371780152|65383678"/>
    <s v="GASTO FISICO"/>
    <b v="0"/>
    <s v="DEPOSITADO EN CUENTA"/>
  </r>
  <r>
    <s v="12 DE SEPTIEMBRE DE 2025"/>
    <x v="100"/>
    <s v="MARIA DEL PILAR AVILES GONZALEZ"/>
    <n v="8536609"/>
    <s v="MARIA DEL PILAR AVILES GONZALEZ"/>
    <d v="2025-02-01T00:00:00"/>
    <s v="INICIAL"/>
    <n v="371854567"/>
    <n v="371854567"/>
    <n v="46601"/>
    <n v="44001"/>
    <n v="2600"/>
    <n v="0"/>
    <n v="2600"/>
    <n v="371854567"/>
    <n v="285123"/>
    <s v="CORP DE BIENESTAR DEL PERSONAL DE A F P"/>
    <d v="2025-02-19T00:00:00"/>
    <d v="2025-02-19T00:00:00"/>
    <d v="2025-02-19T00:00:00"/>
    <d v="2025-02-19T00:00:00"/>
    <s v="AMBULATORIOS"/>
    <n v="22621810"/>
    <n v="2250942"/>
    <n v="68910803"/>
    <s v="TRASSA"/>
    <n v="23022025"/>
    <n v="77703"/>
    <s v="SAL"/>
    <s v="AM04"/>
    <s v="EXAMENES DE LABORATORIO"/>
    <s v="EXAMENES DE LABORATORIO"/>
    <s v="EXAMENES DE LABORATORIO"/>
    <s v="IMED SALUD"/>
    <n v="0"/>
    <n v="96617350"/>
    <n v="5"/>
    <s v="BANMÉDICA"/>
    <s v="MAVILES@AFPHABITAT.CL"/>
    <s v="8536609|96617350|371854567|371854567"/>
    <s v="IMED SALUD"/>
    <b v="1"/>
    <s v="APORTE VIA IMED"/>
  </r>
  <r>
    <s v="12 DE SEPTIEMBRE DE 2025"/>
    <x v="100"/>
    <s v="MARIA DEL PILAR AVILES GONZALEZ"/>
    <n v="8536609"/>
    <s v="MARIA DEL PILAR AVILES GONZALEZ"/>
    <d v="2025-03-01T00:00:00"/>
    <s v="DUPLICADO"/>
    <n v="371854567"/>
    <n v="65383669"/>
    <n v="2695"/>
    <n v="0"/>
    <n v="2695"/>
    <n v="0"/>
    <n v="2695"/>
    <n v="371854567"/>
    <n v="285123"/>
    <s v="CORP DE BIENESTAR DEL PERSONAL DE A F P"/>
    <d v="2025-03-01T00:00:00"/>
    <d v="2025-03-26T00:00:00"/>
    <d v="2025-02-19T00:00:00"/>
    <d v="2025-02-19T00:00:00"/>
    <s v="AMBULATORIOS"/>
    <n v="22770661"/>
    <n v="3311105"/>
    <n v="69250560"/>
    <s v="TRASSA"/>
    <n v="1710319886"/>
    <n v="78070"/>
    <s v="SAL"/>
    <s v="AM04"/>
    <s v="EXAMENES DE LABORATORIO"/>
    <s v="EXAMENES DE LABORATORIO"/>
    <s v="EXAMENES DE LABORATORIO"/>
    <n v="0"/>
    <n v="0"/>
    <n v="96617350"/>
    <n v="5"/>
    <s v="SIN ISAPRE"/>
    <s v="MAVILES@AFPHABITAT.CL"/>
    <s v="8536609|96617350|371854567|65383669"/>
    <s v="GASTO FISICO"/>
    <b v="0"/>
    <s v="DEPOSITADO EN CUENTA"/>
  </r>
  <r>
    <s v="12 DE SEPTIEMBRE DE 2025"/>
    <x v="100"/>
    <s v="MARIA DEL PILAR AVILES GONZALEZ"/>
    <n v="8536609"/>
    <s v="MARIA DEL PILAR AVILES GONZALEZ"/>
    <d v="2025-02-01T00:00:00"/>
    <s v="INICIAL"/>
    <n v="371854568"/>
    <n v="371854568"/>
    <n v="11544"/>
    <n v="10784"/>
    <n v="760"/>
    <n v="0"/>
    <n v="760"/>
    <n v="371854568"/>
    <n v="285123"/>
    <s v="CORP DE BIENESTAR DEL PERSONAL DE A F P"/>
    <d v="2025-02-19T00:00:00"/>
    <d v="2025-02-19T00:00:00"/>
    <d v="2025-02-19T00:00:00"/>
    <d v="2025-02-19T00:00:00"/>
    <s v="AMBULATORIOS"/>
    <n v="22621810"/>
    <n v="2250942"/>
    <n v="68910802"/>
    <s v="TRASSA"/>
    <n v="23022025"/>
    <n v="77703"/>
    <s v="SAL"/>
    <s v="AM04"/>
    <s v="EXAMENES DE LABORATORIO"/>
    <s v="EXAMENES DE LABORATORIO"/>
    <s v="EXAMENES DE LABORATORIO"/>
    <s v="IMED SALUD"/>
    <n v="0"/>
    <n v="96617350"/>
    <n v="5"/>
    <s v="BANMÉDICA"/>
    <s v="MAVILES@AFPHABITAT.CL"/>
    <s v="8536609|96617350|371854568|371854568"/>
    <s v="IMED SALUD"/>
    <b v="1"/>
    <s v="APORTE VIA IMED"/>
  </r>
  <r>
    <s v="12 DE SEPTIEMBRE DE 2025"/>
    <x v="100"/>
    <s v="MARIA DEL PILAR AVILES GONZALEZ"/>
    <n v="8536609"/>
    <s v="MARIA DEL PILAR AVILES GONZALEZ"/>
    <d v="2025-03-01T00:00:00"/>
    <s v="DUPLICADO"/>
    <n v="371854568"/>
    <n v="65383670"/>
    <n v="385"/>
    <n v="0"/>
    <n v="385"/>
    <n v="0"/>
    <n v="385"/>
    <n v="371854568"/>
    <n v="285123"/>
    <s v="CORP DE BIENESTAR DEL PERSONAL DE A F P"/>
    <d v="2025-03-01T00:00:00"/>
    <d v="2025-03-26T00:00:00"/>
    <d v="2025-02-19T00:00:00"/>
    <d v="2025-02-19T00:00:00"/>
    <s v="AMBULATORIOS"/>
    <n v="22770661"/>
    <n v="3311105"/>
    <n v="69250561"/>
    <s v="TRASSA"/>
    <n v="1710319886"/>
    <n v="78070"/>
    <s v="SAL"/>
    <s v="AM04"/>
    <s v="EXAMENES DE LABORATORIO"/>
    <s v="EXAMENES DE LABORATORIO"/>
    <s v="EXAMENES DE LABORATORIO"/>
    <n v="0"/>
    <n v="0"/>
    <n v="96617350"/>
    <n v="5"/>
    <s v="SIN ISAPRE"/>
    <s v="MAVILES@AFPHABITAT.CL"/>
    <s v="8536609|96617350|371854568|65383670"/>
    <s v="GASTO FISICO"/>
    <b v="0"/>
    <s v="DEPOSITADO EN CUENTA"/>
  </r>
  <r>
    <s v="12 DE SEPTIEMBRE DE 2025"/>
    <x v="100"/>
    <s v="MARIA DEL PILAR AVILES GONZALEZ"/>
    <n v="8536609"/>
    <s v="MARIA DEL PILAR AVILES GONZALEZ"/>
    <d v="2025-02-01T00:00:00"/>
    <s v="INICIAL"/>
    <n v="371854569"/>
    <n v="371854569"/>
    <n v="10190"/>
    <n v="9190"/>
    <n v="1000"/>
    <n v="0"/>
    <n v="1000"/>
    <n v="371854569"/>
    <n v="285123"/>
    <s v="CORP DE BIENESTAR DEL PERSONAL DE A F P"/>
    <d v="2025-02-19T00:00:00"/>
    <d v="2025-02-19T00:00:00"/>
    <d v="2025-02-19T00:00:00"/>
    <d v="2025-02-19T00:00:00"/>
    <s v="AMBULATORIOS"/>
    <n v="22621810"/>
    <n v="2250942"/>
    <n v="68910801"/>
    <s v="TRASSA"/>
    <n v="23022025"/>
    <n v="77703"/>
    <s v="SAL"/>
    <s v="AM04"/>
    <s v="EXAMENES DE LABORATORIO"/>
    <s v="EXAMENES DE LABORATORIO"/>
    <s v="EXAMENES DE LABORATORIO"/>
    <s v="IMED SALUD"/>
    <n v="0"/>
    <n v="96617350"/>
    <n v="5"/>
    <s v="BANMÉDICA"/>
    <s v="MAVILES@AFPHABITAT.CL"/>
    <s v="8536609|96617350|371854569|371854569"/>
    <s v="IMED SALUD"/>
    <b v="1"/>
    <s v="APORTE VIA IMED"/>
  </r>
  <r>
    <s v="12 DE SEPTIEMBRE DE 2025"/>
    <x v="100"/>
    <s v="MARIA DEL PILAR AVILES GONZALEZ"/>
    <n v="8536609"/>
    <s v="MARIA DEL PILAR AVILES GONZALEZ"/>
    <d v="2025-03-01T00:00:00"/>
    <s v="DUPLICADO"/>
    <n v="371854569"/>
    <n v="65383671"/>
    <n v="1155"/>
    <n v="0"/>
    <n v="1155"/>
    <n v="0"/>
    <n v="1155"/>
    <n v="371854569"/>
    <n v="285123"/>
    <s v="CORP DE BIENESTAR DEL PERSONAL DE A F P"/>
    <d v="2025-03-01T00:00:00"/>
    <d v="2025-03-26T00:00:00"/>
    <d v="2025-02-19T00:00:00"/>
    <d v="2025-02-19T00:00:00"/>
    <s v="AMBULATORIOS"/>
    <n v="22770661"/>
    <n v="3311105"/>
    <n v="69250562"/>
    <s v="TRASSA"/>
    <n v="1710319886"/>
    <n v="78070"/>
    <s v="SAL"/>
    <s v="AM04"/>
    <s v="EXAMENES DE LABORATORIO"/>
    <s v="EXAMENES DE LABORATORIO"/>
    <s v="EXAMENES DE LABORATORIO"/>
    <n v="0"/>
    <n v="0"/>
    <n v="96617350"/>
    <n v="5"/>
    <s v="SIN ISAPRE"/>
    <s v="MAVILES@AFPHABITAT.CL"/>
    <s v="8536609|96617350|371854569|65383671"/>
    <s v="GASTO FISICO"/>
    <b v="0"/>
    <s v="DEPOSITADO EN CUENTA"/>
  </r>
  <r>
    <s v="12 DE SEPTIEMBRE DE 2025"/>
    <x v="100"/>
    <s v="MARIA DEL PILAR AVILES GONZALEZ"/>
    <n v="8536609"/>
    <s v="MARIA DEL PILAR AVILES GONZALEZ"/>
    <d v="2025-02-01T00:00:00"/>
    <s v="INICIAL"/>
    <n v="371854852"/>
    <n v="371854852"/>
    <n v="48133"/>
    <n v="41633"/>
    <n v="6500"/>
    <n v="0"/>
    <n v="6500"/>
    <n v="371854852"/>
    <n v="285123"/>
    <s v="CORP DE BIENESTAR DEL PERSONAL DE A F P"/>
    <d v="2025-02-19T00:00:00"/>
    <d v="2025-02-19T00:00:00"/>
    <d v="2025-02-19T00:00:00"/>
    <d v="2025-02-19T00:00:00"/>
    <s v="AMBULATORIOS"/>
    <n v="22621810"/>
    <n v="2250942"/>
    <n v="68910811"/>
    <s v="TRASSA"/>
    <n v="23022025"/>
    <n v="77703"/>
    <s v="SAL"/>
    <s v="AM07"/>
    <s v="PROCEDIMIENTOS TERAPEUTICOS"/>
    <s v="PROCEDIMIENTOS TERAPEUTICOS"/>
    <s v="PROCEDIMIENTOS TERAPEUTICOS"/>
    <s v="IMED SALUD"/>
    <n v="0"/>
    <n v="96617350"/>
    <n v="5"/>
    <s v="BANMÉDICA"/>
    <s v="MAVILES@AFPHABITAT.CL"/>
    <s v="8536609|96617350|371854852|371854852"/>
    <s v="IMED SALUD"/>
    <b v="1"/>
    <s v="APORTE VIA IMED"/>
  </r>
  <r>
    <s v="12 DE SEPTIEMBRE DE 2025"/>
    <x v="100"/>
    <s v="MARIA DEL PILAR AVILES GONZALEZ"/>
    <n v="8536609"/>
    <s v="MARIA DEL PILAR AVILES GONZALEZ"/>
    <d v="2025-03-01T00:00:00"/>
    <s v="DUPLICADO"/>
    <n v="371854852"/>
    <n v="65383672"/>
    <n v="6547"/>
    <n v="0"/>
    <n v="6547"/>
    <n v="0"/>
    <n v="6547"/>
    <n v="371854852"/>
    <n v="285123"/>
    <s v="CORP DE BIENESTAR DEL PERSONAL DE A F P"/>
    <d v="2025-03-01T00:00:00"/>
    <d v="2025-03-26T00:00:00"/>
    <d v="2025-02-19T00:00:00"/>
    <d v="2025-02-19T00:00:00"/>
    <s v="AMBULATORIOS"/>
    <n v="22770661"/>
    <n v="3311105"/>
    <n v="69250563"/>
    <s v="TRASSA"/>
    <n v="1710319886"/>
    <n v="78070"/>
    <s v="SAL"/>
    <s v="AM07"/>
    <s v="PROCEDIMIENTOS TERAPEUTICOS"/>
    <s v="PROCEDIMIENTOS TERAPEUTICOS"/>
    <s v="PROCEDIMIENTOS TERAPEUTICOS"/>
    <n v="0"/>
    <n v="0"/>
    <n v="96617350"/>
    <n v="5"/>
    <s v="SIN ISAPRE"/>
    <s v="MAVILES@AFPHABITAT.CL"/>
    <s v="8536609|96617350|371854852|65383672"/>
    <s v="GASTO FISICO"/>
    <b v="0"/>
    <s v="DEPOSITADO EN CUENTA"/>
  </r>
  <r>
    <s v="12 DE SEPTIEMBRE DE 2025"/>
    <x v="100"/>
    <s v="MARIA DEL PILAR AVILES GONZALEZ"/>
    <n v="8536609"/>
    <s v="MARIA DEL PILAR AVILES GONZALEZ"/>
    <d v="2025-02-01T00:00:00"/>
    <s v="INICIAL"/>
    <n v="371863769"/>
    <n v="371863769"/>
    <n v="27878"/>
    <n v="7260"/>
    <n v="20618"/>
    <n v="0"/>
    <n v="20618"/>
    <n v="371863769"/>
    <n v="285123"/>
    <s v="CORP DE BIENESTAR DEL PERSONAL DE A F P"/>
    <d v="2025-02-19T00:00:00"/>
    <d v="2025-02-19T00:00:00"/>
    <d v="2025-02-19T00:00:00"/>
    <d v="2025-02-19T00:00:00"/>
    <s v="AMBULATORIOS"/>
    <n v="22621810"/>
    <n v="2250942"/>
    <n v="68910998"/>
    <s v="TRASSA"/>
    <n v="23022025"/>
    <n v="77703"/>
    <s v="SAL"/>
    <s v="AM05"/>
    <s v="EXAMENES RADIOLOGICOS"/>
    <s v="EXAMENES RADIOLOGICOS"/>
    <s v="EXAMENES RADIOLOGICOS"/>
    <s v="IMED SALUD"/>
    <n v="0"/>
    <n v="76098454"/>
    <s v="K"/>
    <s v="BANMÉDICA"/>
    <s v="MAVILES@AFPHABITAT.CL"/>
    <s v="8536609|76098454|371863769|371863769"/>
    <s v="IMED SALUD"/>
    <b v="1"/>
    <s v="APORTE VIA IMED"/>
  </r>
  <r>
    <s v="12 DE SEPTIEMBRE DE 2025"/>
    <x v="100"/>
    <s v="MARIA DEL PILAR AVILES GONZALEZ"/>
    <n v="8536609"/>
    <s v="MARIA DEL PILAR AVILES GONZALEZ"/>
    <d v="2025-03-01T00:00:00"/>
    <s v="DUPLICADO"/>
    <n v="371863769"/>
    <n v="65383673"/>
    <n v="17330"/>
    <n v="0"/>
    <n v="17330"/>
    <n v="0"/>
    <n v="17330"/>
    <n v="371863769"/>
    <n v="285123"/>
    <s v="CORP DE BIENESTAR DEL PERSONAL DE A F P"/>
    <d v="2025-03-01T00:00:00"/>
    <d v="2025-03-26T00:00:00"/>
    <d v="2025-02-19T00:00:00"/>
    <d v="2025-02-19T00:00:00"/>
    <s v="AMBULATORIOS"/>
    <n v="22770661"/>
    <n v="3311105"/>
    <n v="69250564"/>
    <s v="TRASSA"/>
    <n v="1710319886"/>
    <n v="78070"/>
    <s v="SAL"/>
    <s v="AM05"/>
    <s v="EXAMENES RADIOLOGICOS"/>
    <s v="EXAMENES RADIOLOGICOS"/>
    <s v="EXAMENES RADIOLOGICOS"/>
    <n v="0"/>
    <n v="0"/>
    <n v="76098454"/>
    <s v="K"/>
    <s v="SIN ISAPRE"/>
    <s v="MAVILES@AFPHABITAT.CL"/>
    <s v="8536609|76098454|371863769|65383673"/>
    <s v="GASTO FISICO"/>
    <b v="0"/>
    <s v="DEPOSITADO EN CUENTA"/>
  </r>
  <r>
    <s v="12 DE SEPTIEMBRE DE 2025"/>
    <x v="100"/>
    <s v="MARIA DEL PILAR AVILES GONZALEZ"/>
    <n v="8536609"/>
    <s v="MARIA DEL PILAR AVILES GONZALEZ"/>
    <d v="2025-02-01T00:00:00"/>
    <s v="INICIAL"/>
    <n v="371865457"/>
    <n v="371865457"/>
    <n v="33800"/>
    <n v="13000"/>
    <n v="20800"/>
    <n v="0"/>
    <n v="20800"/>
    <n v="371865457"/>
    <n v="285123"/>
    <s v="CORP DE BIENESTAR DEL PERSONAL DE A F P"/>
    <d v="2025-02-19T00:00:00"/>
    <d v="2025-02-19T00:00:00"/>
    <d v="2025-02-19T00:00:00"/>
    <d v="2025-02-19T00:00:00"/>
    <s v="AMBULATORIOS"/>
    <n v="22621810"/>
    <n v="2250942"/>
    <n v="68911030"/>
    <s v="TRASSA"/>
    <n v="23022025"/>
    <n v="77703"/>
    <s v="SAL"/>
    <s v="AM05"/>
    <s v="EXAMENES RADIOLOGICOS"/>
    <s v="EXAMENES RADIOLOGICOS"/>
    <s v="EXAMENES RADIOLOGICOS"/>
    <s v="IMED SALUD"/>
    <n v="0"/>
    <n v="76098454"/>
    <s v="K"/>
    <s v="BANMÉDICA"/>
    <s v="MAVILES@AFPHABITAT.CL"/>
    <s v="8536609|76098454|371865457|371865457"/>
    <s v="IMED SALUD"/>
    <b v="1"/>
    <s v="APORTE VIA IMED"/>
  </r>
  <r>
    <s v="12 DE SEPTIEMBRE DE 2025"/>
    <x v="100"/>
    <s v="MARIA DEL PILAR AVILES GONZALEZ"/>
    <n v="8536609"/>
    <s v="MARIA DEL PILAR AVILES GONZALEZ"/>
    <d v="2025-03-01T00:00:00"/>
    <s v="DUPLICADO"/>
    <n v="371865457"/>
    <n v="65383674"/>
    <n v="18871"/>
    <n v="0"/>
    <n v="18871"/>
    <n v="0"/>
    <n v="18871"/>
    <n v="371865457"/>
    <n v="285123"/>
    <s v="CORP DE BIENESTAR DEL PERSONAL DE A F P"/>
    <d v="2025-03-01T00:00:00"/>
    <d v="2025-03-26T00:00:00"/>
    <d v="2025-02-19T00:00:00"/>
    <d v="2025-02-19T00:00:00"/>
    <s v="AMBULATORIOS"/>
    <n v="22770661"/>
    <n v="3311105"/>
    <n v="69250565"/>
    <s v="TRASSA"/>
    <n v="1710319886"/>
    <n v="78070"/>
    <s v="SAL"/>
    <s v="AM05"/>
    <s v="EXAMENES RADIOLOGICOS"/>
    <s v="EXAMENES RADIOLOGICOS"/>
    <s v="EXAMENES RADIOLOGICOS"/>
    <n v="0"/>
    <n v="0"/>
    <n v="76098454"/>
    <s v="K"/>
    <s v="SIN ISAPRE"/>
    <s v="MAVILES@AFPHABITAT.CL"/>
    <s v="8536609|76098454|371865457|65383674"/>
    <s v="GASTO FISICO"/>
    <b v="0"/>
    <s v="DEPOSITADO EN CUENTA"/>
  </r>
  <r>
    <s v="12 DE SEPTIEMBRE DE 2025"/>
    <x v="85"/>
    <s v="CESAR SCARCELA LARIO"/>
    <n v="19204324"/>
    <s v="CESAR SCARCELA LARIO"/>
    <d v="2025-02-01T00:00:00"/>
    <s v="INICIAL"/>
    <n v="371874728"/>
    <n v="371874728"/>
    <n v="33869"/>
    <n v="23708"/>
    <n v="10161"/>
    <n v="0"/>
    <n v="10161"/>
    <n v="371874728"/>
    <n v="285123"/>
    <s v="CORP DE BIENESTAR DEL PERSONAL DE A F P"/>
    <d v="2025-02-19T00:00:00"/>
    <d v="2025-02-19T00:00:00"/>
    <d v="2025-02-19T00:00:00"/>
    <d v="2025-02-19T00:00:00"/>
    <s v="SALUD MENTAL"/>
    <n v="22621849"/>
    <n v="2250942"/>
    <n v="68911148"/>
    <s v="TRASSA"/>
    <n v="23022025"/>
    <n v="77703"/>
    <s v="SAL"/>
    <s v="SM01"/>
    <s v="CONSULTA O SESIONES PSIQUIATRICAS"/>
    <s v="CONSULTA PSIQUIATRICA"/>
    <s v="CONSULTA PSIQUIATRICA"/>
    <s v="IMED SALUD"/>
    <n v="0"/>
    <n v="60910000"/>
    <n v="1"/>
    <s v="BANMÉDICA"/>
    <s v="CSCARCEL@AFPHABITAT.CL"/>
    <s v="19204324|60910000|371874728|371874728"/>
    <s v="IMED SALUD"/>
    <b v="1"/>
    <s v="APORTE VIA IMED"/>
  </r>
  <r>
    <s v="12 DE SEPTIEMBRE DE 2025"/>
    <x v="85"/>
    <s v="CESAR SCARCELA LARIO"/>
    <n v="19204324"/>
    <s v="CESAR SCARCELA LARIO"/>
    <d v="2025-03-01T00:00:00"/>
    <s v="DUPLICADO"/>
    <n v="371874728"/>
    <n v="65384479"/>
    <n v="10013"/>
    <n v="0"/>
    <n v="10013"/>
    <n v="0"/>
    <n v="10013"/>
    <n v="371874728"/>
    <n v="285123"/>
    <s v="CORP DE BIENESTAR DEL PERSONAL DE A F P"/>
    <d v="2025-03-01T00:00:00"/>
    <d v="2025-03-26T00:00:00"/>
    <d v="2025-02-19T00:00:00"/>
    <d v="2025-02-19T00:00:00"/>
    <s v="SALUD MENTAL"/>
    <n v="22770673"/>
    <n v="3311105"/>
    <n v="69251345"/>
    <s v="TRASSA"/>
    <n v="19204324"/>
    <n v="78070"/>
    <s v="SAL"/>
    <s v="SM01"/>
    <s v="CONSULTA O SESIONES PSIQUIATRICAS"/>
    <s v="CONSULTA PSIQUIATRICA"/>
    <s v="CONSULTA PSIQUIATRICA"/>
    <n v="0"/>
    <n v="0"/>
    <n v="60910000"/>
    <n v="1"/>
    <s v="SIN ISAPRE"/>
    <s v="CSCARCEL@AFPHABITAT.CL"/>
    <s v="19204324|60910000|371874728|65384479"/>
    <s v="GASTO FISICO"/>
    <b v="0"/>
    <s v="DEPOSITADO EN CUENTA"/>
  </r>
  <r>
    <s v="12 DE SEPTIEMBRE DE 2025"/>
    <x v="101"/>
    <s v="LUIS ANTONIO APABLAZA PEDREROS"/>
    <n v="7693346"/>
    <s v="LUIS ANTONIO APABLAZA PEDREROS"/>
    <d v="2025-02-01T00:00:00"/>
    <s v="INICIAL"/>
    <n v="371935385"/>
    <n v="371935385"/>
    <n v="15185"/>
    <n v="10630"/>
    <n v="4555"/>
    <n v="0"/>
    <n v="4555"/>
    <n v="371935385"/>
    <n v="285123"/>
    <s v="CORP DE BIENESTAR DEL PERSONAL DE A F P"/>
    <d v="2025-02-21T00:00:00"/>
    <d v="2025-02-21T00:00:00"/>
    <d v="2025-02-21T00:00:00"/>
    <d v="2025-02-21T00:00:00"/>
    <s v="AMBULATORIOS"/>
    <n v="22621896"/>
    <n v="2250942"/>
    <n v="68912069"/>
    <s v="TRASSA"/>
    <n v="23022025"/>
    <n v="77703"/>
    <s v="SAL"/>
    <s v="AM04"/>
    <s v="EXAMENES DE LABORATORIO"/>
    <s v="EXAMENES DE LABORATORIO"/>
    <s v="EXAMENES DE LABORATORIO"/>
    <s v="IMED SALUD"/>
    <n v="0"/>
    <n v="96986050"/>
    <n v="3"/>
    <s v="VIDA TRES"/>
    <s v="LAPABLAZ@AFPHABITAT.CL"/>
    <s v="7693346|96986050|371935385|371935385"/>
    <s v="IMED SALUD"/>
    <b v="1"/>
    <s v="APORTE VIA IMED"/>
  </r>
  <r>
    <s v="12 DE SEPTIEMBRE DE 2025"/>
    <x v="101"/>
    <s v="LUIS ANTONIO APABLAZA PEDREROS"/>
    <n v="7693346"/>
    <s v="LUIS ANTONIO APABLAZA PEDREROS"/>
    <d v="2025-03-01T00:00:00"/>
    <s v="DUPLICADO"/>
    <n v="371935385"/>
    <n v="65383619"/>
    <n v="4623"/>
    <n v="0"/>
    <n v="4623"/>
    <n v="0"/>
    <n v="4623"/>
    <n v="371935385"/>
    <n v="285123"/>
    <s v="CORP DE BIENESTAR DEL PERSONAL DE A F P"/>
    <d v="2025-03-01T00:00:00"/>
    <d v="2025-03-26T00:00:00"/>
    <d v="2025-02-21T00:00:00"/>
    <d v="2025-02-21T00:00:00"/>
    <s v="AMBULATORIOS"/>
    <n v="22770681"/>
    <n v="3311105"/>
    <n v="69250510"/>
    <s v="TRASSA"/>
    <n v="12993972"/>
    <n v="78070"/>
    <s v="SAL"/>
    <s v="AM04"/>
    <s v="EXAMENES DE LABORATORIO"/>
    <s v="EXAMENES DE LABORATORIO"/>
    <s v="EXAMENES DE LABORATORIO"/>
    <n v="0"/>
    <n v="0"/>
    <n v="96986050"/>
    <n v="3"/>
    <s v="SIN ISAPRE"/>
    <s v="LAPABLAZ@AFPHABITAT.CL"/>
    <s v="7693346|96986050|371935385|65383619"/>
    <s v="GASTO FISICO"/>
    <b v="0"/>
    <s v="DEPOSITADO EN CUENTA"/>
  </r>
  <r>
    <s v="12 DE SEPTIEMBRE DE 2025"/>
    <x v="101"/>
    <s v="LUIS ANTONIO APABLAZA PEDREROS"/>
    <n v="7693346"/>
    <s v="LUIS ANTONIO APABLAZA PEDREROS"/>
    <d v="2025-02-01T00:00:00"/>
    <s v="INICIAL"/>
    <n v="371935386"/>
    <n v="371935386"/>
    <n v="2035"/>
    <n v="1425"/>
    <n v="610"/>
    <n v="0"/>
    <n v="610"/>
    <n v="371935386"/>
    <n v="285123"/>
    <s v="CORP DE BIENESTAR DEL PERSONAL DE A F P"/>
    <d v="2025-02-21T00:00:00"/>
    <d v="2025-02-21T00:00:00"/>
    <d v="2025-02-21T00:00:00"/>
    <d v="2025-02-21T00:00:00"/>
    <s v="AMBULATORIOS"/>
    <n v="22621896"/>
    <n v="2250942"/>
    <n v="68912068"/>
    <s v="TRASSA"/>
    <n v="23022025"/>
    <n v="77703"/>
    <s v="SAL"/>
    <s v="AM04"/>
    <s v="EXAMENES DE LABORATORIO"/>
    <s v="EXAMENES DE LABORATORIO"/>
    <s v="EXAMENES DE LABORATORIO"/>
    <s v="IMED SALUD"/>
    <n v="0"/>
    <n v="96986050"/>
    <n v="3"/>
    <s v="VIDA TRES"/>
    <s v="LAPABLAZ@AFPHABITAT.CL"/>
    <s v="7693346|96986050|371935386|371935386"/>
    <s v="IMED SALUD"/>
    <b v="1"/>
    <s v="APORTE VIA IMED"/>
  </r>
  <r>
    <s v="12 DE SEPTIEMBRE DE 2025"/>
    <x v="101"/>
    <s v="LUIS ANTONIO APABLAZA PEDREROS"/>
    <n v="7693346"/>
    <s v="LUIS ANTONIO APABLAZA PEDREROS"/>
    <d v="2025-03-01T00:00:00"/>
    <s v="DUPLICADO"/>
    <n v="371935386"/>
    <n v="65383620"/>
    <n v="770"/>
    <n v="0"/>
    <n v="770"/>
    <n v="0"/>
    <n v="770"/>
    <n v="371935386"/>
    <n v="285123"/>
    <s v="CORP DE BIENESTAR DEL PERSONAL DE A F P"/>
    <d v="2025-03-01T00:00:00"/>
    <d v="2025-03-26T00:00:00"/>
    <d v="2025-02-21T00:00:00"/>
    <d v="2025-02-21T00:00:00"/>
    <s v="AMBULATORIOS"/>
    <n v="22770681"/>
    <n v="3311105"/>
    <n v="69250511"/>
    <s v="TRASSA"/>
    <n v="12993972"/>
    <n v="78070"/>
    <s v="SAL"/>
    <s v="AM04"/>
    <s v="EXAMENES DE LABORATORIO"/>
    <s v="EXAMENES DE LABORATORIO"/>
    <s v="EXAMENES DE LABORATORIO"/>
    <n v="0"/>
    <n v="0"/>
    <n v="96986050"/>
    <n v="3"/>
    <s v="SIN ISAPRE"/>
    <s v="LAPABLAZ@AFPHABITAT.CL"/>
    <s v="7693346|96986050|371935386|65383620"/>
    <s v="GASTO FISICO"/>
    <b v="0"/>
    <s v="DEPOSITADO EN CUENTA"/>
  </r>
  <r>
    <s v="12 DE SEPTIEMBRE DE 2025"/>
    <x v="102"/>
    <s v="KATIA ISABEL JIMENEZ CORONADO"/>
    <n v="13830966"/>
    <s v="KATIA ISABEL JIMENEZ CORONADO"/>
    <d v="2025-02-01T00:00:00"/>
    <s v="INICIAL"/>
    <n v="371968141"/>
    <n v="371968141"/>
    <n v="24702"/>
    <n v="14821"/>
    <n v="9881"/>
    <n v="0"/>
    <n v="9881"/>
    <n v="371968141"/>
    <n v="285123"/>
    <s v="CORP DE BIENESTAR DEL PERSONAL DE A F P"/>
    <d v="2025-02-22T00:00:00"/>
    <d v="2025-02-22T00:00:00"/>
    <d v="2025-02-22T00:00:00"/>
    <d v="2025-02-22T00:00:00"/>
    <s v="AMBULATORIOS"/>
    <n v="22646289"/>
    <n v="3041018"/>
    <n v="68950203"/>
    <s v="TRASSA"/>
    <n v="2032025"/>
    <n v="77760"/>
    <s v="SAL"/>
    <s v="AM04"/>
    <s v="EXAMENES DE LABORATORIO"/>
    <s v="EXAMENES DE LABORATORIO"/>
    <s v="EXAMENES DE LABORATORIO"/>
    <s v="IMED SALUD"/>
    <n v="0"/>
    <n v="90753000"/>
    <n v="0"/>
    <s v="BANMÉDICA"/>
    <s v="KJIMENEZ@AFPHABITAT.CL"/>
    <s v="13830966|90753000|371968141|371968141"/>
    <s v="IMED SALUD"/>
    <b v="1"/>
    <s v="APORTE VIA IMED"/>
  </r>
  <r>
    <s v="12 DE SEPTIEMBRE DE 2025"/>
    <x v="102"/>
    <s v="KATIA ISABEL JIMENEZ CORONADO"/>
    <n v="13830966"/>
    <s v="KATIA ISABEL JIMENEZ CORONADO"/>
    <d v="2025-03-01T00:00:00"/>
    <s v="DUPLICADO"/>
    <n v="371968141"/>
    <n v="65384141"/>
    <n v="10023"/>
    <n v="0"/>
    <n v="10023"/>
    <n v="0"/>
    <n v="10023"/>
    <n v="371968141"/>
    <n v="285123"/>
    <s v="CORP DE BIENESTAR DEL PERSONAL DE A F P"/>
    <d v="2025-03-01T00:00:00"/>
    <d v="2025-03-26T00:00:00"/>
    <d v="2025-02-22T00:00:00"/>
    <d v="2025-02-22T00:00:00"/>
    <s v="AMBULATORIOS"/>
    <n v="22770691"/>
    <n v="3311105"/>
    <n v="69251021"/>
    <s v="TRASSA"/>
    <n v="29378354"/>
    <n v="78070"/>
    <s v="SAL"/>
    <s v="AM04"/>
    <s v="EXAMENES DE LABORATORIO"/>
    <s v="EXAMENES DE LABORATORIO"/>
    <s v="EXAMENES DE LABORATORIO"/>
    <n v="0"/>
    <n v="0"/>
    <n v="90753000"/>
    <n v="0"/>
    <s v="SIN ISAPRE"/>
    <s v="KJIMENEZ@AFPHABITAT.CL"/>
    <s v="13830966|90753000|371968141|65384141"/>
    <s v="GASTO FISICO"/>
    <b v="0"/>
    <s v="DEPOSITADO EN CUENTA"/>
  </r>
  <r>
    <s v="12 DE SEPTIEMBRE DE 2025"/>
    <x v="103"/>
    <s v="ANA GALLEGUILLOS VALDES"/>
    <n v="9347751"/>
    <s v="ANA GALLEGUILLOS VALDES"/>
    <d v="2025-02-01T00:00:00"/>
    <s v="INICIAL"/>
    <n v="372022402"/>
    <n v="372022402"/>
    <n v="6292"/>
    <n v="4405"/>
    <n v="1887"/>
    <n v="0"/>
    <n v="1887"/>
    <n v="372022402"/>
    <n v="285123"/>
    <s v="CORP DE BIENESTAR DEL PERSONAL DE A F P"/>
    <d v="2025-02-24T00:00:00"/>
    <d v="2025-02-24T00:00:00"/>
    <d v="2025-02-24T00:00:00"/>
    <d v="2025-02-24T00:00:00"/>
    <s v="AMBULATORIOS"/>
    <n v="22646305"/>
    <n v="3041018"/>
    <n v="68951149"/>
    <s v="TRASSA"/>
    <n v="2032025"/>
    <n v="77760"/>
    <s v="SAL"/>
    <s v="AM04"/>
    <s v="EXAMENES DE LABORATORIO"/>
    <s v="EXAMENES DE LABORATORIO"/>
    <s v="EXAMENES DE LABORATORIO"/>
    <s v="IMED SALUD"/>
    <n v="0"/>
    <n v="96986050"/>
    <n v="3"/>
    <s v="VIDA TRES"/>
    <s v="AGALLEGU@AFPHABITAT.CL"/>
    <s v="9347751|96986050|372022402|372022402"/>
    <s v="IMED SALUD"/>
    <b v="1"/>
    <s v="APORTE VIA IMED"/>
  </r>
  <r>
    <s v="12 DE SEPTIEMBRE DE 2025"/>
    <x v="103"/>
    <s v="ANA GALLEGUILLOS VALDES"/>
    <n v="9347751"/>
    <s v="ANA GALLEGUILLOS VALDES"/>
    <d v="2025-03-01T00:00:00"/>
    <s v="DUPLICADO"/>
    <n v="372022402"/>
    <n v="65383721"/>
    <n v="1927"/>
    <n v="0"/>
    <n v="1927"/>
    <n v="0"/>
    <n v="1927"/>
    <n v="372022402"/>
    <n v="285123"/>
    <s v="CORP DE BIENESTAR DEL PERSONAL DE A F P"/>
    <d v="2025-03-01T00:00:00"/>
    <d v="2025-03-26T00:00:00"/>
    <d v="2025-02-24T00:00:00"/>
    <d v="2025-02-24T00:00:00"/>
    <s v="AMBULATORIOS"/>
    <n v="22770696"/>
    <n v="3311105"/>
    <n v="69250612"/>
    <s v="TRASSA"/>
    <n v="7038304"/>
    <n v="78070"/>
    <s v="SAL"/>
    <s v="AM04"/>
    <s v="EXAMENES DE LABORATORIO"/>
    <s v="EXAMENES DE LABORATORIO"/>
    <s v="EXAMENES DE LABORATORIO"/>
    <n v="0"/>
    <n v="0"/>
    <n v="96986050"/>
    <n v="3"/>
    <s v="SIN ISAPRE"/>
    <s v="AGALLEGU@AFPHABITAT.CL"/>
    <s v="9347751|96986050|372022402|65383721"/>
    <s v="GASTO FISICO"/>
    <b v="0"/>
    <s v="DEPOSITADO EN CUENTA"/>
  </r>
  <r>
    <s v="12 DE SEPTIEMBRE DE 2025"/>
    <x v="71"/>
    <s v="KAROLINA VICTORIA ESPINOZA ARCE"/>
    <n v="26689266"/>
    <s v="JOSEFA MORA ESPINOZA"/>
    <d v="2025-02-01T00:00:00"/>
    <s v="INICIAL"/>
    <n v="372023435"/>
    <n v="372023435"/>
    <n v="202004"/>
    <n v="141403"/>
    <n v="60601"/>
    <n v="0"/>
    <n v="60601"/>
    <n v="372023435"/>
    <n v="285123"/>
    <s v="CORP DE BIENESTAR DEL PERSONAL DE A F P"/>
    <d v="2025-02-24T00:00:00"/>
    <d v="2025-02-24T00:00:00"/>
    <d v="2025-02-24T00:00:00"/>
    <d v="2025-02-24T00:00:00"/>
    <s v="AMBULATORIOS"/>
    <n v="22646325"/>
    <n v="3041018"/>
    <n v="68951168"/>
    <s v="TRASSA"/>
    <n v="2032025"/>
    <n v="77760"/>
    <s v="SAL"/>
    <s v="AM07"/>
    <s v="PROCEDIMIENTOS TERAPEUTICOS"/>
    <s v="PROCEDIMIENTOS TERAPEUTICOS"/>
    <s v="PROCEDIMIENTOS TERAPEUTICOS"/>
    <s v="IMED SALUD"/>
    <n v="0"/>
    <n v="99540210"/>
    <n v="6"/>
    <s v="BANMÉDICA"/>
    <s v="KESPINOZ@AFPHABITAT.CL"/>
    <s v="15344033|99540210|372023435|372023435"/>
    <s v="IMED SALUD"/>
    <b v="1"/>
    <s v="APORTE VIA IMED"/>
  </r>
  <r>
    <s v="12 DE SEPTIEMBRE DE 2025"/>
    <x v="71"/>
    <s v="KAROLINA VICTORIA ESPINOZA ARCE"/>
    <n v="26689266"/>
    <s v="JOSEFA MORA ESPINOZA"/>
    <d v="2025-03-01T00:00:00"/>
    <s v="DUPLICADO"/>
    <n v="372023435"/>
    <n v="65384275"/>
    <n v="60582"/>
    <n v="0"/>
    <n v="60582"/>
    <n v="0"/>
    <n v="60582"/>
    <n v="372023435"/>
    <n v="285123"/>
    <s v="CORP DE BIENESTAR DEL PERSONAL DE A F P"/>
    <d v="2025-03-01T00:00:00"/>
    <d v="2025-03-26T00:00:00"/>
    <d v="2025-02-24T00:00:00"/>
    <d v="2025-02-24T00:00:00"/>
    <s v="AMBULATORIOS"/>
    <n v="22770704"/>
    <n v="3311105"/>
    <n v="69251158"/>
    <s v="TRASSA"/>
    <n v="37507648"/>
    <n v="78070"/>
    <s v="SAL"/>
    <s v="AM07"/>
    <s v="PROCEDIMIENTOS TERAPEUTICOS"/>
    <s v="PROCEDIMIENTOS TERAPEUTICOS"/>
    <s v="PROCEDIMIENTOS TERAPEUTICOS"/>
    <n v="0"/>
    <n v="0"/>
    <n v="99540210"/>
    <n v="6"/>
    <s v="SIN ISAPRE"/>
    <s v="KESPINOZ@AFPHABITAT.CL"/>
    <s v="15344033|99540210|372023435|65384275"/>
    <s v="GASTO FISICO"/>
    <b v="0"/>
    <s v="DEPOSITADO EN CUENTA"/>
  </r>
  <r>
    <s v="12 DE SEPTIEMBRE DE 2025"/>
    <x v="71"/>
    <s v="KAROLINA VICTORIA ESPINOZA ARCE"/>
    <n v="26689266"/>
    <s v="JOSEFA MORA ESPINOZA"/>
    <d v="2025-02-01T00:00:00"/>
    <s v="INICIAL"/>
    <n v="372023521"/>
    <n v="372023521"/>
    <n v="38514"/>
    <n v="15899"/>
    <n v="22615"/>
    <n v="0"/>
    <n v="22615"/>
    <n v="372023521"/>
    <n v="285123"/>
    <s v="CORP DE BIENESTAR DEL PERSONAL DE A F P"/>
    <d v="2025-02-24T00:00:00"/>
    <d v="2025-02-24T00:00:00"/>
    <d v="2025-02-24T00:00:00"/>
    <d v="2025-02-24T00:00:00"/>
    <s v="AMBULATORIOS"/>
    <n v="22646325"/>
    <n v="3041018"/>
    <n v="68951170"/>
    <s v="TRASSA"/>
    <n v="2032025"/>
    <n v="77760"/>
    <s v="SAL"/>
    <s v="AM07"/>
    <s v="PROCEDIMIENTOS TERAPEUTICOS"/>
    <s v="PROCEDIMIENTOS TERAPEUTICOS"/>
    <s v="PROCEDIMIENTOS TERAPEUTICOS"/>
    <s v="IMED SALUD"/>
    <n v="0"/>
    <n v="99540210"/>
    <n v="6"/>
    <s v="BANMÉDICA"/>
    <s v="KESPINOZ@AFPHABITAT.CL"/>
    <s v="15344033|99540210|372023521|372023521"/>
    <s v="IMED SALUD"/>
    <b v="1"/>
    <s v="APORTE VIA IMED"/>
  </r>
  <r>
    <s v="12 DE SEPTIEMBRE DE 2025"/>
    <x v="71"/>
    <s v="KAROLINA VICTORIA ESPINOZA ARCE"/>
    <n v="26689266"/>
    <s v="JOSEFA MORA ESPINOZA"/>
    <d v="2025-03-01T00:00:00"/>
    <s v="DUPLICADO"/>
    <n v="372023521"/>
    <n v="65384276"/>
    <n v="21223"/>
    <n v="0"/>
    <n v="21223"/>
    <n v="0"/>
    <n v="21223"/>
    <n v="372023521"/>
    <n v="285123"/>
    <s v="CORP DE BIENESTAR DEL PERSONAL DE A F P"/>
    <d v="2025-03-01T00:00:00"/>
    <d v="2025-03-26T00:00:00"/>
    <d v="2025-02-24T00:00:00"/>
    <d v="2025-02-24T00:00:00"/>
    <s v="AMBULATORIOS"/>
    <n v="22770704"/>
    <n v="3311105"/>
    <n v="69251159"/>
    <s v="TRASSA"/>
    <n v="37507648"/>
    <n v="78070"/>
    <s v="SAL"/>
    <s v="AM07"/>
    <s v="PROCEDIMIENTOS TERAPEUTICOS"/>
    <s v="PROCEDIMIENTOS TERAPEUTICOS"/>
    <s v="PROCEDIMIENTOS TERAPEUTICOS"/>
    <n v="0"/>
    <n v="0"/>
    <n v="99540210"/>
    <n v="6"/>
    <s v="SIN ISAPRE"/>
    <s v="KESPINOZ@AFPHABITAT.CL"/>
    <s v="15344033|99540210|372023521|65384276"/>
    <s v="GASTO FISICO"/>
    <b v="0"/>
    <s v="DEPOSITADO EN CUENTA"/>
  </r>
  <r>
    <s v="12 DE SEPTIEMBRE DE 2025"/>
    <x v="104"/>
    <s v="CECILIA MARCELA PIMENTEL ASTUDILLO"/>
    <n v="10056123"/>
    <s v="CECILIA MARCELA PIMENTEL ASTUDILLO"/>
    <d v="2025-02-01T00:00:00"/>
    <s v="INICIAL"/>
    <n v="372034610"/>
    <n v="372034610"/>
    <n v="57360"/>
    <n v="32381"/>
    <n v="24979"/>
    <n v="0"/>
    <n v="24979"/>
    <n v="372034610"/>
    <n v="285123"/>
    <s v="CORP DE BIENESTAR DEL PERSONAL DE A F P"/>
    <d v="2025-02-24T00:00:00"/>
    <d v="2025-02-24T00:00:00"/>
    <d v="2025-02-24T00:00:00"/>
    <d v="2025-02-24T00:00:00"/>
    <s v="AMBULATORIOS"/>
    <n v="22646309"/>
    <n v="3041018"/>
    <n v="68951335"/>
    <s v="TRASSA"/>
    <n v="2032025"/>
    <n v="77760"/>
    <s v="SAL"/>
    <s v="AM07"/>
    <s v="PROCEDIMIENTOS TERAPEUTICOS"/>
    <s v="PROCEDIMIENTOS TERAPEUTICOS"/>
    <s v="PROCEDIMIENTOS TERAPEUTICOS"/>
    <s v="IMED SALUD"/>
    <n v="0"/>
    <n v="76098454"/>
    <s v="K"/>
    <s v="BANMÉDICA"/>
    <s v="CPIMENTE@AFPHABITAT.CL"/>
    <s v="10056123|76098454|372034610|372034610"/>
    <s v="IMED SALUD"/>
    <b v="1"/>
    <s v="APORTE VIA IMED"/>
  </r>
  <r>
    <s v="12 DE SEPTIEMBRE DE 2025"/>
    <x v="104"/>
    <s v="CECILIA MARCELA PIMENTEL ASTUDILLO"/>
    <n v="10056123"/>
    <s v="CECILIA MARCELA PIMENTEL ASTUDILLO"/>
    <d v="2025-03-01T00:00:00"/>
    <s v="DUPLICADO"/>
    <n v="372034610"/>
    <n v="65383796"/>
    <n v="24695"/>
    <n v="0"/>
    <n v="24695"/>
    <n v="0"/>
    <n v="24695"/>
    <n v="372034610"/>
    <n v="285123"/>
    <s v="CORP DE BIENESTAR DEL PERSONAL DE A F P"/>
    <d v="2025-03-01T00:00:00"/>
    <d v="2025-03-26T00:00:00"/>
    <d v="2025-02-24T00:00:00"/>
    <d v="2025-02-24T00:00:00"/>
    <s v="AMBULATORIOS"/>
    <n v="22770699"/>
    <n v="3311105"/>
    <n v="69250685"/>
    <s v="TRASSA"/>
    <n v="1010352303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CPIMENTE@AFPHABITAT.CL"/>
    <s v="10056123|76098454|372034610|65383796"/>
    <s v="GASTO FISICO"/>
    <b v="0"/>
    <s v="DEPOSITADO EN CUENTA"/>
  </r>
  <r>
    <s v="12 DE SEPTIEMBRE DE 2025"/>
    <x v="99"/>
    <s v="TATIANA LUISA ROSENBLIT SILVA"/>
    <n v="8576939"/>
    <s v="TATIANA LUISA ROSENBLIT SILVA"/>
    <d v="2025-02-01T00:00:00"/>
    <s v="INICIAL"/>
    <n v="372072261"/>
    <n v="372072261"/>
    <n v="175315"/>
    <n v="117970"/>
    <n v="57345"/>
    <n v="0"/>
    <n v="57345"/>
    <n v="372072261"/>
    <n v="285123"/>
    <s v="CORP DE BIENESTAR DEL PERSONAL DE A F P"/>
    <d v="2025-02-25T00:00:00"/>
    <d v="2025-02-25T00:00:00"/>
    <d v="2025-02-25T00:00:00"/>
    <d v="2025-02-25T00:00:00"/>
    <s v="AMBULATORIOS"/>
    <n v="22646346"/>
    <n v="3041018"/>
    <n v="68951956"/>
    <s v="TRASSA"/>
    <n v="2032025"/>
    <n v="77760"/>
    <s v="SAL"/>
    <s v="AM07"/>
    <s v="PROCEDIMIENTOS TERAPEUTICOS"/>
    <s v="PROCEDIMIENTOS TERAPEUTICOS"/>
    <s v="PROCEDIMIENTOS TERAPEUTICOS"/>
    <s v="IMED SALUD"/>
    <n v="0"/>
    <n v="96617350"/>
    <n v="5"/>
    <s v="VIDA TRES"/>
    <s v="TATIANA.ROSENBLIT@AFPHABITAT.CL"/>
    <s v="8576939|96617350|372072261|372072261"/>
    <s v="IMED SALUD"/>
    <b v="1"/>
    <s v="APORTE VIA IMED"/>
  </r>
  <r>
    <s v="12 DE SEPTIEMBRE DE 2025"/>
    <x v="99"/>
    <s v="TATIANA LUISA ROSENBLIT SILVA"/>
    <n v="8576939"/>
    <s v="TATIANA LUISA ROSENBLIT SILVA"/>
    <d v="2025-03-01T00:00:00"/>
    <s v="DUPLICADO"/>
    <n v="372072261"/>
    <n v="65383679"/>
    <n v="57131"/>
    <n v="0"/>
    <n v="57131"/>
    <n v="0"/>
    <n v="57131"/>
    <n v="372072261"/>
    <n v="285123"/>
    <s v="CORP DE BIENESTAR DEL PERSONAL DE A F P"/>
    <d v="2025-03-01T00:00:00"/>
    <d v="2025-03-26T00:00:00"/>
    <d v="2025-02-25T00:00:00"/>
    <d v="2025-02-25T00:00:00"/>
    <s v="AMBULATORIOS"/>
    <n v="22770709"/>
    <n v="3311105"/>
    <n v="69250570"/>
    <s v="TRASSA"/>
    <n v="40197654"/>
    <n v="78070"/>
    <s v="SAL"/>
    <s v="AM07"/>
    <s v="PROCEDIMIENTOS TERAPEUTICOS"/>
    <s v="PROCEDIMIENTOS TERAPEUTICOS"/>
    <s v="PROCEDIMIENTOS TERAPEUTICOS"/>
    <n v="0"/>
    <n v="0"/>
    <n v="96617350"/>
    <n v="5"/>
    <s v="SIN ISAPRE"/>
    <s v="TATIANA.ROSENBLIT@AFPHABITAT.CL"/>
    <s v="8576939|96617350|372072261|65383679"/>
    <s v="GASTO FISICO"/>
    <b v="0"/>
    <s v="DEPOSITADO EN CUENTA"/>
  </r>
  <r>
    <s v="12 DE SEPTIEMBRE DE 2025"/>
    <x v="105"/>
    <s v="GONZALO MENENDEZ ROMERO"/>
    <n v="23994888"/>
    <s v="TOMAS MENENDEZ MARINOV"/>
    <d v="2025-02-01T00:00:00"/>
    <s v="INICIAL"/>
    <n v="372089295"/>
    <n v="372089295"/>
    <n v="54075"/>
    <n v="32445"/>
    <n v="21630"/>
    <n v="0"/>
    <n v="21630"/>
    <n v="372089295"/>
    <n v="285123"/>
    <s v="CORP DE BIENESTAR DEL PERSONAL DE A F P"/>
    <d v="2025-02-26T00:00:00"/>
    <d v="2025-02-26T00:00:00"/>
    <d v="2025-02-26T00:00:00"/>
    <d v="2025-02-26T00:00:00"/>
    <s v="AMBULATORIOS"/>
    <n v="22646405"/>
    <n v="3041018"/>
    <n v="68952248"/>
    <s v="TRASSA"/>
    <n v="2032025"/>
    <n v="77760"/>
    <s v="SAL"/>
    <s v="AM07"/>
    <s v="PROCEDIMIENTOS TERAPEUTICOS"/>
    <s v="PROCEDIMIENTOS TERAPEUTICOS"/>
    <s v="PROCEDIMIENTOS TERAPEUTICOS"/>
    <s v="IMED SALUD"/>
    <n v="0"/>
    <n v="96770100"/>
    <n v="9"/>
    <s v="BANMÉDICA"/>
    <s v="GONZALO.MENENDEZ@AFPHABITAT.CL"/>
    <s v="13830329|96770100|372089295|372089295"/>
    <s v="IMED SALUD"/>
    <b v="1"/>
    <s v="APORTE VIA IMED"/>
  </r>
  <r>
    <s v="12 DE SEPTIEMBRE DE 2025"/>
    <x v="105"/>
    <s v="GONZALO MENENDEZ ROMERO"/>
    <n v="23994888"/>
    <s v="TOMAS MENENDEZ MARINOV"/>
    <d v="2025-03-01T00:00:00"/>
    <s v="DUPLICADO"/>
    <n v="372089295"/>
    <n v="65384140"/>
    <n v="21625"/>
    <n v="0"/>
    <n v="21625"/>
    <n v="0"/>
    <n v="21625"/>
    <n v="372089295"/>
    <n v="285123"/>
    <s v="CORP DE BIENESTAR DEL PERSONAL DE A F P"/>
    <d v="2025-03-01T00:00:00"/>
    <d v="2025-03-26T00:00:00"/>
    <d v="2025-02-26T00:00:00"/>
    <d v="2025-02-26T00:00:00"/>
    <s v="AMBULATORIOS"/>
    <n v="22770727"/>
    <n v="3311105"/>
    <n v="69251020"/>
    <s v="TRASSA"/>
    <n v="50183704"/>
    <n v="78070"/>
    <s v="SAL"/>
    <s v="AM07"/>
    <s v="PROCEDIMIENTOS TERAPEUTICOS"/>
    <s v="PROCEDIMIENTOS TERAPEUTICOS"/>
    <s v="PROCEDIMIENTOS TERAPEUTICOS"/>
    <n v="0"/>
    <n v="0"/>
    <n v="96770100"/>
    <n v="9"/>
    <s v="SIN ISAPRE"/>
    <s v="GONZALO.MENENDEZ@AFPHABITAT.CL"/>
    <s v="13830329|96770100|372089295|65384140"/>
    <s v="GASTO FISICO"/>
    <b v="0"/>
    <s v="DEPOSITADO EN CUENTA"/>
  </r>
  <r>
    <s v="12 DE SEPTIEMBRE DE 2025"/>
    <x v="106"/>
    <s v="JOSE SALAS DIAZ"/>
    <n v="7451468"/>
    <s v="MARIA CORNEJO GAETE"/>
    <d v="2025-02-01T00:00:00"/>
    <s v="INICIAL"/>
    <n v="372127324"/>
    <n v="372127324"/>
    <n v="5565"/>
    <n v="4994"/>
    <n v="571"/>
    <n v="0"/>
    <n v="571"/>
    <n v="372127324"/>
    <n v="285123"/>
    <s v="CORP DE BIENESTAR DEL PERSONAL DE A F P"/>
    <d v="2025-02-27T00:00:00"/>
    <d v="2025-02-27T00:00:00"/>
    <d v="2025-02-27T00:00:00"/>
    <d v="2025-02-27T00:00:00"/>
    <s v="AMBULATORIOS"/>
    <n v="22646422"/>
    <n v="3041018"/>
    <n v="68952909"/>
    <s v="TRASSA"/>
    <n v="2032025"/>
    <n v="77760"/>
    <s v="SAL"/>
    <s v="AM04"/>
    <s v="EXAMENES DE LABORATORIO"/>
    <s v="EXAMENES DE LABORATORIO"/>
    <s v="EXAMENES DE LABORATORIO"/>
    <s v="IMED SALUD"/>
    <n v="0"/>
    <n v="96617350"/>
    <n v="5"/>
    <s v="BANMÉDICA"/>
    <s v="JSALASD@AFPHABITAT.CL"/>
    <s v="7849980|96617350|372127324|372127324"/>
    <s v="IMED SALUD"/>
    <b v="1"/>
    <s v="APORTE VIA IMED"/>
  </r>
  <r>
    <s v="12 DE SEPTIEMBRE DE 2025"/>
    <x v="106"/>
    <s v="JOSE SALAS DIAZ"/>
    <n v="7451468"/>
    <s v="MARIA CORNEJO GAETE"/>
    <d v="2025-03-01T00:00:00"/>
    <s v="DUPLICADO"/>
    <n v="372127324"/>
    <n v="65383635"/>
    <n v="386"/>
    <n v="0"/>
    <n v="386"/>
    <n v="0"/>
    <n v="386"/>
    <n v="372127324"/>
    <n v="285123"/>
    <s v="CORP DE BIENESTAR DEL PERSONAL DE A F P"/>
    <d v="2025-03-01T00:00:00"/>
    <d v="2025-03-26T00:00:00"/>
    <d v="2025-02-27T00:00:00"/>
    <d v="2025-02-27T00:00:00"/>
    <s v="AMBULATORIOS"/>
    <n v="22770730"/>
    <n v="3311105"/>
    <n v="69250526"/>
    <s v="TRASSA"/>
    <n v="62849754"/>
    <n v="78070"/>
    <s v="SAL"/>
    <s v="AM04"/>
    <s v="EXAMENES DE LABORATORIO"/>
    <s v="EXAMENES DE LABORATORIO"/>
    <s v="EXAMENES DE LABORATORIO"/>
    <n v="0"/>
    <n v="0"/>
    <n v="96617350"/>
    <n v="5"/>
    <s v="SIN ISAPRE"/>
    <s v="JSALASD@AFPHABITAT.CL"/>
    <s v="7849980|96617350|372127324|65383635"/>
    <s v="GASTO FISICO"/>
    <b v="0"/>
    <s v="DEPOSITADO EN CUENTA"/>
  </r>
  <r>
    <s v="12 DE SEPTIEMBRE DE 2025"/>
    <x v="106"/>
    <s v="JOSE SALAS DIAZ"/>
    <n v="7451468"/>
    <s v="MARIA CORNEJO GAETE"/>
    <d v="2025-02-01T00:00:00"/>
    <s v="INICIAL"/>
    <n v="372127325"/>
    <n v="372127325"/>
    <n v="982"/>
    <n v="582"/>
    <n v="400"/>
    <n v="0"/>
    <n v="400"/>
    <n v="372127325"/>
    <n v="285123"/>
    <s v="CORP DE BIENESTAR DEL PERSONAL DE A F P"/>
    <d v="2025-02-27T00:00:00"/>
    <d v="2025-02-27T00:00:00"/>
    <d v="2025-02-27T00:00:00"/>
    <d v="2025-02-27T00:00:00"/>
    <s v="AMBULATORIOS"/>
    <n v="22646422"/>
    <n v="3041018"/>
    <n v="68952908"/>
    <s v="TRASSA"/>
    <n v="2032025"/>
    <n v="77760"/>
    <s v="SAL"/>
    <s v="AM04"/>
    <s v="EXAMENES DE LABORATORIO"/>
    <s v="EXAMENES DE LABORATORIO"/>
    <s v="EXAMENES DE LABORATORIO"/>
    <s v="IMED SALUD"/>
    <n v="0"/>
    <n v="96617350"/>
    <n v="5"/>
    <s v="BANMÉDICA"/>
    <s v="JSALASD@AFPHABITAT.CL"/>
    <s v="7849980|96617350|372127325|372127325"/>
    <s v="IMED SALUD"/>
    <b v="1"/>
    <s v="APORTE VIA IMED"/>
  </r>
  <r>
    <s v="12 DE SEPTIEMBRE DE 2025"/>
    <x v="106"/>
    <s v="JOSE SALAS DIAZ"/>
    <n v="7451468"/>
    <s v="MARIA CORNEJO GAETE"/>
    <d v="2025-03-01T00:00:00"/>
    <s v="DUPLICADO"/>
    <n v="372127325"/>
    <n v="65383636"/>
    <n v="386"/>
    <n v="0"/>
    <n v="386"/>
    <n v="0"/>
    <n v="386"/>
    <n v="372127325"/>
    <n v="285123"/>
    <s v="CORP DE BIENESTAR DEL PERSONAL DE A F P"/>
    <d v="2025-03-01T00:00:00"/>
    <d v="2025-03-26T00:00:00"/>
    <d v="2025-02-27T00:00:00"/>
    <d v="2025-02-27T00:00:00"/>
    <s v="AMBULATORIOS"/>
    <n v="22770730"/>
    <n v="3311105"/>
    <n v="69250527"/>
    <s v="TRASSA"/>
    <n v="62849754"/>
    <n v="78070"/>
    <s v="SAL"/>
    <s v="AM04"/>
    <s v="EXAMENES DE LABORATORIO"/>
    <s v="EXAMENES DE LABORATORIO"/>
    <s v="EXAMENES DE LABORATORIO"/>
    <n v="0"/>
    <n v="0"/>
    <n v="96617350"/>
    <n v="5"/>
    <s v="SIN ISAPRE"/>
    <s v="JSALASD@AFPHABITAT.CL"/>
    <s v="7849980|96617350|372127325|65383636"/>
    <s v="GASTO FISICO"/>
    <b v="0"/>
    <s v="DEPOSITADO EN CUENTA"/>
  </r>
  <r>
    <s v="12 DE SEPTIEMBRE DE 2025"/>
    <x v="107"/>
    <s v="CRISTINA LEGARES GILI"/>
    <n v="24299651"/>
    <s v="JORDI SANCHO LEGARES"/>
    <d v="2025-02-01T00:00:00"/>
    <s v="INICIAL"/>
    <n v="372183136"/>
    <n v="372183136"/>
    <n v="84038"/>
    <n v="58826"/>
    <n v="25212"/>
    <n v="0"/>
    <n v="25212"/>
    <n v="372183136"/>
    <n v="285123"/>
    <s v="CORP DE BIENESTAR DEL PERSONAL DE A F P"/>
    <d v="2025-02-28T00:00:00"/>
    <d v="2025-02-28T00:00:00"/>
    <d v="2025-02-28T00:00:00"/>
    <d v="2025-02-28T00:00:00"/>
    <s v="AMBULATORIOS"/>
    <n v="22646510"/>
    <n v="3041018"/>
    <n v="68953767"/>
    <s v="TRASSA"/>
    <n v="2032025"/>
    <n v="77760"/>
    <s v="SAL"/>
    <s v="AM04"/>
    <s v="EXAMENES DE LABORATORIO"/>
    <s v="EXAMENES DE LABORATORIO"/>
    <s v="EXAMENES DE LABORATORIO"/>
    <s v="IMED SALUD"/>
    <n v="0"/>
    <n v="71614000"/>
    <n v="8"/>
    <s v="BANMÉDICA"/>
    <s v="CLEGARES@AFPHABITAT.CL"/>
    <s v="14720057|71614000|372183136|372183136"/>
    <s v="IMED SALUD"/>
    <b v="1"/>
    <s v="APORTE VIA IMED"/>
  </r>
  <r>
    <s v="12 DE SEPTIEMBRE DE 2025"/>
    <x v="107"/>
    <s v="CRISTINA LEGARES GILI"/>
    <n v="24299651"/>
    <s v="JORDI SANCHO LEGARES"/>
    <d v="2025-03-01T00:00:00"/>
    <s v="DUPLICADO"/>
    <n v="372183136"/>
    <n v="65384250"/>
    <n v="25119"/>
    <n v="0"/>
    <n v="25119"/>
    <n v="0"/>
    <n v="25119"/>
    <n v="372183136"/>
    <n v="285123"/>
    <s v="CORP DE BIENESTAR DEL PERSONAL DE A F P"/>
    <d v="2025-03-01T00:00:00"/>
    <d v="2025-03-26T00:00:00"/>
    <d v="2025-02-28T00:00:00"/>
    <d v="2025-02-28T00:00:00"/>
    <s v="AMBULATORIOS"/>
    <n v="22770750"/>
    <n v="3311105"/>
    <n v="69251123"/>
    <s v="TRASSA"/>
    <n v="1904280"/>
    <n v="78070"/>
    <s v="SAL"/>
    <s v="AM04"/>
    <s v="EXAMENES DE LABORATORIO"/>
    <s v="EXAMENES DE LABORATORIO"/>
    <s v="EXAMENES DE LABORATORIO"/>
    <n v="0"/>
    <n v="0"/>
    <n v="71614000"/>
    <n v="8"/>
    <s v="SIN ISAPRE"/>
    <s v="CLEGARES@AFPHABITAT.CL"/>
    <s v="14720057|71614000|372183136|65384250"/>
    <s v="GASTO FISICO"/>
    <b v="0"/>
    <s v="DEPOSITADO EN CUENTA"/>
  </r>
  <r>
    <s v="12 DE SEPTIEMBRE DE 2025"/>
    <x v="82"/>
    <s v="CARMEN DIAZ BRICEÑO"/>
    <n v="20818908"/>
    <s v="SOFIA GALVEZ DIAZ"/>
    <d v="2025-03-01T00:00:00"/>
    <s v="INICIAL"/>
    <n v="372213608"/>
    <n v="372213608"/>
    <n v="46052"/>
    <n v="23948"/>
    <n v="22104"/>
    <n v="0"/>
    <n v="22104"/>
    <n v="372213608"/>
    <n v="285123"/>
    <s v="CORP DE BIENESTAR DEL PERSONAL DE A F P"/>
    <d v="2025-03-01T00:00:00"/>
    <d v="2025-03-01T00:00:00"/>
    <d v="2025-03-01T00:00:00"/>
    <d v="2025-03-01T00:00:00"/>
    <s v="AMBULATORIOS"/>
    <n v="22676561"/>
    <n v="3101656"/>
    <n v="68997918"/>
    <s v="TRASSA"/>
    <n v="9032025"/>
    <n v="77868"/>
    <s v="SAL"/>
    <s v="AM04"/>
    <s v="EXAMENES DE LABORATORIO"/>
    <s v="EXAMENES DE LABORATORIO"/>
    <s v="EXAMENES DE LABORATORIO"/>
    <s v="IMED SALUD"/>
    <n v="0"/>
    <n v="99573490"/>
    <n v="7"/>
    <s v="BANMÃ‰DICA"/>
    <s v="CDIAZB@AFPHABITAT.CL"/>
    <s v="9583535|99573490|372213608|372213608"/>
    <s v="IMED SALUD"/>
    <b v="1"/>
    <s v="APORTE VIA IMED"/>
  </r>
  <r>
    <s v="12 DE SEPTIEMBRE DE 2025"/>
    <x v="82"/>
    <s v="CARMEN DIAZ BRICEÑO"/>
    <n v="20818908"/>
    <s v="SOFIA GALVEZ DIAZ"/>
    <d v="2025-03-01T00:00:00"/>
    <s v="DUPLICADO"/>
    <n v="372213608"/>
    <n v="65383750"/>
    <n v="22035"/>
    <n v="0"/>
    <n v="22035"/>
    <n v="0"/>
    <n v="22035"/>
    <n v="372213608"/>
    <n v="285123"/>
    <s v="CORP DE BIENESTAR DEL PERSONAL DE A F P"/>
    <d v="2025-03-01T00:00:00"/>
    <d v="2025-03-26T00:00:00"/>
    <d v="2025-03-01T00:00:00"/>
    <d v="2025-03-01T00:00:00"/>
    <s v="AMBULATORIOS"/>
    <n v="22772354"/>
    <n v="3311105"/>
    <n v="69250640"/>
    <s v="TRASSA"/>
    <n v="985897999"/>
    <n v="78070"/>
    <s v="SAL"/>
    <s v="AM04"/>
    <s v="EXAMENES DE LABORATORIO"/>
    <s v="EXAMENES DE LABORATORIO"/>
    <s v="EXAMENES DE LABORATORIO"/>
    <n v="0"/>
    <n v="0"/>
    <n v="99573490"/>
    <n v="7"/>
    <s v="SIN ISAPRE"/>
    <s v="CDIAZB@AFPHABITAT.CL"/>
    <s v="9583535|99573490|372213608|65383750"/>
    <s v="GASTO FISICO"/>
    <b v="0"/>
    <s v="DEPOSITADO EN CUENTA"/>
  </r>
  <r>
    <s v="12 DE SEPTIEMBRE DE 2025"/>
    <x v="82"/>
    <s v="CARMEN DIAZ BRICEÑO"/>
    <n v="20818908"/>
    <s v="SOFIA GALVEZ DIAZ"/>
    <d v="2025-03-01T00:00:00"/>
    <s v="INICIAL"/>
    <n v="372213609"/>
    <n v="372213609"/>
    <n v="43138"/>
    <n v="22562"/>
    <n v="20576"/>
    <n v="0"/>
    <n v="20576"/>
    <n v="372213609"/>
    <n v="285123"/>
    <s v="CORP DE BIENESTAR DEL PERSONAL DE A F P"/>
    <d v="2025-03-01T00:00:00"/>
    <d v="2025-03-01T00:00:00"/>
    <d v="2025-03-01T00:00:00"/>
    <d v="2025-03-01T00:00:00"/>
    <s v="AMBULATORIOS"/>
    <n v="22676561"/>
    <n v="3101656"/>
    <n v="68995408"/>
    <s v="TRASSA"/>
    <n v="9032025"/>
    <n v="77868"/>
    <s v="SAL"/>
    <s v="AM04"/>
    <s v="EXAMENES DE LABORATORIO"/>
    <s v="EXAMENES DE LABORATORIO"/>
    <s v="EXAMENES DE LABORATORIO"/>
    <s v="IMED SALUD"/>
    <n v="0"/>
    <n v="99573490"/>
    <n v="7"/>
    <s v="BANMÃ‰DICA"/>
    <s v="CDIAZB@AFPHABITAT.CL"/>
    <s v="9583535|99573490|372213609|372213609"/>
    <s v="IMED SALUD"/>
    <b v="1"/>
    <s v="APORTE VIA IMED"/>
  </r>
  <r>
    <s v="12 DE SEPTIEMBRE DE 2025"/>
    <x v="82"/>
    <s v="CARMEN DIAZ BRICEÑO"/>
    <n v="20818908"/>
    <s v="SOFIA GALVEZ DIAZ"/>
    <d v="2025-03-01T00:00:00"/>
    <s v="DUPLICADO"/>
    <n v="372213609"/>
    <n v="65383751"/>
    <n v="19716"/>
    <n v="0"/>
    <n v="19716"/>
    <n v="0"/>
    <n v="19716"/>
    <n v="372213609"/>
    <n v="285123"/>
    <s v="CORP DE BIENESTAR DEL PERSONAL DE A F P"/>
    <d v="2025-03-01T00:00:00"/>
    <d v="2025-03-26T00:00:00"/>
    <d v="2025-03-01T00:00:00"/>
    <d v="2025-03-01T00:00:00"/>
    <s v="AMBULATORIOS"/>
    <n v="22772354"/>
    <n v="3311105"/>
    <n v="69250641"/>
    <s v="TRASSA"/>
    <n v="985897999"/>
    <n v="78070"/>
    <s v="SAL"/>
    <s v="AM04"/>
    <s v="EXAMENES DE LABORATORIO"/>
    <s v="EXAMENES DE LABORATORIO"/>
    <s v="EXAMENES DE LABORATORIO"/>
    <n v="0"/>
    <n v="0"/>
    <n v="99573490"/>
    <n v="7"/>
    <s v="SIN ISAPRE"/>
    <s v="CDIAZB@AFPHABITAT.CL"/>
    <s v="9583535|99573490|372213609|65383751"/>
    <s v="GASTO FISICO"/>
    <b v="0"/>
    <s v="DEPOSITADO EN CUENTA"/>
  </r>
  <r>
    <s v="12 DE SEPTIEMBRE DE 2025"/>
    <x v="82"/>
    <s v="CARMEN DIAZ BRICEÑO"/>
    <n v="20818908"/>
    <s v="SOFIA GALVEZ DIAZ"/>
    <d v="2025-03-01T00:00:00"/>
    <s v="INICIAL"/>
    <n v="372213610"/>
    <n v="372213610"/>
    <n v="56825"/>
    <n v="35862"/>
    <n v="20963"/>
    <n v="0"/>
    <n v="20963"/>
    <n v="372213610"/>
    <n v="285123"/>
    <s v="CORP DE BIENESTAR DEL PERSONAL DE A F P"/>
    <d v="2025-03-01T00:00:00"/>
    <d v="2025-03-01T00:00:00"/>
    <d v="2025-03-01T00:00:00"/>
    <d v="2025-03-01T00:00:00"/>
    <s v="AMBULATORIOS"/>
    <n v="22676561"/>
    <n v="3101656"/>
    <n v="68993564"/>
    <s v="TRASSA"/>
    <n v="9032025"/>
    <n v="77868"/>
    <s v="SAL"/>
    <s v="AM04"/>
    <s v="EXAMENES DE LABORATORIO"/>
    <s v="EXAMENES DE LABORATORIO"/>
    <s v="EXAMENES DE LABORATORIO"/>
    <s v="IMED SALUD"/>
    <n v="0"/>
    <n v="99573490"/>
    <n v="7"/>
    <s v="BANMÃ‰DICA"/>
    <s v="CDIAZB@AFPHABITAT.CL"/>
    <s v="9583535|99573490|372213610|372213610"/>
    <s v="IMED SALUD"/>
    <b v="1"/>
    <s v="APORTE VIA IMED"/>
  </r>
  <r>
    <s v="12 DE SEPTIEMBRE DE 2025"/>
    <x v="82"/>
    <s v="CARMEN DIAZ BRICEÑO"/>
    <n v="20818908"/>
    <s v="SOFIA GALVEZ DIAZ"/>
    <d v="2025-03-01T00:00:00"/>
    <s v="DUPLICADO"/>
    <n v="372213610"/>
    <n v="65383752"/>
    <n v="20875"/>
    <n v="0"/>
    <n v="20875"/>
    <n v="0"/>
    <n v="20875"/>
    <n v="372213610"/>
    <n v="285123"/>
    <s v="CORP DE BIENESTAR DEL PERSONAL DE A F P"/>
    <d v="2025-03-01T00:00:00"/>
    <d v="2025-03-26T00:00:00"/>
    <d v="2025-03-01T00:00:00"/>
    <d v="2025-03-01T00:00:00"/>
    <s v="AMBULATORIOS"/>
    <n v="22772354"/>
    <n v="3311105"/>
    <n v="69250642"/>
    <s v="TRASSA"/>
    <n v="985897999"/>
    <n v="78070"/>
    <s v="SAL"/>
    <s v="AM04"/>
    <s v="EXAMENES DE LABORATORIO"/>
    <s v="EXAMENES DE LABORATORIO"/>
    <s v="EXAMENES DE LABORATORIO"/>
    <n v="0"/>
    <n v="0"/>
    <n v="99573490"/>
    <n v="7"/>
    <s v="SIN ISAPRE"/>
    <s v="CDIAZB@AFPHABITAT.CL"/>
    <s v="9583535|99573490|372213610|65383752"/>
    <s v="GASTO FISICO"/>
    <b v="0"/>
    <s v="DEPOSITADO EN CUENTA"/>
  </r>
  <r>
    <s v="12 DE SEPTIEMBRE DE 2025"/>
    <x v="82"/>
    <s v="CARMEN DIAZ BRICEÑO"/>
    <n v="20818908"/>
    <s v="SOFIA GALVEZ DIAZ"/>
    <d v="2025-03-01T00:00:00"/>
    <s v="INICIAL"/>
    <n v="372213611"/>
    <n v="372213611"/>
    <n v="33904"/>
    <n v="13037"/>
    <n v="20867"/>
    <n v="0"/>
    <n v="20867"/>
    <n v="372213611"/>
    <n v="285123"/>
    <s v="CORP DE BIENESTAR DEL PERSONAL DE A F P"/>
    <d v="2025-03-01T00:00:00"/>
    <d v="2025-03-01T00:00:00"/>
    <d v="2025-03-01T00:00:00"/>
    <d v="2025-03-01T00:00:00"/>
    <s v="AMBULATORIOS"/>
    <n v="22676561"/>
    <n v="3101656"/>
    <n v="68997162"/>
    <s v="TRASSA"/>
    <n v="9032025"/>
    <n v="77868"/>
    <s v="SAL"/>
    <s v="AM04"/>
    <s v="EXAMENES DE LABORATORIO"/>
    <s v="EXAMENES DE LABORATORIO"/>
    <s v="EXAMENES DE LABORATORIO"/>
    <s v="IMED SALUD"/>
    <n v="0"/>
    <n v="99573490"/>
    <n v="7"/>
    <s v="BANMÃ‰DICA"/>
    <s v="CDIAZB@AFPHABITAT.CL"/>
    <s v="9583535|99573490|372213611|372213611"/>
    <s v="IMED SALUD"/>
    <b v="1"/>
    <s v="APORTE VIA IMED"/>
  </r>
  <r>
    <s v="12 DE SEPTIEMBRE DE 2025"/>
    <x v="82"/>
    <s v="CARMEN DIAZ BRICEÑO"/>
    <n v="20818908"/>
    <s v="SOFIA GALVEZ DIAZ"/>
    <d v="2025-03-01T00:00:00"/>
    <s v="DUPLICADO"/>
    <n v="372213611"/>
    <n v="65383753"/>
    <n v="18944"/>
    <n v="0"/>
    <n v="18944"/>
    <n v="0"/>
    <n v="18944"/>
    <n v="372213611"/>
    <n v="285123"/>
    <s v="CORP DE BIENESTAR DEL PERSONAL DE A F P"/>
    <d v="2025-03-01T00:00:00"/>
    <d v="2025-03-26T00:00:00"/>
    <d v="2025-03-01T00:00:00"/>
    <d v="2025-03-01T00:00:00"/>
    <s v="AMBULATORIOS"/>
    <n v="22772354"/>
    <n v="3311105"/>
    <n v="69250643"/>
    <s v="TRASSA"/>
    <n v="985897999"/>
    <n v="78070"/>
    <s v="SAL"/>
    <s v="AM04"/>
    <s v="EXAMENES DE LABORATORIO"/>
    <s v="EXAMENES DE LABORATORIO"/>
    <s v="EXAMENES DE LABORATORIO"/>
    <n v="0"/>
    <n v="0"/>
    <n v="99573490"/>
    <n v="7"/>
    <s v="SIN ISAPRE"/>
    <s v="CDIAZB@AFPHABITAT.CL"/>
    <s v="9583535|99573490|372213611|65383753"/>
    <s v="GASTO FISICO"/>
    <b v="0"/>
    <s v="DEPOSITADO EN CUENTA"/>
  </r>
  <r>
    <s v="12 DE SEPTIEMBRE DE 2025"/>
    <x v="71"/>
    <s v="KAROLINA VICTORIA ESPINOZA ARCE"/>
    <n v="15344033"/>
    <s v="KAROLINA VICTORIA ESPINOZA ARCE"/>
    <d v="2025-03-01T00:00:00"/>
    <s v="INICIAL"/>
    <n v="372239897"/>
    <n v="372239897"/>
    <n v="4860"/>
    <n v="4131"/>
    <n v="729"/>
    <n v="0"/>
    <n v="729"/>
    <n v="372239897"/>
    <n v="285123"/>
    <s v="CORP DE BIENESTAR DEL PERSONAL DE A F P"/>
    <d v="2025-03-03T00:00:00"/>
    <d v="2025-03-03T00:00:00"/>
    <d v="2025-03-03T00:00:00"/>
    <d v="2025-03-03T00:00:00"/>
    <s v="AMBULATORIOS"/>
    <n v="22676619"/>
    <n v="3101656"/>
    <n v="68996215"/>
    <s v="TRASSA"/>
    <n v="9032025"/>
    <n v="77868"/>
    <s v="SAL"/>
    <s v="AM04"/>
    <s v="EXAMENES DE LABORATORIO"/>
    <s v="EXAMENES DE LABORATORIO"/>
    <s v="EXAMENES DE LABORATORIO"/>
    <s v="IMED SALUD"/>
    <n v="0"/>
    <n v="96530470"/>
    <n v="3"/>
    <s v="BANMÃ‰DICA"/>
    <s v="KESPINOZ@AFPHABITAT.CL"/>
    <s v="15344033|96530470|372239897|372239897"/>
    <s v="IMED SALUD"/>
    <b v="1"/>
    <s v="APORTE VIA IMED"/>
  </r>
  <r>
    <s v="12 DE SEPTIEMBRE DE 2025"/>
    <x v="71"/>
    <s v="KAROLINA VICTORIA ESPINOZA ARCE"/>
    <n v="15344033"/>
    <s v="KAROLINA VICTORIA ESPINOZA ARCE"/>
    <d v="2025-03-01T00:00:00"/>
    <s v="DUPLICADO"/>
    <n v="372239897"/>
    <n v="65384274"/>
    <n v="773"/>
    <n v="0"/>
    <n v="773"/>
    <n v="0"/>
    <n v="773"/>
    <n v="372239897"/>
    <n v="285123"/>
    <s v="CORP DE BIENESTAR DEL PERSONAL DE A F P"/>
    <d v="2025-03-03T00:00:00"/>
    <d v="2025-03-26T00:00:00"/>
    <d v="2025-03-03T00:00:00"/>
    <d v="2025-03-03T00:00:00"/>
    <s v="AMBULATORIOS"/>
    <n v="22772374"/>
    <n v="3311105"/>
    <n v="69251157"/>
    <s v="TRASSA"/>
    <n v="37507648"/>
    <n v="78070"/>
    <s v="SAL"/>
    <s v="AM04"/>
    <s v="EXAMENES DE LABORATORIO"/>
    <s v="EXAMENES DE LABORATORIO"/>
    <s v="EXAMENES DE LABORATORIO"/>
    <n v="0"/>
    <n v="0"/>
    <n v="96530470"/>
    <n v="3"/>
    <s v="SIN ISAPRE"/>
    <s v="KESPINOZ@AFPHABITAT.CL"/>
    <s v="15344033|96530470|372239897|65384274"/>
    <s v="GASTO FISICO"/>
    <b v="0"/>
    <s v="DEPOSITADO EN CUENTA"/>
  </r>
  <r>
    <s v="12 DE SEPTIEMBRE DE 2025"/>
    <x v="108"/>
    <s v="BENJAMIN ALARCON SAENGER"/>
    <n v="17024209"/>
    <s v="BENJAMIN ALARCON SAENGER"/>
    <d v="2025-03-01T00:00:00"/>
    <s v="INICIAL"/>
    <n v="372262291"/>
    <n v="372262291"/>
    <n v="29168"/>
    <n v="27710"/>
    <n v="1458"/>
    <n v="0"/>
    <n v="1458"/>
    <n v="372262291"/>
    <n v="285123"/>
    <s v="CORP DE BIENESTAR DEL PERSONAL DE A F P"/>
    <d v="2025-03-03T00:00:00"/>
    <d v="2025-03-03T00:00:00"/>
    <d v="2025-03-03T00:00:00"/>
    <d v="2025-03-03T00:00:00"/>
    <s v="AMBULATORIOS"/>
    <n v="22676628"/>
    <n v="3101656"/>
    <n v="68993273"/>
    <s v="TRASSA"/>
    <n v="9032025"/>
    <n v="77868"/>
    <s v="SAL"/>
    <s v="AM05"/>
    <s v="EXAMENES RADIOLOGICOS"/>
    <s v="EXAMENES RADIOLOGICOS"/>
    <s v="EXAMENES RADIOLOGICOS"/>
    <s v="IMED SALUD"/>
    <n v="0"/>
    <n v="76098454"/>
    <s v="K"/>
    <s v="BANMÃ‰DICA"/>
    <s v="BALARCON@AFPHABITAT.CL"/>
    <s v="17024209|76098454|372262291|372262291"/>
    <s v="IMED SALUD"/>
    <b v="1"/>
    <s v="APORTE VIA IMED"/>
  </r>
  <r>
    <s v="12 DE SEPTIEMBRE DE 2025"/>
    <x v="108"/>
    <s v="BENJAMIN ALARCON SAENGER"/>
    <n v="17024209"/>
    <s v="BENJAMIN ALARCON SAENGER"/>
    <d v="2025-03-01T00:00:00"/>
    <s v="DUPLICADO"/>
    <n v="372262291"/>
    <n v="65384399"/>
    <n v="1159"/>
    <n v="0"/>
    <n v="1159"/>
    <n v="0"/>
    <n v="1159"/>
    <n v="372262291"/>
    <n v="285123"/>
    <s v="CORP DE BIENESTAR DEL PERSONAL DE A F P"/>
    <d v="2025-03-03T00:00:00"/>
    <d v="2025-03-26T00:00:00"/>
    <d v="2025-03-03T00:00:00"/>
    <d v="2025-03-03T00:00:00"/>
    <s v="AMBULATORIOS"/>
    <n v="22772377"/>
    <n v="3311105"/>
    <n v="69251277"/>
    <s v="TRASSA"/>
    <n v="16706760"/>
    <n v="78070"/>
    <s v="SAL"/>
    <s v="AM05"/>
    <s v="EXAMENES RADIOLOGICOS"/>
    <s v="EXAMENES RADIOLOGICOS"/>
    <s v="EXAMENES RADIOLOGICOS"/>
    <n v="0"/>
    <n v="0"/>
    <n v="76098454"/>
    <s v="K"/>
    <s v="SIN ISAPRE"/>
    <s v="BALARCON@AFPHABITAT.CL"/>
    <s v="17024209|76098454|372262291|65384399"/>
    <s v="GASTO FISICO"/>
    <b v="0"/>
    <s v="DEPOSITADO EN CUENTA"/>
  </r>
  <r>
    <s v="12 DE SEPTIEMBRE DE 2025"/>
    <x v="109"/>
    <s v="PURISIMA ESPINA ESCOBAR"/>
    <n v="9811159"/>
    <s v="PURISIMA ESPINA ESCOBAR"/>
    <d v="2025-03-01T00:00:00"/>
    <s v="INICIAL"/>
    <n v="372294355"/>
    <n v="372294355"/>
    <n v="59839"/>
    <n v="30430"/>
    <n v="29409"/>
    <n v="0"/>
    <n v="29409"/>
    <n v="372294355"/>
    <n v="285123"/>
    <s v="CORP DE BIENESTAR DEL PERSONAL DE A F P"/>
    <d v="2025-03-04T00:00:00"/>
    <d v="2025-03-04T00:00:00"/>
    <d v="2025-03-04T00:00:00"/>
    <d v="2025-03-04T00:00:00"/>
    <s v="AMBULATORIOS"/>
    <n v="22676641"/>
    <n v="3101656"/>
    <n v="68996424"/>
    <s v="TRASSA"/>
    <n v="9032025"/>
    <n v="77868"/>
    <s v="SAL"/>
    <s v="AM04"/>
    <s v="EXAMENES DE LABORATORIO"/>
    <s v="EXAMENES DE LABORATORIO"/>
    <s v="EXAMENES DE LABORATORIO"/>
    <s v="IMED SALUD"/>
    <n v="0"/>
    <n v="96617350"/>
    <n v="5"/>
    <s v="BANMÃ‰DICA"/>
    <s v="PESPINAE@AFPHABITAT.CL"/>
    <s v="9811159|96617350|372294355|372294355"/>
    <s v="IMED SALUD"/>
    <b v="1"/>
    <s v="APORTE VIA IMED"/>
  </r>
  <r>
    <s v="12 DE SEPTIEMBRE DE 2025"/>
    <x v="109"/>
    <s v="PURISIMA ESPINA ESCOBAR"/>
    <n v="9811159"/>
    <s v="PURISIMA ESPINA ESCOBAR"/>
    <d v="2025-03-01T00:00:00"/>
    <s v="DUPLICADO"/>
    <n v="372294355"/>
    <n v="65383762"/>
    <n v="27867"/>
    <n v="0"/>
    <n v="27867"/>
    <n v="0"/>
    <n v="27867"/>
    <n v="372294355"/>
    <n v="285123"/>
    <s v="CORP DE BIENESTAR DEL PERSONAL DE A F P"/>
    <d v="2025-03-04T00:00:00"/>
    <d v="2025-03-26T00:00:00"/>
    <d v="2025-03-04T00:00:00"/>
    <d v="2025-03-04T00:00:00"/>
    <s v="AMBULATORIOS"/>
    <n v="22772386"/>
    <n v="3311105"/>
    <n v="69250652"/>
    <s v="TRASSA"/>
    <n v="14918202"/>
    <n v="78070"/>
    <s v="SAL"/>
    <s v="AM04"/>
    <s v="EXAMENES DE LABORATORIO"/>
    <s v="EXAMENES DE LABORATORIO"/>
    <s v="EXAMENES DE LABORATORIO"/>
    <n v="0"/>
    <n v="0"/>
    <n v="96617350"/>
    <n v="5"/>
    <s v="SIN ISAPRE"/>
    <s v="PESPINAE@AFPHABITAT.CL"/>
    <s v="9811159|96617350|372294355|65383762"/>
    <s v="GASTO FISICO"/>
    <b v="0"/>
    <s v="DEPOSITADO EN CUENTA"/>
  </r>
  <r>
    <s v="12 DE SEPTIEMBRE DE 2025"/>
    <x v="109"/>
    <s v="PURISIMA ESPINA ESCOBAR"/>
    <n v="9811159"/>
    <s v="PURISIMA ESPINA ESCOBAR"/>
    <d v="2025-03-01T00:00:00"/>
    <s v="INICIAL"/>
    <n v="372294356"/>
    <n v="372294356"/>
    <n v="36990"/>
    <n v="19068"/>
    <n v="17922"/>
    <n v="0"/>
    <n v="17922"/>
    <n v="372294356"/>
    <n v="285123"/>
    <s v="CORP DE BIENESTAR DEL PERSONAL DE A F P"/>
    <d v="2025-03-04T00:00:00"/>
    <d v="2025-03-04T00:00:00"/>
    <d v="2025-03-04T00:00:00"/>
    <d v="2025-03-04T00:00:00"/>
    <s v="AMBULATORIOS"/>
    <n v="22676641"/>
    <n v="3101656"/>
    <n v="68994609"/>
    <s v="TRASSA"/>
    <n v="9032025"/>
    <n v="77868"/>
    <s v="SAL"/>
    <s v="AM04"/>
    <s v="EXAMENES DE LABORATORIO"/>
    <s v="EXAMENES DE LABORATORIO"/>
    <s v="EXAMENES DE LABORATORIO"/>
    <s v="IMED SALUD"/>
    <n v="0"/>
    <n v="96617350"/>
    <n v="5"/>
    <s v="BANMÃ‰DICA"/>
    <s v="PESPINAE@AFPHABITAT.CL"/>
    <s v="9811159|96617350|372294356|372294356"/>
    <s v="IMED SALUD"/>
    <b v="1"/>
    <s v="APORTE VIA IMED"/>
  </r>
  <r>
    <s v="12 DE SEPTIEMBRE DE 2025"/>
    <x v="109"/>
    <s v="PURISIMA ESPINA ESCOBAR"/>
    <n v="9811159"/>
    <s v="PURISIMA ESPINA ESCOBAR"/>
    <d v="2025-03-01T00:00:00"/>
    <s v="DUPLICADO"/>
    <n v="372294356"/>
    <n v="65383763"/>
    <n v="18190"/>
    <n v="0"/>
    <n v="18190"/>
    <n v="0"/>
    <n v="18190"/>
    <n v="372294356"/>
    <n v="285123"/>
    <s v="CORP DE BIENESTAR DEL PERSONAL DE A F P"/>
    <d v="2025-03-04T00:00:00"/>
    <d v="2025-03-26T00:00:00"/>
    <d v="2025-03-04T00:00:00"/>
    <d v="2025-03-04T00:00:00"/>
    <s v="AMBULATORIOS"/>
    <n v="22772386"/>
    <n v="3311105"/>
    <n v="69250653"/>
    <s v="TRASSA"/>
    <n v="14918202"/>
    <n v="78070"/>
    <s v="SAL"/>
    <s v="AM04"/>
    <s v="EXAMENES DE LABORATORIO"/>
    <s v="EXAMENES DE LABORATORIO"/>
    <s v="EXAMENES DE LABORATORIO"/>
    <n v="0"/>
    <n v="0"/>
    <n v="96617350"/>
    <n v="5"/>
    <s v="SIN ISAPRE"/>
    <s v="PESPINAE@AFPHABITAT.CL"/>
    <s v="9811159|96617350|372294356|65383763"/>
    <s v="GASTO FISICO"/>
    <b v="0"/>
    <s v="DEPOSITADO EN CUENTA"/>
  </r>
  <r>
    <s v="12 DE SEPTIEMBRE DE 2025"/>
    <x v="109"/>
    <s v="PURISIMA ESPINA ESCOBAR"/>
    <n v="9811159"/>
    <s v="PURISIMA ESPINA ESCOBAR"/>
    <d v="2025-03-01T00:00:00"/>
    <s v="INICIAL"/>
    <n v="372294358"/>
    <n v="372294358"/>
    <n v="8496"/>
    <n v="4490"/>
    <n v="4006"/>
    <n v="0"/>
    <n v="4006"/>
    <n v="372294358"/>
    <n v="285123"/>
    <s v="CORP DE BIENESTAR DEL PERSONAL DE A F P"/>
    <d v="2025-03-04T00:00:00"/>
    <d v="2025-03-04T00:00:00"/>
    <d v="2025-03-04T00:00:00"/>
    <d v="2025-03-04T00:00:00"/>
    <s v="AMBULATORIOS"/>
    <n v="22676641"/>
    <n v="3101656"/>
    <n v="68997924"/>
    <s v="TRASSA"/>
    <n v="9032025"/>
    <n v="77868"/>
    <s v="SAL"/>
    <s v="AM04"/>
    <s v="EXAMENES DE LABORATORIO"/>
    <s v="EXAMENES DE LABORATORIO"/>
    <s v="EXAMENES DE LABORATORIO"/>
    <s v="IMED SALUD"/>
    <n v="0"/>
    <n v="96617350"/>
    <n v="5"/>
    <s v="BANMÃ‰DICA"/>
    <s v="PESPINAE@AFPHABITAT.CL"/>
    <s v="9811159|96617350|372294358|372294358"/>
    <s v="IMED SALUD"/>
    <b v="1"/>
    <s v="APORTE VIA IMED"/>
  </r>
  <r>
    <s v="12 DE SEPTIEMBRE DE 2025"/>
    <x v="109"/>
    <s v="PURISIMA ESPINA ESCOBAR"/>
    <n v="9811159"/>
    <s v="PURISIMA ESPINA ESCOBAR"/>
    <d v="2025-03-01T00:00:00"/>
    <s v="DUPLICADO"/>
    <n v="372294358"/>
    <n v="65383764"/>
    <n v="3870"/>
    <n v="0"/>
    <n v="3870"/>
    <n v="0"/>
    <n v="3870"/>
    <n v="372294358"/>
    <n v="285123"/>
    <s v="CORP DE BIENESTAR DEL PERSONAL DE A F P"/>
    <d v="2025-03-04T00:00:00"/>
    <d v="2025-03-26T00:00:00"/>
    <d v="2025-03-04T00:00:00"/>
    <d v="2025-03-04T00:00:00"/>
    <s v="AMBULATORIOS"/>
    <n v="22772386"/>
    <n v="3311105"/>
    <n v="69250654"/>
    <s v="TRASSA"/>
    <n v="14918202"/>
    <n v="78070"/>
    <s v="SAL"/>
    <s v="AM04"/>
    <s v="EXAMENES DE LABORATORIO"/>
    <s v="EXAMENES DE LABORATORIO"/>
    <s v="EXAMENES DE LABORATORIO"/>
    <n v="0"/>
    <n v="0"/>
    <n v="96617350"/>
    <n v="5"/>
    <s v="SIN ISAPRE"/>
    <s v="PESPINAE@AFPHABITAT.CL"/>
    <s v="9811159|96617350|372294358|65383764"/>
    <s v="GASTO FISICO"/>
    <b v="0"/>
    <s v="DEPOSITADO EN CUENTA"/>
  </r>
  <r>
    <s v="12 DE SEPTIEMBRE DE 2025"/>
    <x v="110"/>
    <s v="PAOLA ALEJANDRA VARGAS GONZALEZ"/>
    <n v="13930390"/>
    <s v="PAOLA ALEJANDRA VARGAS GONZALEZ"/>
    <d v="2025-03-01T00:00:00"/>
    <s v="INICIAL"/>
    <n v="372297463"/>
    <n v="372297463"/>
    <n v="33321"/>
    <n v="23324"/>
    <n v="9997"/>
    <n v="0"/>
    <n v="9997"/>
    <n v="372297463"/>
    <n v="285123"/>
    <s v="CORP DE BIENESTAR DEL PERSONAL DE A F P"/>
    <d v="2025-03-04T00:00:00"/>
    <d v="2025-03-04T00:00:00"/>
    <d v="2025-03-04T00:00:00"/>
    <d v="2025-03-04T00:00:00"/>
    <s v="AMBULATORIOS"/>
    <n v="22676661"/>
    <n v="3101656"/>
    <n v="68993909"/>
    <s v="TRASSA"/>
    <n v="9032025"/>
    <n v="77868"/>
    <s v="SAL"/>
    <s v="AM04"/>
    <s v="EXAMENES DE LABORATORIO"/>
    <s v="EXAMENES DE LABORATORIO"/>
    <s v="EXAMENES DE LABORATORIO"/>
    <s v="IMED SALUD"/>
    <n v="0"/>
    <n v="99573490"/>
    <n v="7"/>
    <s v="BANMÃ‰DICA"/>
    <s v="PVARGAGO@AFPHABITAT.CL"/>
    <s v="13930390|99573490|372297463|372297463"/>
    <s v="IMED SALUD"/>
    <b v="1"/>
    <s v="APORTE VIA IMED"/>
  </r>
  <r>
    <s v="12 DE SEPTIEMBRE DE 2025"/>
    <x v="110"/>
    <s v="PAOLA ALEJANDRA VARGAS GONZALEZ"/>
    <n v="13930390"/>
    <s v="PAOLA ALEJANDRA VARGAS GONZALEZ"/>
    <d v="2025-03-01T00:00:00"/>
    <s v="DUPLICADO"/>
    <n v="372297463"/>
    <n v="65384158"/>
    <n v="9288"/>
    <n v="0"/>
    <n v="9288"/>
    <n v="0"/>
    <n v="9288"/>
    <n v="372297463"/>
    <n v="285123"/>
    <s v="CORP DE BIENESTAR DEL PERSONAL DE A F P"/>
    <d v="2025-03-04T00:00:00"/>
    <d v="2025-03-26T00:00:00"/>
    <d v="2025-03-04T00:00:00"/>
    <d v="2025-03-04T00:00:00"/>
    <s v="AMBULATORIOS"/>
    <n v="22772394"/>
    <n v="3311105"/>
    <n v="69251038"/>
    <s v="TRASSA"/>
    <n v="13930390"/>
    <n v="78070"/>
    <s v="SAL"/>
    <s v="AM04"/>
    <s v="EXAMENES DE LABORATORIO"/>
    <s v="EXAMENES DE LABORATORIO"/>
    <s v="EXAMENES DE LABORATORIO"/>
    <n v="0"/>
    <n v="0"/>
    <n v="99573490"/>
    <n v="7"/>
    <s v="SIN ISAPRE"/>
    <s v="PVARGAGO@AFPHABITAT.CL"/>
    <s v="13930390|99573490|372297463|65384158"/>
    <s v="GASTO FISICO"/>
    <b v="0"/>
    <s v="DEPOSITADO EN CUENTA"/>
  </r>
  <r>
    <s v="12 DE SEPTIEMBRE DE 2025"/>
    <x v="110"/>
    <s v="PAOLA ALEJANDRA VARGAS GONZALEZ"/>
    <n v="13930390"/>
    <s v="PAOLA ALEJANDRA VARGAS GONZALEZ"/>
    <d v="2025-03-01T00:00:00"/>
    <s v="INICIAL"/>
    <n v="372297464"/>
    <n v="372297464"/>
    <n v="63830"/>
    <n v="44682"/>
    <n v="19148"/>
    <n v="0"/>
    <n v="19148"/>
    <n v="372297464"/>
    <n v="285123"/>
    <s v="CORP DE BIENESTAR DEL PERSONAL DE A F P"/>
    <d v="2025-03-04T00:00:00"/>
    <d v="2025-03-04T00:00:00"/>
    <d v="2025-03-04T00:00:00"/>
    <d v="2025-03-04T00:00:00"/>
    <s v="AMBULATORIOS"/>
    <n v="22676661"/>
    <n v="3101656"/>
    <n v="68997081"/>
    <s v="TRASSA"/>
    <n v="9032025"/>
    <n v="77868"/>
    <s v="SAL"/>
    <s v="AM04"/>
    <s v="EXAMENES DE LABORATORIO"/>
    <s v="EXAMENES DE LABORATORIO"/>
    <s v="EXAMENES DE LABORATORIO"/>
    <s v="IMED SALUD"/>
    <n v="0"/>
    <n v="99573490"/>
    <n v="7"/>
    <s v="BANMÃ‰DICA"/>
    <s v="PVARGAGO@AFPHABITAT.CL"/>
    <s v="13930390|99573490|372297464|372297464"/>
    <s v="IMED SALUD"/>
    <b v="1"/>
    <s v="APORTE VIA IMED"/>
  </r>
  <r>
    <s v="12 DE SEPTIEMBRE DE 2025"/>
    <x v="110"/>
    <s v="PAOLA ALEJANDRA VARGAS GONZALEZ"/>
    <n v="13930390"/>
    <s v="PAOLA ALEJANDRA VARGAS GONZALEZ"/>
    <d v="2025-03-01T00:00:00"/>
    <s v="DUPLICADO"/>
    <n v="372297464"/>
    <n v="65384159"/>
    <n v="18965"/>
    <n v="0"/>
    <n v="18965"/>
    <n v="0"/>
    <n v="18965"/>
    <n v="372297464"/>
    <n v="285123"/>
    <s v="CORP DE BIENESTAR DEL PERSONAL DE A F P"/>
    <d v="2025-03-04T00:00:00"/>
    <d v="2025-03-26T00:00:00"/>
    <d v="2025-03-04T00:00:00"/>
    <d v="2025-03-04T00:00:00"/>
    <s v="AMBULATORIOS"/>
    <n v="22772394"/>
    <n v="3311105"/>
    <n v="69251039"/>
    <s v="TRASSA"/>
    <n v="13930390"/>
    <n v="78070"/>
    <s v="SAL"/>
    <s v="AM04"/>
    <s v="EXAMENES DE LABORATORIO"/>
    <s v="EXAMENES DE LABORATORIO"/>
    <s v="EXAMENES DE LABORATORIO"/>
    <n v="0"/>
    <n v="0"/>
    <n v="99573490"/>
    <n v="7"/>
    <s v="SIN ISAPRE"/>
    <s v="PVARGAGO@AFPHABITAT.CL"/>
    <s v="13930390|99573490|372297464|65384159"/>
    <s v="GASTO FISICO"/>
    <b v="0"/>
    <s v="DEPOSITADO EN CUENTA"/>
  </r>
  <r>
    <s v="12 DE SEPTIEMBRE DE 2025"/>
    <x v="92"/>
    <s v="RAMON ORELLANA ROJAS"/>
    <n v="14551107"/>
    <s v="RAMON ORELLANA ROJAS"/>
    <d v="2025-03-01T00:00:00"/>
    <s v="INICIAL"/>
    <n v="372345391"/>
    <n v="372345391"/>
    <n v="41600"/>
    <n v="25535"/>
    <n v="16065"/>
    <n v="0"/>
    <n v="16065"/>
    <n v="372345391"/>
    <n v="285123"/>
    <s v="CORP DE BIENESTAR DEL PERSONAL DE A F P"/>
    <d v="2025-03-05T00:00:00"/>
    <d v="2025-03-05T00:00:00"/>
    <d v="2025-03-05T00:00:00"/>
    <d v="2025-03-05T00:00:00"/>
    <s v="AMBULATORIOS"/>
    <n v="22676726"/>
    <n v="3101656"/>
    <n v="68996271"/>
    <s v="TRASSA"/>
    <n v="9032025"/>
    <n v="77868"/>
    <s v="SAL"/>
    <s v="AM05"/>
    <s v="EXAMENES RADIOLOGICOS"/>
    <s v="EXAMENES RADIOLOGICOS"/>
    <s v="EXAMENES RADIOLOGICOS"/>
    <s v="IMED SALUD"/>
    <n v="0"/>
    <n v="96942400"/>
    <n v="2"/>
    <s v="BANMÃ‰DICA"/>
    <s v="RORELLAN@AFPHABITAT.CL"/>
    <s v="14551107|96942400|372345391|372345391"/>
    <s v="IMED SALUD"/>
    <b v="1"/>
    <s v="APORTE VIA IMED"/>
  </r>
  <r>
    <s v="12 DE SEPTIEMBRE DE 2025"/>
    <x v="92"/>
    <s v="RAMON ORELLANA ROJAS"/>
    <n v="14551107"/>
    <s v="RAMON ORELLANA ROJAS"/>
    <d v="2025-03-01T00:00:00"/>
    <s v="DUPLICADO"/>
    <n v="372345391"/>
    <n v="65384245"/>
    <n v="15876"/>
    <n v="0"/>
    <n v="15876"/>
    <n v="0"/>
    <n v="15876"/>
    <n v="372345391"/>
    <n v="285123"/>
    <s v="CORP DE BIENESTAR DEL PERSONAL DE A F P"/>
    <d v="2025-03-05T00:00:00"/>
    <d v="2025-03-26T00:00:00"/>
    <d v="2025-03-05T00:00:00"/>
    <d v="2025-03-05T00:00:00"/>
    <s v="AMBULATORIOS"/>
    <n v="22772414"/>
    <n v="3311105"/>
    <n v="69251118"/>
    <s v="TRASSA"/>
    <n v="984289359"/>
    <n v="78070"/>
    <s v="SAL"/>
    <s v="AM05"/>
    <s v="EXAMENES RADIOLOGICOS"/>
    <s v="EXAMENES RADIOLOGICOS"/>
    <s v="EXAMENES RADIOLOGICOS"/>
    <n v="0"/>
    <n v="0"/>
    <n v="96942400"/>
    <n v="2"/>
    <s v="SIN ISAPRE"/>
    <s v="RORELLAN@AFPHABITAT.CL"/>
    <s v="14551107|96942400|372345391|65384245"/>
    <s v="GASTO FISICO"/>
    <b v="0"/>
    <s v="DEPOSITADO EN CUENTA"/>
  </r>
  <r>
    <s v="12 DE SEPTIEMBRE DE 2025"/>
    <x v="94"/>
    <s v="ESTER ELIANA MILLAHUAL LIEMPI"/>
    <n v="11128784"/>
    <s v="ESTER ELIANA MILLAHUAL LIEMPI"/>
    <d v="2025-03-01T00:00:00"/>
    <s v="INICIAL"/>
    <n v="372354413"/>
    <n v="372354413"/>
    <n v="30470"/>
    <n v="23970"/>
    <n v="6500"/>
    <n v="0"/>
    <n v="6500"/>
    <n v="372354413"/>
    <n v="285123"/>
    <s v="CORP DE BIENESTAR DEL PERSONAL DE A F P"/>
    <d v="2025-03-05T00:00:00"/>
    <d v="2025-03-05T00:00:00"/>
    <d v="2025-03-05T00:00:00"/>
    <d v="2025-03-05T00:00:00"/>
    <s v="AMBULATORIOS"/>
    <n v="22676708"/>
    <n v="3101656"/>
    <n v="68997340"/>
    <s v="TRASSA"/>
    <n v="9032025"/>
    <n v="77868"/>
    <s v="SAL"/>
    <s v="AM05"/>
    <s v="EXAMENES RADIOLOGICOS"/>
    <s v="EXAMENES RADIOLOGICOS"/>
    <s v="EXAMENES RADIOLOGICOS"/>
    <s v="IMED SALUD"/>
    <n v="0"/>
    <n v="96617350"/>
    <n v="5"/>
    <s v="BANMÃ‰DICA"/>
    <s v="EMILLAHU@AFPHABITAT.CL"/>
    <s v="11128784|96617350|372354413|372354413"/>
    <s v="IMED SALUD"/>
    <b v="1"/>
    <s v="APORTE VIA IMED"/>
  </r>
  <r>
    <s v="12 DE SEPTIEMBRE DE 2025"/>
    <x v="94"/>
    <s v="ESTER ELIANA MILLAHUAL LIEMPI"/>
    <n v="11128784"/>
    <s v="ESTER ELIANA MILLAHUAL LIEMPI"/>
    <d v="2025-03-01T00:00:00"/>
    <s v="DUPLICADO"/>
    <n v="372354413"/>
    <n v="65383911"/>
    <n v="6582"/>
    <n v="0"/>
    <n v="6582"/>
    <n v="0"/>
    <n v="6582"/>
    <n v="372354413"/>
    <n v="285123"/>
    <s v="CORP DE BIENESTAR DEL PERSONAL DE A F P"/>
    <d v="2025-03-05T00:00:00"/>
    <d v="2025-03-26T00:00:00"/>
    <d v="2025-03-05T00:00:00"/>
    <d v="2025-03-05T00:00:00"/>
    <s v="AMBULATORIOS"/>
    <n v="22772409"/>
    <n v="3311105"/>
    <n v="69250800"/>
    <s v="TRASSA"/>
    <n v="1130439"/>
    <n v="78070"/>
    <s v="SAL"/>
    <s v="AM05"/>
    <s v="EXAMENES RADIOLOGICOS"/>
    <s v="EXAMENES RADIOLOGICOS"/>
    <s v="EXAMENES RADIOLOGICOS"/>
    <n v="0"/>
    <n v="0"/>
    <n v="96617350"/>
    <n v="5"/>
    <s v="SIN ISAPRE"/>
    <s v="EMILLAHU@AFPHABITAT.CL"/>
    <s v="11128784|96617350|372354413|65383911"/>
    <s v="GASTO FISICO"/>
    <b v="0"/>
    <s v="DEPOSITADO EN CUENTA"/>
  </r>
  <r>
    <s v="12 DE SEPTIEMBRE DE 2025"/>
    <x v="62"/>
    <s v="FERNANDO RUBEN REINES ARAYA"/>
    <n v="8573655"/>
    <s v="FERNANDO RUBEN REINES ARAYA"/>
    <d v="2025-03-01T00:00:00"/>
    <s v="INICIAL"/>
    <n v="372373964"/>
    <n v="372373964"/>
    <n v="27180"/>
    <n v="19026"/>
    <n v="8154"/>
    <n v="0"/>
    <n v="8154"/>
    <n v="372373964"/>
    <n v="285123"/>
    <s v="CORP DE BIENESTAR DEL PERSONAL DE A F P"/>
    <d v="2025-03-05T00:00:00"/>
    <d v="2025-03-05T00:00:00"/>
    <d v="2025-03-05T00:00:00"/>
    <d v="2025-03-05T00:00:00"/>
    <s v="AMBULATORIOS"/>
    <n v="22676694"/>
    <n v="3101656"/>
    <n v="68997678"/>
    <s v="TRASSA"/>
    <n v="9032025"/>
    <n v="77868"/>
    <s v="SAL"/>
    <s v="AM05"/>
    <s v="EXAMENES RADIOLOGICOS"/>
    <s v="EXAMENES RADIOLOGICOS"/>
    <s v="EXAMENES RADIOLOGICOS"/>
    <s v="IMED SALUD"/>
    <n v="0"/>
    <n v="96719690"/>
    <n v="8"/>
    <s v="VIDA TRES"/>
    <s v="FREINES@AFPHABITAT.CL"/>
    <s v="8573655|96719690|372373964|372373964"/>
    <s v="IMED SALUD"/>
    <b v="1"/>
    <s v="APORTE VIA IMED"/>
  </r>
  <r>
    <s v="12 DE SEPTIEMBRE DE 2025"/>
    <x v="62"/>
    <s v="FERNANDO RUBEN REINES ARAYA"/>
    <n v="8573655"/>
    <s v="FERNANDO RUBEN REINES ARAYA"/>
    <d v="2025-03-01T00:00:00"/>
    <s v="DUPLICADO"/>
    <n v="372373964"/>
    <n v="65383675"/>
    <n v="8131"/>
    <n v="0"/>
    <n v="8131"/>
    <n v="0"/>
    <n v="8131"/>
    <n v="372373964"/>
    <n v="285123"/>
    <s v="CORP DE BIENESTAR DEL PERSONAL DE A F P"/>
    <d v="2025-03-05T00:00:00"/>
    <d v="2025-03-26T00:00:00"/>
    <d v="2025-03-05T00:00:00"/>
    <d v="2025-03-05T00:00:00"/>
    <s v="AMBULATORIOS"/>
    <n v="22772403"/>
    <n v="3311105"/>
    <n v="69250566"/>
    <s v="TRASSA"/>
    <n v="213192158"/>
    <n v="78070"/>
    <s v="SAL"/>
    <s v="AM05"/>
    <s v="EXAMENES RADIOLOGICOS"/>
    <s v="EXAMENES RADIOLOGICOS"/>
    <s v="EXAMENES RADIOLOGICOS"/>
    <n v="0"/>
    <n v="0"/>
    <n v="96719690"/>
    <n v="8"/>
    <s v="SIN ISAPRE"/>
    <s v="FREINES@AFPHABITAT.CL"/>
    <s v="8573655|96719690|372373964|65383675"/>
    <s v="GASTO FISICO"/>
    <b v="0"/>
    <s v="DEPOSITADO EN CUENTA"/>
  </r>
  <r>
    <s v="12 DE SEPTIEMBRE DE 2025"/>
    <x v="111"/>
    <s v="JUAN CARLOS SAEZ MARTINEZ"/>
    <n v="7624195"/>
    <s v="JUAN CARLOS SAEZ MARTINEZ"/>
    <d v="2025-03-01T00:00:00"/>
    <s v="INICIAL"/>
    <n v="372394538"/>
    <n v="372394538"/>
    <n v="141248"/>
    <n v="98874"/>
    <n v="42374"/>
    <n v="0"/>
    <n v="42374"/>
    <n v="372394538"/>
    <n v="285123"/>
    <s v="CORP DE BIENESTAR DEL PERSONAL DE A F P"/>
    <d v="2025-03-06T00:00:00"/>
    <d v="2025-03-06T00:00:00"/>
    <d v="2025-03-06T00:00:00"/>
    <d v="2025-03-06T00:00:00"/>
    <s v="AMBULATORIOS"/>
    <n v="22676752"/>
    <n v="3101656"/>
    <n v="68995365"/>
    <s v="TRASSA"/>
    <n v="9032025"/>
    <n v="77868"/>
    <s v="SAL"/>
    <s v="AM07"/>
    <s v="PROCEDIMIENTOS TERAPEUTICOS"/>
    <s v="PROCEDIMIENTOS TERAPEUTICOS"/>
    <s v="PROCEDIMIENTOS TERAPEUTICOS"/>
    <s v="IMED SALUD"/>
    <n v="0"/>
    <n v="77774340"/>
    <n v="6"/>
    <s v="VIDA TRES"/>
    <s v="JSAEZM@AFPHABITAT.CL"/>
    <s v="7624195|77774340|372394538|372394538"/>
    <s v="IMED SALUD"/>
    <b v="1"/>
    <s v="APORTE VIA IMED"/>
  </r>
  <r>
    <s v="12 DE SEPTIEMBRE DE 2025"/>
    <x v="111"/>
    <s v="JUAN CARLOS SAEZ MARTINEZ"/>
    <n v="7624195"/>
    <s v="JUAN CARLOS SAEZ MARTINEZ"/>
    <d v="2025-03-01T00:00:00"/>
    <s v="DUPLICADO"/>
    <n v="372394538"/>
    <n v="65383618"/>
    <n v="42224"/>
    <n v="0"/>
    <n v="42224"/>
    <n v="0"/>
    <n v="42224"/>
    <n v="372394538"/>
    <n v="285123"/>
    <s v="CORP DE BIENESTAR DEL PERSONAL DE A F P"/>
    <d v="2025-03-06T00:00:00"/>
    <d v="2025-03-26T00:00:00"/>
    <d v="2025-03-06T00:00:00"/>
    <d v="2025-03-06T00:00:00"/>
    <s v="AMBULATORIOS"/>
    <n v="22772419"/>
    <n v="3311105"/>
    <n v="69250509"/>
    <s v="TRASSA"/>
    <n v="5187710"/>
    <n v="78070"/>
    <s v="SAL"/>
    <s v="AM07"/>
    <s v="PROCEDIMIENTOS TERAPEUTICOS"/>
    <s v="PROCEDIMIENTOS TERAPEUTICOS"/>
    <s v="PROCEDIMIENTOS TERAPEUTICOS"/>
    <n v="0"/>
    <n v="0"/>
    <n v="77774340"/>
    <n v="6"/>
    <s v="SIN ISAPRE"/>
    <s v="JSAEZM@AFPHABITAT.CL"/>
    <s v="7624195|77774340|372394538|65383618"/>
    <s v="GASTO FISICO"/>
    <b v="0"/>
    <s v="DEPOSITADO EN CUENTA"/>
  </r>
  <r>
    <s v="12 DE SEPTIEMBRE DE 2025"/>
    <x v="75"/>
    <s v="MAXIMO SAEZ MOLINA"/>
    <n v="12488563"/>
    <s v="MAXIMO SAEZ MOLINA"/>
    <d v="2025-03-01T00:00:00"/>
    <s v="INICIAL"/>
    <n v="372400577"/>
    <n v="372400577"/>
    <n v="224636"/>
    <n v="202173"/>
    <n v="22463"/>
    <n v="0"/>
    <n v="22463"/>
    <n v="372400577"/>
    <n v="285123"/>
    <s v="CORP DE BIENESTAR DEL PERSONAL DE A F P"/>
    <d v="2025-03-06T00:00:00"/>
    <d v="2025-03-06T00:00:00"/>
    <d v="2025-03-06T00:00:00"/>
    <d v="2025-03-06T00:00:00"/>
    <s v="AMBULATORIOS"/>
    <n v="22676774"/>
    <n v="3101656"/>
    <n v="68993326"/>
    <s v="TRASSA"/>
    <n v="9032025"/>
    <n v="77868"/>
    <s v="SAL"/>
    <s v="AM05"/>
    <s v="EXAMENES RADIOLOGICOS"/>
    <s v="EXAMENES RADIOLOGICOS"/>
    <s v="EXAMENES RADIOLOGICOS"/>
    <s v="IMED SALUD"/>
    <n v="0"/>
    <n v="96617350"/>
    <n v="5"/>
    <s v="BANMÃ‰DICA"/>
    <s v="MSAEZ@AFPHABITAT.CL"/>
    <s v="12488563|96617350|372400577|372400577"/>
    <s v="IMED SALUD"/>
    <b v="1"/>
    <s v="APORTE VIA IMED"/>
  </r>
  <r>
    <s v="12 DE SEPTIEMBRE DE 2025"/>
    <x v="75"/>
    <s v="MAXIMO SAEZ MOLINA"/>
    <n v="12488563"/>
    <s v="MAXIMO SAEZ MOLINA"/>
    <d v="2025-03-01T00:00:00"/>
    <s v="DUPLICADO"/>
    <n v="372400577"/>
    <n v="65384028"/>
    <n v="22468"/>
    <n v="0"/>
    <n v="22468"/>
    <n v="0"/>
    <n v="22468"/>
    <n v="372400577"/>
    <n v="285123"/>
    <s v="CORP DE BIENESTAR DEL PERSONAL DE A F P"/>
    <d v="2025-03-06T00:00:00"/>
    <d v="2025-03-26T00:00:00"/>
    <d v="2025-03-06T00:00:00"/>
    <d v="2025-03-06T00:00:00"/>
    <s v="AMBULATORIOS"/>
    <n v="22772429"/>
    <n v="3311105"/>
    <n v="69250916"/>
    <s v="TRASSA"/>
    <n v="12488563"/>
    <n v="78070"/>
    <s v="SAL"/>
    <s v="AM05"/>
    <s v="EXAMENES RADIOLOGICOS"/>
    <s v="EXAMENES RADIOLOGICOS"/>
    <s v="EXAMENES RADIOLOGICOS"/>
    <n v="0"/>
    <n v="0"/>
    <n v="96617350"/>
    <n v="5"/>
    <s v="SIN ISAPRE"/>
    <s v="MSAEZ@AFPHABITAT.CL"/>
    <s v="12488563|96617350|372400577|65384028"/>
    <s v="GASTO FISICO"/>
    <b v="0"/>
    <s v="DEPOSITADO EN CUENTA"/>
  </r>
  <r>
    <s v="12 DE SEPTIEMBRE DE 2025"/>
    <x v="112"/>
    <s v="PAULA ESPINDOLA F"/>
    <n v="9905386"/>
    <s v="PAULA ESPINDOLA F"/>
    <d v="2025-03-01T00:00:00"/>
    <s v="INICIAL"/>
    <n v="372438326"/>
    <n v="372438326"/>
    <n v="139240"/>
    <n v="132279"/>
    <n v="6961"/>
    <n v="0"/>
    <n v="6961"/>
    <n v="372438326"/>
    <n v="285123"/>
    <s v="CORP DE BIENESTAR DEL PERSONAL DE A F P"/>
    <d v="2025-03-07T00:00:00"/>
    <d v="2025-03-07T00:00:00"/>
    <d v="2025-03-07T00:00:00"/>
    <d v="2025-03-07T00:00:00"/>
    <s v="AMBULATORIOS"/>
    <n v="22676809"/>
    <n v="3101656"/>
    <n v="68996016"/>
    <s v="TRASSA"/>
    <n v="9032025"/>
    <n v="77868"/>
    <s v="SAL"/>
    <s v="AM05"/>
    <s v="EXAMENES RADIOLOGICOS"/>
    <s v="EXAMENES RADIOLOGICOS"/>
    <s v="EXAMENES RADIOLOGICOS"/>
    <s v="IMED SALUD"/>
    <n v="0"/>
    <n v="77200240"/>
    <n v="8"/>
    <s v="BANMÃ‰DICA"/>
    <s v="PESPINDO@AFPHABITAT.CL"/>
    <s v="9905386|77200240|372438326|372438326"/>
    <s v="IMED SALUD"/>
    <b v="1"/>
    <s v="APORTE VIA IMED"/>
  </r>
  <r>
    <s v="12 DE SEPTIEMBRE DE 2025"/>
    <x v="112"/>
    <s v="PAULA ESPINDOLA F"/>
    <n v="9905386"/>
    <s v="PAULA ESPINDOLA F"/>
    <d v="2025-03-01T00:00:00"/>
    <s v="DUPLICADO"/>
    <n v="372438326"/>
    <n v="65383769"/>
    <n v="6974"/>
    <n v="0"/>
    <n v="6974"/>
    <n v="0"/>
    <n v="6974"/>
    <n v="372438326"/>
    <n v="285123"/>
    <s v="CORP DE BIENESTAR DEL PERSONAL DE A F P"/>
    <d v="2025-03-07T00:00:00"/>
    <d v="2025-03-26T00:00:00"/>
    <d v="2025-03-07T00:00:00"/>
    <d v="2025-03-07T00:00:00"/>
    <s v="AMBULATORIOS"/>
    <n v="22772443"/>
    <n v="3311105"/>
    <n v="69250659"/>
    <s v="TRASSA"/>
    <n v="71431444"/>
    <n v="78070"/>
    <s v="SAL"/>
    <s v="AM05"/>
    <s v="EXAMENES RADIOLOGICOS"/>
    <s v="EXAMENES RADIOLOGICOS"/>
    <s v="EXAMENES RADIOLOGICOS"/>
    <n v="0"/>
    <n v="0"/>
    <n v="77200240"/>
    <n v="8"/>
    <s v="SIN ISAPRE"/>
    <s v="PESPINDO@AFPHABITAT.CL"/>
    <s v="9905386|77200240|372438326|65383769"/>
    <s v="GASTO FISICO"/>
    <b v="0"/>
    <s v="DEPOSITADO EN CUENTA"/>
  </r>
  <r>
    <s v="12 DE SEPTIEMBRE DE 2025"/>
    <x v="112"/>
    <s v="PAULA ESPINDOLA F"/>
    <n v="9905386"/>
    <s v="PAULA ESPINDOLA F"/>
    <d v="2025-03-01T00:00:00"/>
    <s v="INICIAL"/>
    <n v="372442165"/>
    <n v="372442165"/>
    <n v="40546"/>
    <n v="38519"/>
    <n v="2027"/>
    <n v="0"/>
    <n v="2027"/>
    <n v="372442165"/>
    <n v="285123"/>
    <s v="CORP DE BIENESTAR DEL PERSONAL DE A F P"/>
    <d v="2025-03-07T00:00:00"/>
    <d v="2025-03-07T00:00:00"/>
    <d v="2025-03-07T00:00:00"/>
    <d v="2025-03-07T00:00:00"/>
    <s v="AMBULATORIOS"/>
    <n v="22676809"/>
    <n v="3101656"/>
    <n v="68996779"/>
    <s v="TRASSA"/>
    <n v="9032025"/>
    <n v="77868"/>
    <s v="SAL"/>
    <s v="AM05"/>
    <s v="EXAMENES RADIOLOGICOS"/>
    <s v="EXAMENES RADIOLOGICOS"/>
    <s v="EXAMENES RADIOLOGICOS"/>
    <s v="IMED SALUD"/>
    <n v="0"/>
    <n v="77200240"/>
    <n v="8"/>
    <s v="BANMÃ‰DICA"/>
    <s v="PESPINDO@AFPHABITAT.CL"/>
    <s v="9905386|77200240|372442165|372442165"/>
    <s v="IMED SALUD"/>
    <b v="1"/>
    <s v="APORTE VIA IMED"/>
  </r>
  <r>
    <s v="12 DE SEPTIEMBRE DE 2025"/>
    <x v="112"/>
    <s v="PAULA ESPINDOLA F"/>
    <n v="9905386"/>
    <s v="PAULA ESPINDOLA F"/>
    <d v="2025-03-01T00:00:00"/>
    <s v="DUPLICADO"/>
    <n v="372442165"/>
    <n v="65383770"/>
    <n v="1937"/>
    <n v="0"/>
    <n v="1937"/>
    <n v="0"/>
    <n v="1937"/>
    <n v="372442165"/>
    <n v="285123"/>
    <s v="CORP DE BIENESTAR DEL PERSONAL DE A F P"/>
    <d v="2025-03-07T00:00:00"/>
    <d v="2025-03-26T00:00:00"/>
    <d v="2025-03-07T00:00:00"/>
    <d v="2025-03-07T00:00:00"/>
    <s v="AMBULATORIOS"/>
    <n v="22772443"/>
    <n v="3311105"/>
    <n v="69250660"/>
    <s v="TRASSA"/>
    <n v="71431444"/>
    <n v="78070"/>
    <s v="SAL"/>
    <s v="AM05"/>
    <s v="EXAMENES RADIOLOGICOS"/>
    <s v="EXAMENES RADIOLOGICOS"/>
    <s v="EXAMENES RADIOLOGICOS"/>
    <n v="0"/>
    <n v="0"/>
    <n v="77200240"/>
    <n v="8"/>
    <s v="SIN ISAPRE"/>
    <s v="PESPINDO@AFPHABITAT.CL"/>
    <s v="9905386|77200240|372442165|65383770"/>
    <s v="GASTO FISICO"/>
    <b v="0"/>
    <s v="DEPOSITADO EN CUENTA"/>
  </r>
  <r>
    <s v="12 DE SEPTIEMBRE DE 2025"/>
    <x v="112"/>
    <s v="PAULA ESPINDOLA F"/>
    <n v="9905386"/>
    <s v="PAULA ESPINDOLA F"/>
    <d v="2025-03-01T00:00:00"/>
    <s v="INICIAL"/>
    <n v="372444005"/>
    <n v="372444005"/>
    <n v="88515"/>
    <n v="84091"/>
    <n v="4424"/>
    <n v="0"/>
    <n v="4424"/>
    <n v="372444005"/>
    <n v="285123"/>
    <s v="CORP DE BIENESTAR DEL PERSONAL DE A F P"/>
    <d v="2025-03-07T00:00:00"/>
    <d v="2025-03-07T00:00:00"/>
    <d v="2025-03-07T00:00:00"/>
    <d v="2025-03-07T00:00:00"/>
    <s v="AMBULATORIOS"/>
    <n v="22676809"/>
    <n v="3101656"/>
    <n v="68994750"/>
    <s v="TRASSA"/>
    <n v="9032025"/>
    <n v="77868"/>
    <s v="SAL"/>
    <s v="AM04"/>
    <s v="EXAMENES DE LABORATORIO"/>
    <s v="EXAMENES DE LABORATORIO"/>
    <s v="EXAMENES DE LABORATORIO"/>
    <s v="IMED SALUD"/>
    <n v="0"/>
    <n v="90753000"/>
    <n v="0"/>
    <s v="BANMÃ‰DICA"/>
    <s v="PESPINDO@AFPHABITAT.CL"/>
    <s v="9905386|90753000|372444005|372444005"/>
    <s v="IMED SALUD"/>
    <b v="1"/>
    <s v="APORTE VIA IMED"/>
  </r>
  <r>
    <s v="12 DE SEPTIEMBRE DE 2025"/>
    <x v="112"/>
    <s v="PAULA ESPINDOLA F"/>
    <n v="9905386"/>
    <s v="PAULA ESPINDOLA F"/>
    <d v="2025-03-01T00:00:00"/>
    <s v="DUPLICADO"/>
    <n v="372444005"/>
    <n v="65383771"/>
    <n v="4649"/>
    <n v="0"/>
    <n v="4649"/>
    <n v="0"/>
    <n v="4649"/>
    <n v="372444005"/>
    <n v="285123"/>
    <s v="CORP DE BIENESTAR DEL PERSONAL DE A F P"/>
    <d v="2025-03-07T00:00:00"/>
    <d v="2025-03-26T00:00:00"/>
    <d v="2025-03-07T00:00:00"/>
    <d v="2025-03-07T00:00:00"/>
    <s v="AMBULATORIOS"/>
    <n v="22772443"/>
    <n v="3311105"/>
    <n v="69250661"/>
    <s v="TRASSA"/>
    <n v="71431444"/>
    <n v="78070"/>
    <s v="SAL"/>
    <s v="AM04"/>
    <s v="EXAMENES DE LABORATORIO"/>
    <s v="EXAMENES DE LABORATORIO"/>
    <s v="EXAMENES DE LABORATORIO"/>
    <n v="0"/>
    <n v="0"/>
    <n v="90753000"/>
    <n v="0"/>
    <s v="SIN ISAPRE"/>
    <s v="PESPINDO@AFPHABITAT.CL"/>
    <s v="9905386|90753000|372444005|65383771"/>
    <s v="GASTO FISICO"/>
    <b v="0"/>
    <s v="DEPOSITADO EN CUENTA"/>
  </r>
  <r>
    <s v="12 DE SEPTIEMBRE DE 2025"/>
    <x v="112"/>
    <s v="PAULA ESPINDOLA F"/>
    <n v="9905386"/>
    <s v="PAULA ESPINDOLA F"/>
    <d v="2025-03-01T00:00:00"/>
    <s v="INICIAL"/>
    <n v="372444006"/>
    <n v="372444006"/>
    <n v="39831"/>
    <n v="37840"/>
    <n v="1991"/>
    <n v="0"/>
    <n v="1991"/>
    <n v="372444006"/>
    <n v="285123"/>
    <s v="CORP DE BIENESTAR DEL PERSONAL DE A F P"/>
    <d v="2025-03-07T00:00:00"/>
    <d v="2025-03-07T00:00:00"/>
    <d v="2025-03-07T00:00:00"/>
    <d v="2025-03-07T00:00:00"/>
    <s v="AMBULATORIOS"/>
    <n v="22676809"/>
    <n v="3101656"/>
    <n v="68993236"/>
    <s v="TRASSA"/>
    <n v="9032025"/>
    <n v="77868"/>
    <s v="SAL"/>
    <s v="AM04"/>
    <s v="EXAMENES DE LABORATORIO"/>
    <s v="EXAMENES DE LABORATORIO"/>
    <s v="EXAMENES DE LABORATORIO"/>
    <s v="IMED SALUD"/>
    <n v="0"/>
    <n v="90753000"/>
    <n v="0"/>
    <s v="BANMÃ‰DICA"/>
    <s v="PESPINDO@AFPHABITAT.CL"/>
    <s v="9905386|90753000|372444006|372444006"/>
    <s v="IMED SALUD"/>
    <b v="1"/>
    <s v="APORTE VIA IMED"/>
  </r>
  <r>
    <s v="12 DE SEPTIEMBRE DE 2025"/>
    <x v="112"/>
    <s v="PAULA ESPINDOLA F"/>
    <n v="9905386"/>
    <s v="PAULA ESPINDOLA F"/>
    <d v="2025-03-01T00:00:00"/>
    <s v="DUPLICADO"/>
    <n v="372444006"/>
    <n v="65383772"/>
    <n v="1937"/>
    <n v="0"/>
    <n v="1937"/>
    <n v="0"/>
    <n v="1937"/>
    <n v="372444006"/>
    <n v="285123"/>
    <s v="CORP DE BIENESTAR DEL PERSONAL DE A F P"/>
    <d v="2025-03-07T00:00:00"/>
    <d v="2025-03-26T00:00:00"/>
    <d v="2025-03-07T00:00:00"/>
    <d v="2025-03-07T00:00:00"/>
    <s v="AMBULATORIOS"/>
    <n v="22772443"/>
    <n v="3311105"/>
    <n v="69250662"/>
    <s v="TRASSA"/>
    <n v="71431444"/>
    <n v="78070"/>
    <s v="SAL"/>
    <s v="AM04"/>
    <s v="EXAMENES DE LABORATORIO"/>
    <s v="EXAMENES DE LABORATORIO"/>
    <s v="EXAMENES DE LABORATORIO"/>
    <n v="0"/>
    <n v="0"/>
    <n v="90753000"/>
    <n v="0"/>
    <s v="SIN ISAPRE"/>
    <s v="PESPINDO@AFPHABITAT.CL"/>
    <s v="9905386|90753000|372444006|65383772"/>
    <s v="GASTO FISICO"/>
    <b v="0"/>
    <s v="DEPOSITADO EN CUENTA"/>
  </r>
  <r>
    <s v="12 DE SEPTIEMBRE DE 2025"/>
    <x v="113"/>
    <s v="JULIO VIVAS PARRA"/>
    <n v="6193637"/>
    <s v="JULIO VIVAS PARRA"/>
    <d v="2025-03-01T00:00:00"/>
    <s v="INICIAL"/>
    <n v="372446072"/>
    <n v="372446072"/>
    <n v="23971"/>
    <n v="20377"/>
    <n v="3594"/>
    <n v="0"/>
    <n v="3594"/>
    <n v="372446072"/>
    <n v="285123"/>
    <s v="CORP DE BIENESTAR DEL PERSONAL DE A F P"/>
    <d v="2025-03-07T00:00:00"/>
    <d v="2025-03-07T00:00:00"/>
    <d v="2025-03-07T00:00:00"/>
    <d v="2025-03-07T00:00:00"/>
    <s v="AMBULATORIOS"/>
    <n v="22676805"/>
    <n v="3101656"/>
    <n v="68992926"/>
    <s v="TRASSA"/>
    <n v="9032025"/>
    <n v="77868"/>
    <s v="SAL"/>
    <s v="AM04"/>
    <s v="EXAMENES DE LABORATORIO"/>
    <s v="EXAMENES DE LABORATORIO"/>
    <s v="EXAMENES DE LABORATORIO"/>
    <s v="IMED SALUD"/>
    <n v="0"/>
    <n v="96617350"/>
    <n v="5"/>
    <s v="BANMÃ‰DICA"/>
    <s v="JVIVAS@AFPHABITAT.CL"/>
    <s v="6193637|96617350|372446072|372446072"/>
    <s v="IMED SALUD"/>
    <b v="1"/>
    <s v="APORTE VIA IMED"/>
  </r>
  <r>
    <s v="12 DE SEPTIEMBRE DE 2025"/>
    <x v="113"/>
    <s v="JULIO VIVAS PARRA"/>
    <n v="6193637"/>
    <s v="JULIO VIVAS PARRA"/>
    <d v="2025-03-01T00:00:00"/>
    <s v="DUPLICADO"/>
    <n v="372446072"/>
    <n v="65383582"/>
    <n v="3100"/>
    <n v="0"/>
    <n v="3100"/>
    <n v="0"/>
    <n v="3100"/>
    <n v="372446072"/>
    <n v="285123"/>
    <s v="CORP DE BIENESTAR DEL PERSONAL DE A F P"/>
    <d v="2025-03-07T00:00:00"/>
    <d v="2025-03-26T00:00:00"/>
    <d v="2025-03-07T00:00:00"/>
    <d v="2025-03-07T00:00:00"/>
    <s v="AMBULATORIOS"/>
    <n v="22772441"/>
    <n v="3311105"/>
    <n v="69250473"/>
    <s v="TRASSA"/>
    <n v="15790026876"/>
    <n v="78070"/>
    <s v="SAL"/>
    <s v="AM04"/>
    <s v="EXAMENES DE LABORATORIO"/>
    <s v="EXAMENES DE LABORATORIO"/>
    <s v="EXAMENES DE LABORATORIO"/>
    <n v="0"/>
    <n v="0"/>
    <n v="96617350"/>
    <n v="5"/>
    <s v="SIN ISAPRE"/>
    <s v="JVIVAS@AFPHABITAT.CL"/>
    <s v="6193637|96617350|372446072|65383582"/>
    <s v="GASTO FISICO"/>
    <b v="0"/>
    <s v="DEPOSITADO EN CUENTA"/>
  </r>
  <r>
    <s v="12 DE SEPTIEMBRE DE 2025"/>
    <x v="81"/>
    <s v="MARCELA CELEDON MORA"/>
    <n v="17764749"/>
    <s v="MARCELA CELEDON MORA"/>
    <d v="2025-03-01T00:00:00"/>
    <s v="INICIAL"/>
    <n v="372472554"/>
    <n v="372472554"/>
    <n v="223367"/>
    <n v="201031"/>
    <n v="22336"/>
    <n v="0"/>
    <n v="22336"/>
    <n v="372472554"/>
    <n v="285123"/>
    <s v="CORP DE BIENESTAR DEL PERSONAL DE A F P"/>
    <d v="2025-03-07T00:00:00"/>
    <d v="2025-03-07T00:00:00"/>
    <d v="2025-03-07T00:00:00"/>
    <d v="2025-03-07T00:00:00"/>
    <s v="AMBULATORIOS"/>
    <n v="22676852"/>
    <n v="3101656"/>
    <n v="68996964"/>
    <s v="TRASSA"/>
    <n v="9032025"/>
    <n v="77868"/>
    <s v="SAL"/>
    <s v="AM05"/>
    <s v="EXAMENES RADIOLOGICOS"/>
    <s v="EXAMENES RADIOLOGICOS"/>
    <s v="EXAMENES RADIOLOGICOS"/>
    <s v="IMED SALUD"/>
    <n v="0"/>
    <n v="77200240"/>
    <n v="8"/>
    <s v="BANMÃ‰DICA"/>
    <s v="MCELEDON@AFPHABITAT.CL"/>
    <s v="17764749|77200240|372472554|372472554"/>
    <s v="IMED SALUD"/>
    <b v="1"/>
    <s v="APORTE VIA IMED"/>
  </r>
  <r>
    <s v="12 DE SEPTIEMBRE DE 2025"/>
    <x v="81"/>
    <s v="MARCELA CELEDON MORA"/>
    <n v="17764749"/>
    <s v="MARCELA CELEDON MORA"/>
    <d v="2025-03-01T00:00:00"/>
    <s v="DUPLICADO"/>
    <n v="372472554"/>
    <n v="65384434"/>
    <n v="22476"/>
    <n v="0"/>
    <n v="22476"/>
    <n v="0"/>
    <n v="22476"/>
    <n v="372472554"/>
    <n v="285123"/>
    <s v="CORP DE BIENESTAR DEL PERSONAL DE A F P"/>
    <d v="2025-03-07T00:00:00"/>
    <d v="2025-03-26T00:00:00"/>
    <d v="2025-03-07T00:00:00"/>
    <d v="2025-03-07T00:00:00"/>
    <s v="AMBULATORIOS"/>
    <n v="22772456"/>
    <n v="3311105"/>
    <n v="69251302"/>
    <s v="TRASSA"/>
    <n v="17764749"/>
    <n v="78070"/>
    <s v="SAL"/>
    <s v="AM05"/>
    <s v="EXAMENES RADIOLOGICOS"/>
    <s v="EXAMENES RADIOLOGICOS"/>
    <s v="EXAMENES RADIOLOGICOS"/>
    <n v="0"/>
    <n v="0"/>
    <n v="77200240"/>
    <n v="8"/>
    <s v="SIN ISAPRE"/>
    <s v="MCELEDON@AFPHABITAT.CL"/>
    <s v="17764749|77200240|372472554|65384434"/>
    <s v="GASTO FISICO"/>
    <b v="0"/>
    <s v="DEPOSITADO EN CUENTA"/>
  </r>
  <r>
    <s v="12 DE SEPTIEMBRE DE 2025"/>
    <x v="114"/>
    <s v="PATRICIO HANZ MULLER ESCUDERO"/>
    <n v="24641560"/>
    <s v="SOFIA MULLER OPAZO"/>
    <d v="2025-03-01T00:00:00"/>
    <s v="INICIAL"/>
    <n v="372503340"/>
    <n v="372503340"/>
    <n v="77382"/>
    <n v="54167"/>
    <n v="23215"/>
    <n v="0"/>
    <n v="23215"/>
    <n v="372503340"/>
    <n v="285123"/>
    <s v="CORP DE BIENESTAR DEL PERSONAL DE A F P"/>
    <d v="2025-03-09T00:00:00"/>
    <d v="2025-03-09T00:00:00"/>
    <d v="2025-03-09T00:00:00"/>
    <d v="2025-03-09T00:00:00"/>
    <s v="AMBULATORIOS"/>
    <n v="22703057"/>
    <n v="3181006"/>
    <n v="69051535"/>
    <s v="TRASSA"/>
    <n v="16032025"/>
    <n v="77922"/>
    <s v="SAL"/>
    <s v="AM05"/>
    <s v="EXAMENES RADIOLOGICOS"/>
    <s v="EXAMENES RADIOLOGICOS"/>
    <s v="EXAMENES RADIOLOGICOS"/>
    <s v="IMED SALUD"/>
    <n v="0"/>
    <n v="77200240"/>
    <n v="8"/>
    <s v="BANMÃ‰DICA"/>
    <s v="PMULLER@AFPHABITAT.CL"/>
    <s v="18730398|77200240|372503340|372503340"/>
    <s v="IMED SALUD"/>
    <b v="1"/>
    <s v="APORTE VIA IMED"/>
  </r>
  <r>
    <s v="12 DE SEPTIEMBRE DE 2025"/>
    <x v="114"/>
    <s v="PATRICIO HANZ MULLER ESCUDERO"/>
    <n v="24641560"/>
    <s v="SOFIA MULLER OPAZO"/>
    <d v="2025-03-01T00:00:00"/>
    <s v="DUPLICADO"/>
    <n v="372503340"/>
    <n v="65384471"/>
    <n v="22882"/>
    <n v="0"/>
    <n v="22882"/>
    <n v="0"/>
    <n v="22882"/>
    <n v="372503340"/>
    <n v="285123"/>
    <s v="CORP DE BIENESTAR DEL PERSONAL DE A F P"/>
    <d v="2025-03-09T00:00:00"/>
    <d v="2025-03-26T00:00:00"/>
    <d v="2025-03-09T00:00:00"/>
    <d v="2025-03-09T00:00:00"/>
    <s v="AMBULATORIOS"/>
    <n v="22772469"/>
    <n v="3311105"/>
    <n v="69251337"/>
    <s v="TRASSA"/>
    <n v="222933594"/>
    <n v="78070"/>
    <s v="SAL"/>
    <s v="AM05"/>
    <s v="EXAMENES RADIOLOGICOS"/>
    <s v="EXAMENES RADIOLOGICOS"/>
    <s v="EXAMENES RADIOLOGICOS"/>
    <n v="0"/>
    <n v="0"/>
    <n v="77200240"/>
    <n v="8"/>
    <s v="SIN ISAPRE"/>
    <s v="PMULLER@AFPHABITAT.CL"/>
    <s v="18730398|77200240|372503340|65384471"/>
    <s v="GASTO FISICO"/>
    <b v="0"/>
    <s v="DEPOSITADO EN CUENTA"/>
  </r>
  <r>
    <s v="12 DE SEPTIEMBRE DE 2025"/>
    <x v="115"/>
    <s v="ERNESTO RIVERA PEREIRA"/>
    <n v="10583396"/>
    <s v="PAMELA TEJEDO CARMONA"/>
    <d v="2025-02-01T00:00:00"/>
    <s v="INICIAL"/>
    <n v="643188985"/>
    <n v="984555"/>
    <n v="1968"/>
    <n v="0"/>
    <n v="1968"/>
    <n v="0"/>
    <n v="1968"/>
    <n v="643188985"/>
    <n v="285123"/>
    <s v="CORP DE BIENESTAR DEL PERSONAL DE A F P"/>
    <d v="2025-02-13T00:00:00"/>
    <d v="2025-02-14T00:00:00"/>
    <d v="2025-01-16T00:00:00"/>
    <d v="2025-01-16T00:00:00"/>
    <s v="AMBULATORIOS"/>
    <n v="22590883"/>
    <n v="2171726"/>
    <n v="68885279"/>
    <s v="TRASSA"/>
    <n v="63512556"/>
    <n v="77628"/>
    <s v="SAL"/>
    <s v="AM12"/>
    <s v="MEDICAMENTOS DE MARCA"/>
    <s v="MEDICAMENTO NO GENERICO ( GRUPO ) "/>
    <s v="MEDICAMENTO"/>
    <n v="0"/>
    <n v="0"/>
    <n v="76031071"/>
    <n v="9"/>
    <s v="SIN ISAPRE"/>
    <s v="ERIVERA@AFPHABITAT.CL"/>
    <s v="8956787|76031071|643188985|984555"/>
    <s v="GASTO FISICO"/>
    <b v="0"/>
    <s v="DEPOSITADO EN CUENTA"/>
  </r>
  <r>
    <s v="12 DE SEPTIEMBRE DE 2025"/>
    <x v="115"/>
    <s v="ERNESTO RIVERA PEREIRA"/>
    <n v="10583396"/>
    <s v="PAMELA TEJEDO CARMONA"/>
    <d v="2025-03-01T00:00:00"/>
    <s v="DUPLICADO"/>
    <n v="643188985"/>
    <n v="65212933"/>
    <n v="29958"/>
    <n v="0"/>
    <n v="29958"/>
    <n v="0"/>
    <n v="29958"/>
    <n v="643188985"/>
    <n v="285123"/>
    <s v="CORP DE BIENESTAR DEL PERSONAL DE A F P"/>
    <d v="2025-03-01T00:00:00"/>
    <d v="2025-03-17T00:00:00"/>
    <d v="2025-01-16T00:00:00"/>
    <d v="2025-01-16T00:00:00"/>
    <s v="AMBULATORIOS"/>
    <n v="22753754"/>
    <n v="3251558"/>
    <n v="69156343"/>
    <s v="TRASSA"/>
    <n v="63512556"/>
    <n v="78017"/>
    <s v="SAL"/>
    <s v="AM12"/>
    <s v="MEDICAMENTOS DE MARCA"/>
    <s v="MEDICAMENTO NO GENERICO ( GRUPO ) "/>
    <s v="MEDICAMENTO"/>
    <n v="0"/>
    <n v="0"/>
    <n v="76031071"/>
    <n v="9"/>
    <s v="SIN ISAPRE"/>
    <s v="ERIVERA@AFPHABITAT.CL"/>
    <s v="8956787|76031071|643188985|65212933"/>
    <s v="GASTO FISICO"/>
    <b v="0"/>
    <s v="DEPOSITADO EN CUENTA"/>
  </r>
  <r>
    <s v="12 DE SEPTIEMBRE DE 2025"/>
    <x v="87"/>
    <s v="JOSE MIGUEL VALDIVIA NUÑEZ"/>
    <n v="15510748"/>
    <s v="JOSE MIGUEL VALDIVIA NUÑEZ"/>
    <d v="2025-03-01T00:00:00"/>
    <s v="INICIAL"/>
    <n v="644990610"/>
    <n v="993289"/>
    <n v="3519"/>
    <n v="0"/>
    <n v="3519"/>
    <n v="0"/>
    <n v="3519"/>
    <n v="644990610"/>
    <n v="285123"/>
    <s v="CORP DE BIENESTAR DEL PERSONAL DE A F P"/>
    <d v="2025-03-10T00:00:00"/>
    <d v="2025-03-12T00:00:00"/>
    <d v="2025-01-09T00:00:00"/>
    <d v="2025-01-09T00:00:00"/>
    <s v="AMBULATORIOS"/>
    <n v="22705311"/>
    <n v="3171658"/>
    <n v="69027840"/>
    <s v="TRASSA"/>
    <n v="104294701"/>
    <n v="77929"/>
    <s v="SAL"/>
    <s v="AM48"/>
    <s v="MED. SALUD MENTAL GENERICOS"/>
    <s v="SIN COBERTURA(0)"/>
    <s v="MEDICAMENTO"/>
    <n v="0"/>
    <n v="0"/>
    <n v="76031071"/>
    <n v="9"/>
    <s v="BANMÃ‰DICA"/>
    <s v="JVALDIVN@AFPHABITAT.CL"/>
    <s v="15510748|76031071|644990610|993289"/>
    <s v="GASTO FISICO"/>
    <b v="0"/>
    <s v="DEPOSITADO EN CUENTA"/>
  </r>
  <r>
    <s v="12 DE SEPTIEMBRE DE 2025"/>
    <x v="87"/>
    <s v="JOSE MIGUEL VALDIVIA NUÑEZ"/>
    <n v="15510748"/>
    <s v="JOSE MIGUEL VALDIVIA NUÑEZ"/>
    <d v="2025-03-01T00:00:00"/>
    <s v="INICIAL"/>
    <n v="644990610"/>
    <n v="993289"/>
    <n v="38014"/>
    <n v="0"/>
    <n v="38014"/>
    <n v="0"/>
    <n v="38014"/>
    <n v="644990610"/>
    <n v="285123"/>
    <s v="CORP DE BIENESTAR DEL PERSONAL DE A F P"/>
    <d v="2025-03-10T00:00:00"/>
    <d v="2025-03-12T00:00:00"/>
    <d v="2025-01-09T00:00:00"/>
    <d v="2025-01-09T00:00:00"/>
    <s v="AMBULATORIOS"/>
    <n v="22705311"/>
    <n v="3171658"/>
    <n v="69027840"/>
    <s v="TRASSA"/>
    <n v="104294701"/>
    <n v="77929"/>
    <s v="SAL"/>
    <s v="AM12"/>
    <s v="MEDICAMENTOS DE MARCA"/>
    <s v="MEDICAMENTO NO GENERICO ( GRUPO ) "/>
    <s v="MEDICAMENTO"/>
    <n v="0"/>
    <n v="0"/>
    <n v="76031071"/>
    <n v="9"/>
    <s v="BANMÃ‰DICA"/>
    <s v="JVALDIVN@AFPHABITAT.CL"/>
    <s v="15510748|76031071|644990610|993289"/>
    <s v="GASTO FISICO"/>
    <b v="0"/>
    <s v="DEPOSITADO EN CUENTA"/>
  </r>
  <r>
    <s v="12 DE SEPTIEMBRE DE 2025"/>
    <x v="87"/>
    <s v="JOSE MIGUEL VALDIVIA NUÑEZ"/>
    <n v="15510748"/>
    <s v="JOSE MIGUEL VALDIVIA NUÑEZ"/>
    <d v="2025-03-01T00:00:00"/>
    <s v="DUPLICADO"/>
    <n v="644990610"/>
    <n v="65213177"/>
    <n v="3844"/>
    <n v="0"/>
    <n v="3844"/>
    <n v="0"/>
    <n v="3844"/>
    <n v="644990610"/>
    <n v="285123"/>
    <s v="CORP DE BIENESTAR DEL PERSONAL DE A F P"/>
    <d v="2025-03-01T00:00:00"/>
    <d v="2025-03-17T00:00:00"/>
    <d v="2025-01-09T00:00:00"/>
    <d v="2025-01-09T00:00:00"/>
    <s v="AMBULATORIOS"/>
    <n v="22753546"/>
    <n v="3251558"/>
    <n v="69156561"/>
    <s v="TRASSA"/>
    <n v="104294701"/>
    <n v="78017"/>
    <s v="SAL"/>
    <s v="AM67"/>
    <s v="MEDICAMENTOS BIOEQUIVALENTES GENERICO"/>
    <s v="MEDICAMENTO NO GENERICO ( GRUPO ) "/>
    <s v="MEDICAMENTO"/>
    <n v="0"/>
    <n v="0"/>
    <n v="76031071"/>
    <n v="9"/>
    <s v="SIN ISAPRE"/>
    <s v="JVALDIVN@AFPHABITAT.CL"/>
    <s v="15510748|76031071|644990610|65213177"/>
    <s v="GASTO FISICO"/>
    <b v="0"/>
    <s v="DEPOSITADO EN CUENTA"/>
  </r>
  <r>
    <s v="12 DE SEPTIEMBRE DE 2025"/>
    <x v="87"/>
    <s v="JOSE MIGUEL VALDIVIA NUÑEZ"/>
    <n v="15510748"/>
    <s v="JOSE MIGUEL VALDIVIA NUÑEZ"/>
    <d v="2025-03-01T00:00:00"/>
    <s v="DUPLICADO"/>
    <n v="644990610"/>
    <n v="65213177"/>
    <n v="38055"/>
    <n v="0"/>
    <n v="38055"/>
    <n v="0"/>
    <n v="38055"/>
    <n v="644990610"/>
    <n v="285123"/>
    <s v="CORP DE BIENESTAR DEL PERSONAL DE A F P"/>
    <d v="2025-03-01T00:00:00"/>
    <d v="2025-03-17T00:00:00"/>
    <d v="2025-01-09T00:00:00"/>
    <d v="2025-01-09T00:00:00"/>
    <s v="AMBULATORIOS"/>
    <n v="22753546"/>
    <n v="3251558"/>
    <n v="69156561"/>
    <s v="TRASSA"/>
    <n v="104294701"/>
    <n v="78017"/>
    <s v="SAL"/>
    <s v="AM12"/>
    <s v="MEDICAMENTOS DE MARCA"/>
    <s v="MEDICAMENTO NO GENERICO ( GRUPO ) "/>
    <s v="MEDICAMENTO"/>
    <n v="0"/>
    <n v="0"/>
    <n v="76031071"/>
    <n v="9"/>
    <s v="SIN ISAPRE"/>
    <s v="JVALDIVN@AFPHABITAT.CL"/>
    <s v="15510748|76031071|644990610|65213177"/>
    <s v="GASTO FISICO"/>
    <b v="0"/>
    <s v="DEPOSITADO EN CUENTA"/>
  </r>
  <r>
    <s v="12 DE SEPTIEMBRE DE 2025"/>
    <x v="56"/>
    <s v="MARIA CAMPOS HERNANDEZ"/>
    <n v="10151614"/>
    <s v="MARIA CAMPOS HERNANDEZ"/>
    <d v="2025-02-01T00:00:00"/>
    <s v="INICIAL"/>
    <n v="646193951"/>
    <n v="985668"/>
    <n v="9719"/>
    <n v="0"/>
    <n v="9719"/>
    <n v="0"/>
    <n v="9719"/>
    <n v="646193951"/>
    <n v="285123"/>
    <s v="CORP DE BIENESTAR DEL PERSONAL DE A F P"/>
    <d v="2025-02-17T00:00:00"/>
    <d v="2025-02-17T00:00:00"/>
    <d v="2025-01-31T00:00:00"/>
    <d v="2025-01-31T00:00:00"/>
    <s v="AMBULATORIOS"/>
    <n v="22616377"/>
    <n v="2251257"/>
    <n v="68922831"/>
    <s v="TRASSA"/>
    <n v="210689048"/>
    <n v="77692"/>
    <s v="SAL"/>
    <s v="AM12"/>
    <s v="MEDICAMENTOS DE MARCA"/>
    <s v="MEDICAMENTO NO GENERICO ( GRUPO ) "/>
    <s v="MEDICAMENTO"/>
    <n v="0"/>
    <n v="0"/>
    <n v="76031071"/>
    <n v="9"/>
    <s v="SIN ISAPRE"/>
    <s v="MARIA.CAMPOS@AFPHABITAT.CL"/>
    <s v="10151614|76031071|646193951|985668"/>
    <s v="GASTO FISICO"/>
    <b v="0"/>
    <s v="DEPOSITADO EN CUENTA"/>
  </r>
  <r>
    <s v="12 DE SEPTIEMBRE DE 2025"/>
    <x v="56"/>
    <s v="MARIA CAMPOS HERNANDEZ"/>
    <n v="10151614"/>
    <s v="MARIA CAMPOS HERNANDEZ"/>
    <d v="2025-03-01T00:00:00"/>
    <s v="DUPLICADO"/>
    <n v="646193951"/>
    <n v="65212983"/>
    <n v="9594"/>
    <n v="0"/>
    <n v="9594"/>
    <n v="0"/>
    <n v="9594"/>
    <n v="646193951"/>
    <n v="285123"/>
    <s v="CORP DE BIENESTAR DEL PERSONAL DE A F P"/>
    <d v="2025-03-01T00:00:00"/>
    <d v="2025-03-17T00:00:00"/>
    <d v="2025-01-31T00:00:00"/>
    <d v="2025-01-31T00:00:00"/>
    <s v="AMBULATORIOS"/>
    <n v="22753733"/>
    <n v="3251558"/>
    <n v="69156389"/>
    <s v="TRASSA"/>
    <n v="210689048"/>
    <n v="78017"/>
    <s v="SAL"/>
    <s v="AM12"/>
    <s v="MEDICAMENTOS DE MARCA"/>
    <s v="MEDICAMENTO NO GENERICO ( GRUPO ) "/>
    <s v="MEDICAMENTO"/>
    <n v="0"/>
    <n v="0"/>
    <n v="76031071"/>
    <n v="9"/>
    <s v="SIN ISAPRE"/>
    <s v="MARIA.CAMPOS@AFPHABITAT.CL"/>
    <s v="10151614|76031071|646193951|65212983"/>
    <s v="GASTO FISICO"/>
    <b v="0"/>
    <s v="DEPOSITADO EN CUENTA"/>
  </r>
  <r>
    <s v="12 DE SEPTIEMBRE DE 2025"/>
    <x v="116"/>
    <s v="PABLO CAMPOS RAVELO"/>
    <n v="22379497"/>
    <s v="ANTONELLA CAMPOS BOIN"/>
    <d v="2025-03-01T00:00:00"/>
    <s v="INICIAL"/>
    <n v="646386485"/>
    <n v="996851"/>
    <n v="5998"/>
    <n v="0"/>
    <n v="5998"/>
    <n v="0"/>
    <n v="5998"/>
    <n v="646386485"/>
    <n v="285123"/>
    <s v="CORP DE BIENESTAR DEL PERSONAL DE A F P"/>
    <d v="2025-03-19T00:00:00"/>
    <d v="2025-03-19T00:00:00"/>
    <d v="2025-01-28T00:00:00"/>
    <d v="2025-01-28T00:00:00"/>
    <s v="AMBULATORIOS"/>
    <n v="22755426"/>
    <n v="3251558"/>
    <n v="69156997"/>
    <s v="TRASSA"/>
    <n v="2516410"/>
    <n v="78017"/>
    <s v="SAL"/>
    <s v="AM13"/>
    <s v="MEDICAMENTOS GENÉRICOS"/>
    <s v="MEDICAMENTO NO GENERICO ( GRUPO ) "/>
    <s v="MEDICAMENTO"/>
    <n v="0"/>
    <n v="0"/>
    <n v="76031071"/>
    <n v="9"/>
    <s v="SIN ISAPRE"/>
    <s v="PABLO.CAMPOS@AFPHABITAT.CL"/>
    <s v="13470864|76031071|646386485|996851"/>
    <s v="GASTO FISICO"/>
    <b v="0"/>
    <s v="DEPOSITADO EN CUENTA"/>
  </r>
  <r>
    <s v="12 DE SEPTIEMBRE DE 2025"/>
    <x v="116"/>
    <s v="PABLO CAMPOS RAVELO"/>
    <n v="22379497"/>
    <s v="ANTONELLA CAMPOS BOIN"/>
    <d v="2025-03-01T00:00:00"/>
    <s v="INICIAL"/>
    <n v="646386485"/>
    <n v="996851"/>
    <n v="22699"/>
    <n v="0"/>
    <n v="22699"/>
    <n v="0"/>
    <n v="22699"/>
    <n v="646386485"/>
    <n v="285123"/>
    <s v="CORP DE BIENESTAR DEL PERSONAL DE A F P"/>
    <d v="2025-03-19T00:00:00"/>
    <d v="2025-03-19T00:00:00"/>
    <d v="2025-01-28T00:00:00"/>
    <d v="2025-01-28T00:00:00"/>
    <s v="AMBULATORIOS"/>
    <n v="22755426"/>
    <n v="3251558"/>
    <n v="69156997"/>
    <s v="TRASSA"/>
    <n v="2516410"/>
    <n v="78017"/>
    <s v="SAL"/>
    <s v="AM12"/>
    <s v="MEDICAMENTOS DE MARCA"/>
    <s v="MEDICAMENTO NO GENERICO ( GRUPO ) "/>
    <s v="MEDICAMENTO"/>
    <n v="0"/>
    <n v="0"/>
    <n v="76031071"/>
    <n v="9"/>
    <s v="SIN ISAPRE"/>
    <s v="PABLO.CAMPOS@AFPHABITAT.CL"/>
    <s v="13470864|76031071|646386485|996851"/>
    <s v="GASTO FISICO"/>
    <b v="0"/>
    <s v="DEPOSITADO EN CUENTA"/>
  </r>
  <r>
    <s v="12 DE SEPTIEMBRE DE 2025"/>
    <x v="116"/>
    <s v="PABLO CAMPOS RAVELO"/>
    <n v="22379497"/>
    <s v="ANTONELLA CAMPOS BOIN"/>
    <d v="2025-03-01T00:00:00"/>
    <s v="DUPLICADO"/>
    <n v="646386485"/>
    <n v="65384118"/>
    <n v="6190"/>
    <n v="0"/>
    <n v="6190"/>
    <n v="0"/>
    <n v="6190"/>
    <n v="646386485"/>
    <n v="285123"/>
    <s v="CORP DE BIENESTAR DEL PERSONAL DE A F P"/>
    <d v="2025-03-03T00:00:00"/>
    <d v="2025-03-26T00:00:00"/>
    <d v="2025-01-28T00:00:00"/>
    <d v="2025-01-28T00:00:00"/>
    <s v="AMBULATORIOS"/>
    <n v="22772369"/>
    <n v="3311105"/>
    <n v="69251001"/>
    <s v="TRASSA"/>
    <n v="2516410"/>
    <n v="78070"/>
    <s v="SAL"/>
    <s v="AM13"/>
    <s v="MEDICAMENTOS GENÉRICOS"/>
    <s v="MEDICAMENTO NO GENERICO ( GRUPO ) "/>
    <s v="MEDICAMENTO"/>
    <n v="0"/>
    <n v="0"/>
    <n v="76031071"/>
    <n v="9"/>
    <s v="SIN ISAPRE"/>
    <s v="PABLO.CAMPOS@AFPHABITAT.CL"/>
    <s v="13470864|76031071|646386485|65384118"/>
    <s v="GASTO FISICO"/>
    <b v="0"/>
    <s v="DEPOSITADO EN CUENTA"/>
  </r>
  <r>
    <s v="12 DE SEPTIEMBRE DE 2025"/>
    <x v="116"/>
    <s v="PABLO CAMPOS RAVELO"/>
    <n v="22379497"/>
    <s v="ANTONELLA CAMPOS BOIN"/>
    <d v="2025-03-01T00:00:00"/>
    <s v="DUPLICADO"/>
    <n v="646386485"/>
    <n v="65384118"/>
    <n v="22829"/>
    <n v="0"/>
    <n v="22829"/>
    <n v="0"/>
    <n v="22829"/>
    <n v="646386485"/>
    <n v="285123"/>
    <s v="CORP DE BIENESTAR DEL PERSONAL DE A F P"/>
    <d v="2025-03-03T00:00:00"/>
    <d v="2025-03-26T00:00:00"/>
    <d v="2025-01-28T00:00:00"/>
    <d v="2025-01-28T00:00:00"/>
    <s v="AMBULATORIOS"/>
    <n v="22772369"/>
    <n v="3311105"/>
    <n v="69251001"/>
    <s v="TRASSA"/>
    <n v="2516410"/>
    <n v="78070"/>
    <s v="SAL"/>
    <s v="AM12"/>
    <s v="MEDICAMENTOS DE MARCA"/>
    <s v="MEDICAMENTO NO GENERICO ( GRUPO ) "/>
    <s v="MEDICAMENTO"/>
    <n v="0"/>
    <n v="0"/>
    <n v="76031071"/>
    <n v="9"/>
    <s v="SIN ISAPRE"/>
    <s v="PABLO.CAMPOS@AFPHABITAT.CL"/>
    <s v="13470864|76031071|646386485|65384118"/>
    <s v="GASTO FISICO"/>
    <b v="0"/>
    <s v="DEPOSITADO EN CUENTA"/>
  </r>
  <r>
    <s v="12 DE SEPTIEMBRE DE 2025"/>
    <x v="55"/>
    <s v="DALADIEER AURELIO LLANCAO CASTILLO"/>
    <n v="16771325"/>
    <s v="DALADIEER AURELIO LLANCAO CASTILLO"/>
    <d v="2025-02-01T00:00:00"/>
    <s v="INICIAL"/>
    <n v="647916259"/>
    <n v="983756"/>
    <n v="25212"/>
    <n v="0"/>
    <n v="25212"/>
    <n v="0"/>
    <n v="25212"/>
    <n v="647916259"/>
    <n v="285123"/>
    <s v="CORP DE BIENESTAR DEL PERSONAL DE A F P"/>
    <d v="2025-02-11T00:00:00"/>
    <d v="2025-02-12T00:00:00"/>
    <d v="2025-01-30T00:00:00"/>
    <d v="2025-01-30T00:00:00"/>
    <s v="AMBULATORIOS"/>
    <n v="22590870"/>
    <n v="2171726"/>
    <n v="68885028"/>
    <s v="TRASSA"/>
    <n v="17240018327"/>
    <n v="77628"/>
    <s v="SAL"/>
    <s v="AM13"/>
    <s v="MEDICAMENTOS GENÉRICOS"/>
    <s v="MEDICAMENTO NO GENERICO ( GRUPO ) "/>
    <s v="MEDICAMENTO"/>
    <n v="0"/>
    <n v="0"/>
    <n v="76031071"/>
    <n v="9"/>
    <s v="SIN ISAPRE"/>
    <s v="DALADIEER.LLANCAO@AFPHABITAT.CL"/>
    <s v="16771325|76031071|647916259|983756"/>
    <s v="GASTO FISICO"/>
    <b v="0"/>
    <s v="DEPOSITADO EN CUENTA"/>
  </r>
  <r>
    <s v="12 DE SEPTIEMBRE DE 2025"/>
    <x v="55"/>
    <s v="DALADIEER AURELIO LLANCAO CASTILLO"/>
    <n v="16771325"/>
    <s v="DALADIEER AURELIO LLANCAO CASTILLO"/>
    <d v="2025-03-01T00:00:00"/>
    <s v="DUPLICADO"/>
    <n v="647916259"/>
    <n v="65213225"/>
    <n v="25333"/>
    <n v="0"/>
    <n v="25333"/>
    <n v="0"/>
    <n v="25333"/>
    <n v="647916259"/>
    <n v="285123"/>
    <s v="CORP DE BIENESTAR DEL PERSONAL DE A F P"/>
    <d v="2025-03-01T00:00:00"/>
    <d v="2025-03-17T00:00:00"/>
    <d v="2025-01-30T00:00:00"/>
    <d v="2025-01-30T00:00:00"/>
    <s v="AMBULATORIOS"/>
    <n v="22753678"/>
    <n v="3251558"/>
    <n v="69156604"/>
    <s v="TRASSA"/>
    <n v="17240018327"/>
    <n v="78017"/>
    <s v="SAL"/>
    <s v="AM13"/>
    <s v="MEDICAMENTOS GENÉRICOS"/>
    <s v="MEDICAMENTO NO GENERICO ( GRUPO ) "/>
    <s v="MEDICAMENTO"/>
    <n v="0"/>
    <n v="0"/>
    <n v="76031071"/>
    <n v="9"/>
    <s v="SIN ISAPRE"/>
    <s v="DALADIEER.LLANCAO@AFPHABITAT.CL"/>
    <s v="16771325|76031071|647916259|65213225"/>
    <s v="GASTO FISICO"/>
    <b v="0"/>
    <s v="DEPOSITADO EN CUENTA"/>
  </r>
  <r>
    <s v="12 DE SEPTIEMBRE DE 2025"/>
    <x v="8"/>
    <s v="CLAUDIA BASAEZ REYES"/>
    <n v="15348500"/>
    <s v="CLAUDIA BASAEZ REYES"/>
    <d v="2025-03-01T00:00:00"/>
    <s v="INICIAL"/>
    <n v="652723725"/>
    <n v="991993"/>
    <n v="29099"/>
    <n v="0"/>
    <n v="29099"/>
    <n v="0"/>
    <n v="29099"/>
    <n v="652723725"/>
    <n v="285123"/>
    <s v="CORP DE BIENESTAR DEL PERSONAL DE A F P"/>
    <d v="2025-03-06T00:00:00"/>
    <d v="2025-03-14T00:00:00"/>
    <d v="2025-02-03T00:00:00"/>
    <d v="2025-02-03T00:00:00"/>
    <s v="AMBULATORIOS"/>
    <n v="22705266"/>
    <n v="3171658"/>
    <n v="69027003"/>
    <s v="TRASSA"/>
    <n v="5400013332"/>
    <n v="77929"/>
    <s v="SAL"/>
    <s v="AM12"/>
    <s v="MEDICAMENTOS DE MARCA"/>
    <s v="MEDICAMENTO NO GENERICO ( GRUPO ) "/>
    <s v="MEDICAMENTO"/>
    <n v="0"/>
    <n v="0"/>
    <n v="76031071"/>
    <n v="9"/>
    <s v="SIN ISAPRE"/>
    <s v="CBASAEZ@AFPHABITAT.CL"/>
    <s v="15348500|76031071|652723725|991993"/>
    <s v="GASTO FISICO"/>
    <b v="0"/>
    <s v="DEPOSITADO EN CUENTA"/>
  </r>
  <r>
    <s v="12 DE SEPTIEMBRE DE 2025"/>
    <x v="8"/>
    <s v="CLAUDIA BASAEZ REYES"/>
    <n v="15348500"/>
    <s v="CLAUDIA BASAEZ REYES"/>
    <d v="2025-03-01T00:00:00"/>
    <s v="DUPLICADO"/>
    <n v="652723725"/>
    <n v="65213168"/>
    <n v="29165"/>
    <n v="0"/>
    <n v="29165"/>
    <n v="0"/>
    <n v="29165"/>
    <n v="652723725"/>
    <n v="285123"/>
    <s v="CORP DE BIENESTAR DEL PERSONAL DE A F P"/>
    <d v="2025-03-01T00:00:00"/>
    <d v="2025-03-17T00:00:00"/>
    <d v="2025-02-03T00:00:00"/>
    <d v="2025-02-03T00:00:00"/>
    <s v="AMBULATORIOS"/>
    <n v="22753706"/>
    <n v="3251558"/>
    <n v="69156553"/>
    <s v="TRASSA"/>
    <n v="5400013332"/>
    <n v="78017"/>
    <s v="SAL"/>
    <s v="AM12"/>
    <s v="MEDICAMENTOS DE MARCA"/>
    <s v="MEDICAMENTO NO GENERICO ( GRUPO ) "/>
    <s v="MEDICAMENTO"/>
    <n v="0"/>
    <n v="0"/>
    <n v="76031071"/>
    <n v="9"/>
    <s v="SIN ISAPRE"/>
    <s v="CBASAEZ@AFPHABITAT.CL"/>
    <s v="15348500|76031071|652723725|65213168"/>
    <s v="GASTO FISICO"/>
    <b v="0"/>
    <s v="DEPOSITADO EN CUENTA"/>
  </r>
  <r>
    <s v="12 DE SEPTIEMBRE DE 2025"/>
    <x v="117"/>
    <s v="PIZARRO FLORES DAVID ALEJANDRO"/>
    <n v="17780739"/>
    <s v="PIZARRO FLORES DAVID ALEJANDRO"/>
    <d v="2025-06-01T00:00:00"/>
    <s v="INICIAL"/>
    <n v="658150350"/>
    <n v="1038699"/>
    <n v="10095"/>
    <n v="0"/>
    <n v="10095"/>
    <n v="0"/>
    <n v="6057"/>
    <n v="658150350"/>
    <n v="285123"/>
    <s v="CORP DE BIENESTAR DEL PERSONAL DE A F P"/>
    <d v="2025-06-19T00:00:00"/>
    <d v="2025-06-19T23:36:55"/>
    <d v="2025-05-28T00:00:00"/>
    <d v="2025-05-28T00:00:00"/>
    <m/>
    <s v="-"/>
    <s v="-"/>
    <s v="-"/>
    <s v="TRASSA"/>
    <s v="-"/>
    <s v="-"/>
    <s v="SAL"/>
    <s v="AM20"/>
    <s v="MEDICAMENTO NO GENERICO ( GRUPO ) "/>
    <s v="MEDICAMENTOS BIOEQUIVALENTES NO GENERICOS"/>
    <s v="MEDICAMENTO"/>
    <s v="GASTO FISICO"/>
    <s v="SCLR20256951370"/>
    <n v="76031071"/>
    <s v="-"/>
    <s v="-"/>
    <s v="DPIZARRF@AFPHABITAT.CL"/>
    <s v="17780739|76031071|658150350|1038699"/>
    <s v="GASTO FISICO"/>
    <b v="1"/>
    <s v="DEPOSITADO EN CUENTA"/>
  </r>
  <r>
    <s v="12 DE SEPTIEMBRE DE 2025"/>
    <x v="117"/>
    <s v="PIZARRO FLORES DAVID ALEJANDRO"/>
    <n v="17780739"/>
    <s v="PIZARRO FLORES DAVID ALEJANDRO"/>
    <d v="2025-06-01T00:00:00"/>
    <s v="INICIAL"/>
    <n v="658150350"/>
    <n v="1038699"/>
    <n v="5357"/>
    <n v="0"/>
    <n v="5357"/>
    <n v="0"/>
    <n v="3214"/>
    <n v="658150350"/>
    <n v="285123"/>
    <s v="CORP DE BIENESTAR DEL PERSONAL DE A F P"/>
    <d v="2025-06-19T00:00:00"/>
    <d v="2025-06-19T23:36:55"/>
    <d v="2025-05-28T00:00:00"/>
    <d v="2025-05-28T00:00:00"/>
    <m/>
    <s v="-"/>
    <s v="-"/>
    <s v="-"/>
    <s v="TRASSA"/>
    <s v="-"/>
    <s v="-"/>
    <s v="SAL"/>
    <s v="AMB5"/>
    <s v="MEDICAMENTOS BIOEQUIVALENTES NO GENERICOS"/>
    <s v="MEDICAMENTO NO GENERICO ( GRUPO ) "/>
    <s v="MEDICAMENTO"/>
    <s v="GASTO FISICO"/>
    <s v="SCLR20256951370"/>
    <n v="76031071"/>
    <s v="-"/>
    <s v="-"/>
    <s v="DPIZARRF@AFPHABITAT.CL"/>
    <s v="17780739|76031071|658150350|1038699"/>
    <s v="GASTO FISICO"/>
    <b v="1"/>
    <s v="DEPOSITADO EN CUENTA"/>
  </r>
  <r>
    <s v="12 DE SEPTIEMBRE DE 2025"/>
    <x v="117"/>
    <s v="DAVID ALEJANDRO PIZARRO FLORES"/>
    <n v="17780739"/>
    <s v="DAVID ALEJANDRO PIZARRO FLORES"/>
    <d v="2025-07-01T00:00:00"/>
    <s v="DUPLICADO"/>
    <n v="658150350"/>
    <n v="66380275"/>
    <n v="10095"/>
    <n v="0"/>
    <n v="10095"/>
    <n v="0"/>
    <n v="10095"/>
    <n v="658150350"/>
    <n v="285123"/>
    <s v="CORP DE BIENESTAR DEL PERSONAL DE A F P"/>
    <d v="2025-07-01T00:00:00"/>
    <d v="2025-07-01T00:00:00"/>
    <d v="2025-05-28T00:00:00"/>
    <d v="2025-05-28T00:00:00"/>
    <s v="AMBULATORIOS"/>
    <n v="23307191"/>
    <n v="7241739"/>
    <n v="70359590"/>
    <s v="TRASSA"/>
    <n v="10012905621"/>
    <n v="79359"/>
    <s v="SAL"/>
    <s v="AM12"/>
    <s v="MEDICAMENTOS DE MARCA"/>
    <s v="MEDICAMENTO NO GENERICO ( GRUPO ) "/>
    <s v="MEDICAMENTO"/>
    <n v="0"/>
    <n v="0"/>
    <n v="76031071"/>
    <n v="9"/>
    <s v="SIN ISAPRE"/>
    <s v="DPIZARRF@AFPHABITAT.CL"/>
    <s v="17780739|76031071|658150350|66380275"/>
    <s v="GASTO FISICO"/>
    <b v="0"/>
    <s v="DEPOSITADO EN CUENTA"/>
  </r>
  <r>
    <s v="12 DE SEPTIEMBRE DE 2025"/>
    <x v="117"/>
    <s v="DAVID ALEJANDRO PIZARRO FLORES"/>
    <n v="17780739"/>
    <s v="DAVID ALEJANDRO PIZARRO FLORES"/>
    <d v="2025-07-01T00:00:00"/>
    <s v="DUPLICADO"/>
    <n v="658150350"/>
    <n v="66380276"/>
    <n v="5357"/>
    <n v="0"/>
    <n v="5357"/>
    <n v="0"/>
    <n v="5357"/>
    <n v="658150350"/>
    <n v="285123"/>
    <s v="CORP DE BIENESTAR DEL PERSONAL DE A F P"/>
    <d v="2025-07-01T00:00:00"/>
    <d v="2025-07-01T00:00:00"/>
    <d v="2025-05-28T00:00:00"/>
    <d v="2025-05-28T00:00:00"/>
    <s v="AMBULATORIOS"/>
    <n v="23307191"/>
    <n v="7241739"/>
    <n v="70359591"/>
    <s v="TRASSA"/>
    <n v="10012905621"/>
    <n v="79359"/>
    <s v="SAL"/>
    <s v="AM12"/>
    <s v="MEDICAMENTOS DE MARCA"/>
    <s v="MEDICAMENTO NO GENERICO ( GRUPO ) "/>
    <s v="MEDICAMENTO"/>
    <n v="0"/>
    <n v="0"/>
    <n v="76031071"/>
    <n v="9"/>
    <s v="SIN ISAPRE"/>
    <s v="DPIZARRF@AFPHABITAT.CL"/>
    <s v="17780739|76031071|658150350|66380276"/>
    <s v="GASTO FISICO"/>
    <b v="0"/>
    <s v="DEPOSITADO EN CUENTA"/>
  </r>
  <r>
    <s v="12 DE SEPTIEMBRE DE 2025"/>
    <x v="117"/>
    <s v="DAVID ALEJANDRO PIZARRO FLORES"/>
    <n v="17780739"/>
    <s v="DAVID ALEJANDRO PIZARRO FLORES"/>
    <d v="2025-07-01T00:00:00"/>
    <s v="DUPLICADO"/>
    <n v="658150350"/>
    <n v="66381048"/>
    <n v="9271"/>
    <n v="0"/>
    <n v="9271"/>
    <n v="0"/>
    <n v="9271"/>
    <n v="658150350"/>
    <n v="285123"/>
    <s v="CORP DE BIENESTAR DEL PERSONAL DE A F P"/>
    <d v="2025-07-01T00:00:00"/>
    <d v="2025-07-01T00:00:00"/>
    <d v="2025-05-28T00:00:00"/>
    <d v="2025-05-28T00:00:00"/>
    <s v="AMBULATORIOS"/>
    <n v="23307191"/>
    <n v="7241739"/>
    <n v="70359759"/>
    <s v="TRASSA"/>
    <n v="10012905621"/>
    <n v="79359"/>
    <s v="SAL"/>
    <s v="AM12"/>
    <s v="MEDICAMENTOS DE MARCA"/>
    <s v="MEDICAMENTO NO GENERICO ( GRUPO ) "/>
    <s v="MEDICAMENTO"/>
    <n v="0"/>
    <n v="0"/>
    <n v="76031071"/>
    <n v="9"/>
    <s v="SIN ISAPRE"/>
    <s v="DPIZARRF@AFPHABITAT.CL"/>
    <s v="17780739|76031071|658150350|66381048"/>
    <s v="GASTO FISICO"/>
    <b v="0"/>
    <s v="DEPOSITADO EN CUENTA"/>
  </r>
  <r>
    <s v="12 DE SEPTIEMBRE DE 2025"/>
    <x v="118"/>
    <s v="LEIVA RABAEL MARIELA"/>
    <n v="9999030"/>
    <s v="LEIVA RABAEL MARIELA"/>
    <d v="2025-06-01T00:00:00"/>
    <s v="INICIAL"/>
    <n v="658150560"/>
    <n v="1039478"/>
    <n v="7999"/>
    <n v="0"/>
    <n v="7999"/>
    <n v="0"/>
    <n v="7999"/>
    <n v="658150560"/>
    <n v="285123"/>
    <s v="CORP DE BIENESTAR DEL PERSONAL DE A F P"/>
    <d v="2025-06-23T00:00:00"/>
    <d v="2025-06-23T15:29:16"/>
    <d v="2025-05-28T00:00:00"/>
    <d v="2025-05-28T00:00:00"/>
    <m/>
    <s v="-"/>
    <s v="-"/>
    <s v="-"/>
    <s v="TRASSA"/>
    <s v="-"/>
    <s v="-"/>
    <s v="SAL"/>
    <s v="AM13"/>
    <s v="MEDICAMENTO GENERICO ( GRUPO )"/>
    <s v="MEDICAMENTO NO GENERICO ( GRUPO ) "/>
    <s v="MEDICAMENTO"/>
    <s v="GASTO FISICO"/>
    <s v="SCLR20256954809"/>
    <n v="76031071"/>
    <s v="-"/>
    <s v="-"/>
    <s v="MLEIVAR@AFPHABITAT.CL"/>
    <s v="9999030|76031071|658150560|1039478"/>
    <s v="GASTO FISICO"/>
    <b v="1"/>
    <s v="DEPOSITADO EN CUENTA"/>
  </r>
  <r>
    <s v="12 DE SEPTIEMBRE DE 2025"/>
    <x v="118"/>
    <s v="LEIVA RABAEL MARIELA"/>
    <n v="9999030"/>
    <s v="LEIVA RABAEL MARIELA"/>
    <d v="2025-06-01T00:00:00"/>
    <s v="INICIAL"/>
    <n v="658150560"/>
    <n v="1039478"/>
    <n v="34246"/>
    <n v="0"/>
    <n v="34246"/>
    <n v="0"/>
    <n v="20548"/>
    <n v="658150560"/>
    <n v="285123"/>
    <s v="CORP DE BIENESTAR DEL PERSONAL DE A F P"/>
    <d v="2025-06-23T00:00:00"/>
    <d v="2025-06-23T15:29:16"/>
    <d v="2025-05-28T00:00:00"/>
    <d v="2025-05-28T00:00:00"/>
    <m/>
    <s v="-"/>
    <s v="-"/>
    <s v="-"/>
    <s v="TRASSA"/>
    <s v="-"/>
    <s v="-"/>
    <s v="SAL"/>
    <s v="AM20"/>
    <s v="MEDICAMENTO NO GENERICO ( GRUPO ) "/>
    <s v="MEDICAMENTO GENERICO ( GRUPO )"/>
    <s v="MEDICAMENTO"/>
    <s v="GASTO FISICO"/>
    <s v="SCLR20256954809"/>
    <n v="76031071"/>
    <s v="-"/>
    <s v="-"/>
    <s v="MLEIVAR@AFPHABITAT.CL"/>
    <s v="9999030|76031071|658150560|1039478"/>
    <s v="GASTO FISICO"/>
    <b v="1"/>
    <s v="DEPOSITADO EN CUENTA"/>
  </r>
  <r>
    <s v="12 DE SEPTIEMBRE DE 2025"/>
    <x v="118"/>
    <s v="LEIVA RABAEL MARIELA"/>
    <n v="9999030"/>
    <s v="LEIVA RABAEL MARIELA"/>
    <d v="2025-06-01T00:00:00"/>
    <s v="INICIAL"/>
    <n v="658150560"/>
    <n v="1039478"/>
    <n v="35360"/>
    <n v="0"/>
    <n v="35360"/>
    <n v="0"/>
    <n v="21216"/>
    <n v="658150560"/>
    <n v="285123"/>
    <s v="CORP DE BIENESTAR DEL PERSONAL DE A F P"/>
    <d v="2025-06-23T00:00:00"/>
    <d v="2025-06-23T15:29:16"/>
    <d v="2025-05-28T00:00:00"/>
    <d v="2025-05-28T00:00:00"/>
    <m/>
    <s v="-"/>
    <s v="-"/>
    <s v="-"/>
    <s v="TRASSA"/>
    <s v="-"/>
    <s v="-"/>
    <s v="SAL"/>
    <s v="AM20"/>
    <s v="MEDICAMENTO NO GENERICO ( GRUPO ) "/>
    <s v="MEDICAMENTO GENERICO ( GRUPO )"/>
    <s v="MEDICAMENTO"/>
    <s v="GASTO FISICO"/>
    <s v="SCLR20256954809"/>
    <n v="76031071"/>
    <s v="-"/>
    <s v="-"/>
    <s v="MLEIVAR@AFPHABITAT.CL"/>
    <s v="9999030|76031071|658150560|1039478"/>
    <s v="GASTO FISICO"/>
    <b v="1"/>
    <s v="DEPOSITADO EN CUENTA"/>
  </r>
  <r>
    <s v="12 DE SEPTIEMBRE DE 2025"/>
    <x v="118"/>
    <s v="MARIELA LEIVA RABAEL"/>
    <n v="9999030"/>
    <s v="MARIELA LEIVA RABAEL"/>
    <d v="2025-07-01T00:00:00"/>
    <s v="DUPLICADO"/>
    <n v="658150560"/>
    <n v="66380399"/>
    <n v="49763"/>
    <n v="0"/>
    <n v="49763"/>
    <n v="0"/>
    <n v="49763"/>
    <n v="658150560"/>
    <n v="285123"/>
    <s v="CORP DE BIENESTAR DEL PERSONAL DE A F P"/>
    <d v="2025-07-01T00:00:00"/>
    <d v="2025-07-01T00:00:00"/>
    <d v="2025-05-28T00:00:00"/>
    <d v="2025-05-28T00:00:00"/>
    <s v="AMBULATORIOS"/>
    <n v="23307090"/>
    <n v="7241739"/>
    <n v="70359607"/>
    <s v="TRASSA"/>
    <n v="70843210"/>
    <n v="79359"/>
    <s v="SAL"/>
    <s v="AM12"/>
    <s v="MEDICAMENTOS DE MARCA"/>
    <s v="MEDICAMENTO NO GENERICO ( GRUPO ) "/>
    <s v="MEDICAMENTO"/>
    <n v="0"/>
    <n v="0"/>
    <n v="76031071"/>
    <n v="9"/>
    <s v="SIN ISAPRE"/>
    <s v="MLEIVAR@AFPHABITAT.CL"/>
    <s v="9999030|76031071|658150560|66380399"/>
    <s v="GASTO FISICO"/>
    <b v="0"/>
    <s v="DEPOSITADO EN CUENTA"/>
  </r>
  <r>
    <s v="12 DE SEPTIEMBRE DE 2025"/>
    <x v="119"/>
    <s v="KATHERINE HERNANDEZ SALAZAR"/>
    <n v="23917658"/>
    <s v="SANTIAGO OLGUIN HERNANDEZ"/>
    <d v="2025-01-01T00:00:00"/>
    <s v="INICIAL"/>
    <n v="764992340"/>
    <n v="764992340"/>
    <n v="24427"/>
    <n v="19542"/>
    <n v="4885"/>
    <n v="0"/>
    <n v="4885"/>
    <n v="764992340"/>
    <n v="285123"/>
    <s v="CORP DE BIENESTAR DEL PERSONAL DE A F P"/>
    <d v="2025-01-03T00:00:00"/>
    <d v="2025-01-03T00:00:00"/>
    <d v="2025-01-03T00:00:00"/>
    <d v="2025-01-03T00:00:00"/>
    <s v="AMBULATORIOS"/>
    <n v="22473683"/>
    <n v="1061637"/>
    <n v="68611519"/>
    <s v="TRASSA"/>
    <n v="5012025"/>
    <n v="77320"/>
    <s v="SAL"/>
    <s v="AM05"/>
    <s v="EXAMENES RADIOLOGICOS"/>
    <s v="EXAMENES RADIOLOGICOS"/>
    <s v="EXAMENES RADIOLOGICOS"/>
    <s v="IMED SALUD"/>
    <n v="0"/>
    <n v="76098454"/>
    <s v="K"/>
    <s v="CONSALUD"/>
    <s v="KHERNAND@AFPHABITAT.CL"/>
    <s v="15889855|76098454|764992340|764992340"/>
    <s v="IMED SALUD"/>
    <b v="1"/>
    <s v="APORTE VIA IMED"/>
  </r>
  <r>
    <s v="12 DE SEPTIEMBRE DE 2025"/>
    <x v="119"/>
    <s v="KATHERINE HERNANDEZ SALAZAR"/>
    <n v="23917658"/>
    <s v="SANTIAGO OLGUIN HERNANDEZ"/>
    <d v="2025-03-01T00:00:00"/>
    <s v="DUPLICADO"/>
    <n v="764992340"/>
    <n v="65384343"/>
    <n v="4995"/>
    <n v="0"/>
    <n v="4995"/>
    <n v="0"/>
    <n v="4995"/>
    <n v="764992340"/>
    <n v="285123"/>
    <s v="CORP DE BIENESTAR DEL PERSONAL DE A F P"/>
    <d v="2025-03-01T00:00:00"/>
    <d v="2025-03-26T00:00:00"/>
    <d v="2025-01-03T00:00:00"/>
    <d v="2025-01-03T00:00:00"/>
    <s v="AMBULATORIOS"/>
    <n v="22770284"/>
    <n v="3311105"/>
    <n v="69251226"/>
    <s v="TRASSA"/>
    <n v="976121708"/>
    <n v="78070"/>
    <s v="SAL"/>
    <s v="AM05"/>
    <s v="EXAMENES RADIOLOGICOS"/>
    <s v="EXAMENES RADIOLOGICOS"/>
    <s v="EXAMENES RADIOLOGICOS"/>
    <n v="0"/>
    <n v="0"/>
    <n v="76098454"/>
    <s v="K"/>
    <s v="SIN ISAPRE"/>
    <s v="KHERNAND@AFPHABITAT.CL"/>
    <s v="15889855|76098454|764992340|65384343"/>
    <s v="GASTO FISICO"/>
    <b v="0"/>
    <s v="DEPOSITADO EN CUENTA"/>
  </r>
  <r>
    <s v="12 DE SEPTIEMBRE DE 2025"/>
    <x v="120"/>
    <s v="JAVIERA ANDREA ARRIETA SILVA"/>
    <n v="28560684"/>
    <s v="FACUNDO DANEI ARRIETA"/>
    <d v="2025-01-01T00:00:00"/>
    <s v="INICIAL"/>
    <n v="765002103"/>
    <n v="765002103"/>
    <n v="9906"/>
    <n v="6934"/>
    <n v="2972"/>
    <n v="0"/>
    <n v="2972"/>
    <n v="765002103"/>
    <n v="285123"/>
    <s v="CORP DE BIENESTAR DEL PERSONAL DE A F P"/>
    <d v="2025-01-03T00:00:00"/>
    <d v="2025-01-03T00:00:00"/>
    <d v="2025-01-03T00:00:00"/>
    <d v="2025-01-03T00:00:00"/>
    <s v="AMBULATORIOS"/>
    <n v="22473692"/>
    <n v="1061637"/>
    <n v="68611997"/>
    <s v="TRASSA"/>
    <n v="5012025"/>
    <n v="77320"/>
    <s v="SAL"/>
    <s v="AM05"/>
    <s v="EXAMENES RADIOLOGICOS"/>
    <s v="EXAMENES RADIOLOGICOS"/>
    <s v="EXAMENES RADIOLOGICOS"/>
    <s v="IMED SALUD"/>
    <n v="0"/>
    <n v="96942400"/>
    <n v="2"/>
    <s v="CONSALUD"/>
    <s v="JAVIERA.ARRIETA@AFPHABITAT.CL"/>
    <s v="17833560|96942400|765002103|765002103"/>
    <s v="IMED SALUD"/>
    <b v="1"/>
    <s v="APORTE VIA IMED"/>
  </r>
  <r>
    <s v="12 DE SEPTIEMBRE DE 2025"/>
    <x v="120"/>
    <s v="JAVIERA ANDREA ARRIETA SILVA"/>
    <n v="28560684"/>
    <s v="FACUNDO DANAEI ARRIETA"/>
    <d v="2025-03-01T00:00:00"/>
    <s v="DUPLICADO"/>
    <n v="765002103"/>
    <n v="65384443"/>
    <n v="3073"/>
    <n v="0"/>
    <n v="3073"/>
    <n v="0"/>
    <n v="3073"/>
    <n v="765002103"/>
    <n v="285123"/>
    <s v="CORP DE BIENESTAR DEL PERSONAL DE A F P"/>
    <d v="2025-03-01T00:00:00"/>
    <d v="2025-03-26T00:00:00"/>
    <d v="2025-01-03T00:00:00"/>
    <d v="2025-01-03T00:00:00"/>
    <s v="AMBULATORIOS"/>
    <n v="22770285"/>
    <n v="3311105"/>
    <n v="69251311"/>
    <s v="TRASSA"/>
    <n v="71936473"/>
    <n v="78070"/>
    <s v="SAL"/>
    <s v="AM05"/>
    <s v="EXAMENES RADIOLOGICOS"/>
    <s v="EXAMENES RADIOLOGICOS"/>
    <s v="EXAMENES RADIOLOGICOS"/>
    <n v="0"/>
    <n v="0"/>
    <n v="96942400"/>
    <n v="2"/>
    <s v="SIN ISAPRE"/>
    <s v="JAVIERA.ARRIETA@AFPHABITAT.CL"/>
    <s v="17833560|96942400|765002103|65384443"/>
    <s v="GASTO FISICO"/>
    <b v="0"/>
    <s v="DEPOSITADO EN CUENTA"/>
  </r>
  <r>
    <s v="12 DE SEPTIEMBRE DE 2025"/>
    <x v="121"/>
    <s v="JACQUELINE ARAYA BULBOA"/>
    <n v="9401001"/>
    <s v="JACQUELINE ARAYA BULBOA"/>
    <d v="2025-01-01T00:00:00"/>
    <s v="INICIAL"/>
    <n v="765042001"/>
    <n v="765042001"/>
    <n v="14313"/>
    <n v="8557"/>
    <n v="5756"/>
    <n v="0"/>
    <n v="5756"/>
    <n v="765042001"/>
    <n v="285123"/>
    <s v="CORP DE BIENESTAR DEL PERSONAL DE A F P"/>
    <d v="2025-01-07T00:00:00"/>
    <d v="2025-01-07T00:00:00"/>
    <d v="2025-01-07T00:00:00"/>
    <d v="2025-01-07T00:00:00"/>
    <s v="AMBULATORIOS"/>
    <n v="22462231"/>
    <n v="1131703"/>
    <n v="68650280"/>
    <s v="TRASSA"/>
    <n v="12012025"/>
    <n v="77298"/>
    <s v="SAL"/>
    <s v="AM04"/>
    <s v="EXAMENES DE LABORATORIO"/>
    <s v="EXAMENES DE LABORATORIO"/>
    <s v="EXAMENES DE LABORATORIO"/>
    <s v="IMED SALUD"/>
    <n v="0"/>
    <n v="96942400"/>
    <n v="2"/>
    <s v="CONSALUD"/>
    <s v="JARAYA@AFPHABITAT.CL"/>
    <s v="9401001|96942400|765042001|765042001"/>
    <s v="IMED SALUD"/>
    <b v="1"/>
    <s v="APORTE VIA IMED"/>
  </r>
  <r>
    <s v="12 DE SEPTIEMBRE DE 2025"/>
    <x v="121"/>
    <s v="JACQUELINE ARAYA BULBOA"/>
    <n v="9401001"/>
    <s v="JACQUELINE ARAYA BULBOA"/>
    <d v="2025-03-01T00:00:00"/>
    <s v="DUPLICADO"/>
    <n v="765042001"/>
    <n v="65383724"/>
    <n v="5763"/>
    <n v="0"/>
    <n v="5763"/>
    <n v="0"/>
    <n v="5763"/>
    <n v="765042001"/>
    <n v="285123"/>
    <s v="CORP DE BIENESTAR DEL PERSONAL DE A F P"/>
    <d v="2025-03-01T00:00:00"/>
    <d v="2025-03-26T00:00:00"/>
    <d v="2025-01-07T00:00:00"/>
    <d v="2025-01-07T00:00:00"/>
    <s v="AMBULATORIOS"/>
    <n v="22770302"/>
    <n v="3311105"/>
    <n v="69250615"/>
    <s v="TRASSA"/>
    <n v="5864925"/>
    <n v="78070"/>
    <s v="SAL"/>
    <s v="AM04"/>
    <s v="EXAMENES DE LABORATORIO"/>
    <s v="EXAMENES DE LABORATORIO"/>
    <s v="EXAMENES DE LABORATORIO"/>
    <n v="0"/>
    <n v="0"/>
    <n v="96942400"/>
    <n v="2"/>
    <s v="SIN ISAPRE"/>
    <s v="JARAYA@AFPHABITAT.CL"/>
    <s v="9401001|96942400|765042001|65383724"/>
    <s v="GASTO FISICO"/>
    <b v="0"/>
    <s v="DEPOSITADO EN CUENTA"/>
  </r>
  <r>
    <s v="12 DE SEPTIEMBRE DE 2025"/>
    <x v="122"/>
    <s v="ROCÍO MONSERRAT     MONSALVE JIMÉNEZ"/>
    <n v="15178550"/>
    <s v="ROCÍO MONSERRAT     MONSALVE JIMÉNEZ"/>
    <d v="2025-01-01T00:00:00"/>
    <s v="INICIAL"/>
    <n v="765047882"/>
    <n v="765047882"/>
    <n v="73151"/>
    <n v="72420"/>
    <n v="731"/>
    <n v="0"/>
    <n v="731"/>
    <n v="765047882"/>
    <n v="285123"/>
    <s v="CORP DE BIENESTAR DEL PERSONAL DE A F P"/>
    <d v="2025-01-08T00:00:00"/>
    <d v="2025-01-08T00:00:00"/>
    <d v="2025-01-08T00:00:00"/>
    <d v="2025-01-08T00:00:00"/>
    <s v="AMBULATORIOS"/>
    <n v="22462265"/>
    <n v="1131703"/>
    <n v="68650607"/>
    <s v="TRASSA"/>
    <n v="12012025"/>
    <n v="77298"/>
    <s v="SAL"/>
    <s v="AM05"/>
    <s v="EXAMENES RADIOLOGICOS"/>
    <s v="EXAMENES RADIOLOGICOS"/>
    <s v="EXAMENES RADIOLOGICOS"/>
    <s v="IMED SALUD"/>
    <n v="0"/>
    <n v="76434593"/>
    <n v="2"/>
    <s v="CONSALUD"/>
    <s v="RMONSALV@AFPHABITAT.CL"/>
    <s v="15178550|76434593|765047882|765047882"/>
    <s v="IMED SALUD"/>
    <b v="1"/>
    <s v="APORTE VIA IMED"/>
  </r>
  <r>
    <s v="12 DE SEPTIEMBRE DE 2025"/>
    <x v="122"/>
    <s v="ROCÍO MONSERRAT     MONSALVE JIMÉNEZ"/>
    <n v="15178550"/>
    <s v="ROCÍO MONSERRAT     MONSALVE JIMÉNEZ"/>
    <d v="2025-03-01T00:00:00"/>
    <s v="DUPLICADO"/>
    <n v="765047882"/>
    <n v="65384256"/>
    <n v="768"/>
    <n v="0"/>
    <n v="768"/>
    <n v="0"/>
    <n v="768"/>
    <n v="765047882"/>
    <n v="285123"/>
    <s v="CORP DE BIENESTAR DEL PERSONAL DE A F P"/>
    <d v="2025-03-01T00:00:00"/>
    <d v="2025-03-26T00:00:00"/>
    <d v="2025-01-08T00:00:00"/>
    <d v="2025-01-08T00:00:00"/>
    <s v="AMBULATORIOS"/>
    <n v="22770317"/>
    <n v="3311105"/>
    <n v="69251129"/>
    <s v="TRASSA"/>
    <n v="70407584"/>
    <n v="78070"/>
    <s v="SAL"/>
    <s v="AM05"/>
    <s v="EXAMENES RADIOLOGICOS"/>
    <s v="EXAMENES RADIOLOGICOS"/>
    <s v="EXAMENES RADIOLOGICOS"/>
    <n v="0"/>
    <n v="0"/>
    <n v="76434593"/>
    <n v="2"/>
    <s v="SIN ISAPRE"/>
    <s v="RMONSALV@AFPHABITAT.CL"/>
    <s v="15178550|76434593|765047882|65384256"/>
    <s v="GASTO FISICO"/>
    <b v="0"/>
    <s v="DEPOSITADO EN CUENTA"/>
  </r>
  <r>
    <s v="12 DE SEPTIEMBRE DE 2025"/>
    <x v="121"/>
    <s v="JACQUELINE ARAYA BULBOA"/>
    <n v="9401001"/>
    <s v="JACQUELINE ARAYA BULBOA"/>
    <d v="2025-01-01T00:00:00"/>
    <s v="INICIAL"/>
    <n v="765065047"/>
    <n v="765065047"/>
    <n v="88480"/>
    <n v="53088"/>
    <n v="35392"/>
    <n v="0"/>
    <n v="35392"/>
    <n v="765065047"/>
    <n v="285123"/>
    <s v="CORP DE BIENESTAR DEL PERSONAL DE A F P"/>
    <d v="2025-01-09T00:00:00"/>
    <d v="2025-01-09T00:00:00"/>
    <d v="2025-01-09T00:00:00"/>
    <d v="2025-01-09T00:00:00"/>
    <s v="AMBULATORIOS"/>
    <n v="22462273"/>
    <n v="1131703"/>
    <n v="68651427"/>
    <s v="TRASSA"/>
    <n v="12012025"/>
    <n v="77298"/>
    <s v="SAL"/>
    <s v="AM05"/>
    <s v="EXAMENES RADIOLOGICOS"/>
    <s v="EXAMENES RADIOLOGICOS"/>
    <s v="EXAMENES RADIOLOGICOS"/>
    <s v="IMED SALUD"/>
    <n v="0"/>
    <n v="96942400"/>
    <n v="2"/>
    <s v="CONSALUD"/>
    <s v="JARAYA@AFPHABITAT.CL"/>
    <s v="9401001|96942400|765065047|765065047"/>
    <s v="IMED SALUD"/>
    <b v="1"/>
    <s v="APORTE VIA IMED"/>
  </r>
  <r>
    <s v="12 DE SEPTIEMBRE DE 2025"/>
    <x v="121"/>
    <s v="JACQUELINE ARAYA BULBOA"/>
    <n v="9401001"/>
    <s v="JACQUELINE ARAYA BULBOA"/>
    <d v="2025-03-01T00:00:00"/>
    <s v="DUPLICADO"/>
    <n v="765065047"/>
    <n v="65383725"/>
    <n v="35363"/>
    <n v="0"/>
    <n v="35363"/>
    <n v="0"/>
    <n v="35363"/>
    <n v="765065047"/>
    <n v="285123"/>
    <s v="CORP DE BIENESTAR DEL PERSONAL DE A F P"/>
    <d v="2025-03-01T00:00:00"/>
    <d v="2025-03-26T00:00:00"/>
    <d v="2025-01-09T00:00:00"/>
    <d v="2025-01-09T00:00:00"/>
    <s v="AMBULATORIOS"/>
    <n v="22770321"/>
    <n v="3311105"/>
    <n v="69250616"/>
    <s v="TRASSA"/>
    <n v="5864925"/>
    <n v="78070"/>
    <s v="SAL"/>
    <s v="AM05"/>
    <s v="EXAMENES RADIOLOGICOS"/>
    <s v="EXAMENES RADIOLOGICOS"/>
    <s v="EXAMENES RADIOLOGICOS"/>
    <n v="0"/>
    <n v="0"/>
    <n v="96942400"/>
    <n v="2"/>
    <s v="SIN ISAPRE"/>
    <s v="JARAYA@AFPHABITAT.CL"/>
    <s v="9401001|96942400|765065047|65383725"/>
    <s v="GASTO FISICO"/>
    <b v="0"/>
    <s v="DEPOSITADO EN CUENTA"/>
  </r>
  <r>
    <s v="12 DE SEPTIEMBRE DE 2025"/>
    <x v="123"/>
    <s v="VANESSA DROGUETT TORO"/>
    <n v="15622250"/>
    <s v="VANESSA DROGUETT TORO"/>
    <d v="2025-01-01T00:00:00"/>
    <s v="INICIAL"/>
    <n v="765110287"/>
    <n v="765110287"/>
    <n v="22347"/>
    <n v="10380"/>
    <n v="11967"/>
    <n v="0"/>
    <n v="11967"/>
    <n v="765110287"/>
    <n v="285123"/>
    <s v="CORP DE BIENESTAR DEL PERSONAL DE A F P"/>
    <d v="2025-01-13T00:00:00"/>
    <d v="2025-01-13T00:00:00"/>
    <d v="2025-01-13T00:00:00"/>
    <d v="2025-01-13T00:00:00"/>
    <s v="AMBULATORIOS"/>
    <n v="22497809"/>
    <n v="1210929"/>
    <n v="68688108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CONSALUD"/>
    <s v="VDROGUET@AFPHABITAT.CL"/>
    <s v="15622250|99573490|765110287|765110287"/>
    <s v="IMED SALUD"/>
    <b v="1"/>
    <s v="APORTE VIA IMED"/>
  </r>
  <r>
    <s v="12 DE SEPTIEMBRE DE 2025"/>
    <x v="123"/>
    <s v="VANESSA DROGUETT TORO"/>
    <n v="15622250"/>
    <s v="VANESSA DROGUETT TORO"/>
    <d v="2025-03-01T00:00:00"/>
    <s v="DUPLICADO"/>
    <n v="765110287"/>
    <n v="65384328"/>
    <n v="11912"/>
    <n v="0"/>
    <n v="11912"/>
    <n v="0"/>
    <n v="11912"/>
    <n v="765110287"/>
    <n v="285123"/>
    <s v="CORP DE BIENESTAR DEL PERSONAL DE A F P"/>
    <d v="2025-03-01T00:00:00"/>
    <d v="2025-03-26T00:00:00"/>
    <d v="2025-01-13T00:00:00"/>
    <d v="2025-01-13T00:00:00"/>
    <s v="AMBULATORIOS"/>
    <n v="22770340"/>
    <n v="3311105"/>
    <n v="69251211"/>
    <s v="TRASSA"/>
    <n v="976468066"/>
    <n v="78070"/>
    <s v="SAL"/>
    <s v="AM04"/>
    <s v="EXAMENES DE LABORATORIO"/>
    <s v="EXAMENES DE LABORATORIO"/>
    <s v="EXAMENES DE LABORATORIO"/>
    <n v="0"/>
    <n v="0"/>
    <n v="99573490"/>
    <n v="7"/>
    <s v="SIN ISAPRE"/>
    <s v="VDROGUET@AFPHABITAT.CL"/>
    <s v="15622250|99573490|765110287|65384328"/>
    <s v="GASTO FISICO"/>
    <b v="0"/>
    <s v="DEPOSITADO EN CUENTA"/>
  </r>
  <r>
    <s v="12 DE SEPTIEMBRE DE 2025"/>
    <x v="123"/>
    <s v="VANESSA DROGUETT TORO"/>
    <n v="15622250"/>
    <s v="VANESSA DROGUETT TORO"/>
    <d v="2025-01-01T00:00:00"/>
    <s v="INICIAL"/>
    <n v="765110288"/>
    <n v="765110288"/>
    <n v="39195"/>
    <n v="20685"/>
    <n v="18510"/>
    <n v="0"/>
    <n v="18510"/>
    <n v="765110288"/>
    <n v="285123"/>
    <s v="CORP DE BIENESTAR DEL PERSONAL DE A F P"/>
    <d v="2025-01-13T00:00:00"/>
    <d v="2025-01-13T00:00:00"/>
    <d v="2025-01-13T00:00:00"/>
    <d v="2025-01-13T00:00:00"/>
    <s v="AMBULATORIOS"/>
    <n v="22497809"/>
    <n v="1210929"/>
    <n v="68688107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CONSALUD"/>
    <s v="VDROGUET@AFPHABITAT.CL"/>
    <s v="15622250|99573490|765110288|765110288"/>
    <s v="IMED SALUD"/>
    <b v="1"/>
    <s v="APORTE VIA IMED"/>
  </r>
  <r>
    <s v="12 DE SEPTIEMBRE DE 2025"/>
    <x v="123"/>
    <s v="VANESSA DROGUETT TORO"/>
    <n v="15622250"/>
    <s v="VANESSA DROGUETT TORO"/>
    <d v="2025-03-01T00:00:00"/>
    <s v="DUPLICADO"/>
    <n v="765110288"/>
    <n v="65384329"/>
    <n v="18444"/>
    <n v="0"/>
    <n v="18444"/>
    <n v="0"/>
    <n v="18444"/>
    <n v="765110288"/>
    <n v="285123"/>
    <s v="CORP DE BIENESTAR DEL PERSONAL DE A F P"/>
    <d v="2025-03-01T00:00:00"/>
    <d v="2025-03-26T00:00:00"/>
    <d v="2025-01-13T00:00:00"/>
    <d v="2025-01-13T00:00:00"/>
    <s v="AMBULATORIOS"/>
    <n v="22770340"/>
    <n v="3311105"/>
    <n v="69251212"/>
    <s v="TRASSA"/>
    <n v="976468066"/>
    <n v="78070"/>
    <s v="SAL"/>
    <s v="AM04"/>
    <s v="EXAMENES DE LABORATORIO"/>
    <s v="EXAMENES DE LABORATORIO"/>
    <s v="EXAMENES DE LABORATORIO"/>
    <n v="0"/>
    <n v="0"/>
    <n v="99573490"/>
    <n v="7"/>
    <s v="SIN ISAPRE"/>
    <s v="VDROGUET@AFPHABITAT.CL"/>
    <s v="15622250|99573490|765110288|65384329"/>
    <s v="GASTO FISICO"/>
    <b v="0"/>
    <s v="DEPOSITADO EN CUENTA"/>
  </r>
  <r>
    <s v="12 DE SEPTIEMBRE DE 2025"/>
    <x v="123"/>
    <s v="VANESSA DROGUETT TORO"/>
    <n v="15622250"/>
    <s v="VANESSA DROGUETT TORO"/>
    <d v="2025-01-01T00:00:00"/>
    <s v="INICIAL"/>
    <n v="765110289"/>
    <n v="765110289"/>
    <n v="61009"/>
    <n v="34033"/>
    <n v="26976"/>
    <n v="0"/>
    <n v="26976"/>
    <n v="765110289"/>
    <n v="285123"/>
    <s v="CORP DE BIENESTAR DEL PERSONAL DE A F P"/>
    <d v="2025-01-13T00:00:00"/>
    <d v="2025-01-13T00:00:00"/>
    <d v="2025-01-13T00:00:00"/>
    <d v="2025-01-13T00:00:00"/>
    <s v="AMBULATORIOS"/>
    <n v="22497809"/>
    <n v="1210929"/>
    <n v="68688106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CONSALUD"/>
    <s v="VDROGUET@AFPHABITAT.CL"/>
    <s v="15622250|99573490|765110289|765110289"/>
    <s v="IMED SALUD"/>
    <b v="1"/>
    <s v="APORTE VIA IMED"/>
  </r>
  <r>
    <s v="12 DE SEPTIEMBRE DE 2025"/>
    <x v="123"/>
    <s v="VANESSA DROGUETT TORO"/>
    <n v="15622250"/>
    <s v="VANESSA DROGUETT TORO"/>
    <d v="2025-03-01T00:00:00"/>
    <s v="DUPLICADO"/>
    <n v="765110289"/>
    <n v="65384330"/>
    <n v="26513"/>
    <n v="0"/>
    <n v="26513"/>
    <n v="0"/>
    <n v="26513"/>
    <n v="765110289"/>
    <n v="285123"/>
    <s v="CORP DE BIENESTAR DEL PERSONAL DE A F P"/>
    <d v="2025-03-01T00:00:00"/>
    <d v="2025-03-26T00:00:00"/>
    <d v="2025-01-13T00:00:00"/>
    <d v="2025-01-13T00:00:00"/>
    <s v="AMBULATORIOS"/>
    <n v="22770340"/>
    <n v="3311105"/>
    <n v="69251213"/>
    <s v="TRASSA"/>
    <n v="976468066"/>
    <n v="78070"/>
    <s v="SAL"/>
    <s v="AM04"/>
    <s v="EXAMENES DE LABORATORIO"/>
    <s v="EXAMENES DE LABORATORIO"/>
    <s v="EXAMENES DE LABORATORIO"/>
    <n v="0"/>
    <n v="0"/>
    <n v="99573490"/>
    <n v="7"/>
    <s v="SIN ISAPRE"/>
    <s v="VDROGUET@AFPHABITAT.CL"/>
    <s v="15622250|99573490|765110289|65384330"/>
    <s v="GASTO FISICO"/>
    <b v="0"/>
    <s v="DEPOSITADO EN CUENTA"/>
  </r>
  <r>
    <s v="12 DE SEPTIEMBRE DE 2025"/>
    <x v="123"/>
    <s v="VANESSA DROGUETT TORO"/>
    <n v="15622250"/>
    <s v="VANESSA DROGUETT TORO"/>
    <d v="2025-01-01T00:00:00"/>
    <s v="INICIAL"/>
    <n v="765110290"/>
    <n v="765110290"/>
    <n v="76635"/>
    <n v="38758"/>
    <n v="37877"/>
    <n v="0"/>
    <n v="37877"/>
    <n v="765110290"/>
    <n v="285123"/>
    <s v="CORP DE BIENESTAR DEL PERSONAL DE A F P"/>
    <d v="2025-01-13T00:00:00"/>
    <d v="2025-01-13T00:00:00"/>
    <d v="2025-01-13T00:00:00"/>
    <d v="2025-01-13T00:00:00"/>
    <s v="AMBULATORIOS"/>
    <n v="22497809"/>
    <n v="1210929"/>
    <n v="68688105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CONSALUD"/>
    <s v="VDROGUET@AFPHABITAT.CL"/>
    <s v="15622250|99573490|765110290|765110290"/>
    <s v="IMED SALUD"/>
    <b v="1"/>
    <s v="APORTE VIA IMED"/>
  </r>
  <r>
    <s v="12 DE SEPTIEMBRE DE 2025"/>
    <x v="123"/>
    <s v="VANESSA DROGUETT TORO"/>
    <n v="15622250"/>
    <s v="VANESSA DROGUETT TORO"/>
    <d v="2025-03-01T00:00:00"/>
    <s v="DUPLICADO"/>
    <n v="765110290"/>
    <n v="65384331"/>
    <n v="33047"/>
    <n v="0"/>
    <n v="33047"/>
    <n v="0"/>
    <n v="33047"/>
    <n v="765110290"/>
    <n v="285123"/>
    <s v="CORP DE BIENESTAR DEL PERSONAL DE A F P"/>
    <d v="2025-03-01T00:00:00"/>
    <d v="2025-03-26T00:00:00"/>
    <d v="2025-01-13T00:00:00"/>
    <d v="2025-01-13T00:00:00"/>
    <s v="AMBULATORIOS"/>
    <n v="22770340"/>
    <n v="3311105"/>
    <n v="69251214"/>
    <s v="TRASSA"/>
    <n v="976468066"/>
    <n v="78070"/>
    <s v="SAL"/>
    <s v="AM04"/>
    <s v="EXAMENES DE LABORATORIO"/>
    <s v="EXAMENES DE LABORATORIO"/>
    <s v="EXAMENES DE LABORATORIO"/>
    <n v="0"/>
    <n v="0"/>
    <n v="99573490"/>
    <n v="7"/>
    <s v="SIN ISAPRE"/>
    <s v="VDROGUET@AFPHABITAT.CL"/>
    <s v="15622250|99573490|765110290|65384331"/>
    <s v="GASTO FISICO"/>
    <b v="0"/>
    <s v="DEPOSITADO EN CUENTA"/>
  </r>
  <r>
    <s v="12 DE SEPTIEMBRE DE 2025"/>
    <x v="123"/>
    <s v="VANESSA DROGUETT TORO"/>
    <n v="15622250"/>
    <s v="VANESSA DROGUETT TORO"/>
    <d v="2025-01-01T00:00:00"/>
    <s v="INICIAL"/>
    <n v="765110341"/>
    <n v="765110341"/>
    <n v="9568"/>
    <n v="6988"/>
    <n v="2580"/>
    <n v="0"/>
    <n v="2580"/>
    <n v="765110341"/>
    <n v="285123"/>
    <s v="CORP DE BIENESTAR DEL PERSONAL DE A F P"/>
    <d v="2025-01-13T00:00:00"/>
    <d v="2025-01-13T00:00:00"/>
    <d v="2025-01-13T00:00:00"/>
    <d v="2025-01-13T00:00:00"/>
    <s v="AMBULATORIOS"/>
    <n v="22497809"/>
    <n v="1210929"/>
    <n v="68688109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CONSALUD"/>
    <s v="VDROGUET@AFPHABITAT.CL"/>
    <s v="15622250|99573490|765110341|765110341"/>
    <s v="IMED SALUD"/>
    <b v="1"/>
    <s v="APORTE VIA IMED"/>
  </r>
  <r>
    <s v="12 DE SEPTIEMBRE DE 2025"/>
    <x v="123"/>
    <s v="VANESSA DROGUETT TORO"/>
    <n v="15622250"/>
    <s v="VANESSA DROGUETT TORO"/>
    <d v="2025-03-01T00:00:00"/>
    <s v="DUPLICADO"/>
    <n v="765110341"/>
    <n v="65384332"/>
    <n v="2688"/>
    <n v="0"/>
    <n v="2688"/>
    <n v="0"/>
    <n v="2688"/>
    <n v="765110341"/>
    <n v="285123"/>
    <s v="CORP DE BIENESTAR DEL PERSONAL DE A F P"/>
    <d v="2025-03-01T00:00:00"/>
    <d v="2025-03-26T00:00:00"/>
    <d v="2025-01-13T00:00:00"/>
    <d v="2025-01-13T00:00:00"/>
    <s v="AMBULATORIOS"/>
    <n v="22770340"/>
    <n v="3311105"/>
    <n v="69251215"/>
    <s v="TRASSA"/>
    <n v="976468066"/>
    <n v="78070"/>
    <s v="SAL"/>
    <s v="AM04"/>
    <s v="EXAMENES DE LABORATORIO"/>
    <s v="EXAMENES DE LABORATORIO"/>
    <s v="EXAMENES DE LABORATORIO"/>
    <n v="0"/>
    <n v="0"/>
    <n v="99573490"/>
    <n v="7"/>
    <s v="SIN ISAPRE"/>
    <s v="VDROGUET@AFPHABITAT.CL"/>
    <s v="15622250|99573490|765110341|65384332"/>
    <s v="GASTO FISICO"/>
    <b v="0"/>
    <s v="DEPOSITADO EN CUENTA"/>
  </r>
  <r>
    <s v="12 DE SEPTIEMBRE DE 2025"/>
    <x v="123"/>
    <s v="VANESSA DROGUETT TORO"/>
    <n v="15622250"/>
    <s v="VANESSA DROGUETT TORO"/>
    <d v="2025-01-01T00:00:00"/>
    <s v="INICIAL"/>
    <n v="765121743"/>
    <n v="765121743"/>
    <n v="15249"/>
    <n v="13549"/>
    <n v="1700"/>
    <n v="0"/>
    <n v="1700"/>
    <n v="765121743"/>
    <n v="285123"/>
    <s v="CORP DE BIENESTAR DEL PERSONAL DE A F P"/>
    <d v="2025-01-14T00:00:00"/>
    <d v="2025-01-14T00:00:00"/>
    <d v="2025-01-14T00:00:00"/>
    <d v="2025-01-14T00:00:00"/>
    <s v="AMBULATORIOS"/>
    <n v="22497854"/>
    <n v="1210929"/>
    <n v="68688694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CONSALUD"/>
    <s v="VDROGUET@AFPHABITAT.CL"/>
    <s v="15622250|99573490|765121743|765121743"/>
    <s v="IMED SALUD"/>
    <b v="1"/>
    <s v="APORTE VIA IMED"/>
  </r>
  <r>
    <s v="12 DE SEPTIEMBRE DE 2025"/>
    <x v="123"/>
    <s v="VANESSA DROGUETT TORO"/>
    <n v="15622250"/>
    <s v="VANESSA DROGUETT TORO"/>
    <d v="2025-03-01T00:00:00"/>
    <s v="DUPLICADO"/>
    <n v="765121743"/>
    <n v="65384333"/>
    <n v="1921"/>
    <n v="0"/>
    <n v="1921"/>
    <n v="0"/>
    <n v="1921"/>
    <n v="765121743"/>
    <n v="285123"/>
    <s v="CORP DE BIENESTAR DEL PERSONAL DE A F P"/>
    <d v="2025-03-01T00:00:00"/>
    <d v="2025-03-26T00:00:00"/>
    <d v="2025-01-14T00:00:00"/>
    <d v="2025-01-14T00:00:00"/>
    <s v="AMBULATORIOS"/>
    <n v="22770349"/>
    <n v="3311105"/>
    <n v="69251216"/>
    <s v="TRASSA"/>
    <n v="976468066"/>
    <n v="78070"/>
    <s v="SAL"/>
    <s v="AM04"/>
    <s v="EXAMENES DE LABORATORIO"/>
    <s v="EXAMENES DE LABORATORIO"/>
    <s v="EXAMENES DE LABORATORIO"/>
    <n v="0"/>
    <n v="0"/>
    <n v="99573490"/>
    <n v="7"/>
    <s v="SIN ISAPRE"/>
    <s v="VDROGUET@AFPHABITAT.CL"/>
    <s v="15622250|99573490|765121743|65384333"/>
    <s v="GASTO FISICO"/>
    <b v="0"/>
    <s v="DEPOSITADO EN CUENTA"/>
  </r>
  <r>
    <s v="12 DE SEPTIEMBRE DE 2025"/>
    <x v="124"/>
    <s v="CAROLINA HERNANDEZ MENA"/>
    <n v="23388770"/>
    <s v="BENJAMIN RODRIGUEZ HERNANDEZ"/>
    <d v="2025-01-01T00:00:00"/>
    <s v="INICIAL"/>
    <n v="765132665"/>
    <n v="765132665"/>
    <n v="14540"/>
    <n v="10248"/>
    <n v="4292"/>
    <n v="0"/>
    <n v="4292"/>
    <n v="765132665"/>
    <n v="285123"/>
    <s v="CORP DE BIENESTAR DEL PERSONAL DE A F P"/>
    <d v="2025-01-14T00:00:00"/>
    <d v="2025-01-14T00:00:00"/>
    <d v="2025-01-14T00:00:00"/>
    <d v="2025-01-14T00:00:00"/>
    <s v="AMBULATORIOS"/>
    <n v="22497844"/>
    <n v="1210929"/>
    <n v="68689154"/>
    <s v="TRASSA"/>
    <n v="19012025"/>
    <n v="77381"/>
    <s v="SAL"/>
    <s v="AM05"/>
    <s v="EXAMENES RADIOLOGICOS"/>
    <s v="EXAMENES RADIOLOGICOS"/>
    <s v="EXAMENES RADIOLOGICOS"/>
    <s v="IMED SALUD"/>
    <n v="0"/>
    <n v="88081300"/>
    <n v="5"/>
    <s v="CONSALUD"/>
    <s v="CHERNAND@AFPHABITAT.CL"/>
    <s v="12952727|88081300|765132665|765132665"/>
    <s v="IMED SALUD"/>
    <b v="1"/>
    <s v="APORTE VIA IMED"/>
  </r>
  <r>
    <s v="12 DE SEPTIEMBRE DE 2025"/>
    <x v="124"/>
    <s v="CAROLINA HERNANDEZ MENA"/>
    <n v="23388770"/>
    <s v="BENJAMIN RODRIGUEZ HERNANDEZ"/>
    <d v="2025-03-01T00:00:00"/>
    <s v="DUPLICADO"/>
    <n v="765132665"/>
    <n v="65384060"/>
    <n v="4226"/>
    <n v="0"/>
    <n v="4226"/>
    <n v="0"/>
    <n v="4226"/>
    <n v="765132665"/>
    <n v="285123"/>
    <s v="CORP DE BIENESTAR DEL PERSONAL DE A F P"/>
    <d v="2025-03-01T00:00:00"/>
    <d v="2025-03-26T00:00:00"/>
    <d v="2025-01-14T00:00:00"/>
    <d v="2025-01-14T00:00:00"/>
    <s v="AMBULATORIOS"/>
    <n v="22770348"/>
    <n v="3311105"/>
    <n v="69250948"/>
    <s v="TRASSA"/>
    <n v="1370136407"/>
    <n v="78070"/>
    <s v="SAL"/>
    <s v="AM05"/>
    <s v="EXAMENES RADIOLOGICOS"/>
    <s v="EXAMENES RADIOLOGICOS"/>
    <s v="EXAMENES RADIOLOGICOS"/>
    <n v="0"/>
    <n v="0"/>
    <n v="88081300"/>
    <n v="5"/>
    <s v="SIN ISAPRE"/>
    <s v="CHERNAND@AFPHABITAT.CL"/>
    <s v="12952727|88081300|765132665|65384060"/>
    <s v="GASTO FISICO"/>
    <b v="0"/>
    <s v="DEPOSITADO EN CUENTA"/>
  </r>
  <r>
    <s v="12 DE SEPTIEMBRE DE 2025"/>
    <x v="125"/>
    <s v="RODRIGO GONZALEZ GONZALEZ"/>
    <n v="12892012"/>
    <s v="RODRIGO GONZALEZ GONZALEZ"/>
    <d v="2025-01-01T00:00:00"/>
    <s v="INICIAL"/>
    <n v="765143789"/>
    <n v="765143789"/>
    <n v="9741"/>
    <n v="6819"/>
    <n v="2922"/>
    <n v="0"/>
    <n v="2922"/>
    <n v="765143789"/>
    <n v="285123"/>
    <s v="CORP DE BIENESTAR DEL PERSONAL DE A F P"/>
    <d v="2025-01-15T00:00:00"/>
    <d v="2025-01-15T00:00:00"/>
    <d v="2025-01-15T00:00:00"/>
    <d v="2025-01-15T00:00:00"/>
    <s v="AMBULATORIOS"/>
    <n v="22497881"/>
    <n v="1210929"/>
    <n v="68689741"/>
    <s v="TRASSA"/>
    <n v="19012025"/>
    <n v="77381"/>
    <s v="SAL"/>
    <s v="AM07"/>
    <s v="PROCEDIMIENTOS TERAPEUTICOS"/>
    <s v="PROCEDIMIENTOS TERAPEUTICOS"/>
    <s v="PROCEDIMIENTOS TERAPEUTICOS"/>
    <s v="IMED SALUD"/>
    <n v="0"/>
    <n v="96942400"/>
    <n v="2"/>
    <s v="CONSALUD"/>
    <s v="RGONZALE@AFPHABITAT.CL"/>
    <s v="12892012|96942400|765143789|765143789"/>
    <s v="IMED SALUD"/>
    <b v="1"/>
    <s v="APORTE VIA IMED"/>
  </r>
  <r>
    <s v="12 DE SEPTIEMBRE DE 2025"/>
    <x v="125"/>
    <s v="RODRIGO GONZALEZ GONZALEZ"/>
    <n v="12892012"/>
    <s v="RODRIGO GONZALEZ GONZALEZ"/>
    <d v="2025-03-01T00:00:00"/>
    <s v="DUPLICADO"/>
    <n v="765143789"/>
    <n v="65384050"/>
    <n v="3073"/>
    <n v="0"/>
    <n v="3073"/>
    <n v="0"/>
    <n v="3073"/>
    <n v="765143789"/>
    <n v="285123"/>
    <s v="CORP DE BIENESTAR DEL PERSONAL DE A F P"/>
    <d v="2025-03-01T00:00:00"/>
    <d v="2025-03-26T00:00:00"/>
    <d v="2025-01-15T00:00:00"/>
    <d v="2025-01-15T00:00:00"/>
    <s v="AMBULATORIOS"/>
    <n v="22770351"/>
    <n v="3311105"/>
    <n v="69250938"/>
    <s v="TRASSA"/>
    <n v="207546631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RGONZALE@AFPHABITAT.CL"/>
    <s v="12892012|96942400|765143789|65384050"/>
    <s v="GASTO FISICO"/>
    <b v="0"/>
    <s v="DEPOSITADO EN CUENTA"/>
  </r>
  <r>
    <s v="12 DE SEPTIEMBRE DE 2025"/>
    <x v="120"/>
    <s v="JAVIERA ANDREA ARRIETA SILVA"/>
    <n v="17833560"/>
    <s v="JAVIERA ANDREA ARRIETA SILVA"/>
    <d v="2025-01-01T00:00:00"/>
    <s v="INICIAL"/>
    <n v="765144161"/>
    <n v="765144161"/>
    <n v="53599"/>
    <n v="32159"/>
    <n v="21440"/>
    <n v="0"/>
    <n v="21440"/>
    <n v="765144161"/>
    <n v="285123"/>
    <s v="CORP DE BIENESTAR DEL PERSONAL DE A F P"/>
    <d v="2025-01-15T00:00:00"/>
    <d v="2025-01-15T00:00:00"/>
    <d v="2025-01-15T00:00:00"/>
    <d v="2025-01-15T00:00:00"/>
    <s v="AMBULATORIOS"/>
    <n v="22497908"/>
    <n v="1210929"/>
    <n v="68689764"/>
    <s v="TRASSA"/>
    <n v="19012025"/>
    <n v="77381"/>
    <s v="SAL"/>
    <s v="AM05"/>
    <s v="EXAMENES RADIOLOGICOS"/>
    <s v="EXAMENES RADIOLOGICOS"/>
    <s v="EXAMENES RADIOLOGICOS"/>
    <s v="IMED SALUD"/>
    <n v="0"/>
    <n v="79576810"/>
    <n v="6"/>
    <s v="CONSALUD"/>
    <s v="JAVIERA.ARRIETA@AFPHABITAT.CL"/>
    <s v="17833560|79576810|765144161|765144161"/>
    <s v="IMED SALUD"/>
    <b v="1"/>
    <s v="APORTE VIA IMED"/>
  </r>
  <r>
    <s v="12 DE SEPTIEMBRE DE 2025"/>
    <x v="120"/>
    <s v="JAVIERA ANDREA ARRIETA SILVA"/>
    <n v="17833560"/>
    <s v="JAVIERA ANDREA ARRIETA SILVA"/>
    <d v="2025-03-01T00:00:00"/>
    <s v="DUPLICADO"/>
    <n v="765144161"/>
    <n v="65384442"/>
    <n v="21517"/>
    <n v="0"/>
    <n v="21517"/>
    <n v="0"/>
    <n v="21517"/>
    <n v="765144161"/>
    <n v="285123"/>
    <s v="CORP DE BIENESTAR DEL PERSONAL DE A F P"/>
    <d v="2025-03-01T00:00:00"/>
    <d v="2025-03-26T00:00:00"/>
    <d v="2025-01-15T00:00:00"/>
    <d v="2025-01-15T00:00:00"/>
    <s v="AMBULATORIOS"/>
    <n v="22770355"/>
    <n v="3311105"/>
    <n v="69251310"/>
    <s v="TRASSA"/>
    <n v="71936473"/>
    <n v="78070"/>
    <s v="SAL"/>
    <s v="AM05"/>
    <s v="EXAMENES RADIOLOGICOS"/>
    <s v="EXAMENES RADIOLOGICOS"/>
    <s v="EXAMENES RADIOLOGICOS"/>
    <n v="0"/>
    <n v="0"/>
    <n v="79576810"/>
    <n v="6"/>
    <s v="SIN ISAPRE"/>
    <s v="JAVIERA.ARRIETA@AFPHABITAT.CL"/>
    <s v="17833560|79576810|765144161|65384442"/>
    <s v="GASTO FISICO"/>
    <b v="0"/>
    <s v="DEPOSITADO EN CUENTA"/>
  </r>
  <r>
    <s v="12 DE SEPTIEMBRE DE 2025"/>
    <x v="122"/>
    <s v="ROCÍO MONSERRAT     MONSALVE JIMÉNEZ"/>
    <n v="15178550"/>
    <s v="ROCÍO MONSERRAT     MONSALVE JIMÉNEZ"/>
    <d v="2025-01-01T00:00:00"/>
    <s v="INICIAL"/>
    <n v="765162139"/>
    <n v="765162139"/>
    <n v="179513"/>
    <n v="177718"/>
    <n v="1795"/>
    <n v="0"/>
    <n v="1795"/>
    <n v="765162139"/>
    <n v="285123"/>
    <s v="CORP DE BIENESTAR DEL PERSONAL DE A F P"/>
    <d v="2025-01-16T00:00:00"/>
    <d v="2025-01-16T00:00:00"/>
    <d v="2025-01-16T00:00:00"/>
    <d v="2025-01-16T00:00:00"/>
    <s v="AMBULATORIOS"/>
    <n v="22497937"/>
    <n v="1210929"/>
    <n v="68690552"/>
    <s v="TRASSA"/>
    <n v="19012025"/>
    <n v="77381"/>
    <s v="SAL"/>
    <s v="AM05"/>
    <s v="EXAMENES RADIOLOGICOS"/>
    <s v="EXAMENES RADIOLOGICOS"/>
    <s v="EXAMENES RADIOLOGICOS"/>
    <s v="IMED SALUD"/>
    <n v="0"/>
    <n v="76434593"/>
    <n v="2"/>
    <s v="CONSALUD"/>
    <s v="RMONSALV@AFPHABITAT.CL"/>
    <s v="15178550|76434593|765162139|765162139"/>
    <s v="IMED SALUD"/>
    <b v="1"/>
    <s v="APORTE VIA IMED"/>
  </r>
  <r>
    <s v="12 DE SEPTIEMBRE DE 2025"/>
    <x v="122"/>
    <s v="ROCÍO MONSERRAT     MONSALVE JIMÉNEZ"/>
    <n v="15178550"/>
    <s v="ROCÍO MONSERRAT     MONSALVE JIMÉNEZ"/>
    <d v="2025-03-01T00:00:00"/>
    <s v="DUPLICADO"/>
    <n v="765162139"/>
    <n v="65384257"/>
    <n v="1921"/>
    <n v="0"/>
    <n v="1921"/>
    <n v="0"/>
    <n v="1921"/>
    <n v="765162139"/>
    <n v="285123"/>
    <s v="CORP DE BIENESTAR DEL PERSONAL DE A F P"/>
    <d v="2025-03-01T00:00:00"/>
    <d v="2025-03-26T00:00:00"/>
    <d v="2025-01-16T00:00:00"/>
    <d v="2025-01-16T00:00:00"/>
    <s v="AMBULATORIOS"/>
    <n v="22770362"/>
    <n v="3311105"/>
    <n v="69251130"/>
    <s v="TRASSA"/>
    <n v="70407584"/>
    <n v="78070"/>
    <s v="SAL"/>
    <s v="AM05"/>
    <s v="EXAMENES RADIOLOGICOS"/>
    <s v="EXAMENES RADIOLOGICOS"/>
    <s v="EXAMENES RADIOLOGICOS"/>
    <n v="0"/>
    <n v="0"/>
    <n v="76434593"/>
    <n v="2"/>
    <s v="SIN ISAPRE"/>
    <s v="RMONSALV@AFPHABITAT.CL"/>
    <s v="15178550|76434593|765162139|65384257"/>
    <s v="GASTO FISICO"/>
    <b v="0"/>
    <s v="DEPOSITADO EN CUENTA"/>
  </r>
  <r>
    <s v="12 DE SEPTIEMBRE DE 2025"/>
    <x v="122"/>
    <s v="ROCÍO MONSERRAT     MONSALVE JIMÉNEZ"/>
    <n v="15178550"/>
    <s v="ROCÍO MONSERRAT     MONSALVE JIMÉNEZ"/>
    <d v="2025-01-01T00:00:00"/>
    <s v="INICIAL"/>
    <n v="765162140"/>
    <n v="765162140"/>
    <n v="26673"/>
    <n v="18165"/>
    <n v="8508"/>
    <n v="0"/>
    <n v="8508"/>
    <n v="765162140"/>
    <n v="285123"/>
    <s v="CORP DE BIENESTAR DEL PERSONAL DE A F P"/>
    <d v="2025-01-16T00:00:00"/>
    <d v="2025-01-16T00:00:00"/>
    <d v="2025-01-16T00:00:00"/>
    <d v="2025-01-16T00:00:00"/>
    <s v="AMBULATORIOS"/>
    <n v="22497937"/>
    <n v="1210929"/>
    <n v="68690551"/>
    <s v="TRASSA"/>
    <n v="19012025"/>
    <n v="77381"/>
    <s v="SAL"/>
    <s v="AM07"/>
    <s v="PROCEDIMIENTOS TERAPEUTICOS"/>
    <s v="PROCEDIMIENTOS TERAPEUTICOS"/>
    <s v="PROCEDIMIENTOS TERAPEUTICOS"/>
    <s v="IMED SALUD"/>
    <n v="0"/>
    <n v="76434593"/>
    <n v="2"/>
    <s v="CONSALUD"/>
    <s v="RMONSALV@AFPHABITAT.CL"/>
    <s v="15178550|76434593|765162140|765162140"/>
    <s v="IMED SALUD"/>
    <b v="1"/>
    <s v="APORTE VIA IMED"/>
  </r>
  <r>
    <s v="12 DE SEPTIEMBRE DE 2025"/>
    <x v="122"/>
    <s v="ROCÍO MONSERRAT     MONSALVE JIMÉNEZ"/>
    <n v="15178550"/>
    <s v="ROCÍO MONSERRAT     MONSALVE JIMÉNEZ"/>
    <d v="2025-03-01T00:00:00"/>
    <s v="DUPLICADO"/>
    <n v="765162140"/>
    <n v="65384258"/>
    <n v="8452"/>
    <n v="0"/>
    <n v="8452"/>
    <n v="0"/>
    <n v="8452"/>
    <n v="765162140"/>
    <n v="285123"/>
    <s v="CORP DE BIENESTAR DEL PERSONAL DE A F P"/>
    <d v="2025-03-01T00:00:00"/>
    <d v="2025-03-26T00:00:00"/>
    <d v="2025-01-16T00:00:00"/>
    <d v="2025-01-16T00:00:00"/>
    <s v="AMBULATORIOS"/>
    <n v="22770362"/>
    <n v="3311105"/>
    <n v="69251131"/>
    <s v="TRASSA"/>
    <n v="70407584"/>
    <n v="78070"/>
    <s v="SAL"/>
    <s v="AM07"/>
    <s v="PROCEDIMIENTOS TERAPEUTICOS"/>
    <s v="PROCEDIMIENTOS TERAPEUTICOS"/>
    <s v="PROCEDIMIENTOS TERAPEUTICOS"/>
    <n v="0"/>
    <n v="0"/>
    <n v="76434593"/>
    <n v="2"/>
    <s v="SIN ISAPRE"/>
    <s v="RMONSALV@AFPHABITAT.CL"/>
    <s v="15178550|76434593|765162140|65384258"/>
    <s v="GASTO FISICO"/>
    <b v="0"/>
    <s v="DEPOSITADO EN CUENTA"/>
  </r>
  <r>
    <s v="12 DE SEPTIEMBRE DE 2025"/>
    <x v="122"/>
    <s v="ROCÍO MONSERRAT     MONSALVE JIMÉNEZ"/>
    <n v="15178550"/>
    <s v="ROCÍO MONSERRAT     MONSALVE JIMÉNEZ"/>
    <d v="2025-01-01T00:00:00"/>
    <s v="INICIAL"/>
    <n v="765162172"/>
    <n v="765162172"/>
    <n v="144941"/>
    <n v="135008"/>
    <n v="9933"/>
    <n v="0"/>
    <n v="9933"/>
    <n v="765162172"/>
    <n v="285123"/>
    <s v="CORP DE BIENESTAR DEL PERSONAL DE A F P"/>
    <d v="2025-01-16T00:00:00"/>
    <d v="2025-01-16T00:00:00"/>
    <d v="2025-01-16T00:00:00"/>
    <d v="2025-01-16T00:00:00"/>
    <s v="AMBULATORIOS"/>
    <n v="22497937"/>
    <n v="1210929"/>
    <n v="68690555"/>
    <s v="TRASSA"/>
    <n v="19012025"/>
    <n v="77381"/>
    <s v="SAL"/>
    <s v="AM04"/>
    <s v="EXAMENES DE LABORATORIO"/>
    <s v="EXAMENES DE LABORATORIO"/>
    <s v="EXAMENES DE LABORATORIO"/>
    <s v="IMED SALUD"/>
    <n v="0"/>
    <n v="96606750"/>
    <n v="0"/>
    <s v="CONSALUD"/>
    <s v="RMONSALV@AFPHABITAT.CL"/>
    <s v="15178550|96606750|765162172|765162172"/>
    <s v="IMED SALUD"/>
    <b v="1"/>
    <s v="APORTE VIA IMED"/>
  </r>
  <r>
    <s v="12 DE SEPTIEMBRE DE 2025"/>
    <x v="122"/>
    <s v="ROCÍO MONSERRAT     MONSALVE JIMÉNEZ"/>
    <n v="15178550"/>
    <s v="ROCÍO MONSERRAT     MONSALVE JIMÉNEZ"/>
    <d v="2025-03-01T00:00:00"/>
    <s v="DUPLICADO"/>
    <n v="765162172"/>
    <n v="65384259"/>
    <n v="9988"/>
    <n v="0"/>
    <n v="9988"/>
    <n v="0"/>
    <n v="9988"/>
    <n v="765162172"/>
    <n v="285123"/>
    <s v="CORP DE BIENESTAR DEL PERSONAL DE A F P"/>
    <d v="2025-03-01T00:00:00"/>
    <d v="2025-03-26T00:00:00"/>
    <d v="2025-01-16T00:00:00"/>
    <d v="2025-01-16T00:00:00"/>
    <s v="AMBULATORIOS"/>
    <n v="22770362"/>
    <n v="3311105"/>
    <n v="69251132"/>
    <s v="TRASSA"/>
    <n v="70407584"/>
    <n v="78070"/>
    <s v="SAL"/>
    <s v="AM04"/>
    <s v="EXAMENES DE LABORATORIO"/>
    <s v="EXAMENES DE LABORATORIO"/>
    <s v="EXAMENES DE LABORATORIO"/>
    <n v="0"/>
    <n v="0"/>
    <n v="96606750"/>
    <n v="0"/>
    <s v="SIN ISAPRE"/>
    <s v="RMONSALV@AFPHABITAT.CL"/>
    <s v="15178550|96606750|765162172|65384259"/>
    <s v="GASTO FISICO"/>
    <b v="0"/>
    <s v="DEPOSITADO EN CUENTA"/>
  </r>
  <r>
    <s v="12 DE SEPTIEMBRE DE 2025"/>
    <x v="31"/>
    <s v="handy nef LEIVA"/>
    <n v="8665623"/>
    <s v="handy nef LEIVA"/>
    <d v="2025-01-01T00:00:00"/>
    <s v="INICIAL"/>
    <n v="765176294"/>
    <n v="765176294"/>
    <n v="16790"/>
    <n v="11753"/>
    <n v="5037"/>
    <n v="0"/>
    <n v="5037"/>
    <n v="765176294"/>
    <n v="285123"/>
    <s v="CORP DE BIENESTAR DEL PERSONAL DE A F P"/>
    <d v="2025-01-17T00:00:00"/>
    <d v="2025-01-17T00:00:00"/>
    <d v="2025-01-17T00:00:00"/>
    <d v="2025-01-17T00:00:00"/>
    <s v="AMBULATORIOS"/>
    <n v="22497953"/>
    <n v="1210929"/>
    <n v="68691260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CONSALUD"/>
    <s v="HNEFLE@AFPHABITAT.CL"/>
    <s v="8665623|99573490|765176294|765176294"/>
    <s v="IMED SALUD"/>
    <b v="1"/>
    <s v="APORTE VIA IMED"/>
  </r>
  <r>
    <s v="12 DE SEPTIEMBRE DE 2025"/>
    <x v="31"/>
    <s v="handy nef LEIVA"/>
    <n v="8665623"/>
    <s v="handy nef LEIVA"/>
    <d v="2025-03-01T00:00:00"/>
    <s v="DUPLICADO"/>
    <n v="765176294"/>
    <n v="65383690"/>
    <n v="4993"/>
    <n v="0"/>
    <n v="4993"/>
    <n v="0"/>
    <n v="4993"/>
    <n v="765176294"/>
    <n v="285123"/>
    <s v="CORP DE BIENESTAR DEL PERSONAL DE A F P"/>
    <d v="2025-03-01T00:00:00"/>
    <d v="2025-03-26T00:00:00"/>
    <d v="2025-01-17T00:00:00"/>
    <d v="2025-01-17T00:00:00"/>
    <s v="AMBULATORIOS"/>
    <n v="22770366"/>
    <n v="3311105"/>
    <n v="69250581"/>
    <s v="TRASSA"/>
    <n v="61932348"/>
    <n v="78070"/>
    <s v="SAL"/>
    <s v="AM04"/>
    <s v="EXAMENES DE LABORATORIO"/>
    <s v="EXAMENES DE LABORATORIO"/>
    <s v="EXAMENES DE LABORATORIO"/>
    <n v="0"/>
    <n v="0"/>
    <n v="99573490"/>
    <n v="7"/>
    <s v="SIN ISAPRE"/>
    <s v="HNEFLE@AFPHABITAT.CL"/>
    <s v="8665623|99573490|765176294|65383690"/>
    <s v="GASTO FISICO"/>
    <b v="0"/>
    <s v="DEPOSITADO EN CUENTA"/>
  </r>
  <r>
    <s v="12 DE SEPTIEMBRE DE 2025"/>
    <x v="121"/>
    <s v="JACQUELINE ARAYA BULBOA"/>
    <n v="9401001"/>
    <s v="JACQUELINE ARAYA BULBOA"/>
    <d v="2025-01-01T00:00:00"/>
    <s v="INICIAL"/>
    <n v="765183163"/>
    <n v="765183163"/>
    <n v="22536"/>
    <n v="12973"/>
    <n v="9563"/>
    <n v="0"/>
    <n v="9563"/>
    <n v="765183163"/>
    <n v="285123"/>
    <s v="CORP DE BIENESTAR DEL PERSONAL DE A F P"/>
    <d v="2025-01-18T00:00:00"/>
    <d v="2025-01-18T00:00:00"/>
    <d v="2025-01-18T00:00:00"/>
    <d v="2025-01-18T00:00:00"/>
    <s v="AMBULATORIOS"/>
    <n v="22524568"/>
    <n v="1271320"/>
    <n v="68705317"/>
    <s v="TRASSA"/>
    <n v="26012025"/>
    <n v="77442"/>
    <s v="SAL"/>
    <s v="AM07"/>
    <s v="PROCEDIMIENTOS TERAPEUTICOS"/>
    <s v="PROCEDIMIENTOS TERAPEUTICOS"/>
    <s v="PROCEDIMIENTOS TERAPEUTICOS"/>
    <s v="IMED SALUD"/>
    <n v="0"/>
    <n v="78040520"/>
    <n v="1"/>
    <s v="CONSALUD"/>
    <s v="JARAYA@AFPHABITAT.CL"/>
    <s v="9401001|78040520|765183163|765183163"/>
    <s v="IMED SALUD"/>
    <b v="1"/>
    <s v="APORTE VIA IMED"/>
  </r>
  <r>
    <s v="12 DE SEPTIEMBRE DE 2025"/>
    <x v="121"/>
    <s v="JACQUELINE ARAYA BULBOA"/>
    <n v="9401001"/>
    <s v="JACQUELINE ARAYA BULBOA"/>
    <d v="2025-03-01T00:00:00"/>
    <s v="DUPLICADO"/>
    <n v="765183163"/>
    <n v="65383726"/>
    <n v="9604"/>
    <n v="0"/>
    <n v="9604"/>
    <n v="0"/>
    <n v="9604"/>
    <n v="765183163"/>
    <n v="285123"/>
    <s v="CORP DE BIENESTAR DEL PERSONAL DE A F P"/>
    <d v="2025-03-01T00:00:00"/>
    <d v="2025-03-26T00:00:00"/>
    <d v="2025-01-18T00:00:00"/>
    <d v="2025-01-18T00:00:00"/>
    <s v="AMBULATORIOS"/>
    <n v="22770379"/>
    <n v="3311105"/>
    <n v="69250617"/>
    <s v="TRASSA"/>
    <n v="5864925"/>
    <n v="78070"/>
    <s v="SAL"/>
    <s v="AM07"/>
    <s v="PROCEDIMIENTOS TERAPEUTICOS"/>
    <s v="PROCEDIMIENTOS TERAPEUTICOS"/>
    <s v="PROCEDIMIENTOS TERAPEUTICOS"/>
    <n v="0"/>
    <n v="0"/>
    <n v="78040520"/>
    <n v="1"/>
    <s v="SIN ISAPRE"/>
    <s v="JARAYA@AFPHABITAT.CL"/>
    <s v="9401001|78040520|765183163|65383726"/>
    <s v="GASTO FISICO"/>
    <b v="0"/>
    <s v="DEPOSITADO EN CUENTA"/>
  </r>
  <r>
    <s v="12 DE SEPTIEMBRE DE 2025"/>
    <x v="31"/>
    <s v="handy nef LEIVA"/>
    <n v="8665623"/>
    <s v="handy nef LEIVA"/>
    <d v="2025-01-01T00:00:00"/>
    <s v="INICIAL"/>
    <n v="765192599"/>
    <n v="765192599"/>
    <n v="28200"/>
    <n v="19740"/>
    <n v="8460"/>
    <n v="0"/>
    <n v="8460"/>
    <n v="765192599"/>
    <n v="285123"/>
    <s v="CORP DE BIENESTAR DEL PERSONAL DE A F P"/>
    <d v="2025-01-20T00:00:00"/>
    <d v="2025-01-20T00:00:00"/>
    <d v="2025-01-20T00:00:00"/>
    <d v="2025-01-20T00:00:00"/>
    <s v="AMBULATORIOS"/>
    <n v="22524585"/>
    <n v="1271320"/>
    <n v="68705806"/>
    <s v="TRASSA"/>
    <n v="26012025"/>
    <n v="77442"/>
    <s v="SAL"/>
    <s v="AM04"/>
    <s v="EXAMENES DE LABORATORIO"/>
    <s v="EXAMENES DE LABORATORIO"/>
    <s v="EXAMENES DE LABORATORIO"/>
    <s v="IMED SALUD"/>
    <n v="0"/>
    <n v="99573490"/>
    <n v="7"/>
    <s v="CONSALUD"/>
    <s v="HNEFLE@AFPHABITAT.CL"/>
    <s v="8665623|99573490|765192599|765192599"/>
    <s v="IMED SALUD"/>
    <b v="1"/>
    <s v="APORTE VIA IMED"/>
  </r>
  <r>
    <s v="12 DE SEPTIEMBRE DE 2025"/>
    <x v="31"/>
    <s v="handy nef LEIVA"/>
    <n v="8665623"/>
    <s v="handy nef LEIVA"/>
    <d v="2025-03-01T00:00:00"/>
    <s v="DUPLICADO"/>
    <n v="765192599"/>
    <n v="65383691"/>
    <n v="8449"/>
    <n v="0"/>
    <n v="8449"/>
    <n v="0"/>
    <n v="8449"/>
    <n v="765192599"/>
    <n v="285123"/>
    <s v="CORP DE BIENESTAR DEL PERSONAL DE A F P"/>
    <d v="2025-03-01T00:00:00"/>
    <d v="2025-03-26T00:00:00"/>
    <d v="2025-01-20T00:00:00"/>
    <d v="2025-01-20T00:00:00"/>
    <s v="AMBULATORIOS"/>
    <n v="22770383"/>
    <n v="3311105"/>
    <n v="69250582"/>
    <s v="TRASSA"/>
    <n v="61932348"/>
    <n v="78070"/>
    <s v="SAL"/>
    <s v="AM04"/>
    <s v="EXAMENES DE LABORATORIO"/>
    <s v="EXAMENES DE LABORATORIO"/>
    <s v="EXAMENES DE LABORATORIO"/>
    <n v="0"/>
    <n v="0"/>
    <n v="99573490"/>
    <n v="7"/>
    <s v="SIN ISAPRE"/>
    <s v="HNEFLE@AFPHABITAT.CL"/>
    <s v="8665623|99573490|765192599|65383691"/>
    <s v="GASTO FISICO"/>
    <b v="0"/>
    <s v="DEPOSITADO EN CUENTA"/>
  </r>
  <r>
    <s v="12 DE SEPTIEMBRE DE 2025"/>
    <x v="31"/>
    <s v="handy nef LEIVA"/>
    <n v="8665623"/>
    <s v="handy nef LEIVA"/>
    <d v="2025-01-01T00:00:00"/>
    <s v="INICIAL"/>
    <n v="765192600"/>
    <n v="765192600"/>
    <n v="73020"/>
    <n v="51114"/>
    <n v="21906"/>
    <n v="0"/>
    <n v="21906"/>
    <n v="765192600"/>
    <n v="285123"/>
    <s v="CORP DE BIENESTAR DEL PERSONAL DE A F P"/>
    <d v="2025-01-20T00:00:00"/>
    <d v="2025-01-20T00:00:00"/>
    <d v="2025-01-20T00:00:00"/>
    <d v="2025-01-20T00:00:00"/>
    <s v="AMBULATORIOS"/>
    <n v="22524585"/>
    <n v="1271320"/>
    <n v="68705805"/>
    <s v="TRASSA"/>
    <n v="26012025"/>
    <n v="77442"/>
    <s v="SAL"/>
    <s v="AM04"/>
    <s v="EXAMENES DE LABORATORIO"/>
    <s v="EXAMENES DE LABORATORIO"/>
    <s v="EXAMENES DE LABORATORIO"/>
    <s v="IMED SALUD"/>
    <n v="0"/>
    <n v="99573490"/>
    <n v="7"/>
    <s v="CONSALUD"/>
    <s v="HNEFLE@AFPHABITAT.CL"/>
    <s v="8665623|99573490|765192600|765192600"/>
    <s v="IMED SALUD"/>
    <b v="1"/>
    <s v="APORTE VIA IMED"/>
  </r>
  <r>
    <s v="12 DE SEPTIEMBRE DE 2025"/>
    <x v="31"/>
    <s v="handy nef LEIVA"/>
    <n v="8665623"/>
    <s v="handy nef LEIVA"/>
    <d v="2025-03-01T00:00:00"/>
    <s v="DUPLICADO"/>
    <n v="765192600"/>
    <n v="65383692"/>
    <n v="21892"/>
    <n v="0"/>
    <n v="21892"/>
    <n v="0"/>
    <n v="21892"/>
    <n v="765192600"/>
    <n v="285123"/>
    <s v="CORP DE BIENESTAR DEL PERSONAL DE A F P"/>
    <d v="2025-03-01T00:00:00"/>
    <d v="2025-03-26T00:00:00"/>
    <d v="2025-01-20T00:00:00"/>
    <d v="2025-01-20T00:00:00"/>
    <s v="AMBULATORIOS"/>
    <n v="22770383"/>
    <n v="3311105"/>
    <n v="69250583"/>
    <s v="TRASSA"/>
    <n v="61932348"/>
    <n v="78070"/>
    <s v="SAL"/>
    <s v="AM04"/>
    <s v="EXAMENES DE LABORATORIO"/>
    <s v="EXAMENES DE LABORATORIO"/>
    <s v="EXAMENES DE LABORATORIO"/>
    <n v="0"/>
    <n v="0"/>
    <n v="99573490"/>
    <n v="7"/>
    <s v="SIN ISAPRE"/>
    <s v="HNEFLE@AFPHABITAT.CL"/>
    <s v="8665623|99573490|765192600|65383692"/>
    <s v="GASTO FISICO"/>
    <b v="0"/>
    <s v="DEPOSITADO EN CUENTA"/>
  </r>
  <r>
    <s v="12 DE SEPTIEMBRE DE 2025"/>
    <x v="31"/>
    <s v="handy nef LEIVA"/>
    <n v="8665623"/>
    <s v="handy nef LEIVA"/>
    <d v="2025-01-01T00:00:00"/>
    <s v="INICIAL"/>
    <n v="765192601"/>
    <n v="765192601"/>
    <n v="18780"/>
    <n v="13146"/>
    <n v="5634"/>
    <n v="0"/>
    <n v="5634"/>
    <n v="765192601"/>
    <n v="285123"/>
    <s v="CORP DE BIENESTAR DEL PERSONAL DE A F P"/>
    <d v="2025-01-20T00:00:00"/>
    <d v="2025-01-20T00:00:00"/>
    <d v="2025-01-20T00:00:00"/>
    <d v="2025-01-20T00:00:00"/>
    <s v="AMBULATORIOS"/>
    <n v="22524585"/>
    <n v="1271320"/>
    <n v="68705804"/>
    <s v="TRASSA"/>
    <n v="26012025"/>
    <n v="77442"/>
    <s v="SAL"/>
    <s v="AM04"/>
    <s v="EXAMENES DE LABORATORIO"/>
    <s v="EXAMENES DE LABORATORIO"/>
    <s v="EXAMENES DE LABORATORIO"/>
    <s v="IMED SALUD"/>
    <n v="0"/>
    <n v="99573490"/>
    <n v="7"/>
    <s v="CONSALUD"/>
    <s v="HNEFLE@AFPHABITAT.CL"/>
    <s v="8665623|99573490|765192601|765192601"/>
    <s v="IMED SALUD"/>
    <b v="1"/>
    <s v="APORTE VIA IMED"/>
  </r>
  <r>
    <s v="12 DE SEPTIEMBRE DE 2025"/>
    <x v="31"/>
    <s v="handy nef LEIVA"/>
    <n v="8665623"/>
    <s v="handy nef LEIVA"/>
    <d v="2025-03-01T00:00:00"/>
    <s v="DUPLICADO"/>
    <n v="765192601"/>
    <n v="65383693"/>
    <n v="5761"/>
    <n v="0"/>
    <n v="5761"/>
    <n v="0"/>
    <n v="5761"/>
    <n v="765192601"/>
    <n v="285123"/>
    <s v="CORP DE BIENESTAR DEL PERSONAL DE A F P"/>
    <d v="2025-03-01T00:00:00"/>
    <d v="2025-03-26T00:00:00"/>
    <d v="2025-01-20T00:00:00"/>
    <d v="2025-01-20T00:00:00"/>
    <s v="AMBULATORIOS"/>
    <n v="22770383"/>
    <n v="3311105"/>
    <n v="69250584"/>
    <s v="TRASSA"/>
    <n v="61932348"/>
    <n v="78070"/>
    <s v="SAL"/>
    <s v="AM04"/>
    <s v="EXAMENES DE LABORATORIO"/>
    <s v="EXAMENES DE LABORATORIO"/>
    <s v="EXAMENES DE LABORATORIO"/>
    <n v="0"/>
    <n v="0"/>
    <n v="99573490"/>
    <n v="7"/>
    <s v="SIN ISAPRE"/>
    <s v="HNEFLE@AFPHABITAT.CL"/>
    <s v="8665623|99573490|765192601|65383693"/>
    <s v="GASTO FISICO"/>
    <b v="0"/>
    <s v="DEPOSITADO EN CUENTA"/>
  </r>
  <r>
    <s v="12 DE SEPTIEMBRE DE 2025"/>
    <x v="122"/>
    <s v="ROCÍO MONSERRAT     MONSALVE JIMÉNEZ"/>
    <n v="15178550"/>
    <s v="ROCÍO MONSERRAT     MONSALVE JIMÉNEZ"/>
    <d v="2025-01-01T00:00:00"/>
    <s v="INICIAL"/>
    <n v="765207318"/>
    <n v="765207318"/>
    <n v="179513"/>
    <n v="177718"/>
    <n v="1795"/>
    <n v="0"/>
    <n v="1795"/>
    <n v="765207318"/>
    <n v="285123"/>
    <s v="CORP DE BIENESTAR DEL PERSONAL DE A F P"/>
    <d v="2025-01-21T00:00:00"/>
    <d v="2025-01-21T00:00:00"/>
    <d v="2025-01-21T00:00:00"/>
    <d v="2025-01-21T00:00:00"/>
    <s v="AMBULATORIOS"/>
    <n v="22524658"/>
    <n v="1271320"/>
    <n v="68706585"/>
    <s v="TRASSA"/>
    <n v="26012025"/>
    <n v="77442"/>
    <s v="SAL"/>
    <s v="AM05"/>
    <s v="EXAMENES RADIOLOGICOS"/>
    <s v="EXAMENES RADIOLOGICOS"/>
    <s v="EXAMENES RADIOLOGICOS"/>
    <s v="IMED SALUD"/>
    <n v="0"/>
    <n v="76434593"/>
    <n v="2"/>
    <s v="CONSALUD"/>
    <s v="RMONSALV@AFPHABITAT.CL"/>
    <s v="15178550|76434593|765207318|765207318"/>
    <s v="IMED SALUD"/>
    <b v="1"/>
    <s v="APORTE VIA IMED"/>
  </r>
  <r>
    <s v="12 DE SEPTIEMBRE DE 2025"/>
    <x v="122"/>
    <s v="ROCÍO MONSERRAT     MONSALVE JIMÉNEZ"/>
    <n v="15178550"/>
    <s v="ROCÍO MONSERRAT     MONSALVE JIMÉNEZ"/>
    <d v="2025-03-01T00:00:00"/>
    <s v="DUPLICADO"/>
    <n v="765207318"/>
    <n v="65384260"/>
    <n v="1920"/>
    <n v="0"/>
    <n v="1920"/>
    <n v="0"/>
    <n v="1920"/>
    <n v="765207318"/>
    <n v="285123"/>
    <s v="CORP DE BIENESTAR DEL PERSONAL DE A F P"/>
    <d v="2025-03-01T00:00:00"/>
    <d v="2025-03-26T00:00:00"/>
    <d v="2025-01-21T00:00:00"/>
    <d v="2025-01-21T00:00:00"/>
    <s v="AMBULATORIOS"/>
    <n v="22770397"/>
    <n v="3311105"/>
    <n v="69251133"/>
    <s v="TRASSA"/>
    <n v="70407584"/>
    <n v="78070"/>
    <s v="SAL"/>
    <s v="AM05"/>
    <s v="EXAMENES RADIOLOGICOS"/>
    <s v="EXAMENES RADIOLOGICOS"/>
    <s v="EXAMENES RADIOLOGICOS"/>
    <n v="0"/>
    <n v="0"/>
    <n v="76434593"/>
    <n v="2"/>
    <s v="SIN ISAPRE"/>
    <s v="RMONSALV@AFPHABITAT.CL"/>
    <s v="15178550|76434593|765207318|65384260"/>
    <s v="GASTO FISICO"/>
    <b v="0"/>
    <s v="DEPOSITADO EN CUENTA"/>
  </r>
  <r>
    <s v="12 DE SEPTIEMBRE DE 2025"/>
    <x v="126"/>
    <s v="VALERIA ESMERALDA SEPULVEDA SEPULVEDA"/>
    <n v="9643668"/>
    <s v="VALERIA ESMERALDA SEPULVEDA SEPULVEDA"/>
    <d v="2025-01-01T00:00:00"/>
    <s v="INICIAL"/>
    <n v="765217627"/>
    <n v="765217627"/>
    <n v="9400"/>
    <n v="7921"/>
    <n v="1479"/>
    <n v="0"/>
    <n v="1479"/>
    <n v="765217627"/>
    <n v="285123"/>
    <s v="CORP DE BIENESTAR DEL PERSONAL DE A F P"/>
    <d v="2025-01-21T00:00:00"/>
    <d v="2025-01-21T00:00:00"/>
    <d v="2025-01-21T00:00:00"/>
    <d v="2025-01-21T00:00:00"/>
    <s v="AMBULATORIOS"/>
    <n v="22524637"/>
    <n v="1271320"/>
    <n v="68707045"/>
    <s v="TRASSA"/>
    <n v="26012025"/>
    <n v="77442"/>
    <s v="SAL"/>
    <s v="AM07"/>
    <s v="PROCEDIMIENTOS TERAPEUTICOS"/>
    <s v="PROCEDIMIENTOS TERAPEUTICOS"/>
    <s v="PROCEDIMIENTOS TERAPEUTICOS"/>
    <s v="IMED SALUD"/>
    <n v="0"/>
    <n v="76940110"/>
    <n v="5"/>
    <s v="CONSALUD"/>
    <s v="VSEPULVE@AFPHABITAT.CL"/>
    <s v="9643668|76940110|765217627|765217627"/>
    <s v="IMED SALUD"/>
    <b v="1"/>
    <s v="APORTE VIA IMED"/>
  </r>
  <r>
    <s v="12 DE SEPTIEMBRE DE 2025"/>
    <x v="126"/>
    <s v="VALERIA ESMERALDA SEPULVEDA SEPULVEDA"/>
    <n v="9643668"/>
    <s v="VALERIA ESMERALDA SEPULVEDA SEPULVEDA"/>
    <d v="2025-03-01T00:00:00"/>
    <s v="DUPLICADO"/>
    <n v="765217627"/>
    <n v="65383755"/>
    <n v="1536"/>
    <n v="0"/>
    <n v="1536"/>
    <n v="0"/>
    <n v="1536"/>
    <n v="765217627"/>
    <n v="285123"/>
    <s v="CORP DE BIENESTAR DEL PERSONAL DE A F P"/>
    <d v="2025-03-01T00:00:00"/>
    <d v="2025-03-26T00:00:00"/>
    <d v="2025-01-21T00:00:00"/>
    <d v="2025-01-21T00:00:00"/>
    <s v="AMBULATORIOS"/>
    <n v="22770392"/>
    <n v="3311105"/>
    <n v="69250645"/>
    <s v="TRASSA"/>
    <n v="580360901"/>
    <n v="78070"/>
    <s v="SAL"/>
    <s v="AM07"/>
    <s v="PROCEDIMIENTOS TERAPEUTICOS"/>
    <s v="PROCEDIMIENTOS TERAPEUTICOS"/>
    <s v="PROCEDIMIENTOS TERAPEUTICOS"/>
    <n v="0"/>
    <n v="0"/>
    <n v="76940110"/>
    <n v="5"/>
    <s v="SIN ISAPRE"/>
    <s v="VSEPULVE@AFPHABITAT.CL"/>
    <s v="9643668|76940110|765217627|65383755"/>
    <s v="GASTO FISICO"/>
    <b v="0"/>
    <s v="DEPOSITADO EN CUENTA"/>
  </r>
  <r>
    <s v="12 DE SEPTIEMBRE DE 2025"/>
    <x v="127"/>
    <s v="GENESIS YERAMI BLOISE RODRIGUEZ"/>
    <n v="26190532"/>
    <s v="GENESIS YERAMI BLOISE RODRIGUEZ"/>
    <d v="2025-01-01T00:00:00"/>
    <s v="INICIAL"/>
    <n v="765219136"/>
    <n v="765219136"/>
    <n v="114125"/>
    <n v="79888"/>
    <n v="34237"/>
    <n v="0"/>
    <n v="34237"/>
    <n v="765219136"/>
    <n v="285123"/>
    <s v="CORP DE BIENESTAR DEL PERSONAL DE A F P"/>
    <d v="2025-01-21T00:00:00"/>
    <d v="2025-01-21T00:00:00"/>
    <d v="2025-01-21T00:00:00"/>
    <d v="2025-01-21T00:00:00"/>
    <s v="AMBULATORIOS"/>
    <n v="22524678"/>
    <n v="1271320"/>
    <n v="68707116"/>
    <s v="TRASSA"/>
    <n v="26012025"/>
    <n v="77442"/>
    <s v="SAL"/>
    <s v="AM05"/>
    <s v="EXAMENES RADIOLOGICOS"/>
    <s v="EXAMENES RADIOLOGICOS"/>
    <s v="EXAMENES RADIOLOGICOS"/>
    <s v="IMED SALUD"/>
    <n v="0"/>
    <n v="78040520"/>
    <n v="1"/>
    <s v="CONSALUD"/>
    <s v="GENESIS.BLOISE@AFPHABITAT.CL"/>
    <s v="26190532|78040520|765219136|765219136"/>
    <s v="IMED SALUD"/>
    <b v="1"/>
    <s v="APORTE VIA IMED"/>
  </r>
  <r>
    <s v="12 DE SEPTIEMBRE DE 2025"/>
    <x v="127"/>
    <s v="GENESIS YERAMI BLOISE RODRIGUEZ"/>
    <n v="26190532"/>
    <s v="GENESIS YERAMI BLOISE RODRIGUEZ"/>
    <d v="2025-03-01T00:00:00"/>
    <s v="DUPLICADO"/>
    <n v="765219136"/>
    <n v="65384525"/>
    <n v="34184"/>
    <n v="0"/>
    <n v="34184"/>
    <n v="0"/>
    <n v="34184"/>
    <n v="765219136"/>
    <n v="285123"/>
    <s v="CORP DE BIENESTAR DEL PERSONAL DE A F P"/>
    <d v="2025-03-01T00:00:00"/>
    <d v="2025-03-26T00:00:00"/>
    <d v="2025-01-21T00:00:00"/>
    <d v="2025-01-21T00:00:00"/>
    <s v="AMBULATORIOS"/>
    <n v="22770400"/>
    <n v="3311105"/>
    <n v="69251388"/>
    <s v="TRASSA"/>
    <n v="19811327393"/>
    <n v="78070"/>
    <s v="SAL"/>
    <s v="AM05"/>
    <s v="EXAMENES RADIOLOGICOS"/>
    <s v="EXAMENES RADIOLOGICOS"/>
    <s v="EXAMENES RADIOLOGICOS"/>
    <n v="0"/>
    <n v="0"/>
    <n v="78040520"/>
    <n v="1"/>
    <s v="SIN ISAPRE"/>
    <s v="GENESIS.BLOISE@AFPHABITAT.CL"/>
    <s v="26190532|78040520|765219136|65384525"/>
    <s v="GASTO FISICO"/>
    <b v="0"/>
    <s v="DEPOSITADO EN CUENTA"/>
  </r>
  <r>
    <s v="12 DE SEPTIEMBRE DE 2025"/>
    <x v="128"/>
    <s v="MARIA FARIAS MIRANDA"/>
    <n v="9859164"/>
    <s v="MARIA FARIAS MIRANDA"/>
    <d v="2025-01-01T00:00:00"/>
    <s v="INICIAL"/>
    <n v="765223815"/>
    <n v="765223815"/>
    <n v="7059"/>
    <n v="4942"/>
    <n v="2117"/>
    <n v="0"/>
    <n v="2117"/>
    <n v="765223815"/>
    <n v="285123"/>
    <s v="CORP DE BIENESTAR DEL PERSONAL DE A F P"/>
    <d v="2025-01-22T00:00:00"/>
    <d v="2025-01-22T00:00:00"/>
    <d v="2025-01-22T00:00:00"/>
    <d v="2025-01-22T00:00:00"/>
    <s v="AMBULATORIOS"/>
    <n v="22524687"/>
    <n v="1271320"/>
    <n v="68707425"/>
    <s v="TRASSA"/>
    <n v="26012025"/>
    <n v="77442"/>
    <s v="SAL"/>
    <s v="AM04"/>
    <s v="EXAMENES DE LABORATORIO"/>
    <s v="EXAMENES DE LABORATORIO"/>
    <s v="EXAMENES DE LABORATORIO"/>
    <s v="IMED SALUD"/>
    <n v="0"/>
    <n v="96942400"/>
    <n v="2"/>
    <s v="CONSALUD"/>
    <s v="PFARIAS@AFPHABITAT.CL"/>
    <s v="9859164|96942400|765223815|765223815"/>
    <s v="IMED SALUD"/>
    <b v="1"/>
    <s v="APORTE VIA IMED"/>
  </r>
  <r>
    <s v="12 DE SEPTIEMBRE DE 2025"/>
    <x v="128"/>
    <s v="MARIA FARIAS MIRANDA"/>
    <n v="9859164"/>
    <s v="MARIA FARIAS MIRANDA"/>
    <d v="2025-03-01T00:00:00"/>
    <s v="DUPLICADO"/>
    <n v="765223815"/>
    <n v="65383767"/>
    <n v="2304"/>
    <n v="0"/>
    <n v="2304"/>
    <n v="0"/>
    <n v="2304"/>
    <n v="765223815"/>
    <n v="285123"/>
    <s v="CORP DE BIENESTAR DEL PERSONAL DE A F P"/>
    <d v="2025-03-01T00:00:00"/>
    <d v="2025-03-26T00:00:00"/>
    <d v="2025-01-22T00:00:00"/>
    <d v="2025-01-22T00:00:00"/>
    <s v="AMBULATORIOS"/>
    <n v="22770404"/>
    <n v="3311105"/>
    <n v="69250657"/>
    <s v="TRASSA"/>
    <n v="64002490"/>
    <n v="78070"/>
    <s v="SAL"/>
    <s v="AM04"/>
    <s v="EXAMENES DE LABORATORIO"/>
    <s v="EXAMENES DE LABORATORIO"/>
    <s v="EXAMENES DE LABORATORIO"/>
    <n v="0"/>
    <n v="0"/>
    <n v="96942400"/>
    <n v="2"/>
    <s v="SIN ISAPRE"/>
    <s v="PFARIAS@AFPHABITAT.CL"/>
    <s v="9859164|96942400|765223815|65383767"/>
    <s v="GASTO FISICO"/>
    <b v="0"/>
    <s v="DEPOSITADO EN CUENTA"/>
  </r>
  <r>
    <s v="12 DE SEPTIEMBRE DE 2025"/>
    <x v="31"/>
    <s v="handy nef LEIVA"/>
    <n v="8665623"/>
    <s v="handy nef LEIVA"/>
    <d v="2025-01-01T00:00:00"/>
    <s v="INICIAL"/>
    <n v="765227284"/>
    <n v="765227284"/>
    <n v="48170"/>
    <n v="33719"/>
    <n v="14451"/>
    <n v="0"/>
    <n v="14451"/>
    <n v="765227284"/>
    <n v="285123"/>
    <s v="CORP DE BIENESTAR DEL PERSONAL DE A F P"/>
    <d v="2025-01-22T00:00:00"/>
    <d v="2025-01-22T00:00:00"/>
    <d v="2025-01-22T00:00:00"/>
    <d v="2025-01-22T00:00:00"/>
    <s v="AMBULATORIOS"/>
    <n v="22524684"/>
    <n v="1271320"/>
    <n v="68707583"/>
    <s v="TRASSA"/>
    <n v="26012025"/>
    <n v="77442"/>
    <s v="SAL"/>
    <s v="AM05"/>
    <s v="EXAMENES RADIOLOGICOS"/>
    <s v="EXAMENES RADIOLOGICOS"/>
    <s v="EXAMENES RADIOLOGICOS"/>
    <s v="IMED SALUD"/>
    <n v="0"/>
    <n v="99540210"/>
    <n v="6"/>
    <s v="CONSALUD"/>
    <s v="HNEFLE@AFPHABITAT.CL"/>
    <s v="8665623|99540210|765227284|765227284"/>
    <s v="IMED SALUD"/>
    <b v="1"/>
    <s v="APORTE VIA IMED"/>
  </r>
  <r>
    <s v="12 DE SEPTIEMBRE DE 2025"/>
    <x v="31"/>
    <s v="handy nef LEIVA"/>
    <n v="8665623"/>
    <s v="handy nef LEIVA"/>
    <d v="2025-03-01T00:00:00"/>
    <s v="DUPLICADO"/>
    <n v="765227284"/>
    <n v="65383694"/>
    <n v="14210"/>
    <n v="0"/>
    <n v="14210"/>
    <n v="0"/>
    <n v="14210"/>
    <n v="765227284"/>
    <n v="285123"/>
    <s v="CORP DE BIENESTAR DEL PERSONAL DE A F P"/>
    <d v="2025-03-01T00:00:00"/>
    <d v="2025-03-26T00:00:00"/>
    <d v="2025-01-22T00:00:00"/>
    <d v="2025-01-22T00:00:00"/>
    <s v="AMBULATORIOS"/>
    <n v="22770402"/>
    <n v="3311105"/>
    <n v="69250585"/>
    <s v="TRASSA"/>
    <n v="61932348"/>
    <n v="78070"/>
    <s v="SAL"/>
    <s v="AM05"/>
    <s v="EXAMENES RADIOLOGICOS"/>
    <s v="EXAMENES RADIOLOGICOS"/>
    <s v="EXAMENES RADIOLOGICOS"/>
    <n v="0"/>
    <n v="0"/>
    <n v="99540210"/>
    <n v="6"/>
    <s v="SIN ISAPRE"/>
    <s v="HNEFLE@AFPHABITAT.CL"/>
    <s v="8665623|99540210|765227284|65383694"/>
    <s v="GASTO FISICO"/>
    <b v="0"/>
    <s v="DEPOSITADO EN CUENTA"/>
  </r>
  <r>
    <s v="12 DE SEPTIEMBRE DE 2025"/>
    <x v="31"/>
    <s v="handy nef LEIVA"/>
    <n v="8665623"/>
    <s v="handy nef LEIVA"/>
    <d v="2025-01-01T00:00:00"/>
    <s v="INICIAL"/>
    <n v="765227285"/>
    <n v="765227285"/>
    <n v="74776"/>
    <n v="52343"/>
    <n v="22433"/>
    <n v="0"/>
    <n v="22433"/>
    <n v="765227285"/>
    <n v="285123"/>
    <s v="CORP DE BIENESTAR DEL PERSONAL DE A F P"/>
    <d v="2025-01-22T00:00:00"/>
    <d v="2025-01-22T00:00:00"/>
    <d v="2025-01-22T00:00:00"/>
    <d v="2025-01-22T00:00:00"/>
    <s v="AMBULATORIOS"/>
    <n v="22524684"/>
    <n v="1271320"/>
    <n v="68707582"/>
    <s v="TRASSA"/>
    <n v="26012025"/>
    <n v="77442"/>
    <s v="SAL"/>
    <s v="AM07"/>
    <s v="PROCEDIMIENTOS TERAPEUTICOS"/>
    <s v="PROCEDIMIENTOS TERAPEUTICOS"/>
    <s v="PROCEDIMIENTOS TERAPEUTICOS"/>
    <s v="IMED SALUD"/>
    <n v="0"/>
    <n v="99540210"/>
    <n v="6"/>
    <s v="CONSALUD"/>
    <s v="HNEFLE@AFPHABITAT.CL"/>
    <s v="8665623|99540210|765227285|765227285"/>
    <s v="IMED SALUD"/>
    <b v="1"/>
    <s v="APORTE VIA IMED"/>
  </r>
  <r>
    <s v="12 DE SEPTIEMBRE DE 2025"/>
    <x v="31"/>
    <s v="handy nef LEIVA"/>
    <n v="8665623"/>
    <s v="handy nef LEIVA"/>
    <d v="2025-03-01T00:00:00"/>
    <s v="DUPLICADO"/>
    <n v="765227285"/>
    <n v="65383695"/>
    <n v="22275"/>
    <n v="0"/>
    <n v="22275"/>
    <n v="0"/>
    <n v="22275"/>
    <n v="765227285"/>
    <n v="285123"/>
    <s v="CORP DE BIENESTAR DEL PERSONAL DE A F P"/>
    <d v="2025-03-01T00:00:00"/>
    <d v="2025-03-26T00:00:00"/>
    <d v="2025-01-22T00:00:00"/>
    <d v="2025-01-22T00:00:00"/>
    <s v="AMBULATORIOS"/>
    <n v="22770402"/>
    <n v="3311105"/>
    <n v="69250586"/>
    <s v="TRASSA"/>
    <n v="61932348"/>
    <n v="78070"/>
    <s v="SAL"/>
    <s v="AM07"/>
    <s v="PROCEDIMIENTOS TERAPEUTICOS"/>
    <s v="PROCEDIMIENTOS TERAPEUTICOS"/>
    <s v="PROCEDIMIENTOS TERAPEUTICOS"/>
    <n v="0"/>
    <n v="0"/>
    <n v="99540210"/>
    <n v="6"/>
    <s v="SIN ISAPRE"/>
    <s v="HNEFLE@AFPHABITAT.CL"/>
    <s v="8665623|99540210|765227285|65383695"/>
    <s v="GASTO FISICO"/>
    <b v="0"/>
    <s v="DEPOSITADO EN CUENTA"/>
  </r>
  <r>
    <s v="12 DE SEPTIEMBRE DE 2025"/>
    <x v="129"/>
    <s v="TATIANA LAVIN SANCHEZ"/>
    <n v="20730089"/>
    <s v="VALENTINA SALDIAS LAVIN"/>
    <d v="2025-01-01T00:00:00"/>
    <s v="INICIAL"/>
    <n v="765233309"/>
    <n v="765233309"/>
    <n v="27878"/>
    <n v="26496"/>
    <n v="1382"/>
    <n v="0"/>
    <n v="1382"/>
    <n v="765233309"/>
    <n v="285123"/>
    <s v="CORP DE BIENESTAR DEL PERSONAL DE A F P"/>
    <d v="2025-01-22T00:00:00"/>
    <d v="2025-01-22T00:00:00"/>
    <d v="2025-01-22T00:00:00"/>
    <d v="2025-01-22T00:00:00"/>
    <s v="AMBULATORIOS"/>
    <n v="22524693"/>
    <n v="1271320"/>
    <n v="68707834"/>
    <s v="TRASSA"/>
    <n v="26012025"/>
    <n v="77442"/>
    <s v="SAL"/>
    <s v="AM05"/>
    <s v="EXAMENES RADIOLOGICOS"/>
    <s v="EXAMENES RADIOLOGICOS"/>
    <s v="EXAMENES RADIOLOGICOS"/>
    <s v="IMED SALUD"/>
    <n v="0"/>
    <n v="76098454"/>
    <s v="K"/>
    <s v="CONSALUD"/>
    <s v="TLAVINS@AFPHABITAT.CL"/>
    <s v="11883982|76098454|765233309|765233309"/>
    <s v="IMED SALUD"/>
    <b v="1"/>
    <s v="APORTE VIA IMED"/>
  </r>
  <r>
    <s v="12 DE SEPTIEMBRE DE 2025"/>
    <x v="129"/>
    <s v="TATIANA LAVIN SANCHEZ"/>
    <n v="20730089"/>
    <s v="VALENTINA SALDIAS LAVIN"/>
    <d v="2025-03-01T00:00:00"/>
    <s v="DUPLICADO"/>
    <n v="765233309"/>
    <n v="65383975"/>
    <n v="1152"/>
    <n v="0"/>
    <n v="1152"/>
    <n v="0"/>
    <n v="1152"/>
    <n v="765233309"/>
    <n v="285123"/>
    <s v="CORP DE BIENESTAR DEL PERSONAL DE A F P"/>
    <d v="2025-03-01T00:00:00"/>
    <d v="2025-03-26T00:00:00"/>
    <d v="2025-01-22T00:00:00"/>
    <d v="2025-01-22T00:00:00"/>
    <s v="AMBULATORIOS"/>
    <n v="22770407"/>
    <n v="3311105"/>
    <n v="69250863"/>
    <s v="TRASSA"/>
    <n v="13915402"/>
    <n v="78070"/>
    <s v="SAL"/>
    <s v="AM05"/>
    <s v="EXAMENES RADIOLOGICOS"/>
    <s v="EXAMENES RADIOLOGICOS"/>
    <s v="EXAMENES RADIOLOGICOS"/>
    <n v="0"/>
    <n v="0"/>
    <n v="76098454"/>
    <s v="K"/>
    <s v="SIN ISAPRE"/>
    <s v="TLAVINS@AFPHABITAT.CL"/>
    <s v="11883982|76098454|765233309|65383975"/>
    <s v="GASTO FISICO"/>
    <b v="0"/>
    <s v="DEPOSITADO EN CUENTA"/>
  </r>
  <r>
    <s v="12 DE SEPTIEMBRE DE 2025"/>
    <x v="130"/>
    <s v="ISABEL VIDAL MARQUEZ"/>
    <n v="6699584"/>
    <s v="ISABEL VIDAL MARQUEZ"/>
    <d v="2025-01-01T00:00:00"/>
    <s v="INICIAL"/>
    <n v="765246019"/>
    <n v="765246019"/>
    <n v="31382"/>
    <n v="25106"/>
    <n v="6276"/>
    <n v="0"/>
    <n v="6276"/>
    <n v="765246019"/>
    <n v="285123"/>
    <s v="CORP DE BIENESTAR DEL PERSONAL DE A F P"/>
    <d v="2025-01-23T00:00:00"/>
    <d v="2025-01-23T00:00:00"/>
    <d v="2025-01-23T00:00:00"/>
    <d v="2025-01-23T00:00:00"/>
    <s v="AMBULATORIOS"/>
    <n v="22524732"/>
    <n v="1271320"/>
    <n v="68708484"/>
    <s v="TRASSA"/>
    <n v="26012025"/>
    <n v="77442"/>
    <s v="SAL"/>
    <s v="AM04"/>
    <s v="EXAMENES DE LABORATORIO"/>
    <s v="EXAMENES DE LABORATORIO"/>
    <s v="EXAMENES DE LABORATORIO"/>
    <s v="IMED SALUD"/>
    <n v="0"/>
    <n v="96942400"/>
    <n v="2"/>
    <s v="CONSALUD"/>
    <s v="IVIDALM@AFPHABITAT.CL"/>
    <s v="6699584|96942400|765246019|765246019"/>
    <s v="IMED SALUD"/>
    <b v="1"/>
    <s v="APORTE VIA IMED"/>
  </r>
  <r>
    <s v="12 DE SEPTIEMBRE DE 2025"/>
    <x v="130"/>
    <s v="ISABEL VIDAL MARQUEZ"/>
    <n v="6699584"/>
    <s v="ISABEL VIDAL MARQUEZ"/>
    <d v="2025-03-01T00:00:00"/>
    <s v="DUPLICADO"/>
    <n v="765246019"/>
    <n v="65383594"/>
    <n v="6144"/>
    <n v="0"/>
    <n v="6144"/>
    <n v="0"/>
    <n v="6144"/>
    <n v="765246019"/>
    <n v="285123"/>
    <s v="CORP DE BIENESTAR DEL PERSONAL DE A F P"/>
    <d v="2025-03-01T00:00:00"/>
    <d v="2025-03-26T00:00:00"/>
    <d v="2025-01-23T00:00:00"/>
    <d v="2025-01-23T00:00:00"/>
    <s v="AMBULATORIOS"/>
    <n v="22770414"/>
    <n v="3311105"/>
    <n v="69250485"/>
    <s v="TRASSA"/>
    <n v="1591995006"/>
    <n v="78070"/>
    <s v="SAL"/>
    <s v="AM04"/>
    <s v="EXAMENES DE LABORATORIO"/>
    <s v="EXAMENES DE LABORATORIO"/>
    <s v="EXAMENES DE LABORATORIO"/>
    <n v="0"/>
    <n v="0"/>
    <n v="96942400"/>
    <n v="2"/>
    <s v="SIN ISAPRE"/>
    <s v="IVIDALM@AFPHABITAT.CL"/>
    <s v="6699584|96942400|765246019|65383594"/>
    <s v="GASTO FISICO"/>
    <b v="0"/>
    <s v="DEPOSITADO EN CUENTA"/>
  </r>
  <r>
    <s v="12 DE SEPTIEMBRE DE 2025"/>
    <x v="130"/>
    <s v="ISABEL VIDAL MARQUEZ"/>
    <n v="6699584"/>
    <s v="ISABEL VIDAL MARQUEZ"/>
    <d v="2025-01-01T00:00:00"/>
    <s v="INICIAL"/>
    <n v="765246020"/>
    <n v="765246020"/>
    <n v="39780"/>
    <n v="31824"/>
    <n v="7956"/>
    <n v="0"/>
    <n v="7956"/>
    <n v="765246020"/>
    <n v="285123"/>
    <s v="CORP DE BIENESTAR DEL PERSONAL DE A F P"/>
    <d v="2025-01-23T00:00:00"/>
    <d v="2025-01-23T00:00:00"/>
    <d v="2025-01-23T00:00:00"/>
    <d v="2025-01-23T00:00:00"/>
    <s v="AMBULATORIOS"/>
    <n v="22524732"/>
    <n v="1271320"/>
    <n v="68708483"/>
    <s v="TRASSA"/>
    <n v="26012025"/>
    <n v="77442"/>
    <s v="SAL"/>
    <s v="AM04"/>
    <s v="EXAMENES DE LABORATORIO"/>
    <s v="EXAMENES DE LABORATORIO"/>
    <s v="EXAMENES DE LABORATORIO"/>
    <s v="IMED SALUD"/>
    <n v="0"/>
    <n v="96942400"/>
    <n v="2"/>
    <s v="CONSALUD"/>
    <s v="IVIDALM@AFPHABITAT.CL"/>
    <s v="6699584|96942400|765246020|765246020"/>
    <s v="IMED SALUD"/>
    <b v="1"/>
    <s v="APORTE VIA IMED"/>
  </r>
  <r>
    <s v="12 DE SEPTIEMBRE DE 2025"/>
    <x v="130"/>
    <s v="ISABEL VIDAL MARQUEZ"/>
    <n v="6699584"/>
    <s v="ISABEL VIDAL MARQUEZ"/>
    <d v="2025-03-01T00:00:00"/>
    <s v="DUPLICADO"/>
    <n v="765246020"/>
    <n v="65383595"/>
    <n v="7680"/>
    <n v="0"/>
    <n v="7680"/>
    <n v="0"/>
    <n v="7680"/>
    <n v="765246020"/>
    <n v="285123"/>
    <s v="CORP DE BIENESTAR DEL PERSONAL DE A F P"/>
    <d v="2025-03-01T00:00:00"/>
    <d v="2025-03-26T00:00:00"/>
    <d v="2025-01-23T00:00:00"/>
    <d v="2025-01-23T00:00:00"/>
    <s v="AMBULATORIOS"/>
    <n v="22770414"/>
    <n v="3311105"/>
    <n v="69250486"/>
    <s v="TRASSA"/>
    <n v="1591995006"/>
    <n v="78070"/>
    <s v="SAL"/>
    <s v="AM04"/>
    <s v="EXAMENES DE LABORATORIO"/>
    <s v="EXAMENES DE LABORATORIO"/>
    <s v="EXAMENES DE LABORATORIO"/>
    <n v="0"/>
    <n v="0"/>
    <n v="96942400"/>
    <n v="2"/>
    <s v="SIN ISAPRE"/>
    <s v="IVIDALM@AFPHABITAT.CL"/>
    <s v="6699584|96942400|765246020|65383595"/>
    <s v="GASTO FISICO"/>
    <b v="0"/>
    <s v="DEPOSITADO EN CUENTA"/>
  </r>
  <r>
    <s v="12 DE SEPTIEMBRE DE 2025"/>
    <x v="131"/>
    <s v="HILDA BRIONES DE LA HOZ"/>
    <n v="10225415"/>
    <s v="HILDA BRIONES DE LA HOZ"/>
    <d v="2025-01-01T00:00:00"/>
    <s v="INICIAL"/>
    <n v="765247905"/>
    <n v="765247905"/>
    <n v="41600"/>
    <n v="27236"/>
    <n v="14364"/>
    <n v="0"/>
    <n v="14364"/>
    <n v="765247905"/>
    <n v="285123"/>
    <s v="CORP DE BIENESTAR DEL PERSONAL DE A F P"/>
    <d v="2025-01-23T00:00:00"/>
    <d v="2025-01-23T00:00:00"/>
    <d v="2025-01-23T00:00:00"/>
    <d v="2025-01-23T00:00:00"/>
    <s v="AMBULATORIOS"/>
    <n v="22524740"/>
    <n v="1271320"/>
    <n v="68708591"/>
    <s v="TRASSA"/>
    <n v="26012025"/>
    <n v="77442"/>
    <s v="SAL"/>
    <s v="AM05"/>
    <s v="EXAMENES RADIOLOGICOS"/>
    <s v="EXAMENES RADIOLOGICOS"/>
    <s v="EXAMENES RADIOLOGICOS"/>
    <s v="IMED SALUD"/>
    <n v="0"/>
    <n v="78040520"/>
    <n v="1"/>
    <s v="CONSALUD"/>
    <s v="HBRIONES@AFPHABITAT.CL"/>
    <s v="10225415|78040520|765247905|765247905"/>
    <s v="IMED SALUD"/>
    <b v="1"/>
    <s v="APORTE VIA IMED"/>
  </r>
  <r>
    <s v="12 DE SEPTIEMBRE DE 2025"/>
    <x v="131"/>
    <s v="HILDA BRIONES DE LA HOZ"/>
    <n v="10225415"/>
    <s v="HILDA BRIONES DE LA HOZ"/>
    <d v="2025-03-01T00:00:00"/>
    <s v="DUPLICADO"/>
    <n v="765247905"/>
    <n v="65383810"/>
    <n v="14209"/>
    <n v="0"/>
    <n v="14209"/>
    <n v="0"/>
    <n v="14209"/>
    <n v="765247905"/>
    <n v="285123"/>
    <s v="CORP DE BIENESTAR DEL PERSONAL DE A F P"/>
    <d v="2025-03-01T00:00:00"/>
    <d v="2025-03-26T00:00:00"/>
    <d v="2025-01-23T00:00:00"/>
    <d v="2025-01-23T00:00:00"/>
    <s v="AMBULATORIOS"/>
    <n v="22770418"/>
    <n v="3311105"/>
    <n v="69250699"/>
    <s v="TRASSA"/>
    <n v="62192095226"/>
    <n v="78070"/>
    <s v="SAL"/>
    <s v="AM05"/>
    <s v="EXAMENES RADIOLOGICOS"/>
    <s v="EXAMENES RADIOLOGICOS"/>
    <s v="EXAMENES RADIOLOGICOS"/>
    <n v="0"/>
    <n v="0"/>
    <n v="78040520"/>
    <n v="1"/>
    <s v="SIN ISAPRE"/>
    <s v="HBRIONES@AFPHABITAT.CL"/>
    <s v="10225415|78040520|765247905|65383810"/>
    <s v="GASTO FISICO"/>
    <b v="0"/>
    <s v="DEPOSITADO EN CUENTA"/>
  </r>
  <r>
    <s v="12 DE SEPTIEMBRE DE 2025"/>
    <x v="131"/>
    <s v="HILDA BRIONES DE LA HOZ"/>
    <n v="10225415"/>
    <s v="HILDA BRIONES DE LA HOZ"/>
    <d v="2025-01-01T00:00:00"/>
    <s v="INICIAL"/>
    <n v="765248414"/>
    <n v="765248414"/>
    <n v="136213"/>
    <n v="85426"/>
    <n v="50787"/>
    <n v="0"/>
    <n v="50787"/>
    <n v="765248414"/>
    <n v="285123"/>
    <s v="CORP DE BIENESTAR DEL PERSONAL DE A F P"/>
    <d v="2025-01-23T00:00:00"/>
    <d v="2025-01-23T00:00:00"/>
    <d v="2025-01-23T00:00:00"/>
    <d v="2025-01-23T00:00:00"/>
    <s v="AMBULATORIOS"/>
    <n v="22524740"/>
    <n v="1271320"/>
    <n v="68708621"/>
    <s v="TRASSA"/>
    <n v="26012025"/>
    <n v="77442"/>
    <s v="SAL"/>
    <s v="AM07"/>
    <s v="PROCEDIMIENTOS TERAPEUTICOS"/>
    <s v="PROCEDIMIENTOS TERAPEUTICOS"/>
    <s v="PROCEDIMIENTOS TERAPEUTICOS"/>
    <s v="IMED SALUD"/>
    <n v="0"/>
    <n v="78040520"/>
    <n v="1"/>
    <s v="CONSALUD"/>
    <s v="HBRIONES@AFPHABITAT.CL"/>
    <s v="10225415|78040520|765248414|765248414"/>
    <s v="IMED SALUD"/>
    <b v="1"/>
    <s v="APORTE VIA IMED"/>
  </r>
  <r>
    <s v="12 DE SEPTIEMBRE DE 2025"/>
    <x v="131"/>
    <s v="HILDA BRIONES DE LA HOZ"/>
    <n v="10225415"/>
    <s v="HILDA BRIONES DE LA HOZ"/>
    <d v="2025-03-01T00:00:00"/>
    <s v="DUPLICADO"/>
    <n v="765248414"/>
    <n v="65383811"/>
    <n v="50693"/>
    <n v="0"/>
    <n v="50693"/>
    <n v="0"/>
    <n v="50693"/>
    <n v="765248414"/>
    <n v="285123"/>
    <s v="CORP DE BIENESTAR DEL PERSONAL DE A F P"/>
    <d v="2025-03-01T00:00:00"/>
    <d v="2025-03-26T00:00:00"/>
    <d v="2025-01-23T00:00:00"/>
    <d v="2025-01-23T00:00:00"/>
    <s v="AMBULATORIOS"/>
    <n v="22770418"/>
    <n v="3311105"/>
    <n v="69250700"/>
    <s v="TRASSA"/>
    <n v="62192095226"/>
    <n v="78070"/>
    <s v="SAL"/>
    <s v="AM07"/>
    <s v="PROCEDIMIENTOS TERAPEUTICOS"/>
    <s v="PROCEDIMIENTOS TERAPEUTICOS"/>
    <s v="PROCEDIMIENTOS TERAPEUTICOS"/>
    <n v="0"/>
    <n v="0"/>
    <n v="78040520"/>
    <n v="1"/>
    <s v="SIN ISAPRE"/>
    <s v="HBRIONES@AFPHABITAT.CL"/>
    <s v="10225415|78040520|765248414|65383811"/>
    <s v="GASTO FISICO"/>
    <b v="0"/>
    <s v="DEPOSITADO EN CUENTA"/>
  </r>
  <r>
    <s v="12 DE SEPTIEMBRE DE 2025"/>
    <x v="131"/>
    <s v="HILDA BRIONES DE LA HOZ"/>
    <n v="10225415"/>
    <s v="HILDA BRIONES DE LA HOZ"/>
    <d v="2025-01-01T00:00:00"/>
    <s v="INICIAL"/>
    <n v="765248429"/>
    <n v="765248429"/>
    <n v="10048"/>
    <n v="6279"/>
    <n v="3769"/>
    <n v="0"/>
    <n v="3769"/>
    <n v="765248429"/>
    <n v="285123"/>
    <s v="CORP DE BIENESTAR DEL PERSONAL DE A F P"/>
    <d v="2025-01-23T00:00:00"/>
    <d v="2025-01-23T00:00:00"/>
    <d v="2025-01-23T00:00:00"/>
    <d v="2025-01-23T00:00:00"/>
    <s v="AMBULATORIOS"/>
    <n v="22524740"/>
    <n v="1271320"/>
    <n v="68708623"/>
    <s v="TRASSA"/>
    <n v="26012025"/>
    <n v="77442"/>
    <s v="SAL"/>
    <s v="AM07"/>
    <s v="PROCEDIMIENTOS TERAPEUTICOS"/>
    <s v="PROCEDIMIENTOS TERAPEUTICOS"/>
    <s v="PROCEDIMIENTOS TERAPEUTICOS"/>
    <s v="IMED SALUD"/>
    <n v="0"/>
    <n v="78040520"/>
    <n v="1"/>
    <s v="CONSALUD"/>
    <s v="HBRIONES@AFPHABITAT.CL"/>
    <s v="10225415|78040520|765248429|765248429"/>
    <s v="IMED SALUD"/>
    <b v="1"/>
    <s v="APORTE VIA IMED"/>
  </r>
  <r>
    <s v="12 DE SEPTIEMBRE DE 2025"/>
    <x v="131"/>
    <s v="HILDA BRIONES DE LA HOZ"/>
    <n v="10225415"/>
    <s v="HILDA BRIONES DE LA HOZ"/>
    <d v="2025-03-01T00:00:00"/>
    <s v="DUPLICADO"/>
    <n v="765248429"/>
    <n v="65383812"/>
    <n v="3840"/>
    <n v="0"/>
    <n v="3840"/>
    <n v="0"/>
    <n v="3840"/>
    <n v="765248429"/>
    <n v="285123"/>
    <s v="CORP DE BIENESTAR DEL PERSONAL DE A F P"/>
    <d v="2025-03-01T00:00:00"/>
    <d v="2025-03-26T00:00:00"/>
    <d v="2025-01-23T00:00:00"/>
    <d v="2025-01-23T00:00:00"/>
    <s v="AMBULATORIOS"/>
    <n v="22770418"/>
    <n v="3311105"/>
    <n v="69250701"/>
    <s v="TRASSA"/>
    <n v="62192095226"/>
    <n v="78070"/>
    <s v="SAL"/>
    <s v="AM07"/>
    <s v="PROCEDIMIENTOS TERAPEUTICOS"/>
    <s v="PROCEDIMIENTOS TERAPEUTICOS"/>
    <s v="PROCEDIMIENTOS TERAPEUTICOS"/>
    <n v="0"/>
    <n v="0"/>
    <n v="78040520"/>
    <n v="1"/>
    <s v="SIN ISAPRE"/>
    <s v="HBRIONES@AFPHABITAT.CL"/>
    <s v="10225415|78040520|765248429|65383812"/>
    <s v="GASTO FISICO"/>
    <b v="0"/>
    <s v="DEPOSITADO EN CUENTA"/>
  </r>
  <r>
    <s v="12 DE SEPTIEMBRE DE 2025"/>
    <x v="131"/>
    <s v="HILDA BRIONES DE LA HOZ"/>
    <n v="10225415"/>
    <s v="HILDA BRIONES DE LA HOZ"/>
    <d v="2025-01-01T00:00:00"/>
    <s v="INICIAL"/>
    <n v="765249950"/>
    <n v="765249950"/>
    <n v="57360"/>
    <n v="43789"/>
    <n v="13571"/>
    <n v="0"/>
    <n v="13571"/>
    <n v="765249950"/>
    <n v="285123"/>
    <s v="CORP DE BIENESTAR DEL PERSONAL DE A F P"/>
    <d v="2025-01-23T00:00:00"/>
    <d v="2025-01-23T00:00:00"/>
    <d v="2025-01-23T00:00:00"/>
    <d v="2025-01-23T00:00:00"/>
    <s v="AMBULATORIOS"/>
    <n v="22524740"/>
    <n v="1271320"/>
    <n v="68708696"/>
    <s v="TRASSA"/>
    <n v="26012025"/>
    <n v="77442"/>
    <s v="SAL"/>
    <s v="AM07"/>
    <s v="PROCEDIMIENTOS TERAPEUTICOS"/>
    <s v="PROCEDIMIENTOS TERAPEUTICOS"/>
    <s v="PROCEDIMIENTOS TERAPEUTICOS"/>
    <s v="IMED SALUD"/>
    <n v="0"/>
    <n v="78040520"/>
    <n v="1"/>
    <s v="CONSALUD"/>
    <s v="HBRIONES@AFPHABITAT.CL"/>
    <s v="10225415|78040520|765249950|765249950"/>
    <s v="IMED SALUD"/>
    <b v="1"/>
    <s v="APORTE VIA IMED"/>
  </r>
  <r>
    <s v="12 DE SEPTIEMBRE DE 2025"/>
    <x v="131"/>
    <s v="HILDA BRIONES DE LA HOZ"/>
    <n v="10225415"/>
    <s v="HILDA BRIONES DE LA HOZ"/>
    <d v="2025-03-01T00:00:00"/>
    <s v="DUPLICADO"/>
    <n v="765249950"/>
    <n v="65383813"/>
    <n v="13057"/>
    <n v="0"/>
    <n v="13057"/>
    <n v="0"/>
    <n v="13057"/>
    <n v="765249950"/>
    <n v="285123"/>
    <s v="CORP DE BIENESTAR DEL PERSONAL DE A F P"/>
    <d v="2025-03-01T00:00:00"/>
    <d v="2025-03-26T00:00:00"/>
    <d v="2025-01-23T00:00:00"/>
    <d v="2025-01-23T00:00:00"/>
    <s v="AMBULATORIOS"/>
    <n v="22770418"/>
    <n v="3311105"/>
    <n v="69250702"/>
    <s v="TRASSA"/>
    <n v="62192095226"/>
    <n v="78070"/>
    <s v="SAL"/>
    <s v="AM07"/>
    <s v="PROCEDIMIENTOS TERAPEUTICOS"/>
    <s v="PROCEDIMIENTOS TERAPEUTICOS"/>
    <s v="PROCEDIMIENTOS TERAPEUTICOS"/>
    <n v="0"/>
    <n v="0"/>
    <n v="78040520"/>
    <n v="1"/>
    <s v="SIN ISAPRE"/>
    <s v="HBRIONES@AFPHABITAT.CL"/>
    <s v="10225415|78040520|765249950|65383813"/>
    <s v="GASTO FISICO"/>
    <b v="0"/>
    <s v="DEPOSITADO EN CUENTA"/>
  </r>
  <r>
    <s v="12 DE SEPTIEMBRE DE 2025"/>
    <x v="130"/>
    <s v="ISABEL VIDAL MARQUEZ"/>
    <n v="6699584"/>
    <s v="ISABEL VIDAL MARQUEZ"/>
    <d v="2025-01-01T00:00:00"/>
    <s v="INICIAL"/>
    <n v="765253995"/>
    <n v="765253995"/>
    <n v="35880"/>
    <n v="28704"/>
    <n v="7176"/>
    <n v="0"/>
    <n v="7176"/>
    <n v="765253995"/>
    <n v="285123"/>
    <s v="CORP DE BIENESTAR DEL PERSONAL DE A F P"/>
    <d v="2025-01-24T00:00:00"/>
    <d v="2025-01-24T00:00:00"/>
    <d v="2025-01-24T00:00:00"/>
    <d v="2025-01-24T00:00:00"/>
    <s v="AMBULATORIOS"/>
    <n v="22524779"/>
    <n v="1271320"/>
    <n v="68708958"/>
    <s v="TRASSA"/>
    <n v="26012025"/>
    <n v="77442"/>
    <s v="SAL"/>
    <s v="AM04"/>
    <s v="EXAMENES DE LABORATORIO"/>
    <s v="EXAMENES DE LABORATORIO"/>
    <s v="EXAMENES DE LABORATORIO"/>
    <s v="IMED SALUD"/>
    <n v="0"/>
    <n v="96942400"/>
    <n v="2"/>
    <s v="CONSALUD"/>
    <s v="IVIDALM@AFPHABITAT.CL"/>
    <s v="6699584|96942400|765253995|765253995"/>
    <s v="IMED SALUD"/>
    <b v="1"/>
    <s v="APORTE VIA IMED"/>
  </r>
  <r>
    <s v="12 DE SEPTIEMBRE DE 2025"/>
    <x v="130"/>
    <s v="ISABEL VIDAL MARQUEZ"/>
    <n v="6699584"/>
    <s v="ISABEL VIDAL MARQUEZ"/>
    <d v="2025-03-01T00:00:00"/>
    <s v="DUPLICADO"/>
    <n v="765253995"/>
    <n v="65383596"/>
    <n v="7296"/>
    <n v="0"/>
    <n v="7296"/>
    <n v="0"/>
    <n v="7296"/>
    <n v="765253995"/>
    <n v="285123"/>
    <s v="CORP DE BIENESTAR DEL PERSONAL DE A F P"/>
    <d v="2025-03-01T00:00:00"/>
    <d v="2025-03-26T00:00:00"/>
    <d v="2025-01-24T00:00:00"/>
    <d v="2025-01-24T00:00:00"/>
    <s v="AMBULATORIOS"/>
    <n v="22770424"/>
    <n v="3311105"/>
    <n v="69250487"/>
    <s v="TRASSA"/>
    <n v="1591995006"/>
    <n v="78070"/>
    <s v="SAL"/>
    <s v="AM04"/>
    <s v="EXAMENES DE LABORATORIO"/>
    <s v="EXAMENES DE LABORATORIO"/>
    <s v="EXAMENES DE LABORATORIO"/>
    <n v="0"/>
    <n v="0"/>
    <n v="96942400"/>
    <n v="2"/>
    <s v="SIN ISAPRE"/>
    <s v="IVIDALM@AFPHABITAT.CL"/>
    <s v="6699584|96942400|765253995|65383596"/>
    <s v="GASTO FISICO"/>
    <b v="0"/>
    <s v="DEPOSITADO EN CUENTA"/>
  </r>
  <r>
    <s v="12 DE SEPTIEMBRE DE 2025"/>
    <x v="132"/>
    <s v="PATRICIO PINO QUINTANILLA"/>
    <n v="22896946"/>
    <s v="FERNANDA PINO HERRERA"/>
    <d v="2025-01-01T00:00:00"/>
    <s v="INICIAL"/>
    <n v="765255071"/>
    <n v="765255071"/>
    <n v="54270"/>
    <n v="37989"/>
    <n v="16281"/>
    <n v="0"/>
    <n v="16281"/>
    <n v="765255071"/>
    <n v="285123"/>
    <s v="CORP DE BIENESTAR DEL PERSONAL DE A F P"/>
    <d v="2025-01-24T00:00:00"/>
    <d v="2025-01-24T00:00:00"/>
    <d v="2025-01-24T00:00:00"/>
    <d v="2025-01-24T00:00:00"/>
    <s v="AMBULATORIOS"/>
    <n v="22524796"/>
    <n v="1271320"/>
    <n v="68709012"/>
    <s v="TRASSA"/>
    <n v="26012025"/>
    <n v="77442"/>
    <s v="SAL"/>
    <s v="AM04"/>
    <s v="EXAMENES DE LABORATORIO"/>
    <s v="EXAMENES DE LABORATORIO"/>
    <s v="EXAMENES DE LABORATORIO"/>
    <s v="IMED SALUD"/>
    <n v="0"/>
    <n v="92051000"/>
    <n v="0"/>
    <s v="CONSALUD"/>
    <s v="PPINOQ@AFPHABITAT.CL"/>
    <s v="12289972|92051000|765255071|765255071"/>
    <s v="IMED SALUD"/>
    <b v="1"/>
    <s v="APORTE VIA IMED"/>
  </r>
  <r>
    <s v="12 DE SEPTIEMBRE DE 2025"/>
    <x v="132"/>
    <s v="PATRICIO PINO QUINTANILLA"/>
    <n v="22896946"/>
    <s v="FERNANDA PINO HERRERA"/>
    <d v="2025-03-01T00:00:00"/>
    <s v="DUPLICADO"/>
    <n v="765255071"/>
    <n v="65384008"/>
    <n v="16512"/>
    <n v="0"/>
    <n v="16512"/>
    <n v="0"/>
    <n v="16512"/>
    <n v="765255071"/>
    <n v="285123"/>
    <s v="CORP DE BIENESTAR DEL PERSONAL DE A F P"/>
    <d v="2025-03-01T00:00:00"/>
    <d v="2025-03-26T00:00:00"/>
    <d v="2025-01-24T00:00:00"/>
    <d v="2025-01-24T00:00:00"/>
    <s v="AMBULATORIOS"/>
    <n v="22770428"/>
    <n v="3311105"/>
    <n v="69250896"/>
    <s v="TRASSA"/>
    <n v="1950178602"/>
    <n v="78070"/>
    <s v="SAL"/>
    <s v="AM04"/>
    <s v="EXAMENES DE LABORATORIO"/>
    <s v="EXAMENES DE LABORATORIO"/>
    <s v="EXAMENES DE LABORATORIO"/>
    <n v="0"/>
    <n v="0"/>
    <n v="92051000"/>
    <n v="0"/>
    <s v="SIN ISAPRE"/>
    <s v="PPINOQ@AFPHABITAT.CL"/>
    <s v="12289972|92051000|765255071|65384008"/>
    <s v="GASTO FISICO"/>
    <b v="0"/>
    <s v="DEPOSITADO EN CUENTA"/>
  </r>
  <r>
    <s v="12 DE SEPTIEMBRE DE 2025"/>
    <x v="133"/>
    <s v="JUAN CARLOS PINILLA RUIZ"/>
    <n v="8850540"/>
    <s v="JUAN CARLOS PINILLA RUIZ"/>
    <d v="2025-01-01T00:00:00"/>
    <s v="INICIAL"/>
    <n v="765258467"/>
    <n v="765258467"/>
    <n v="47112"/>
    <n v="37690"/>
    <n v="9422"/>
    <n v="0"/>
    <n v="9422"/>
    <n v="765258467"/>
    <n v="285123"/>
    <s v="CORP DE BIENESTAR DEL PERSONAL DE A F P"/>
    <d v="2025-01-24T00:00:00"/>
    <d v="2025-01-24T00:00:00"/>
    <d v="2025-01-24T00:00:00"/>
    <d v="2025-01-24T00:00:00"/>
    <s v="AMBULATORIOS"/>
    <n v="22524782"/>
    <n v="1271320"/>
    <n v="68709165"/>
    <s v="TRASSA"/>
    <n v="26012025"/>
    <n v="77442"/>
    <s v="SAL"/>
    <s v="AM05"/>
    <s v="EXAMENES RADIOLOGICOS"/>
    <s v="EXAMENES RADIOLOGICOS"/>
    <s v="EXAMENES RADIOLOGICOS"/>
    <s v="IMED SALUD"/>
    <n v="0"/>
    <n v="96942400"/>
    <n v="2"/>
    <s v="CONSALUD"/>
    <s v="JUANCARLOS.PINILLA@AFPHABITAT.CL"/>
    <s v="8850540|96942400|765258467|765258467"/>
    <s v="IMED SALUD"/>
    <b v="1"/>
    <s v="APORTE VIA IMED"/>
  </r>
  <r>
    <s v="12 DE SEPTIEMBRE DE 2025"/>
    <x v="133"/>
    <s v="JUAN CARLOS PINILLA RUIZ"/>
    <n v="8850540"/>
    <s v="JUAN CARLOS PINILLA RUIZ"/>
    <d v="2025-03-01T00:00:00"/>
    <s v="DUPLICADO"/>
    <n v="765258467"/>
    <n v="65383696"/>
    <n v="9600"/>
    <n v="0"/>
    <n v="9600"/>
    <n v="0"/>
    <n v="9600"/>
    <n v="765258467"/>
    <n v="285123"/>
    <s v="CORP DE BIENESTAR DEL PERSONAL DE A F P"/>
    <d v="2025-03-01T00:00:00"/>
    <d v="2025-03-26T00:00:00"/>
    <d v="2025-01-24T00:00:00"/>
    <d v="2025-01-24T00:00:00"/>
    <s v="AMBULATORIOS"/>
    <n v="22770426"/>
    <n v="3311105"/>
    <n v="69250587"/>
    <s v="TRASSA"/>
    <n v="9980499310"/>
    <n v="78070"/>
    <s v="SAL"/>
    <s v="AM05"/>
    <s v="EXAMENES RADIOLOGICOS"/>
    <s v="EXAMENES RADIOLOGICOS"/>
    <s v="EXAMENES RADIOLOGICOS"/>
    <n v="0"/>
    <n v="0"/>
    <n v="96942400"/>
    <n v="2"/>
    <s v="SIN ISAPRE"/>
    <s v="JUANCARLOS.PINILLA@AFPHABITAT.CL"/>
    <s v="8850540|96942400|765258467|65383696"/>
    <s v="GASTO FISICO"/>
    <b v="0"/>
    <s v="DEPOSITADO EN CUENTA"/>
  </r>
  <r>
    <s v="12 DE SEPTIEMBRE DE 2025"/>
    <x v="128"/>
    <s v="MARIA FARIAS MIRANDA"/>
    <n v="9859164"/>
    <s v="MARIA FARIAS MIRANDA"/>
    <d v="2025-01-01T00:00:00"/>
    <s v="INICIAL"/>
    <n v="765293001"/>
    <n v="765293001"/>
    <n v="4095"/>
    <n v="2867"/>
    <n v="1228"/>
    <n v="0"/>
    <n v="1228"/>
    <n v="765293001"/>
    <n v="285123"/>
    <s v="CORP DE BIENESTAR DEL PERSONAL DE A F P"/>
    <d v="2025-01-28T00:00:00"/>
    <d v="2025-01-28T00:00:00"/>
    <d v="2025-01-28T00:00:00"/>
    <d v="2025-01-28T00:00:00"/>
    <s v="AMBULATORIOS"/>
    <n v="22560855"/>
    <n v="2040929"/>
    <n v="68808576"/>
    <s v="TRASSA"/>
    <n v="2022025"/>
    <n v="77562"/>
    <s v="SAL"/>
    <s v="AM04"/>
    <s v="EXAMENES DE LABORATORIO"/>
    <s v="EXAMENES DE LABORATORIO"/>
    <s v="EXAMENES DE LABORATORIO"/>
    <s v="IMED SALUD"/>
    <n v="0"/>
    <n v="96942400"/>
    <n v="2"/>
    <s v="CONSALUD"/>
    <s v="PFARIAS@AFPHABITAT.CL"/>
    <s v="9859164|96942400|765293001|765293001"/>
    <s v="IMED SALUD"/>
    <b v="1"/>
    <s v="APORTE VIA IMED"/>
  </r>
  <r>
    <s v="12 DE SEPTIEMBRE DE 2025"/>
    <x v="128"/>
    <s v="MARIA FARIAS MIRANDA"/>
    <n v="9859164"/>
    <s v="MARIA FARIAS MIRANDA"/>
    <d v="2025-03-01T00:00:00"/>
    <s v="DUPLICADO"/>
    <n v="765293001"/>
    <n v="65383768"/>
    <n v="1150"/>
    <n v="0"/>
    <n v="1150"/>
    <n v="0"/>
    <n v="1150"/>
    <n v="765293001"/>
    <n v="285123"/>
    <s v="CORP DE BIENESTAR DEL PERSONAL DE A F P"/>
    <d v="2025-03-01T00:00:00"/>
    <d v="2025-03-26T00:00:00"/>
    <d v="2025-01-28T00:00:00"/>
    <d v="2025-01-28T00:00:00"/>
    <s v="AMBULATORIOS"/>
    <n v="22770450"/>
    <n v="3311105"/>
    <n v="69250658"/>
    <s v="TRASSA"/>
    <n v="64002490"/>
    <n v="78070"/>
    <s v="SAL"/>
    <s v="AM04"/>
    <s v="EXAMENES DE LABORATORIO"/>
    <s v="EXAMENES DE LABORATORIO"/>
    <s v="EXAMENES DE LABORATORIO"/>
    <n v="0"/>
    <n v="0"/>
    <n v="96942400"/>
    <n v="2"/>
    <s v="SIN ISAPRE"/>
    <s v="PFARIAS@AFPHABITAT.CL"/>
    <s v="9859164|96942400|765293001|65383768"/>
    <s v="GASTO FISICO"/>
    <b v="0"/>
    <s v="DEPOSITADO EN CUENTA"/>
  </r>
  <r>
    <s v="12 DE SEPTIEMBRE DE 2025"/>
    <x v="134"/>
    <s v="DAVID SEPULVEDA FUENTES"/>
    <n v="25625713"/>
    <s v="JUAN SEPULVEDA MARTINEZ"/>
    <d v="2025-01-01T00:00:00"/>
    <s v="INICIAL"/>
    <n v="765321783"/>
    <n v="765321783"/>
    <n v="11800"/>
    <n v="9442"/>
    <n v="2358"/>
    <n v="0"/>
    <n v="2358"/>
    <n v="765321783"/>
    <n v="285123"/>
    <s v="CORP DE BIENESTAR DEL PERSONAL DE A F P"/>
    <d v="2025-01-30T00:00:00"/>
    <d v="2025-01-30T00:00:00"/>
    <d v="2025-01-30T00:00:00"/>
    <d v="2025-01-30T00:00:00"/>
    <s v="AMBULATORIOS"/>
    <n v="22560969"/>
    <n v="2040929"/>
    <n v="68810049"/>
    <s v="TRASSA"/>
    <n v="2022025"/>
    <n v="77562"/>
    <s v="SAL"/>
    <s v="AM04"/>
    <s v="EXAMENES DE LABORATORIO"/>
    <s v="EXAMENES DE LABORATORIO"/>
    <s v="EXAMENES DE LABORATORIO"/>
    <s v="IMED SALUD"/>
    <n v="0"/>
    <n v="76021365"/>
    <n v="9"/>
    <s v="CONSALUD"/>
    <s v="DSEPULVE@AFPHABITAT.CL"/>
    <s v="14324544|76021365|765321783|765321783"/>
    <s v="IMED SALUD"/>
    <b v="1"/>
    <s v="APORTE VIA IMED"/>
  </r>
  <r>
    <s v="12 DE SEPTIEMBRE DE 2025"/>
    <x v="134"/>
    <s v="DAVID SEPULVEDA FUENTES"/>
    <n v="25625713"/>
    <s v="JUAN SEPULVEDA MARTINEZ"/>
    <d v="2025-03-01T00:00:00"/>
    <s v="DUPLICADO"/>
    <n v="765321783"/>
    <n v="65384224"/>
    <n v="2683"/>
    <n v="0"/>
    <n v="2683"/>
    <n v="0"/>
    <n v="2683"/>
    <n v="765321783"/>
    <n v="285123"/>
    <s v="CORP DE BIENESTAR DEL PERSONAL DE A F P"/>
    <d v="2025-03-01T00:00:00"/>
    <d v="2025-03-26T00:00:00"/>
    <d v="2025-01-30T00:00:00"/>
    <d v="2025-01-30T00:00:00"/>
    <s v="AMBULATORIOS"/>
    <n v="22770474"/>
    <n v="3311105"/>
    <n v="69251099"/>
    <s v="TRASSA"/>
    <n v="203132009"/>
    <n v="78070"/>
    <s v="SAL"/>
    <s v="AM04"/>
    <s v="EXAMENES DE LABORATORIO"/>
    <s v="EXAMENES DE LABORATORIO"/>
    <s v="EXAMENES DE LABORATORIO"/>
    <n v="0"/>
    <n v="0"/>
    <n v="76021365"/>
    <n v="9"/>
    <s v="SIN ISAPRE"/>
    <s v="DSEPULVE@AFPHABITAT.CL"/>
    <s v="14324544|76021365|765321783|65384224"/>
    <s v="GASTO FISICO"/>
    <b v="0"/>
    <s v="DEPOSITADO EN CUENTA"/>
  </r>
  <r>
    <s v="12 DE SEPTIEMBRE DE 2025"/>
    <x v="134"/>
    <s v="DAVID SEPULVEDA FUENTES"/>
    <n v="25625713"/>
    <s v="JUAN SEPULVEDA MARTINEZ"/>
    <d v="2025-01-01T00:00:00"/>
    <s v="INICIAL"/>
    <n v="765321784"/>
    <n v="765321784"/>
    <n v="14940"/>
    <n v="12335"/>
    <n v="2605"/>
    <n v="0"/>
    <n v="2605"/>
    <n v="765321784"/>
    <n v="285123"/>
    <s v="CORP DE BIENESTAR DEL PERSONAL DE A F P"/>
    <d v="2025-01-30T00:00:00"/>
    <d v="2025-01-30T00:00:00"/>
    <d v="2025-01-30T00:00:00"/>
    <d v="2025-01-30T00:00:00"/>
    <s v="AMBULATORIOS"/>
    <n v="22560969"/>
    <n v="2040929"/>
    <n v="68810048"/>
    <s v="TRASSA"/>
    <n v="2022025"/>
    <n v="77562"/>
    <s v="SAL"/>
    <s v="AM04"/>
    <s v="EXAMENES DE LABORATORIO"/>
    <s v="EXAMENES DE LABORATORIO"/>
    <s v="EXAMENES DE LABORATORIO"/>
    <s v="IMED SALUD"/>
    <n v="0"/>
    <n v="76021365"/>
    <n v="9"/>
    <s v="CONSALUD"/>
    <s v="DSEPULVE@AFPHABITAT.CL"/>
    <s v="14324544|76021365|765321784|765321784"/>
    <s v="IMED SALUD"/>
    <b v="1"/>
    <s v="APORTE VIA IMED"/>
  </r>
  <r>
    <s v="12 DE SEPTIEMBRE DE 2025"/>
    <x v="134"/>
    <s v="DAVID SEPULVEDA FUENTES"/>
    <n v="25625713"/>
    <s v="JUAN SEPULVEDA MARTINEZ"/>
    <d v="2025-03-01T00:00:00"/>
    <s v="DUPLICADO"/>
    <n v="765321784"/>
    <n v="65384225"/>
    <n v="3067"/>
    <n v="0"/>
    <n v="3067"/>
    <n v="0"/>
    <n v="3067"/>
    <n v="765321784"/>
    <n v="285123"/>
    <s v="CORP DE BIENESTAR DEL PERSONAL DE A F P"/>
    <d v="2025-03-01T00:00:00"/>
    <d v="2025-03-26T00:00:00"/>
    <d v="2025-01-30T00:00:00"/>
    <d v="2025-01-30T00:00:00"/>
    <s v="AMBULATORIOS"/>
    <n v="22770474"/>
    <n v="3311105"/>
    <n v="69251100"/>
    <s v="TRASSA"/>
    <n v="203132009"/>
    <n v="78070"/>
    <s v="SAL"/>
    <s v="AM04"/>
    <s v="EXAMENES DE LABORATORIO"/>
    <s v="EXAMENES DE LABORATORIO"/>
    <s v="EXAMENES DE LABORATORIO"/>
    <n v="0"/>
    <n v="0"/>
    <n v="76021365"/>
    <n v="9"/>
    <s v="SIN ISAPRE"/>
    <s v="DSEPULVE@AFPHABITAT.CL"/>
    <s v="14324544|76021365|765321784|65384225"/>
    <s v="GASTO FISICO"/>
    <b v="0"/>
    <s v="DEPOSITADO EN CUENTA"/>
  </r>
  <r>
    <s v="12 DE SEPTIEMBRE DE 2025"/>
    <x v="135"/>
    <s v="NICOLAS SEPULVEDA GOMEZ"/>
    <n v="20921634"/>
    <s v="DANAE SEPULVEDA UNDURRAGA"/>
    <d v="2025-01-01T00:00:00"/>
    <s v="INICIAL"/>
    <n v="765333067"/>
    <n v="765333067"/>
    <n v="23556"/>
    <n v="18845"/>
    <n v="4711"/>
    <n v="0"/>
    <n v="4711"/>
    <n v="765333067"/>
    <n v="285123"/>
    <s v="CORP DE BIENESTAR DEL PERSONAL DE A F P"/>
    <d v="2025-01-30T00:00:00"/>
    <d v="2025-01-30T00:00:00"/>
    <d v="2025-01-30T00:00:00"/>
    <d v="2025-01-30T00:00:00"/>
    <s v="AMBULATORIOS"/>
    <n v="22560964"/>
    <n v="2040929"/>
    <n v="68810620"/>
    <s v="TRASSA"/>
    <n v="2022025"/>
    <n v="77562"/>
    <s v="SAL"/>
    <s v="AM05"/>
    <s v="EXAMENES RADIOLOGICOS"/>
    <s v="EXAMENES RADIOLOGICOS"/>
    <s v="EXAMENES RADIOLOGICOS"/>
    <s v="IMED SALUD"/>
    <n v="0"/>
    <n v="96942400"/>
    <n v="2"/>
    <s v="CONSALUD"/>
    <s v="NICOLAS.SEPULVEDA@AFPHABITAT.CL"/>
    <s v="13281122|96942400|765333067|765333067"/>
    <s v="IMED SALUD"/>
    <b v="1"/>
    <s v="APORTE VIA IMED"/>
  </r>
  <r>
    <s v="12 DE SEPTIEMBRE DE 2025"/>
    <x v="135"/>
    <s v="NICOLAS SEPULVEDA GOMEZ"/>
    <n v="20921634"/>
    <s v="DANAE SEPULVEDA UNDURRAGA"/>
    <d v="2025-03-01T00:00:00"/>
    <s v="DUPLICADO"/>
    <n v="765333067"/>
    <n v="65384107"/>
    <n v="4606"/>
    <n v="0"/>
    <n v="4606"/>
    <n v="0"/>
    <n v="4606"/>
    <n v="765333067"/>
    <n v="285123"/>
    <s v="CORP DE BIENESTAR DEL PERSONAL DE A F P"/>
    <d v="2025-03-01T00:00:00"/>
    <d v="2025-03-26T00:00:00"/>
    <d v="2025-01-30T00:00:00"/>
    <d v="2025-01-30T00:00:00"/>
    <s v="AMBULATORIOS"/>
    <n v="22770472"/>
    <n v="3311105"/>
    <n v="69250992"/>
    <s v="TRASSA"/>
    <n v="210929341"/>
    <n v="78070"/>
    <s v="SAL"/>
    <s v="AM05"/>
    <s v="EXAMENES RADIOLOGICOS"/>
    <s v="EXAMENES RADIOLOGICOS"/>
    <s v="EXAMENES RADIOLOGICOS"/>
    <n v="0"/>
    <n v="0"/>
    <n v="96942400"/>
    <n v="2"/>
    <s v="SIN ISAPRE"/>
    <s v="NICOLAS.SEPULVEDA@AFPHABITAT.CL"/>
    <s v="13281122|96942400|765333067|65384107"/>
    <s v="GASTO FISICO"/>
    <b v="0"/>
    <s v="DEPOSITADO EN CUENTA"/>
  </r>
  <r>
    <s v="12 DE SEPTIEMBRE DE 2025"/>
    <x v="129"/>
    <s v="TATIANA LAVIN SANCHEZ"/>
    <n v="20730089"/>
    <s v="VALENTINA SALDIAS LAVIN"/>
    <d v="2025-01-01T00:00:00"/>
    <s v="INICIAL"/>
    <n v="765341401"/>
    <n v="765341401"/>
    <n v="23426"/>
    <n v="22841"/>
    <n v="585"/>
    <n v="0"/>
    <n v="585"/>
    <n v="765341401"/>
    <n v="285123"/>
    <s v="CORP DE BIENESTAR DEL PERSONAL DE A F P"/>
    <d v="2025-01-31T00:00:00"/>
    <d v="2025-01-31T00:00:00"/>
    <d v="2025-01-31T00:00:00"/>
    <d v="2025-01-31T00:00:00"/>
    <s v="AMBULATORIOS"/>
    <n v="22561002"/>
    <n v="2040929"/>
    <n v="68811017"/>
    <s v="TRASSA"/>
    <n v="2022025"/>
    <n v="77562"/>
    <s v="SAL"/>
    <s v="AM05"/>
    <s v="EXAMENES RADIOLOGICOS"/>
    <s v="EXAMENES RADIOLOGICOS"/>
    <s v="EXAMENES RADIOLOGICOS"/>
    <s v="IMED SALUD"/>
    <n v="0"/>
    <n v="76098454"/>
    <s v="K"/>
    <s v="CONSALUD"/>
    <s v="TLAVINS@AFPHABITAT.CL"/>
    <s v="11883982|76098454|765341401|765341401"/>
    <s v="IMED SALUD"/>
    <b v="1"/>
    <s v="APORTE VIA IMED"/>
  </r>
  <r>
    <s v="12 DE SEPTIEMBRE DE 2025"/>
    <x v="129"/>
    <s v="TATIANA LAVIN SANCHEZ"/>
    <n v="20730089"/>
    <s v="VALENTINA SALDIAS LAVIN"/>
    <d v="2025-03-01T00:00:00"/>
    <s v="DUPLICADO"/>
    <n v="765341401"/>
    <n v="65383976"/>
    <n v="383"/>
    <n v="0"/>
    <n v="383"/>
    <n v="0"/>
    <n v="383"/>
    <n v="765341401"/>
    <n v="285123"/>
    <s v="CORP DE BIENESTAR DEL PERSONAL DE A F P"/>
    <d v="2025-03-01T00:00:00"/>
    <d v="2025-03-26T00:00:00"/>
    <d v="2025-01-31T00:00:00"/>
    <d v="2025-01-31T00:00:00"/>
    <s v="AMBULATORIOS"/>
    <n v="22770484"/>
    <n v="3311105"/>
    <n v="69250864"/>
    <s v="TRASSA"/>
    <n v="13915402"/>
    <n v="78070"/>
    <s v="SAL"/>
    <s v="AM05"/>
    <s v="EXAMENES RADIOLOGICOS"/>
    <s v="EXAMENES RADIOLOGICOS"/>
    <s v="EXAMENES RADIOLOGICOS"/>
    <n v="0"/>
    <n v="0"/>
    <n v="76098454"/>
    <s v="K"/>
    <s v="SIN ISAPRE"/>
    <s v="TLAVINS@AFPHABITAT.CL"/>
    <s v="11883982|76098454|765341401|65383976"/>
    <s v="GASTO FISICO"/>
    <b v="0"/>
    <s v="DEPOSITADO EN CUENTA"/>
  </r>
  <r>
    <s v="12 DE SEPTIEMBRE DE 2025"/>
    <x v="129"/>
    <s v="TATIANA LAVIN SANCHEZ"/>
    <n v="20730089"/>
    <s v="VALENTINA SALDIAS LAVIN"/>
    <d v="2025-01-01T00:00:00"/>
    <s v="INICIAL"/>
    <n v="765341433"/>
    <n v="765341433"/>
    <n v="26554"/>
    <n v="25237"/>
    <n v="1317"/>
    <n v="0"/>
    <n v="1317"/>
    <n v="765341433"/>
    <n v="285123"/>
    <s v="CORP DE BIENESTAR DEL PERSONAL DE A F P"/>
    <d v="2025-01-31T00:00:00"/>
    <d v="2025-01-31T00:00:00"/>
    <d v="2025-01-31T00:00:00"/>
    <d v="2025-01-31T00:00:00"/>
    <s v="AMBULATORIOS"/>
    <n v="22561002"/>
    <n v="2040929"/>
    <n v="68811018"/>
    <s v="TRASSA"/>
    <n v="2022025"/>
    <n v="77562"/>
    <s v="SAL"/>
    <s v="AM05"/>
    <s v="EXAMENES RADIOLOGICOS"/>
    <s v="EXAMENES RADIOLOGICOS"/>
    <s v="EXAMENES RADIOLOGICOS"/>
    <s v="IMED SALUD"/>
    <n v="0"/>
    <n v="76098454"/>
    <s v="K"/>
    <s v="CONSALUD"/>
    <s v="TLAVINS@AFPHABITAT.CL"/>
    <s v="11883982|76098454|765341433|765341433"/>
    <s v="IMED SALUD"/>
    <b v="1"/>
    <s v="APORTE VIA IMED"/>
  </r>
  <r>
    <s v="12 DE SEPTIEMBRE DE 2025"/>
    <x v="129"/>
    <s v="TATIANA LAVIN SANCHEZ"/>
    <n v="20730089"/>
    <s v="VALENTINA SALDIAS LAVIN"/>
    <d v="2025-03-01T00:00:00"/>
    <s v="DUPLICADO"/>
    <n v="765341433"/>
    <n v="65383977"/>
    <n v="1535"/>
    <n v="0"/>
    <n v="1535"/>
    <n v="0"/>
    <n v="1535"/>
    <n v="765341433"/>
    <n v="285123"/>
    <s v="CORP DE BIENESTAR DEL PERSONAL DE A F P"/>
    <d v="2025-03-01T00:00:00"/>
    <d v="2025-03-26T00:00:00"/>
    <d v="2025-01-31T00:00:00"/>
    <d v="2025-01-31T00:00:00"/>
    <s v="AMBULATORIOS"/>
    <n v="22770484"/>
    <n v="3311105"/>
    <n v="69250865"/>
    <s v="TRASSA"/>
    <n v="13915402"/>
    <n v="78070"/>
    <s v="SAL"/>
    <s v="AM05"/>
    <s v="EXAMENES RADIOLOGICOS"/>
    <s v="EXAMENES RADIOLOGICOS"/>
    <s v="EXAMENES RADIOLOGICOS"/>
    <n v="0"/>
    <n v="0"/>
    <n v="76098454"/>
    <s v="K"/>
    <s v="SIN ISAPRE"/>
    <s v="TLAVINS@AFPHABITAT.CL"/>
    <s v="11883982|76098454|765341433|65383977"/>
    <s v="GASTO FISICO"/>
    <b v="0"/>
    <s v="DEPOSITADO EN CUENTA"/>
  </r>
  <r>
    <s v="12 DE SEPTIEMBRE DE 2025"/>
    <x v="129"/>
    <s v="TATIANA LAVIN SANCHEZ"/>
    <n v="20730089"/>
    <s v="VALENTINA SALDIAS LAVIN"/>
    <d v="2025-01-01T00:00:00"/>
    <s v="INICIAL"/>
    <n v="765341537"/>
    <n v="765341537"/>
    <n v="8688"/>
    <n v="8252"/>
    <n v="436"/>
    <n v="0"/>
    <n v="436"/>
    <n v="765341537"/>
    <n v="285123"/>
    <s v="CORP DE BIENESTAR DEL PERSONAL DE A F P"/>
    <d v="2025-01-31T00:00:00"/>
    <d v="2025-01-31T00:00:00"/>
    <d v="2025-01-31T00:00:00"/>
    <d v="2025-01-31T00:00:00"/>
    <s v="AMBULATORIOS"/>
    <n v="22561002"/>
    <n v="2040929"/>
    <n v="68811025"/>
    <s v="TRASSA"/>
    <n v="2022025"/>
    <n v="77562"/>
    <s v="SAL"/>
    <s v="AM04"/>
    <s v="EXAMENES DE LABORATORIO"/>
    <s v="EXAMENES DE LABORATORIO"/>
    <s v="EXAMENES DE LABORATORIO"/>
    <s v="IMED SALUD"/>
    <n v="0"/>
    <n v="96986050"/>
    <n v="3"/>
    <s v="CONSALUD"/>
    <s v="TLAVINS@AFPHABITAT.CL"/>
    <s v="11883982|96986050|765341537|765341537"/>
    <s v="IMED SALUD"/>
    <b v="1"/>
    <s v="APORTE VIA IMED"/>
  </r>
  <r>
    <s v="12 DE SEPTIEMBRE DE 2025"/>
    <x v="129"/>
    <s v="TATIANA LAVIN SANCHEZ"/>
    <n v="20730089"/>
    <s v="VALENTINA SALDIAS LAVIN"/>
    <d v="2025-03-01T00:00:00"/>
    <s v="DUPLICADO"/>
    <n v="765341537"/>
    <n v="65383978"/>
    <n v="383"/>
    <n v="0"/>
    <n v="383"/>
    <n v="0"/>
    <n v="383"/>
    <n v="765341537"/>
    <n v="285123"/>
    <s v="CORP DE BIENESTAR DEL PERSONAL DE A F P"/>
    <d v="2025-03-01T00:00:00"/>
    <d v="2025-03-26T00:00:00"/>
    <d v="2025-01-31T00:00:00"/>
    <d v="2025-01-31T00:00:00"/>
    <s v="AMBULATORIOS"/>
    <n v="22770484"/>
    <n v="3311105"/>
    <n v="69250866"/>
    <s v="TRASSA"/>
    <n v="13915402"/>
    <n v="78070"/>
    <s v="SAL"/>
    <s v="AM04"/>
    <s v="EXAMENES DE LABORATORIO"/>
    <s v="EXAMENES DE LABORATORIO"/>
    <s v="EXAMENES DE LABORATORIO"/>
    <n v="0"/>
    <n v="0"/>
    <n v="96986050"/>
    <n v="3"/>
    <s v="SIN ISAPRE"/>
    <s v="TLAVINS@AFPHABITAT.CL"/>
    <s v="11883982|96986050|765341537|65383978"/>
    <s v="GASTO FISICO"/>
    <b v="0"/>
    <s v="DEPOSITADO EN CUENTA"/>
  </r>
  <r>
    <s v="12 DE SEPTIEMBRE DE 2025"/>
    <x v="136"/>
    <s v="RAUL EDUARDO BUSTAMANTE CANTERO"/>
    <n v="11739910"/>
    <s v="RAUL EDUARDO BUSTAMANTE CANTERO"/>
    <d v="2025-02-01T00:00:00"/>
    <s v="INICIAL"/>
    <n v="765348438"/>
    <n v="765348438"/>
    <n v="47483"/>
    <n v="33238"/>
    <n v="14245"/>
    <n v="0"/>
    <n v="14245"/>
    <n v="765348438"/>
    <n v="285123"/>
    <s v="CORP DE BIENESTAR DEL PERSONAL DE A F P"/>
    <d v="2025-02-01T00:00:00"/>
    <d v="2025-02-01T00:00:00"/>
    <d v="2025-02-01T00:00:00"/>
    <d v="2025-02-01T00:00:00"/>
    <s v="AMBULATORIOS"/>
    <n v="22566098"/>
    <n v="2101551"/>
    <n v="68819549"/>
    <s v="TRASSA"/>
    <n v="9022025"/>
    <n v="77586"/>
    <s v="SAL"/>
    <s v="AM04"/>
    <s v="EXAMENES DE LABORATORIO"/>
    <s v="EXAMENES DE LABORATORIO"/>
    <s v="EXAMENES DE LABORATORIO"/>
    <s v="IMED SALUD"/>
    <n v="0"/>
    <n v="78053560"/>
    <n v="1"/>
    <s v="CONSALUD"/>
    <s v="RBUSTAMA@AFPHABITAT.CL"/>
    <s v="11739910|78053560|765348438|765348438"/>
    <s v="IMED SALUD"/>
    <b v="1"/>
    <s v="APORTE VIA IMED"/>
  </r>
  <r>
    <s v="12 DE SEPTIEMBRE DE 2025"/>
    <x v="136"/>
    <s v="RAUL EDUARDO BUSTAMANTE CANTERO"/>
    <n v="11739910"/>
    <s v="RAUL EDUARDO BUSTAMANTE CANTERO"/>
    <d v="2025-03-01T00:00:00"/>
    <s v="DUPLICADO"/>
    <n v="765348438"/>
    <n v="65383953"/>
    <n v="14199"/>
    <n v="0"/>
    <n v="14199"/>
    <n v="0"/>
    <n v="14199"/>
    <n v="765348438"/>
    <n v="285123"/>
    <s v="CORP DE BIENESTAR DEL PERSONAL DE A F P"/>
    <d v="2025-03-01T00:00:00"/>
    <d v="2025-03-26T00:00:00"/>
    <d v="2025-02-01T00:00:00"/>
    <d v="2025-02-01T00:00:00"/>
    <s v="AMBULATORIOS"/>
    <n v="22770504"/>
    <n v="3311105"/>
    <n v="69250841"/>
    <s v="TRASSA"/>
    <n v="2650102250127"/>
    <n v="78070"/>
    <s v="SAL"/>
    <s v="AM04"/>
    <s v="EXAMENES DE LABORATORIO"/>
    <s v="EXAMENES DE LABORATORIO"/>
    <s v="EXAMENES DE LABORATORIO"/>
    <n v="0"/>
    <n v="0"/>
    <n v="78053560"/>
    <n v="1"/>
    <s v="SIN ISAPRE"/>
    <s v="RBUSTAMA@AFPHABITAT.CL"/>
    <s v="11739910|78053560|765348438|65383953"/>
    <s v="GASTO FISICO"/>
    <b v="0"/>
    <s v="DEPOSITADO EN CUENTA"/>
  </r>
  <r>
    <s v="12 DE SEPTIEMBRE DE 2025"/>
    <x v="136"/>
    <s v="RAUL EDUARDO BUSTAMANTE CANTERO"/>
    <n v="11739910"/>
    <s v="RAUL EDUARDO BUSTAMANTE CANTERO"/>
    <d v="2025-02-01T00:00:00"/>
    <s v="INICIAL"/>
    <n v="765348439"/>
    <n v="765348439"/>
    <n v="63650"/>
    <n v="44556"/>
    <n v="19094"/>
    <n v="0"/>
    <n v="19094"/>
    <n v="765348439"/>
    <n v="285123"/>
    <s v="CORP DE BIENESTAR DEL PERSONAL DE A F P"/>
    <d v="2025-02-01T00:00:00"/>
    <d v="2025-02-01T00:00:00"/>
    <d v="2025-02-01T00:00:00"/>
    <d v="2025-02-01T00:00:00"/>
    <s v="AMBULATORIOS"/>
    <n v="22566098"/>
    <n v="2101551"/>
    <n v="68819548"/>
    <s v="TRASSA"/>
    <n v="9022025"/>
    <n v="77586"/>
    <s v="SAL"/>
    <s v="AM04"/>
    <s v="EXAMENES DE LABORATORIO"/>
    <s v="EXAMENES DE LABORATORIO"/>
    <s v="EXAMENES DE LABORATORIO"/>
    <s v="IMED SALUD"/>
    <n v="0"/>
    <n v="78053560"/>
    <n v="1"/>
    <s v="CONSALUD"/>
    <s v="RBUSTAMA@AFPHABITAT.CL"/>
    <s v="11739910|78053560|765348439|765348439"/>
    <s v="IMED SALUD"/>
    <b v="1"/>
    <s v="APORTE VIA IMED"/>
  </r>
  <r>
    <s v="12 DE SEPTIEMBRE DE 2025"/>
    <x v="136"/>
    <s v="RAUL EDUARDO BUSTAMANTE CANTERO"/>
    <n v="11739910"/>
    <s v="RAUL EDUARDO BUSTAMANTE CANTERO"/>
    <d v="2025-03-01T00:00:00"/>
    <s v="DUPLICADO"/>
    <n v="765348439"/>
    <n v="65383954"/>
    <n v="18804"/>
    <n v="0"/>
    <n v="18804"/>
    <n v="0"/>
    <n v="18804"/>
    <n v="765348439"/>
    <n v="285123"/>
    <s v="CORP DE BIENESTAR DEL PERSONAL DE A F P"/>
    <d v="2025-03-01T00:00:00"/>
    <d v="2025-03-26T00:00:00"/>
    <d v="2025-02-01T00:00:00"/>
    <d v="2025-02-01T00:00:00"/>
    <s v="AMBULATORIOS"/>
    <n v="22770504"/>
    <n v="3311105"/>
    <n v="69250842"/>
    <s v="TRASSA"/>
    <n v="2650102250127"/>
    <n v="78070"/>
    <s v="SAL"/>
    <s v="AM04"/>
    <s v="EXAMENES DE LABORATORIO"/>
    <s v="EXAMENES DE LABORATORIO"/>
    <s v="EXAMENES DE LABORATORIO"/>
    <n v="0"/>
    <n v="0"/>
    <n v="78053560"/>
    <n v="1"/>
    <s v="SIN ISAPRE"/>
    <s v="RBUSTAMA@AFPHABITAT.CL"/>
    <s v="11739910|78053560|765348439|65383954"/>
    <s v="GASTO FISICO"/>
    <b v="0"/>
    <s v="DEPOSITADO EN CUENTA"/>
  </r>
  <r>
    <s v="12 DE SEPTIEMBRE DE 2025"/>
    <x v="136"/>
    <s v="RAUL EDUARDO BUSTAMANTE CANTERO"/>
    <n v="11739910"/>
    <s v="RAUL EDUARDO BUSTAMANTE CANTERO"/>
    <d v="2025-02-01T00:00:00"/>
    <s v="INICIAL"/>
    <n v="765348440"/>
    <n v="765348440"/>
    <n v="1525"/>
    <n v="1068"/>
    <n v="457"/>
    <n v="0"/>
    <n v="457"/>
    <n v="765348440"/>
    <n v="285123"/>
    <s v="CORP DE BIENESTAR DEL PERSONAL DE A F P"/>
    <d v="2025-02-01T00:00:00"/>
    <d v="2025-02-01T00:00:00"/>
    <d v="2025-02-01T00:00:00"/>
    <d v="2025-02-01T00:00:00"/>
    <s v="AMBULATORIOS"/>
    <n v="22566098"/>
    <n v="2101551"/>
    <n v="68819547"/>
    <s v="TRASSA"/>
    <n v="9022025"/>
    <n v="77586"/>
    <s v="SAL"/>
    <s v="AM04"/>
    <s v="EXAMENES DE LABORATORIO"/>
    <s v="EXAMENES DE LABORATORIO"/>
    <s v="EXAMENES DE LABORATORIO"/>
    <s v="IMED SALUD"/>
    <n v="0"/>
    <n v="78053560"/>
    <n v="1"/>
    <s v="CONSALUD"/>
    <s v="RBUSTAMA@AFPHABITAT.CL"/>
    <s v="11739910|78053560|765348440|765348440"/>
    <s v="IMED SALUD"/>
    <b v="1"/>
    <s v="APORTE VIA IMED"/>
  </r>
  <r>
    <s v="12 DE SEPTIEMBRE DE 2025"/>
    <x v="136"/>
    <s v="RAUL EDUARDO BUSTAMANTE CANTERO"/>
    <n v="11739910"/>
    <s v="RAUL EDUARDO BUSTAMANTE CANTERO"/>
    <d v="2025-03-01T00:00:00"/>
    <s v="DUPLICADO"/>
    <n v="765348440"/>
    <n v="65383955"/>
    <n v="383"/>
    <n v="0"/>
    <n v="383"/>
    <n v="0"/>
    <n v="383"/>
    <n v="765348440"/>
    <n v="285123"/>
    <s v="CORP DE BIENESTAR DEL PERSONAL DE A F P"/>
    <d v="2025-03-01T00:00:00"/>
    <d v="2025-03-26T00:00:00"/>
    <d v="2025-02-01T00:00:00"/>
    <d v="2025-02-01T00:00:00"/>
    <s v="AMBULATORIOS"/>
    <n v="22770504"/>
    <n v="3311105"/>
    <n v="69250843"/>
    <s v="TRASSA"/>
    <n v="2650102250127"/>
    <n v="78070"/>
    <s v="SAL"/>
    <s v="AM04"/>
    <s v="EXAMENES DE LABORATORIO"/>
    <s v="EXAMENES DE LABORATORIO"/>
    <s v="EXAMENES DE LABORATORIO"/>
    <n v="0"/>
    <n v="0"/>
    <n v="78053560"/>
    <n v="1"/>
    <s v="SIN ISAPRE"/>
    <s v="RBUSTAMA@AFPHABITAT.CL"/>
    <s v="11739910|78053560|765348440|65383955"/>
    <s v="GASTO FISICO"/>
    <b v="0"/>
    <s v="DEPOSITADO EN CUENTA"/>
  </r>
  <r>
    <s v="12 DE SEPTIEMBRE DE 2025"/>
    <x v="136"/>
    <s v="RAUL EDUARDO BUSTAMANTE CANTERO"/>
    <n v="11739910"/>
    <s v="RAUL EDUARDO BUSTAMANTE CANTERO"/>
    <d v="2025-02-01T00:00:00"/>
    <s v="INICIAL"/>
    <n v="765348486"/>
    <n v="765348486"/>
    <n v="35923"/>
    <n v="25147"/>
    <n v="10776"/>
    <n v="0"/>
    <n v="10776"/>
    <n v="765348486"/>
    <n v="285123"/>
    <s v="CORP DE BIENESTAR DEL PERSONAL DE A F P"/>
    <d v="2025-02-01T00:00:00"/>
    <d v="2025-02-01T00:00:00"/>
    <d v="2025-02-01T00:00:00"/>
    <d v="2025-02-01T00:00:00"/>
    <s v="AMBULATORIOS"/>
    <n v="22566098"/>
    <n v="2101551"/>
    <n v="68819550"/>
    <s v="TRASSA"/>
    <n v="9022025"/>
    <n v="77586"/>
    <s v="SAL"/>
    <s v="AM04"/>
    <s v="EXAMENES DE LABORATORIO"/>
    <s v="EXAMENES DE LABORATORIO"/>
    <s v="EXAMENES DE LABORATORIO"/>
    <s v="IMED SALUD"/>
    <n v="0"/>
    <n v="78053560"/>
    <n v="1"/>
    <s v="CONSALUD"/>
    <s v="RBUSTAMA@AFPHABITAT.CL"/>
    <s v="11739910|78053560|765348486|765348486"/>
    <s v="IMED SALUD"/>
    <b v="1"/>
    <s v="APORTE VIA IMED"/>
  </r>
  <r>
    <s v="12 DE SEPTIEMBRE DE 2025"/>
    <x v="136"/>
    <s v="RAUL EDUARDO BUSTAMANTE CANTERO"/>
    <n v="11739910"/>
    <s v="RAUL EDUARDO BUSTAMANTE CANTERO"/>
    <d v="2025-03-01T00:00:00"/>
    <s v="DUPLICADO"/>
    <n v="765348486"/>
    <n v="65383956"/>
    <n v="10746"/>
    <n v="0"/>
    <n v="10746"/>
    <n v="0"/>
    <n v="10746"/>
    <n v="765348486"/>
    <n v="285123"/>
    <s v="CORP DE BIENESTAR DEL PERSONAL DE A F P"/>
    <d v="2025-03-01T00:00:00"/>
    <d v="2025-03-26T00:00:00"/>
    <d v="2025-02-01T00:00:00"/>
    <d v="2025-02-01T00:00:00"/>
    <s v="AMBULATORIOS"/>
    <n v="22770504"/>
    <n v="3311105"/>
    <n v="69250844"/>
    <s v="TRASSA"/>
    <n v="2650102250127"/>
    <n v="78070"/>
    <s v="SAL"/>
    <s v="AM04"/>
    <s v="EXAMENES DE LABORATORIO"/>
    <s v="EXAMENES DE LABORATORIO"/>
    <s v="EXAMENES DE LABORATORIO"/>
    <n v="0"/>
    <n v="0"/>
    <n v="78053560"/>
    <n v="1"/>
    <s v="SIN ISAPRE"/>
    <s v="RBUSTAMA@AFPHABITAT.CL"/>
    <s v="11739910|78053560|765348486|65383956"/>
    <s v="GASTO FISICO"/>
    <b v="0"/>
    <s v="DEPOSITADO EN CUENTA"/>
  </r>
  <r>
    <s v="12 DE SEPTIEMBRE DE 2025"/>
    <x v="136"/>
    <s v="RAUL EDUARDO BUSTAMANTE CANTERO"/>
    <n v="11739910"/>
    <s v="RAUL EDUARDO BUSTAMANTE CANTERO"/>
    <d v="2025-02-01T00:00:00"/>
    <s v="INICIAL"/>
    <n v="765353794"/>
    <n v="765353794"/>
    <n v="377495"/>
    <n v="364288"/>
    <n v="13207"/>
    <n v="0"/>
    <n v="13207"/>
    <n v="765353794"/>
    <n v="285123"/>
    <s v="CORP DE BIENESTAR DEL PERSONAL DE A F P"/>
    <d v="2025-02-01T00:00:00"/>
    <d v="2025-02-01T00:00:00"/>
    <d v="2025-02-01T00:00:00"/>
    <d v="2025-02-01T00:00:00"/>
    <s v="AMBULATORIOS"/>
    <n v="22566098"/>
    <n v="2101551"/>
    <n v="68819901"/>
    <s v="TRASSA"/>
    <n v="9022025"/>
    <n v="77586"/>
    <s v="SAL"/>
    <s v="AM05"/>
    <s v="EXAMENES RADIOLOGICOS"/>
    <s v="EXAMENES RADIOLOGICOS"/>
    <s v="EXAMENES RADIOLOGICOS"/>
    <s v="IMED SALUD"/>
    <n v="0"/>
    <n v="96923250"/>
    <n v="2"/>
    <s v="CONSALUD"/>
    <s v="RBUSTAMA@AFPHABITAT.CL"/>
    <s v="11739910|96923250|765353794|765353794"/>
    <s v="IMED SALUD"/>
    <b v="1"/>
    <s v="APORTE VIA IMED"/>
  </r>
  <r>
    <s v="12 DE SEPTIEMBRE DE 2025"/>
    <x v="136"/>
    <s v="RAUL EDUARDO BUSTAMANTE CANTERO"/>
    <n v="11739910"/>
    <s v="RAUL EDUARDO BUSTAMANTE CANTERO"/>
    <d v="2025-03-01T00:00:00"/>
    <s v="DUPLICADO"/>
    <n v="765353794"/>
    <n v="65383957"/>
    <n v="57956"/>
    <n v="0"/>
    <n v="57956"/>
    <n v="0"/>
    <n v="57956"/>
    <n v="765353794"/>
    <n v="285123"/>
    <s v="CORP DE BIENESTAR DEL PERSONAL DE A F P"/>
    <d v="2025-03-01T00:00:00"/>
    <d v="2025-03-26T00:00:00"/>
    <d v="2025-02-01T00:00:00"/>
    <d v="2025-02-01T00:00:00"/>
    <s v="AMBULATORIOS"/>
    <n v="22770504"/>
    <n v="3311105"/>
    <n v="69250845"/>
    <s v="TRASSA"/>
    <n v="2650102250127"/>
    <n v="78070"/>
    <s v="SAL"/>
    <s v="AM05"/>
    <s v="EXAMENES RADIOLOGICOS"/>
    <s v="EXAMENES RADIOLOGICOS"/>
    <s v="EXAMENES RADIOLOGICOS"/>
    <n v="0"/>
    <n v="0"/>
    <n v="96923250"/>
    <n v="2"/>
    <s v="SIN ISAPRE"/>
    <s v="RBUSTAMA@AFPHABITAT.CL"/>
    <s v="11739910|96923250|765353794|65383957"/>
    <s v="GASTO FISICO"/>
    <b v="0"/>
    <s v="DEPOSITADO EN CUENTA"/>
  </r>
  <r>
    <s v="12 DE SEPTIEMBRE DE 2025"/>
    <x v="137"/>
    <s v="JACOB MORALES PINO"/>
    <n v="5666964"/>
    <s v="JACOB MORALES PINO"/>
    <d v="2025-02-01T00:00:00"/>
    <s v="INICIAL"/>
    <n v="765359753"/>
    <n v="765359753"/>
    <n v="23200"/>
    <n v="16240"/>
    <n v="6960"/>
    <n v="0"/>
    <n v="6960"/>
    <n v="765359753"/>
    <n v="285123"/>
    <s v="CORP DE BIENESTAR DEL PERSONAL DE A F P"/>
    <d v="2025-02-03T00:00:00"/>
    <d v="2025-02-03T00:00:00"/>
    <d v="2025-02-03T00:00:00"/>
    <d v="2025-02-03T00:00:00"/>
    <s v="AMBULATORIOS"/>
    <n v="22566112"/>
    <n v="2101551"/>
    <n v="68820165"/>
    <s v="TRASSA"/>
    <n v="9022025"/>
    <n v="77586"/>
    <s v="SAL"/>
    <s v="AM07"/>
    <s v="PROCEDIMIENTOS TERAPEUTICOS"/>
    <s v="PROCEDIMIENTOS TERAPEUTICOS"/>
    <s v="PROCEDIMIENTOS TERAPEUTICOS"/>
    <s v="IMED SALUD"/>
    <n v="0"/>
    <n v="96942400"/>
    <n v="2"/>
    <s v="CONSALUD"/>
    <s v="JMORALES@AFPHABITAT.CL"/>
    <s v="5666964|96942400|765359753|765359753"/>
    <s v="IMED SALUD"/>
    <b v="1"/>
    <s v="APORTE VIA IMED"/>
  </r>
  <r>
    <s v="12 DE SEPTIEMBRE DE 2025"/>
    <x v="137"/>
    <s v="JACOB MORALES PINO"/>
    <n v="5666964"/>
    <s v="JACOB MORALES PINO"/>
    <d v="2025-03-01T00:00:00"/>
    <s v="DUPLICADO"/>
    <n v="765359753"/>
    <n v="65383581"/>
    <n v="6907"/>
    <n v="0"/>
    <n v="6907"/>
    <n v="0"/>
    <n v="6907"/>
    <n v="765359753"/>
    <n v="285123"/>
    <s v="CORP DE BIENESTAR DEL PERSONAL DE A F P"/>
    <d v="2025-03-01T00:00:00"/>
    <d v="2025-03-26T00:00:00"/>
    <d v="2025-02-03T00:00:00"/>
    <d v="2025-02-03T00:00:00"/>
    <s v="AMBULATORIOS"/>
    <n v="22770510"/>
    <n v="3311105"/>
    <n v="69250472"/>
    <s v="TRASSA"/>
    <n v="1592172209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JMORALES@AFPHABITAT.CL"/>
    <s v="5666964|96942400|765359753|65383581"/>
    <s v="GASTO FISICO"/>
    <b v="0"/>
    <s v="DEPOSITADO EN CUENTA"/>
  </r>
  <r>
    <s v="12 DE SEPTIEMBRE DE 2025"/>
    <x v="138"/>
    <s v="NANCY TAPIA FUENTES"/>
    <n v="9484485"/>
    <s v="NANCY TAPIA FUENTES"/>
    <d v="2025-02-01T00:00:00"/>
    <s v="INICIAL"/>
    <n v="765367934"/>
    <n v="765367934"/>
    <n v="18375"/>
    <n v="8763"/>
    <n v="9612"/>
    <n v="0"/>
    <n v="9612"/>
    <n v="765367934"/>
    <n v="285123"/>
    <s v="CORP DE BIENESTAR DEL PERSONAL DE A F P"/>
    <d v="2025-02-03T00:00:00"/>
    <d v="2025-02-03T00:00:00"/>
    <d v="2025-02-03T00:00:00"/>
    <d v="2025-02-03T00:00:00"/>
    <s v="AMBULATORIOS"/>
    <n v="22566115"/>
    <n v="2101551"/>
    <n v="68820575"/>
    <s v="TRASSA"/>
    <n v="9022025"/>
    <n v="77586"/>
    <s v="SAL"/>
    <s v="AM07"/>
    <s v="PROCEDIMIENTOS TERAPEUTICOS"/>
    <s v="PROCEDIMIENTOS TERAPEUTICOS"/>
    <s v="PROCEDIMIENTOS TERAPEUTICOS"/>
    <s v="IMED SALUD"/>
    <n v="0"/>
    <n v="71023600"/>
    <n v="3"/>
    <s v="CONSALUD"/>
    <s v="NTAPIA@AFPHABITAT.CL"/>
    <s v="9484485|71023600|765367934|765367934"/>
    <s v="IMED SALUD"/>
    <b v="1"/>
    <s v="APORTE VIA IMED"/>
  </r>
  <r>
    <s v="12 DE SEPTIEMBRE DE 2025"/>
    <x v="138"/>
    <s v="NANCY TAPIA FUENTES"/>
    <n v="9484485"/>
    <s v="NANCY TAPIA FUENTES"/>
    <d v="2025-03-01T00:00:00"/>
    <s v="DUPLICADO"/>
    <n v="765367934"/>
    <n v="65383739"/>
    <n v="8826"/>
    <n v="0"/>
    <n v="8826"/>
    <n v="0"/>
    <n v="8826"/>
    <n v="765367934"/>
    <n v="285123"/>
    <s v="CORP DE BIENESTAR DEL PERSONAL DE A F P"/>
    <d v="2025-03-01T00:00:00"/>
    <d v="2025-03-26T00:00:00"/>
    <d v="2025-02-03T00:00:00"/>
    <d v="2025-02-03T00:00:00"/>
    <s v="AMBULATORIOS"/>
    <n v="22770511"/>
    <n v="3311105"/>
    <n v="69250629"/>
    <s v="TRASSA"/>
    <n v="1702833996"/>
    <n v="78070"/>
    <s v="SAL"/>
    <s v="AM07"/>
    <s v="PROCEDIMIENTOS TERAPEUTICOS"/>
    <s v="PROCEDIMIENTOS TERAPEUTICOS"/>
    <s v="PROCEDIMIENTOS TERAPEUTICOS"/>
    <n v="0"/>
    <n v="0"/>
    <n v="71023600"/>
    <n v="3"/>
    <s v="SIN ISAPRE"/>
    <s v="NTAPIA@AFPHABITAT.CL"/>
    <s v="9484485|71023600|765367934|65383739"/>
    <s v="GASTO FISICO"/>
    <b v="0"/>
    <s v="DEPOSITADO EN CUENTA"/>
  </r>
  <r>
    <s v="12 DE SEPTIEMBRE DE 2025"/>
    <x v="119"/>
    <s v="KATHERINE HERNANDEZ SALAZAR"/>
    <n v="15889855"/>
    <s v="KATHERINE HERNANDEZ SALAZAR"/>
    <d v="2025-02-01T00:00:00"/>
    <s v="INICIAL"/>
    <n v="765377100"/>
    <n v="765377100"/>
    <n v="28086"/>
    <n v="22469"/>
    <n v="5617"/>
    <n v="0"/>
    <n v="5617"/>
    <n v="765377100"/>
    <n v="285123"/>
    <s v="CORP DE BIENESTAR DEL PERSONAL DE A F P"/>
    <d v="2025-02-04T00:00:00"/>
    <d v="2025-02-04T00:00:00"/>
    <d v="2025-02-04T00:00:00"/>
    <d v="2025-02-04T00:00:00"/>
    <s v="AMBULATORIOS"/>
    <n v="22566181"/>
    <n v="2101551"/>
    <n v="68821074"/>
    <s v="TRASSA"/>
    <n v="9022025"/>
    <n v="77586"/>
    <s v="SAL"/>
    <s v="AM05"/>
    <s v="EXAMENES RADIOLOGICOS"/>
    <s v="EXAMENES RADIOLOGICOS"/>
    <s v="EXAMENES RADIOLOGICOS"/>
    <s v="IMED SALUD"/>
    <n v="0"/>
    <n v="76098454"/>
    <s v="K"/>
    <s v="CONSALUD"/>
    <s v="KHERNAND@AFPHABITAT.CL"/>
    <s v="15889855|76098454|765377100|765377100"/>
    <s v="IMED SALUD"/>
    <b v="1"/>
    <s v="APORTE VIA IMED"/>
  </r>
  <r>
    <s v="12 DE SEPTIEMBRE DE 2025"/>
    <x v="119"/>
    <s v="KATHERINE HERNANDEZ SALAZAR"/>
    <n v="15889855"/>
    <s v="KATHERINE HERNANDEZ SALAZAR"/>
    <d v="2025-03-01T00:00:00"/>
    <s v="DUPLICADO"/>
    <n v="765377100"/>
    <n v="65384338"/>
    <n v="5756"/>
    <n v="0"/>
    <n v="5756"/>
    <n v="0"/>
    <n v="5756"/>
    <n v="765377100"/>
    <n v="285123"/>
    <s v="CORP DE BIENESTAR DEL PERSONAL DE A F P"/>
    <d v="2025-03-01T00:00:00"/>
    <d v="2025-03-26T00:00:00"/>
    <d v="2025-02-04T00:00:00"/>
    <d v="2025-02-04T00:00:00"/>
    <s v="AMBULATORIOS"/>
    <n v="22770534"/>
    <n v="3311105"/>
    <n v="69251221"/>
    <s v="TRASSA"/>
    <n v="976121708"/>
    <n v="78070"/>
    <s v="SAL"/>
    <s v="AM05"/>
    <s v="EXAMENES RADIOLOGICOS"/>
    <s v="EXAMENES RADIOLOGICOS"/>
    <s v="EXAMENES RADIOLOGICOS"/>
    <n v="0"/>
    <n v="0"/>
    <n v="76098454"/>
    <s v="K"/>
    <s v="SIN ISAPRE"/>
    <s v="KHERNAND@AFPHABITAT.CL"/>
    <s v="15889855|76098454|765377100|65384338"/>
    <s v="GASTO FISICO"/>
    <b v="0"/>
    <s v="DEPOSITADO EN CUENTA"/>
  </r>
  <r>
    <s v="12 DE SEPTIEMBRE DE 2025"/>
    <x v="119"/>
    <s v="KATHERINE HERNANDEZ SALAZAR"/>
    <n v="15889855"/>
    <s v="KATHERINE HERNANDEZ SALAZAR"/>
    <d v="2025-02-01T00:00:00"/>
    <s v="INICIAL"/>
    <n v="765377138"/>
    <n v="765377138"/>
    <n v="34348"/>
    <n v="27478"/>
    <n v="6870"/>
    <n v="0"/>
    <n v="6870"/>
    <n v="765377138"/>
    <n v="285123"/>
    <s v="CORP DE BIENESTAR DEL PERSONAL DE A F P"/>
    <d v="2025-02-04T00:00:00"/>
    <d v="2025-02-04T00:00:00"/>
    <d v="2025-02-04T00:00:00"/>
    <d v="2025-02-04T00:00:00"/>
    <s v="AMBULATORIOS"/>
    <n v="22566181"/>
    <n v="2101551"/>
    <n v="68821075"/>
    <s v="TRASSA"/>
    <n v="9022025"/>
    <n v="77586"/>
    <s v="SAL"/>
    <s v="AM05"/>
    <s v="EXAMENES RADIOLOGICOS"/>
    <s v="EXAMENES RADIOLOGICOS"/>
    <s v="EXAMENES RADIOLOGICOS"/>
    <s v="IMED SALUD"/>
    <n v="0"/>
    <n v="76098454"/>
    <s v="K"/>
    <s v="CONSALUD"/>
    <s v="KHERNAND@AFPHABITAT.CL"/>
    <s v="15889855|76098454|765377138|765377138"/>
    <s v="IMED SALUD"/>
    <b v="1"/>
    <s v="APORTE VIA IMED"/>
  </r>
  <r>
    <s v="12 DE SEPTIEMBRE DE 2025"/>
    <x v="119"/>
    <s v="KATHERINE HERNANDEZ SALAZAR"/>
    <n v="15889855"/>
    <s v="KATHERINE HERNANDEZ SALAZAR"/>
    <d v="2025-03-01T00:00:00"/>
    <s v="DUPLICADO"/>
    <n v="765377138"/>
    <n v="65384339"/>
    <n v="6907"/>
    <n v="0"/>
    <n v="6907"/>
    <n v="0"/>
    <n v="6907"/>
    <n v="765377138"/>
    <n v="285123"/>
    <s v="CORP DE BIENESTAR DEL PERSONAL DE A F P"/>
    <d v="2025-03-01T00:00:00"/>
    <d v="2025-03-26T00:00:00"/>
    <d v="2025-02-04T00:00:00"/>
    <d v="2025-02-04T00:00:00"/>
    <s v="AMBULATORIOS"/>
    <n v="22770534"/>
    <n v="3311105"/>
    <n v="69251222"/>
    <s v="TRASSA"/>
    <n v="976121708"/>
    <n v="78070"/>
    <s v="SAL"/>
    <s v="AM05"/>
    <s v="EXAMENES RADIOLOGICOS"/>
    <s v="EXAMENES RADIOLOGICOS"/>
    <s v="EXAMENES RADIOLOGICOS"/>
    <n v="0"/>
    <n v="0"/>
    <n v="76098454"/>
    <s v="K"/>
    <s v="SIN ISAPRE"/>
    <s v="KHERNAND@AFPHABITAT.CL"/>
    <s v="15889855|76098454|765377138|65384339"/>
    <s v="GASTO FISICO"/>
    <b v="0"/>
    <s v="DEPOSITADO EN CUENTA"/>
  </r>
  <r>
    <s v="12 DE SEPTIEMBRE DE 2025"/>
    <x v="139"/>
    <s v="JUDITH CUBILLOS BAHAMONDES"/>
    <n v="11166332"/>
    <s v="JUDITH CUBILLOS BAHAMONDES"/>
    <d v="2025-02-01T00:00:00"/>
    <s v="INICIAL"/>
    <n v="765377929"/>
    <n v="765377929"/>
    <n v="7059"/>
    <n v="4942"/>
    <n v="2117"/>
    <n v="0"/>
    <n v="2117"/>
    <n v="765377929"/>
    <n v="285123"/>
    <s v="CORP DE BIENESTAR DEL PERSONAL DE A F P"/>
    <d v="2025-02-04T00:00:00"/>
    <d v="2025-02-04T00:00:00"/>
    <d v="2025-02-04T00:00:00"/>
    <d v="2025-02-04T00:00:00"/>
    <s v="AMBULATORIOS"/>
    <n v="22566162"/>
    <n v="2101551"/>
    <n v="68821108"/>
    <s v="TRASSA"/>
    <n v="9022025"/>
    <n v="77586"/>
    <s v="SAL"/>
    <s v="AM04"/>
    <s v="EXAMENES DE LABORATORIO"/>
    <s v="EXAMENES DE LABORATORIO"/>
    <s v="EXAMENES DE LABORATORIO"/>
    <s v="IMED SALUD"/>
    <n v="0"/>
    <n v="96942400"/>
    <n v="2"/>
    <s v="CONSALUD"/>
    <s v="JCUBILLO@AFPHABITAT.CL"/>
    <s v="11166332|96942400|765377929|765377929"/>
    <s v="IMED SALUD"/>
    <b v="1"/>
    <s v="APORTE VIA IMED"/>
  </r>
  <r>
    <s v="12 DE SEPTIEMBRE DE 2025"/>
    <x v="139"/>
    <s v="JUDITH CUBILLOS BAHAMONDES"/>
    <n v="11166332"/>
    <s v="JUDITH CUBILLOS BAHAMONDES"/>
    <d v="2025-03-01T00:00:00"/>
    <s v="DUPLICADO"/>
    <n v="765377929"/>
    <n v="65383915"/>
    <n v="2301"/>
    <n v="0"/>
    <n v="2301"/>
    <n v="0"/>
    <n v="2301"/>
    <n v="765377929"/>
    <n v="285123"/>
    <s v="CORP DE BIENESTAR DEL PERSONAL DE A F P"/>
    <d v="2025-03-01T00:00:00"/>
    <d v="2025-03-26T00:00:00"/>
    <d v="2025-02-04T00:00:00"/>
    <d v="2025-02-04T00:00:00"/>
    <s v="AMBULATORIOS"/>
    <n v="22770528"/>
    <n v="3311105"/>
    <n v="69250804"/>
    <s v="TRASSA"/>
    <n v="67296303"/>
    <n v="78070"/>
    <s v="SAL"/>
    <s v="AM04"/>
    <s v="EXAMENES DE LABORATORIO"/>
    <s v="EXAMENES DE LABORATORIO"/>
    <s v="EXAMENES DE LABORATORIO"/>
    <n v="0"/>
    <n v="0"/>
    <n v="96942400"/>
    <n v="2"/>
    <s v="SIN ISAPRE"/>
    <s v="JCUBILLO@AFPHABITAT.CL"/>
    <s v="11166332|96942400|765377929|65383915"/>
    <s v="GASTO FISICO"/>
    <b v="0"/>
    <s v="DEPOSITADO EN CUENTA"/>
  </r>
  <r>
    <s v="12 DE SEPTIEMBRE DE 2025"/>
    <x v="140"/>
    <s v="SEBASTIAN NICOLAS MUÑOZ BRIONES"/>
    <n v="19745778"/>
    <s v="SEBASTIAN NICOLAS MUÑOZ BRIONES"/>
    <d v="2025-02-01T00:00:00"/>
    <s v="INICIAL"/>
    <n v="765404428"/>
    <n v="765404428"/>
    <n v="198891"/>
    <n v="188947"/>
    <n v="9944"/>
    <n v="0"/>
    <n v="9944"/>
    <n v="765404428"/>
    <n v="285123"/>
    <s v="CORP DE BIENESTAR DEL PERSONAL DE A F P"/>
    <d v="2025-02-06T00:00:00"/>
    <d v="2025-02-06T00:00:00"/>
    <d v="2025-02-06T00:00:00"/>
    <d v="2025-02-06T00:00:00"/>
    <s v="AMBULATORIOS"/>
    <n v="22566274"/>
    <n v="2101551"/>
    <n v="68822469"/>
    <s v="TRASSA"/>
    <n v="9022025"/>
    <n v="77586"/>
    <s v="SAL"/>
    <s v="AM05"/>
    <s v="EXAMENES RADIOLOGICOS"/>
    <s v="EXAMENES RADIOLOGICOS"/>
    <s v="EXAMENES RADIOLOGICOS"/>
    <s v="IMED SALUD"/>
    <n v="0"/>
    <n v="96942400"/>
    <n v="2"/>
    <s v="CONSALUD"/>
    <s v="SEBASTIAN.MUNOZ@AFPHABITAT.CL"/>
    <s v="19745778|96942400|765404428|765404428"/>
    <s v="IMED SALUD"/>
    <b v="1"/>
    <s v="APORTE VIA IMED"/>
  </r>
  <r>
    <s v="12 DE SEPTIEMBRE DE 2025"/>
    <x v="140"/>
    <s v="SEBASTIAN NICOLAS MUÑOZ BRIONES"/>
    <n v="19745778"/>
    <s v="SEBASTIAN NICOLAS MUÑOZ BRIONES"/>
    <d v="2025-03-01T00:00:00"/>
    <s v="DUPLICADO"/>
    <n v="765404428"/>
    <n v="65384493"/>
    <n v="9976"/>
    <n v="0"/>
    <n v="9976"/>
    <n v="0"/>
    <n v="9976"/>
    <n v="765404428"/>
    <n v="285123"/>
    <s v="CORP DE BIENESTAR DEL PERSONAL DE A F P"/>
    <d v="2025-03-01T00:00:00"/>
    <d v="2025-03-26T00:00:00"/>
    <d v="2025-02-06T00:00:00"/>
    <d v="2025-02-06T00:00:00"/>
    <s v="AMBULATORIOS"/>
    <n v="22770553"/>
    <n v="3311105"/>
    <n v="69251359"/>
    <s v="TRASSA"/>
    <n v="4461488202"/>
    <n v="78070"/>
    <s v="SAL"/>
    <s v="AM05"/>
    <s v="EXAMENES RADIOLOGICOS"/>
    <s v="EXAMENES RADIOLOGICOS"/>
    <s v="EXAMENES RADIOLOGICOS"/>
    <n v="0"/>
    <n v="0"/>
    <n v="96942400"/>
    <n v="2"/>
    <s v="SIN ISAPRE"/>
    <s v="SEBASTIAN.MUNOZ@AFPHABITAT.CL"/>
    <s v="19745778|96942400|765404428|65384493"/>
    <s v="GASTO FISICO"/>
    <b v="0"/>
    <s v="DEPOSITADO EN CUENTA"/>
  </r>
  <r>
    <s v="12 DE SEPTIEMBRE DE 2025"/>
    <x v="141"/>
    <s v="SANDRA SAN MARTIN ULLOA"/>
    <n v="16807810"/>
    <s v="SANDRA SAN MARTIN ULLOA"/>
    <d v="2025-02-01T00:00:00"/>
    <s v="INICIAL"/>
    <n v="765422295"/>
    <n v="765422295"/>
    <n v="19400"/>
    <n v="13580"/>
    <n v="5820"/>
    <n v="0"/>
    <n v="5820"/>
    <n v="765422295"/>
    <n v="285123"/>
    <s v="CORP DE BIENESTAR DEL PERSONAL DE A F P"/>
    <d v="2025-02-07T00:00:00"/>
    <d v="2025-02-07T00:00:00"/>
    <d v="2025-02-07T00:00:00"/>
    <d v="2025-02-07T00:00:00"/>
    <s v="AMBULATORIOS"/>
    <n v="22566303"/>
    <n v="2101551"/>
    <n v="68823406"/>
    <s v="TRASSA"/>
    <n v="9022025"/>
    <n v="77586"/>
    <s v="SAL"/>
    <s v="AM07"/>
    <s v="PROCEDIMIENTOS TERAPEUTICOS"/>
    <s v="PROCEDIMIENTOS TERAPEUTICOS"/>
    <s v="PROCEDIMIENTOS TERAPEUTICOS"/>
    <s v="IMED SALUD"/>
    <n v="0"/>
    <n v="77200240"/>
    <n v="8"/>
    <s v="CONSALUD"/>
    <s v="SSANMART@AFPHABITAT.CL"/>
    <s v="16807810|77200240|765422295|765422295"/>
    <s v="IMED SALUD"/>
    <b v="1"/>
    <s v="APORTE VIA IMED"/>
  </r>
  <r>
    <s v="12 DE SEPTIEMBRE DE 2025"/>
    <x v="141"/>
    <s v="SANDRA SAN MARTIN ULLOA"/>
    <n v="16807810"/>
    <s v="SANDRA SAN MARTIN ULLOA"/>
    <d v="2025-03-01T00:00:00"/>
    <s v="DUPLICADO"/>
    <n v="765422295"/>
    <n v="65384389"/>
    <n v="5755"/>
    <n v="0"/>
    <n v="5755"/>
    <n v="0"/>
    <n v="5755"/>
    <n v="765422295"/>
    <n v="285123"/>
    <s v="CORP DE BIENESTAR DEL PERSONAL DE A F P"/>
    <d v="2025-03-01T00:00:00"/>
    <d v="2025-03-26T00:00:00"/>
    <d v="2025-02-07T00:00:00"/>
    <d v="2025-02-07T00:00:00"/>
    <s v="AMBULATORIOS"/>
    <n v="22770562"/>
    <n v="3311105"/>
    <n v="69251267"/>
    <s v="TRASSA"/>
    <n v="360100786296"/>
    <n v="78070"/>
    <s v="SAL"/>
    <s v="AM07"/>
    <s v="PROCEDIMIENTOS TERAPEUTICOS"/>
    <s v="PROCEDIMIENTOS TERAPEUTICOS"/>
    <s v="PROCEDIMIENTOS TERAPEUTICOS"/>
    <n v="0"/>
    <n v="0"/>
    <n v="77200240"/>
    <n v="8"/>
    <s v="SIN ISAPRE"/>
    <s v="SSANMART@AFPHABITAT.CL"/>
    <s v="16807810|77200240|765422295|65384389"/>
    <s v="GASTO FISICO"/>
    <b v="0"/>
    <s v="DEPOSITADO EN CUENTA"/>
  </r>
  <r>
    <s v="12 DE SEPTIEMBRE DE 2025"/>
    <x v="119"/>
    <s v="KATHERINE HERNANDEZ SALAZAR"/>
    <n v="15889855"/>
    <s v="KATHERINE HERNANDEZ SALAZAR"/>
    <d v="2025-02-01T00:00:00"/>
    <s v="INICIAL"/>
    <n v="765424776"/>
    <n v="765424776"/>
    <n v="33800"/>
    <n v="27040"/>
    <n v="6760"/>
    <n v="0"/>
    <n v="6760"/>
    <n v="765424776"/>
    <n v="285123"/>
    <s v="CORP DE BIENESTAR DEL PERSONAL DE A F P"/>
    <d v="2025-02-08T00:00:00"/>
    <d v="2025-02-08T00:00:00"/>
    <d v="2025-02-08T00:00:00"/>
    <d v="2025-02-08T00:00:00"/>
    <s v="AMBULATORIOS"/>
    <n v="22598305"/>
    <n v="2171709"/>
    <n v="68875253"/>
    <s v="TRASSA"/>
    <n v="16022025"/>
    <n v="77646"/>
    <s v="SAL"/>
    <s v="AM05"/>
    <s v="EXAMENES RADIOLOGICOS"/>
    <s v="EXAMENES RADIOLOGICOS"/>
    <s v="EXAMENES RADIOLOGICOS"/>
    <s v="IMED SALUD"/>
    <n v="0"/>
    <n v="76098454"/>
    <s v="K"/>
    <s v="CONSALUD"/>
    <s v="KHERNAND@AFPHABITAT.CL"/>
    <s v="15889855|76098454|765424776|765424776"/>
    <s v="IMED SALUD"/>
    <b v="1"/>
    <s v="APORTE VIA IMED"/>
  </r>
  <r>
    <s v="12 DE SEPTIEMBRE DE 2025"/>
    <x v="119"/>
    <s v="KATHERINE HERNANDEZ SALAZAR"/>
    <n v="15889855"/>
    <s v="KATHERINE HERNANDEZ SALAZAR"/>
    <d v="2025-03-01T00:00:00"/>
    <s v="DUPLICADO"/>
    <n v="765424776"/>
    <n v="65384340"/>
    <n v="6905"/>
    <n v="0"/>
    <n v="6905"/>
    <n v="0"/>
    <n v="6905"/>
    <n v="765424776"/>
    <n v="285123"/>
    <s v="CORP DE BIENESTAR DEL PERSONAL DE A F P"/>
    <d v="2025-03-01T00:00:00"/>
    <d v="2025-03-26T00:00:00"/>
    <d v="2025-02-08T00:00:00"/>
    <d v="2025-02-08T00:00:00"/>
    <s v="AMBULATORIOS"/>
    <n v="22770569"/>
    <n v="3311105"/>
    <n v="69251223"/>
    <s v="TRASSA"/>
    <n v="976121708"/>
    <n v="78070"/>
    <s v="SAL"/>
    <s v="AM05"/>
    <s v="EXAMENES RADIOLOGICOS"/>
    <s v="EXAMENES RADIOLOGICOS"/>
    <s v="EXAMENES RADIOLOGICOS"/>
    <n v="0"/>
    <n v="0"/>
    <n v="76098454"/>
    <s v="K"/>
    <s v="SIN ISAPRE"/>
    <s v="KHERNAND@AFPHABITAT.CL"/>
    <s v="15889855|76098454|765424776|65384340"/>
    <s v="GASTO FISICO"/>
    <b v="0"/>
    <s v="DEPOSITADO EN CUENTA"/>
  </r>
  <r>
    <s v="12 DE SEPTIEMBRE DE 2025"/>
    <x v="142"/>
    <s v="JORGE GUZMAN CORREA"/>
    <n v="9612779"/>
    <s v="MARIA ZUNIGA VALDES"/>
    <d v="2025-02-01T00:00:00"/>
    <s v="INICIAL"/>
    <n v="765451326"/>
    <n v="765451326"/>
    <n v="25090"/>
    <n v="17563"/>
    <n v="7527"/>
    <n v="0"/>
    <n v="7527"/>
    <n v="765451326"/>
    <n v="285123"/>
    <s v="CORP DE BIENESTAR DEL PERSONAL DE A F P"/>
    <d v="2025-02-11T00:00:00"/>
    <d v="2025-02-11T00:00:00"/>
    <d v="2025-02-11T00:00:00"/>
    <d v="2025-02-11T00:00:00"/>
    <s v="AMBULATORIOS"/>
    <n v="22598348"/>
    <n v="2171709"/>
    <n v="68876651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CONSALUD"/>
    <s v="JGUZMAN@AFPHABITAT.CL"/>
    <s v="7443214|96942400|765451326|765451326"/>
    <s v="IMED SALUD"/>
    <b v="1"/>
    <s v="APORTE VIA IMED"/>
  </r>
  <r>
    <s v="12 DE SEPTIEMBRE DE 2025"/>
    <x v="142"/>
    <s v="JORGE GUZMAN CORREA"/>
    <n v="9612779"/>
    <s v="MARIA ZUNIGA VALDES"/>
    <d v="2025-03-01T00:00:00"/>
    <s v="DUPLICADO"/>
    <n v="765451326"/>
    <n v="65383611"/>
    <n v="6907"/>
    <n v="0"/>
    <n v="6907"/>
    <n v="0"/>
    <n v="6907"/>
    <n v="765451326"/>
    <n v="285123"/>
    <s v="CORP DE BIENESTAR DEL PERSONAL DE A F P"/>
    <d v="2025-03-01T00:00:00"/>
    <d v="2025-03-26T00:00:00"/>
    <d v="2025-02-11T00:00:00"/>
    <d v="2025-02-11T00:00:00"/>
    <s v="AMBULATORIOS"/>
    <n v="22770583"/>
    <n v="3311105"/>
    <n v="69250502"/>
    <s v="TRASSA"/>
    <n v="975328287"/>
    <n v="78070"/>
    <s v="SAL"/>
    <s v="AM04"/>
    <s v="EXAMENES DE LABORATORIO"/>
    <s v="EXAMENES DE LABORATORIO"/>
    <s v="EXAMENES DE LABORATORIO"/>
    <n v="0"/>
    <n v="0"/>
    <n v="96942400"/>
    <n v="2"/>
    <s v="SIN ISAPRE"/>
    <s v="JGUZMAN@AFPHABITAT.CL"/>
    <s v="7443214|96942400|765451326|65383611"/>
    <s v="GASTO FISICO"/>
    <b v="0"/>
    <s v="DEPOSITADO EN CUENTA"/>
  </r>
  <r>
    <s v="12 DE SEPTIEMBRE DE 2025"/>
    <x v="142"/>
    <s v="JORGE GUZMAN CORREA"/>
    <n v="9612779"/>
    <s v="MARIA ZUNIGA VALDES"/>
    <d v="2025-02-01T00:00:00"/>
    <s v="INICIAL"/>
    <n v="765451327"/>
    <n v="765451327"/>
    <n v="45279"/>
    <n v="25013"/>
    <n v="20266"/>
    <n v="0"/>
    <n v="20266"/>
    <n v="765451327"/>
    <n v="285123"/>
    <s v="CORP DE BIENESTAR DEL PERSONAL DE A F P"/>
    <d v="2025-02-11T00:00:00"/>
    <d v="2025-02-11T00:00:00"/>
    <d v="2025-02-11T00:00:00"/>
    <d v="2025-02-11T00:00:00"/>
    <s v="AMBULATORIOS"/>
    <n v="22598348"/>
    <n v="2171709"/>
    <n v="68876650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CONSALUD"/>
    <s v="JGUZMAN@AFPHABITAT.CL"/>
    <s v="7443214|96942400|765451327|765451327"/>
    <s v="IMED SALUD"/>
    <b v="1"/>
    <s v="APORTE VIA IMED"/>
  </r>
  <r>
    <s v="12 DE SEPTIEMBRE DE 2025"/>
    <x v="142"/>
    <s v="JORGE GUZMAN CORREA"/>
    <n v="9612779"/>
    <s v="MARIA ZUNIGA VALDES"/>
    <d v="2025-03-01T00:00:00"/>
    <s v="DUPLICADO"/>
    <n v="765451327"/>
    <n v="65383612"/>
    <n v="19193"/>
    <n v="0"/>
    <n v="19193"/>
    <n v="0"/>
    <n v="19193"/>
    <n v="765451327"/>
    <n v="285123"/>
    <s v="CORP DE BIENESTAR DEL PERSONAL DE A F P"/>
    <d v="2025-03-01T00:00:00"/>
    <d v="2025-03-26T00:00:00"/>
    <d v="2025-02-11T00:00:00"/>
    <d v="2025-02-11T00:00:00"/>
    <s v="AMBULATORIOS"/>
    <n v="22770583"/>
    <n v="3311105"/>
    <n v="69250503"/>
    <s v="TRASSA"/>
    <n v="975328287"/>
    <n v="78070"/>
    <s v="SAL"/>
    <s v="AM04"/>
    <s v="EXAMENES DE LABORATORIO"/>
    <s v="EXAMENES DE LABORATORIO"/>
    <s v="EXAMENES DE LABORATORIO"/>
    <n v="0"/>
    <n v="0"/>
    <n v="96942400"/>
    <n v="2"/>
    <s v="SIN ISAPRE"/>
    <s v="JGUZMAN@AFPHABITAT.CL"/>
    <s v="7443214|96942400|765451327|65383612"/>
    <s v="GASTO FISICO"/>
    <b v="0"/>
    <s v="DEPOSITADO EN CUENTA"/>
  </r>
  <r>
    <s v="12 DE SEPTIEMBRE DE 2025"/>
    <x v="142"/>
    <s v="JORGE GUZMAN CORREA"/>
    <n v="9612779"/>
    <s v="MARIA ZUNIGA VALDES"/>
    <d v="2025-02-01T00:00:00"/>
    <s v="INICIAL"/>
    <n v="765451328"/>
    <n v="765451328"/>
    <n v="17745"/>
    <n v="12389"/>
    <n v="5356"/>
    <n v="0"/>
    <n v="5356"/>
    <n v="765451328"/>
    <n v="285123"/>
    <s v="CORP DE BIENESTAR DEL PERSONAL DE A F P"/>
    <d v="2025-02-11T00:00:00"/>
    <d v="2025-02-11T00:00:00"/>
    <d v="2025-02-11T00:00:00"/>
    <d v="2025-02-11T00:00:00"/>
    <s v="AMBULATORIOS"/>
    <n v="22598348"/>
    <n v="2171709"/>
    <n v="68876649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CONSALUD"/>
    <s v="JGUZMAN@AFPHABITAT.CL"/>
    <s v="7443214|96942400|765451328|765451328"/>
    <s v="IMED SALUD"/>
    <b v="1"/>
    <s v="APORTE VIA IMED"/>
  </r>
  <r>
    <s v="12 DE SEPTIEMBRE DE 2025"/>
    <x v="142"/>
    <s v="JORGE GUZMAN CORREA"/>
    <n v="9612779"/>
    <s v="MARIA ZUNIGA VALDES"/>
    <d v="2025-03-01T00:00:00"/>
    <s v="DUPLICADO"/>
    <n v="765451328"/>
    <n v="65383613"/>
    <n v="5371"/>
    <n v="0"/>
    <n v="5371"/>
    <n v="0"/>
    <n v="5371"/>
    <n v="765451328"/>
    <n v="285123"/>
    <s v="CORP DE BIENESTAR DEL PERSONAL DE A F P"/>
    <d v="2025-03-01T00:00:00"/>
    <d v="2025-03-26T00:00:00"/>
    <d v="2025-02-11T00:00:00"/>
    <d v="2025-02-11T00:00:00"/>
    <s v="AMBULATORIOS"/>
    <n v="22770583"/>
    <n v="3311105"/>
    <n v="69250504"/>
    <s v="TRASSA"/>
    <n v="975328287"/>
    <n v="78070"/>
    <s v="SAL"/>
    <s v="AM04"/>
    <s v="EXAMENES DE LABORATORIO"/>
    <s v="EXAMENES DE LABORATORIO"/>
    <s v="EXAMENES DE LABORATORIO"/>
    <n v="0"/>
    <n v="0"/>
    <n v="96942400"/>
    <n v="2"/>
    <s v="SIN ISAPRE"/>
    <s v="JGUZMAN@AFPHABITAT.CL"/>
    <s v="7443214|96942400|765451328|65383613"/>
    <s v="GASTO FISICO"/>
    <b v="0"/>
    <s v="DEPOSITADO EN CUENTA"/>
  </r>
  <r>
    <s v="12 DE SEPTIEMBRE DE 2025"/>
    <x v="142"/>
    <s v="JORGE GUZMAN CORREA"/>
    <n v="9612779"/>
    <s v="MARIA ZUNIGA VALDES"/>
    <d v="2025-02-01T00:00:00"/>
    <s v="INICIAL"/>
    <n v="765451329"/>
    <n v="765451329"/>
    <n v="16731"/>
    <n v="11712"/>
    <n v="5019"/>
    <n v="0"/>
    <n v="5019"/>
    <n v="765451329"/>
    <n v="285123"/>
    <s v="CORP DE BIENESTAR DEL PERSONAL DE A F P"/>
    <d v="2025-02-11T00:00:00"/>
    <d v="2025-02-11T00:00:00"/>
    <d v="2025-02-11T00:00:00"/>
    <d v="2025-02-11T00:00:00"/>
    <s v="AMBULATORIOS"/>
    <n v="22598348"/>
    <n v="2171709"/>
    <n v="68876648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CONSALUD"/>
    <s v="JGUZMAN@AFPHABITAT.CL"/>
    <s v="7443214|96942400|765451329|765451329"/>
    <s v="IMED SALUD"/>
    <b v="1"/>
    <s v="APORTE VIA IMED"/>
  </r>
  <r>
    <s v="12 DE SEPTIEMBRE DE 2025"/>
    <x v="142"/>
    <s v="JORGE GUZMAN CORREA"/>
    <n v="9612779"/>
    <s v="MARIA ZUNIGA VALDES"/>
    <d v="2025-03-01T00:00:00"/>
    <s v="DUPLICADO"/>
    <n v="765451329"/>
    <n v="65383614"/>
    <n v="4990"/>
    <n v="0"/>
    <n v="4990"/>
    <n v="0"/>
    <n v="4990"/>
    <n v="765451329"/>
    <n v="285123"/>
    <s v="CORP DE BIENESTAR DEL PERSONAL DE A F P"/>
    <d v="2025-03-01T00:00:00"/>
    <d v="2025-03-26T00:00:00"/>
    <d v="2025-02-11T00:00:00"/>
    <d v="2025-02-11T00:00:00"/>
    <s v="AMBULATORIOS"/>
    <n v="22770583"/>
    <n v="3311105"/>
    <n v="69250505"/>
    <s v="TRASSA"/>
    <n v="975328287"/>
    <n v="78070"/>
    <s v="SAL"/>
    <s v="AM04"/>
    <s v="EXAMENES DE LABORATORIO"/>
    <s v="EXAMENES DE LABORATORIO"/>
    <s v="EXAMENES DE LABORATORIO"/>
    <n v="0"/>
    <n v="0"/>
    <n v="96942400"/>
    <n v="2"/>
    <s v="SIN ISAPRE"/>
    <s v="JGUZMAN@AFPHABITAT.CL"/>
    <s v="7443214|96942400|765451329|65383614"/>
    <s v="GASTO FISICO"/>
    <b v="0"/>
    <s v="DEPOSITADO EN CUENTA"/>
  </r>
  <r>
    <s v="12 DE SEPTIEMBRE DE 2025"/>
    <x v="119"/>
    <s v="KATHERINE HERNANDEZ SALAZAR"/>
    <n v="15889855"/>
    <s v="KATHERINE HERNANDEZ SALAZAR"/>
    <d v="2025-02-01T00:00:00"/>
    <s v="INICIAL"/>
    <n v="765454622"/>
    <n v="765454622"/>
    <n v="28086"/>
    <n v="22469"/>
    <n v="5617"/>
    <n v="0"/>
    <n v="5617"/>
    <n v="765454622"/>
    <n v="285123"/>
    <s v="CORP DE BIENESTAR DEL PERSONAL DE A F P"/>
    <d v="2025-02-11T00:00:00"/>
    <d v="2025-02-11T00:00:00"/>
    <d v="2025-02-11T00:00:00"/>
    <d v="2025-02-11T00:00:00"/>
    <s v="AMBULATORIOS"/>
    <n v="22598367"/>
    <n v="2171709"/>
    <n v="68876770"/>
    <s v="TRASSA"/>
    <n v="16022025"/>
    <n v="77646"/>
    <s v="SAL"/>
    <s v="AM05"/>
    <s v="EXAMENES RADIOLOGICOS"/>
    <s v="EXAMENES RADIOLOGICOS"/>
    <s v="EXAMENES RADIOLOGICOS"/>
    <s v="IMED SALUD"/>
    <n v="0"/>
    <n v="76098454"/>
    <s v="K"/>
    <s v="CONSALUD"/>
    <s v="KHERNAND@AFPHABITAT.CL"/>
    <s v="15889855|76098454|765454622|765454622"/>
    <s v="IMED SALUD"/>
    <b v="1"/>
    <s v="APORTE VIA IMED"/>
  </r>
  <r>
    <s v="12 DE SEPTIEMBRE DE 2025"/>
    <x v="119"/>
    <s v="KATHERINE HERNANDEZ SALAZAR"/>
    <n v="15889855"/>
    <s v="KATHERINE HERNANDEZ SALAZAR"/>
    <d v="2025-03-01T00:00:00"/>
    <s v="DUPLICADO"/>
    <n v="765454622"/>
    <n v="65384341"/>
    <n v="5758"/>
    <n v="0"/>
    <n v="5758"/>
    <n v="0"/>
    <n v="5758"/>
    <n v="765454622"/>
    <n v="285123"/>
    <s v="CORP DE BIENESTAR DEL PERSONAL DE A F P"/>
    <d v="2025-03-01T00:00:00"/>
    <d v="2025-03-26T00:00:00"/>
    <d v="2025-02-11T00:00:00"/>
    <d v="2025-02-11T00:00:00"/>
    <s v="AMBULATORIOS"/>
    <n v="22770591"/>
    <n v="3311105"/>
    <n v="69251224"/>
    <s v="TRASSA"/>
    <n v="976121708"/>
    <n v="78070"/>
    <s v="SAL"/>
    <s v="AM05"/>
    <s v="EXAMENES RADIOLOGICOS"/>
    <s v="EXAMENES RADIOLOGICOS"/>
    <s v="EXAMENES RADIOLOGICOS"/>
    <n v="0"/>
    <n v="0"/>
    <n v="76098454"/>
    <s v="K"/>
    <s v="SIN ISAPRE"/>
    <s v="KHERNAND@AFPHABITAT.CL"/>
    <s v="15889855|76098454|765454622|65384341"/>
    <s v="GASTO FISICO"/>
    <b v="0"/>
    <s v="DEPOSITADO EN CUENTA"/>
  </r>
  <r>
    <s v="12 DE SEPTIEMBRE DE 2025"/>
    <x v="119"/>
    <s v="KATHERINE HERNANDEZ SALAZAR"/>
    <n v="15889855"/>
    <s v="KATHERINE HERNANDEZ SALAZAR"/>
    <d v="2025-02-01T00:00:00"/>
    <s v="INICIAL"/>
    <n v="765454679"/>
    <n v="765454679"/>
    <n v="27878"/>
    <n v="22302"/>
    <n v="5576"/>
    <n v="0"/>
    <n v="5576"/>
    <n v="765454679"/>
    <n v="285123"/>
    <s v="CORP DE BIENESTAR DEL PERSONAL DE A F P"/>
    <d v="2025-02-11T00:00:00"/>
    <d v="2025-02-11T00:00:00"/>
    <d v="2025-02-11T00:00:00"/>
    <d v="2025-02-11T00:00:00"/>
    <s v="AMBULATORIOS"/>
    <n v="22598367"/>
    <n v="2171709"/>
    <n v="68876774"/>
    <s v="TRASSA"/>
    <n v="16022025"/>
    <n v="77646"/>
    <s v="SAL"/>
    <s v="AM05"/>
    <s v="EXAMENES RADIOLOGICOS"/>
    <s v="EXAMENES RADIOLOGICOS"/>
    <s v="EXAMENES RADIOLOGICOS"/>
    <s v="IMED SALUD"/>
    <n v="0"/>
    <n v="76098454"/>
    <s v="K"/>
    <s v="CONSALUD"/>
    <s v="KHERNAND@AFPHABITAT.CL"/>
    <s v="15889855|76098454|765454679|765454679"/>
    <s v="IMED SALUD"/>
    <b v="1"/>
    <s v="APORTE VIA IMED"/>
  </r>
  <r>
    <s v="12 DE SEPTIEMBRE DE 2025"/>
    <x v="119"/>
    <s v="KATHERINE HERNANDEZ SALAZAR"/>
    <n v="15889855"/>
    <s v="KATHERINE HERNANDEZ SALAZAR"/>
    <d v="2025-03-01T00:00:00"/>
    <s v="DUPLICADO"/>
    <n v="765454679"/>
    <n v="65384342"/>
    <n v="5758"/>
    <n v="0"/>
    <n v="5758"/>
    <n v="0"/>
    <n v="5758"/>
    <n v="765454679"/>
    <n v="285123"/>
    <s v="CORP DE BIENESTAR DEL PERSONAL DE A F P"/>
    <d v="2025-03-01T00:00:00"/>
    <d v="2025-03-26T00:00:00"/>
    <d v="2025-02-11T00:00:00"/>
    <d v="2025-02-11T00:00:00"/>
    <s v="AMBULATORIOS"/>
    <n v="22770591"/>
    <n v="3311105"/>
    <n v="69251225"/>
    <s v="TRASSA"/>
    <n v="976121708"/>
    <n v="78070"/>
    <s v="SAL"/>
    <s v="AM05"/>
    <s v="EXAMENES RADIOLOGICOS"/>
    <s v="EXAMENES RADIOLOGICOS"/>
    <s v="EXAMENES RADIOLOGICOS"/>
    <n v="0"/>
    <n v="0"/>
    <n v="76098454"/>
    <s v="K"/>
    <s v="SIN ISAPRE"/>
    <s v="KHERNAND@AFPHABITAT.CL"/>
    <s v="15889855|76098454|765454679|65384342"/>
    <s v="GASTO FISICO"/>
    <b v="0"/>
    <s v="DEPOSITADO EN CUENTA"/>
  </r>
  <r>
    <s v="12 DE SEPTIEMBRE DE 2025"/>
    <x v="142"/>
    <s v="JORGE GUZMAN CORREA"/>
    <n v="9612779"/>
    <s v="MARIA ZUNIGA VALDES"/>
    <d v="2025-02-01T00:00:00"/>
    <s v="INICIAL"/>
    <n v="765455439"/>
    <n v="765455439"/>
    <n v="28808"/>
    <n v="20166"/>
    <n v="8642"/>
    <n v="0"/>
    <n v="8642"/>
    <n v="765455439"/>
    <n v="285123"/>
    <s v="CORP DE BIENESTAR DEL PERSONAL DE A F P"/>
    <d v="2025-02-11T00:00:00"/>
    <d v="2025-02-11T00:00:00"/>
    <d v="2025-02-11T00:00:00"/>
    <d v="2025-02-11T00:00:00"/>
    <s v="AMBULATORIOS"/>
    <n v="22598348"/>
    <n v="2171709"/>
    <n v="68876813"/>
    <s v="TRASSA"/>
    <n v="16022025"/>
    <n v="77646"/>
    <s v="SAL"/>
    <s v="AM05"/>
    <s v="EXAMENES RADIOLOGICOS"/>
    <s v="EXAMENES RADIOLOGICOS"/>
    <s v="EXAMENES RADIOLOGICOS"/>
    <s v="IMED SALUD"/>
    <n v="0"/>
    <n v="96942400"/>
    <n v="2"/>
    <s v="CONSALUD"/>
    <s v="JGUZMAN@AFPHABITAT.CL"/>
    <s v="7443214|96942400|765455439|765455439"/>
    <s v="IMED SALUD"/>
    <b v="1"/>
    <s v="APORTE VIA IMED"/>
  </r>
  <r>
    <s v="12 DE SEPTIEMBRE DE 2025"/>
    <x v="142"/>
    <s v="JORGE GUZMAN CORREA"/>
    <n v="9612779"/>
    <s v="MARIA ZUNIGA VALDES"/>
    <d v="2025-03-01T00:00:00"/>
    <s v="DUPLICADO"/>
    <n v="765455439"/>
    <n v="65383615"/>
    <n v="8830"/>
    <n v="0"/>
    <n v="8830"/>
    <n v="0"/>
    <n v="8830"/>
    <n v="765455439"/>
    <n v="285123"/>
    <s v="CORP DE BIENESTAR DEL PERSONAL DE A F P"/>
    <d v="2025-03-01T00:00:00"/>
    <d v="2025-03-26T00:00:00"/>
    <d v="2025-02-11T00:00:00"/>
    <d v="2025-02-11T00:00:00"/>
    <s v="AMBULATORIOS"/>
    <n v="22770583"/>
    <n v="3311105"/>
    <n v="69250506"/>
    <s v="TRASSA"/>
    <n v="975328287"/>
    <n v="78070"/>
    <s v="SAL"/>
    <s v="AM05"/>
    <s v="EXAMENES RADIOLOGICOS"/>
    <s v="EXAMENES RADIOLOGICOS"/>
    <s v="EXAMENES RADIOLOGICOS"/>
    <n v="0"/>
    <n v="0"/>
    <n v="96942400"/>
    <n v="2"/>
    <s v="SIN ISAPRE"/>
    <s v="JGUZMAN@AFPHABITAT.CL"/>
    <s v="7443214|96942400|765455439|65383615"/>
    <s v="GASTO FISICO"/>
    <b v="0"/>
    <s v="DEPOSITADO EN CUENTA"/>
  </r>
  <r>
    <s v="12 DE SEPTIEMBRE DE 2025"/>
    <x v="142"/>
    <s v="JORGE GUZMAN CORREA"/>
    <n v="9612779"/>
    <s v="MARIA ZUNIGA VALDES"/>
    <d v="2025-02-01T00:00:00"/>
    <s v="INICIAL"/>
    <n v="765455450"/>
    <n v="765455450"/>
    <n v="23556"/>
    <n v="16489"/>
    <n v="7067"/>
    <n v="0"/>
    <n v="7067"/>
    <n v="765455450"/>
    <n v="285123"/>
    <s v="CORP DE BIENESTAR DEL PERSONAL DE A F P"/>
    <d v="2025-02-11T00:00:00"/>
    <d v="2025-02-11T00:00:00"/>
    <d v="2025-02-11T00:00:00"/>
    <d v="2025-02-11T00:00:00"/>
    <s v="AMBULATORIOS"/>
    <n v="22598348"/>
    <n v="2171709"/>
    <n v="68876814"/>
    <s v="TRASSA"/>
    <n v="16022025"/>
    <n v="77646"/>
    <s v="SAL"/>
    <s v="AM05"/>
    <s v="EXAMENES RADIOLOGICOS"/>
    <s v="EXAMENES RADIOLOGICOS"/>
    <s v="EXAMENES RADIOLOGICOS"/>
    <s v="IMED SALUD"/>
    <n v="0"/>
    <n v="96942400"/>
    <n v="2"/>
    <s v="CONSALUD"/>
    <s v="JGUZMAN@AFPHABITAT.CL"/>
    <s v="7443214|96942400|765455450|765455450"/>
    <s v="IMED SALUD"/>
    <b v="1"/>
    <s v="APORTE VIA IMED"/>
  </r>
  <r>
    <s v="12 DE SEPTIEMBRE DE 2025"/>
    <x v="142"/>
    <s v="JORGE GUZMAN CORREA"/>
    <n v="9612779"/>
    <s v="MARIA ZUNIGA VALDES"/>
    <d v="2025-03-01T00:00:00"/>
    <s v="DUPLICADO"/>
    <n v="765455450"/>
    <n v="65383616"/>
    <n v="6910"/>
    <n v="0"/>
    <n v="6910"/>
    <n v="0"/>
    <n v="6910"/>
    <n v="765455450"/>
    <n v="285123"/>
    <s v="CORP DE BIENESTAR DEL PERSONAL DE A F P"/>
    <d v="2025-03-01T00:00:00"/>
    <d v="2025-03-26T00:00:00"/>
    <d v="2025-02-11T00:00:00"/>
    <d v="2025-02-11T00:00:00"/>
    <s v="AMBULATORIOS"/>
    <n v="22770583"/>
    <n v="3311105"/>
    <n v="69250507"/>
    <s v="TRASSA"/>
    <n v="975328287"/>
    <n v="78070"/>
    <s v="SAL"/>
    <s v="AM05"/>
    <s v="EXAMENES RADIOLOGICOS"/>
    <s v="EXAMENES RADIOLOGICOS"/>
    <s v="EXAMENES RADIOLOGICOS"/>
    <n v="0"/>
    <n v="0"/>
    <n v="96942400"/>
    <n v="2"/>
    <s v="SIN ISAPRE"/>
    <s v="JGUZMAN@AFPHABITAT.CL"/>
    <s v="7443214|96942400|765455450|65383616"/>
    <s v="GASTO FISICO"/>
    <b v="0"/>
    <s v="DEPOSITADO EN CUENTA"/>
  </r>
  <r>
    <s v="12 DE SEPTIEMBRE DE 2025"/>
    <x v="126"/>
    <s v="VALERIA ESMERALDA SEPULVEDA SEPULVEDA"/>
    <n v="9643668"/>
    <s v="VALERIA ESMERALDA SEPULVEDA SEPULVEDA"/>
    <d v="2025-02-01T00:00:00"/>
    <s v="INICIAL"/>
    <n v="765461284"/>
    <n v="765461284"/>
    <n v="16430"/>
    <n v="9711"/>
    <n v="6719"/>
    <n v="0"/>
    <n v="6719"/>
    <n v="765461284"/>
    <n v="285123"/>
    <s v="CORP DE BIENESTAR DEL PERSONAL DE A F P"/>
    <d v="2025-02-12T00:00:00"/>
    <d v="2025-02-12T00:00:00"/>
    <d v="2025-02-12T00:00:00"/>
    <d v="2025-02-12T00:00:00"/>
    <s v="AMBULATORIOS"/>
    <n v="22598392"/>
    <n v="2171709"/>
    <n v="68877173"/>
    <s v="TRASSA"/>
    <n v="16022025"/>
    <n v="77646"/>
    <s v="SAL"/>
    <s v="AM04"/>
    <s v="EXAMENES DE LABORATORIO"/>
    <s v="EXAMENES DE LABORATORIO"/>
    <s v="EXAMENES DE LABORATORIO"/>
    <s v="IMED SALUD"/>
    <n v="0"/>
    <n v="79749170"/>
    <n v="5"/>
    <s v="CONSALUD"/>
    <s v="VSEPULVE@AFPHABITAT.CL"/>
    <s v="9643668|79749170|765461284|765461284"/>
    <s v="IMED SALUD"/>
    <b v="1"/>
    <s v="APORTE VIA IMED"/>
  </r>
  <r>
    <s v="12 DE SEPTIEMBRE DE 2025"/>
    <x v="126"/>
    <s v="VALERIA ESMERALDA SEPULVEDA SEPULVEDA"/>
    <n v="9643668"/>
    <s v="VALERIA ESMERALDA SEPULVEDA SEPULVEDA"/>
    <d v="2025-03-01T00:00:00"/>
    <s v="DUPLICADO"/>
    <n v="765461284"/>
    <n v="65383756"/>
    <n v="6912"/>
    <n v="0"/>
    <n v="6912"/>
    <n v="0"/>
    <n v="6912"/>
    <n v="765461284"/>
    <n v="285123"/>
    <s v="CORP DE BIENESTAR DEL PERSONAL DE A F P"/>
    <d v="2025-03-01T00:00:00"/>
    <d v="2025-03-26T00:00:00"/>
    <d v="2025-02-12T00:00:00"/>
    <d v="2025-02-12T00:00:00"/>
    <s v="AMBULATORIOS"/>
    <n v="22770599"/>
    <n v="3311105"/>
    <n v="69250646"/>
    <s v="TRASSA"/>
    <n v="580360901"/>
    <n v="78070"/>
    <s v="SAL"/>
    <s v="AM04"/>
    <s v="EXAMENES DE LABORATORIO"/>
    <s v="EXAMENES DE LABORATORIO"/>
    <s v="EXAMENES DE LABORATORIO"/>
    <n v="0"/>
    <n v="0"/>
    <n v="79749170"/>
    <n v="5"/>
    <s v="SIN ISAPRE"/>
    <s v="VSEPULVE@AFPHABITAT.CL"/>
    <s v="9643668|79749170|765461284|65383756"/>
    <s v="GASTO FISICO"/>
    <b v="0"/>
    <s v="DEPOSITADO EN CUENTA"/>
  </r>
  <r>
    <s v="12 DE SEPTIEMBRE DE 2025"/>
    <x v="125"/>
    <s v="RODRIGO GONZALEZ GONZALEZ"/>
    <n v="12892012"/>
    <s v="RODRIGO GONZALEZ GONZALEZ"/>
    <d v="2025-02-01T00:00:00"/>
    <s v="INICIAL"/>
    <n v="765462191"/>
    <n v="765462191"/>
    <n v="11504"/>
    <n v="8053"/>
    <n v="3451"/>
    <n v="0"/>
    <n v="3451"/>
    <n v="765462191"/>
    <n v="285123"/>
    <s v="CORP DE BIENESTAR DEL PERSONAL DE A F P"/>
    <d v="2025-02-12T00:00:00"/>
    <d v="2025-02-12T00:00:00"/>
    <d v="2025-02-12T00:00:00"/>
    <d v="2025-02-12T00:00:00"/>
    <s v="AMBULATORIOS"/>
    <n v="22598402"/>
    <n v="2171709"/>
    <n v="68877230"/>
    <s v="TRASSA"/>
    <n v="16022025"/>
    <n v="77646"/>
    <s v="SAL"/>
    <s v="AM07"/>
    <s v="PROCEDIMIENTOS TERAPEUTICOS"/>
    <s v="PROCEDIMIENTOS TERAPEUTICOS"/>
    <s v="PROCEDIMIENTOS TERAPEUTICOS"/>
    <s v="IMED SALUD"/>
    <n v="0"/>
    <n v="96942400"/>
    <n v="2"/>
    <s v="CONSALUD"/>
    <s v="RGONZALE@AFPHABITAT.CL"/>
    <s v="12892012|96942400|765462191|765462191"/>
    <s v="IMED SALUD"/>
    <b v="1"/>
    <s v="APORTE VIA IMED"/>
  </r>
  <r>
    <s v="12 DE SEPTIEMBRE DE 2025"/>
    <x v="125"/>
    <s v="RODRIGO GONZALEZ GONZALEZ"/>
    <n v="12892012"/>
    <s v="RODRIGO GONZALEZ GONZALEZ"/>
    <d v="2025-03-01T00:00:00"/>
    <s v="DUPLICADO"/>
    <n v="765462191"/>
    <n v="65384051"/>
    <n v="3456"/>
    <n v="0"/>
    <n v="3456"/>
    <n v="0"/>
    <n v="3456"/>
    <n v="765462191"/>
    <n v="285123"/>
    <s v="CORP DE BIENESTAR DEL PERSONAL DE A F P"/>
    <d v="2025-03-01T00:00:00"/>
    <d v="2025-03-26T00:00:00"/>
    <d v="2025-02-12T00:00:00"/>
    <d v="2025-02-12T00:00:00"/>
    <s v="AMBULATORIOS"/>
    <n v="22770603"/>
    <n v="3311105"/>
    <n v="69250939"/>
    <s v="TRASSA"/>
    <n v="207546631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RGONZALE@AFPHABITAT.CL"/>
    <s v="12892012|96942400|765462191|65384051"/>
    <s v="GASTO FISICO"/>
    <b v="0"/>
    <s v="DEPOSITADO EN CUENTA"/>
  </r>
  <r>
    <s v="12 DE SEPTIEMBRE DE 2025"/>
    <x v="143"/>
    <s v="JORGE SALAS SALAZAR"/>
    <n v="9571406"/>
    <s v="JORGE SALAS SALAZAR"/>
    <d v="2025-02-01T00:00:00"/>
    <s v="INICIAL"/>
    <n v="765472066"/>
    <n v="765472066"/>
    <n v="172610"/>
    <n v="152610"/>
    <n v="20000"/>
    <n v="0"/>
    <n v="20000"/>
    <n v="765472066"/>
    <n v="285123"/>
    <s v="CORP DE BIENESTAR DEL PERSONAL DE A F P"/>
    <d v="2025-02-12T00:00:00"/>
    <d v="2025-02-12T00:00:00"/>
    <d v="2025-02-12T00:00:00"/>
    <d v="2025-02-12T00:00:00"/>
    <s v="AMBULATORIOS"/>
    <n v="22598391"/>
    <n v="2171709"/>
    <n v="68877781"/>
    <s v="TRASSA"/>
    <n v="16022025"/>
    <n v="77646"/>
    <s v="SAL"/>
    <s v="AM05"/>
    <s v="EXAMENES RADIOLOGICOS"/>
    <s v="EXAMENES RADIOLOGICOS"/>
    <s v="EXAMENES RADIOLOGICOS"/>
    <s v="IMED SALUD"/>
    <n v="0"/>
    <n v="96942400"/>
    <n v="2"/>
    <s v="CONSALUD"/>
    <s v="JSALAS@AFPHABITAT.CL"/>
    <s v="9571406|96942400|765472066|765472066"/>
    <s v="IMED SALUD"/>
    <b v="1"/>
    <s v="APORTE VIA IMED"/>
  </r>
  <r>
    <s v="12 DE SEPTIEMBRE DE 2025"/>
    <x v="143"/>
    <s v="JORGE SALAS SALAZAR"/>
    <n v="9571406"/>
    <s v="JORGE SALAS SALAZAR"/>
    <d v="2025-03-01T00:00:00"/>
    <s v="DUPLICADO"/>
    <n v="765472066"/>
    <n v="65383744"/>
    <n v="19971"/>
    <n v="0"/>
    <n v="19971"/>
    <n v="0"/>
    <n v="19971"/>
    <n v="765472066"/>
    <n v="285123"/>
    <s v="CORP DE BIENESTAR DEL PERSONAL DE A F P"/>
    <d v="2025-03-01T00:00:00"/>
    <d v="2025-03-26T00:00:00"/>
    <d v="2025-02-12T00:00:00"/>
    <d v="2025-02-12T00:00:00"/>
    <s v="AMBULATORIOS"/>
    <n v="22770598"/>
    <n v="3311105"/>
    <n v="69250634"/>
    <s v="TRASSA"/>
    <n v="82199489"/>
    <n v="78070"/>
    <s v="SAL"/>
    <s v="AM05"/>
    <s v="EXAMENES RADIOLOGICOS"/>
    <s v="EXAMENES RADIOLOGICOS"/>
    <s v="EXAMENES RADIOLOGICOS"/>
    <n v="0"/>
    <n v="0"/>
    <n v="96942400"/>
    <n v="2"/>
    <s v="SIN ISAPRE"/>
    <s v="JSALAS@AFPHABITAT.CL"/>
    <s v="9571406|96942400|765472066|65383744"/>
    <s v="GASTO FISICO"/>
    <b v="0"/>
    <s v="DEPOSITADO EN CUENTA"/>
  </r>
  <r>
    <s v="12 DE SEPTIEMBRE DE 2025"/>
    <x v="125"/>
    <s v="RODRIGO GONZALEZ GONZALEZ"/>
    <n v="12892012"/>
    <s v="RODRIGO GONZALEZ GONZALEZ"/>
    <d v="2025-02-01T00:00:00"/>
    <s v="INICIAL"/>
    <n v="765472299"/>
    <n v="765472299"/>
    <n v="126192"/>
    <n v="88334"/>
    <n v="37858"/>
    <n v="0"/>
    <n v="37858"/>
    <n v="765472299"/>
    <n v="285123"/>
    <s v="CORP DE BIENESTAR DEL PERSONAL DE A F P"/>
    <d v="2025-02-12T00:00:00"/>
    <d v="2025-02-12T00:00:00"/>
    <d v="2025-02-12T00:00:00"/>
    <d v="2025-02-12T00:00:00"/>
    <s v="AMBULATORIOS"/>
    <n v="22598402"/>
    <n v="2171709"/>
    <n v="68877794"/>
    <s v="TRASSA"/>
    <n v="16022025"/>
    <n v="77646"/>
    <s v="SAL"/>
    <s v="AM07"/>
    <s v="PROCEDIMIENTOS TERAPEUTICOS"/>
    <s v="PROCEDIMIENTOS TERAPEUTICOS"/>
    <s v="PROCEDIMIENTOS TERAPEUTICOS"/>
    <s v="IMED SALUD"/>
    <n v="0"/>
    <n v="96942400"/>
    <n v="2"/>
    <s v="CONSALUD"/>
    <s v="RGONZALE@AFPHABITAT.CL"/>
    <s v="12892012|96942400|765472299|765472299"/>
    <s v="IMED SALUD"/>
    <b v="1"/>
    <s v="APORTE VIA IMED"/>
  </r>
  <r>
    <s v="12 DE SEPTIEMBRE DE 2025"/>
    <x v="125"/>
    <s v="RODRIGO GONZALEZ GONZALEZ"/>
    <n v="12892012"/>
    <s v="RODRIGO GONZALEZ GONZALEZ"/>
    <d v="2025-03-01T00:00:00"/>
    <s v="DUPLICADO"/>
    <n v="765472299"/>
    <n v="65384052"/>
    <n v="38023"/>
    <n v="0"/>
    <n v="38023"/>
    <n v="0"/>
    <n v="38023"/>
    <n v="765472299"/>
    <n v="285123"/>
    <s v="CORP DE BIENESTAR DEL PERSONAL DE A F P"/>
    <d v="2025-03-01T00:00:00"/>
    <d v="2025-03-26T00:00:00"/>
    <d v="2025-02-12T00:00:00"/>
    <d v="2025-02-12T00:00:00"/>
    <s v="AMBULATORIOS"/>
    <n v="22770603"/>
    <n v="3311105"/>
    <n v="69250940"/>
    <s v="TRASSA"/>
    <n v="207546631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RGONZALE@AFPHABITAT.CL"/>
    <s v="12892012|96942400|765472299|65384052"/>
    <s v="GASTO FISICO"/>
    <b v="0"/>
    <s v="DEPOSITADO EN CUENTA"/>
  </r>
  <r>
    <s v="12 DE SEPTIEMBRE DE 2025"/>
    <x v="125"/>
    <s v="RODRIGO GONZALEZ GONZALEZ"/>
    <n v="12892012"/>
    <s v="RODRIGO GONZALEZ GONZALEZ"/>
    <d v="2025-02-01T00:00:00"/>
    <s v="INICIAL"/>
    <n v="765476755"/>
    <n v="765476755"/>
    <n v="41093"/>
    <n v="28765"/>
    <n v="12328"/>
    <n v="0"/>
    <n v="12328"/>
    <n v="765476755"/>
    <n v="285123"/>
    <s v="CORP DE BIENESTAR DEL PERSONAL DE A F P"/>
    <d v="2025-02-13T00:00:00"/>
    <d v="2025-02-13T00:00:00"/>
    <d v="2025-02-13T00:00:00"/>
    <d v="2025-02-13T00:00:00"/>
    <s v="AMBULATORIOS"/>
    <n v="22598451"/>
    <n v="2171709"/>
    <n v="68878097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CONSALUD"/>
    <s v="RGONZALE@AFPHABITAT.CL"/>
    <s v="12892012|96942400|765476755|765476755"/>
    <s v="IMED SALUD"/>
    <b v="1"/>
    <s v="APORTE VIA IMED"/>
  </r>
  <r>
    <s v="12 DE SEPTIEMBRE DE 2025"/>
    <x v="125"/>
    <s v="RODRIGO GONZALEZ GONZALEZ"/>
    <n v="12892012"/>
    <s v="RODRIGO GONZALEZ GONZALEZ"/>
    <d v="2025-03-01T00:00:00"/>
    <s v="DUPLICADO"/>
    <n v="765476755"/>
    <n v="65384053"/>
    <n v="12293"/>
    <n v="0"/>
    <n v="12293"/>
    <n v="0"/>
    <n v="12293"/>
    <n v="765476755"/>
    <n v="285123"/>
    <s v="CORP DE BIENESTAR DEL PERSONAL DE A F P"/>
    <d v="2025-03-01T00:00:00"/>
    <d v="2025-03-26T00:00:00"/>
    <d v="2025-02-13T00:00:00"/>
    <d v="2025-02-13T00:00:00"/>
    <s v="AMBULATORIOS"/>
    <n v="22770614"/>
    <n v="3311105"/>
    <n v="69250941"/>
    <s v="TRASSA"/>
    <n v="207546631"/>
    <n v="78070"/>
    <s v="SAL"/>
    <s v="AM04"/>
    <s v="EXAMENES DE LABORATORIO"/>
    <s v="EXAMENES DE LABORATORIO"/>
    <s v="EXAMENES DE LABORATORIO"/>
    <n v="0"/>
    <n v="0"/>
    <n v="96942400"/>
    <n v="2"/>
    <s v="SIN ISAPRE"/>
    <s v="RGONZALE@AFPHABITAT.CL"/>
    <s v="12892012|96942400|765476755|65384053"/>
    <s v="GASTO FISICO"/>
    <b v="0"/>
    <s v="DEPOSITADO EN CUENTA"/>
  </r>
  <r>
    <s v="12 DE SEPTIEMBRE DE 2025"/>
    <x v="125"/>
    <s v="RODRIGO GONZALEZ GONZALEZ"/>
    <n v="12892012"/>
    <s v="RODRIGO GONZALEZ GONZALEZ"/>
    <d v="2025-02-01T00:00:00"/>
    <s v="INICIAL"/>
    <n v="765476756"/>
    <n v="765476756"/>
    <n v="34814"/>
    <n v="24615"/>
    <n v="10199"/>
    <n v="0"/>
    <n v="10199"/>
    <n v="765476756"/>
    <n v="285123"/>
    <s v="CORP DE BIENESTAR DEL PERSONAL DE A F P"/>
    <d v="2025-02-13T00:00:00"/>
    <d v="2025-02-13T00:00:00"/>
    <d v="2025-02-13T00:00:00"/>
    <d v="2025-02-13T00:00:00"/>
    <s v="AMBULATORIOS"/>
    <n v="22598451"/>
    <n v="2171709"/>
    <n v="68878096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CONSALUD"/>
    <s v="RGONZALE@AFPHABITAT.CL"/>
    <s v="12892012|96942400|765476756|765476756"/>
    <s v="IMED SALUD"/>
    <b v="1"/>
    <s v="APORTE VIA IMED"/>
  </r>
  <r>
    <s v="12 DE SEPTIEMBRE DE 2025"/>
    <x v="125"/>
    <s v="RODRIGO GONZALEZ GONZALEZ"/>
    <n v="12892012"/>
    <s v="RODRIGO GONZALEZ GONZALEZ"/>
    <d v="2025-03-01T00:00:00"/>
    <s v="DUPLICADO"/>
    <n v="765476756"/>
    <n v="65384054"/>
    <n v="9988"/>
    <n v="0"/>
    <n v="9988"/>
    <n v="0"/>
    <n v="9988"/>
    <n v="765476756"/>
    <n v="285123"/>
    <s v="CORP DE BIENESTAR DEL PERSONAL DE A F P"/>
    <d v="2025-03-01T00:00:00"/>
    <d v="2025-03-26T00:00:00"/>
    <d v="2025-02-13T00:00:00"/>
    <d v="2025-02-13T00:00:00"/>
    <s v="AMBULATORIOS"/>
    <n v="22770614"/>
    <n v="3311105"/>
    <n v="69250942"/>
    <s v="TRASSA"/>
    <n v="207546631"/>
    <n v="78070"/>
    <s v="SAL"/>
    <s v="AM04"/>
    <s v="EXAMENES DE LABORATORIO"/>
    <s v="EXAMENES DE LABORATORIO"/>
    <s v="EXAMENES DE LABORATORIO"/>
    <n v="0"/>
    <n v="0"/>
    <n v="96942400"/>
    <n v="2"/>
    <s v="SIN ISAPRE"/>
    <s v="RGONZALE@AFPHABITAT.CL"/>
    <s v="12892012|96942400|765476756|65384054"/>
    <s v="GASTO FISICO"/>
    <b v="0"/>
    <s v="DEPOSITADO EN CUENTA"/>
  </r>
  <r>
    <s v="12 DE SEPTIEMBRE DE 2025"/>
    <x v="125"/>
    <s v="RODRIGO GONZALEZ GONZALEZ"/>
    <n v="12892012"/>
    <s v="RODRIGO GONZALEZ GONZALEZ"/>
    <d v="2025-02-01T00:00:00"/>
    <s v="INICIAL"/>
    <n v="765476757"/>
    <n v="765476757"/>
    <n v="29458"/>
    <n v="24286"/>
    <n v="5172"/>
    <n v="0"/>
    <n v="5172"/>
    <n v="765476757"/>
    <n v="285123"/>
    <s v="CORP DE BIENESTAR DEL PERSONAL DE A F P"/>
    <d v="2025-02-13T00:00:00"/>
    <d v="2025-02-13T00:00:00"/>
    <d v="2025-02-13T00:00:00"/>
    <d v="2025-02-13T00:00:00"/>
    <s v="AMBULATORIOS"/>
    <n v="22598451"/>
    <n v="2171709"/>
    <n v="68878095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CONSALUD"/>
    <s v="RGONZALE@AFPHABITAT.CL"/>
    <s v="12892012|96942400|765476757|765476757"/>
    <s v="IMED SALUD"/>
    <b v="1"/>
    <s v="APORTE VIA IMED"/>
  </r>
  <r>
    <s v="12 DE SEPTIEMBRE DE 2025"/>
    <x v="125"/>
    <s v="RODRIGO GONZALEZ GONZALEZ"/>
    <n v="12892012"/>
    <s v="RODRIGO GONZALEZ GONZALEZ"/>
    <d v="2025-03-01T00:00:00"/>
    <s v="DUPLICADO"/>
    <n v="765476757"/>
    <n v="65384055"/>
    <n v="4225"/>
    <n v="0"/>
    <n v="4225"/>
    <n v="0"/>
    <n v="4225"/>
    <n v="765476757"/>
    <n v="285123"/>
    <s v="CORP DE BIENESTAR DEL PERSONAL DE A F P"/>
    <d v="2025-03-01T00:00:00"/>
    <d v="2025-03-26T00:00:00"/>
    <d v="2025-02-13T00:00:00"/>
    <d v="2025-02-13T00:00:00"/>
    <s v="AMBULATORIOS"/>
    <n v="22770614"/>
    <n v="3311105"/>
    <n v="69250943"/>
    <s v="TRASSA"/>
    <n v="207546631"/>
    <n v="78070"/>
    <s v="SAL"/>
    <s v="AM04"/>
    <s v="EXAMENES DE LABORATORIO"/>
    <s v="EXAMENES DE LABORATORIO"/>
    <s v="EXAMENES DE LABORATORIO"/>
    <n v="0"/>
    <n v="0"/>
    <n v="96942400"/>
    <n v="2"/>
    <s v="SIN ISAPRE"/>
    <s v="RGONZALE@AFPHABITAT.CL"/>
    <s v="12892012|96942400|765476757|65384055"/>
    <s v="GASTO FISICO"/>
    <b v="0"/>
    <s v="DEPOSITADO EN CUENTA"/>
  </r>
  <r>
    <s v="12 DE SEPTIEMBRE DE 2025"/>
    <x v="125"/>
    <s v="RODRIGO GONZALEZ GONZALEZ"/>
    <n v="12892012"/>
    <s v="RODRIGO GONZALEZ GONZALEZ"/>
    <d v="2025-02-01T00:00:00"/>
    <s v="INICIAL"/>
    <n v="765476758"/>
    <n v="765476758"/>
    <n v="10478"/>
    <n v="8907"/>
    <n v="1571"/>
    <n v="0"/>
    <n v="1571"/>
    <n v="765476758"/>
    <n v="285123"/>
    <s v="CORP DE BIENESTAR DEL PERSONAL DE A F P"/>
    <d v="2025-02-13T00:00:00"/>
    <d v="2025-02-13T00:00:00"/>
    <d v="2025-02-13T00:00:00"/>
    <d v="2025-02-13T00:00:00"/>
    <s v="AMBULATORIOS"/>
    <n v="22598451"/>
    <n v="2171709"/>
    <n v="68878094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CONSALUD"/>
    <s v="RGONZALE@AFPHABITAT.CL"/>
    <s v="12892012|96942400|765476758|765476758"/>
    <s v="IMED SALUD"/>
    <b v="1"/>
    <s v="APORTE VIA IMED"/>
  </r>
  <r>
    <s v="12 DE SEPTIEMBRE DE 2025"/>
    <x v="125"/>
    <s v="RODRIGO GONZALEZ GONZALEZ"/>
    <n v="12892012"/>
    <s v="RODRIGO GONZALEZ GONZALEZ"/>
    <d v="2025-03-01T00:00:00"/>
    <s v="DUPLICADO"/>
    <n v="765476758"/>
    <n v="65384056"/>
    <n v="1536"/>
    <n v="0"/>
    <n v="1536"/>
    <n v="0"/>
    <n v="1536"/>
    <n v="765476758"/>
    <n v="285123"/>
    <s v="CORP DE BIENESTAR DEL PERSONAL DE A F P"/>
    <d v="2025-03-01T00:00:00"/>
    <d v="2025-03-26T00:00:00"/>
    <d v="2025-02-13T00:00:00"/>
    <d v="2025-02-13T00:00:00"/>
    <s v="AMBULATORIOS"/>
    <n v="22770614"/>
    <n v="3311105"/>
    <n v="69250944"/>
    <s v="TRASSA"/>
    <n v="207546631"/>
    <n v="78070"/>
    <s v="SAL"/>
    <s v="AM04"/>
    <s v="EXAMENES DE LABORATORIO"/>
    <s v="EXAMENES DE LABORATORIO"/>
    <s v="EXAMENES DE LABORATORIO"/>
    <n v="0"/>
    <n v="0"/>
    <n v="96942400"/>
    <n v="2"/>
    <s v="SIN ISAPRE"/>
    <s v="RGONZALE@AFPHABITAT.CL"/>
    <s v="12892012|96942400|765476758|65384056"/>
    <s v="GASTO FISICO"/>
    <b v="0"/>
    <s v="DEPOSITADO EN CUENTA"/>
  </r>
  <r>
    <s v="12 DE SEPTIEMBRE DE 2025"/>
    <x v="144"/>
    <s v="JACQUELINE NOVOA RIQUELME"/>
    <n v="10458253"/>
    <s v="JACQUELINE NOVOA RIQUELME"/>
    <d v="2025-02-01T00:00:00"/>
    <s v="INICIAL"/>
    <n v="765480130"/>
    <n v="765480130"/>
    <n v="11504"/>
    <n v="8053"/>
    <n v="3451"/>
    <n v="0"/>
    <n v="3451"/>
    <n v="765480130"/>
    <n v="285123"/>
    <s v="CORP DE BIENESTAR DEL PERSONAL DE A F P"/>
    <d v="2025-02-13T00:00:00"/>
    <d v="2025-02-13T00:00:00"/>
    <d v="2025-02-13T00:00:00"/>
    <d v="2025-02-13T00:00:00"/>
    <s v="AMBULATORIOS"/>
    <n v="22598442"/>
    <n v="2171709"/>
    <n v="68878302"/>
    <s v="TRASSA"/>
    <n v="16022025"/>
    <n v="77646"/>
    <s v="SAL"/>
    <s v="AM07"/>
    <s v="PROCEDIMIENTOS TERAPEUTICOS"/>
    <s v="PROCEDIMIENTOS TERAPEUTICOS"/>
    <s v="PROCEDIMIENTOS TERAPEUTICOS"/>
    <s v="IMED SALUD"/>
    <n v="0"/>
    <n v="96942400"/>
    <n v="2"/>
    <s v="CONSALUD"/>
    <s v="JNOVOA@AFPHABITAT.CL"/>
    <s v="10458253|96942400|765480130|765480130"/>
    <s v="IMED SALUD"/>
    <b v="1"/>
    <s v="APORTE VIA IMED"/>
  </r>
  <r>
    <s v="12 DE SEPTIEMBRE DE 2025"/>
    <x v="144"/>
    <s v="JACQUELINE NOVOA RIQUELME"/>
    <n v="10458253"/>
    <s v="JACQUELINE NOVOA RIQUELME"/>
    <d v="2025-03-01T00:00:00"/>
    <s v="DUPLICADO"/>
    <n v="765480130"/>
    <n v="65383848"/>
    <n v="3457"/>
    <n v="0"/>
    <n v="3457"/>
    <n v="0"/>
    <n v="3457"/>
    <n v="765480130"/>
    <n v="285123"/>
    <s v="CORP DE BIENESTAR DEL PERSONAL DE A F P"/>
    <d v="2025-03-01T00:00:00"/>
    <d v="2025-03-26T00:00:00"/>
    <d v="2025-02-13T00:00:00"/>
    <d v="2025-02-13T00:00:00"/>
    <s v="AMBULATORIOS"/>
    <n v="22770609"/>
    <n v="3311105"/>
    <n v="69250737"/>
    <s v="TRASSA"/>
    <n v="1702834992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JNOVOA@AFPHABITAT.CL"/>
    <s v="10458253|96942400|765480130|65383848"/>
    <s v="GASTO FISICO"/>
    <b v="0"/>
    <s v="DEPOSITADO EN CUENTA"/>
  </r>
  <r>
    <s v="12 DE SEPTIEMBRE DE 2025"/>
    <x v="145"/>
    <s v="ANA CASTRO ROJAS"/>
    <n v="11854294"/>
    <s v="ANA CASTRO ROJAS"/>
    <d v="2025-02-01T00:00:00"/>
    <s v="INICIAL"/>
    <n v="765480576"/>
    <n v="765480576"/>
    <n v="235767"/>
    <n v="133309"/>
    <n v="102458"/>
    <n v="0"/>
    <n v="102458"/>
    <n v="765480576"/>
    <n v="285123"/>
    <s v="CORP DE BIENESTAR DEL PERSONAL DE A F P"/>
    <d v="2025-02-13T00:00:00"/>
    <d v="2025-02-13T00:00:00"/>
    <d v="2025-02-13T00:00:00"/>
    <d v="2025-02-13T00:00:00"/>
    <s v="AMBULATORIOS"/>
    <n v="22598448"/>
    <n v="2171709"/>
    <n v="68878327"/>
    <s v="TRASSA"/>
    <n v="16022025"/>
    <n v="77646"/>
    <s v="SAL"/>
    <s v="AM05"/>
    <s v="EXAMENES RADIOLOGICOS"/>
    <s v="EXAMENES RADIOLOGICOS"/>
    <s v="EXAMENES RADIOLOGICOS"/>
    <s v="IMED SALUD"/>
    <n v="0"/>
    <n v="76098454"/>
    <s v="K"/>
    <s v="CONSALUD"/>
    <s v="ACASTROR@AFPHABITAT.CL"/>
    <s v="11854294|76098454|765480576|765480576"/>
    <s v="IMED SALUD"/>
    <b v="1"/>
    <s v="APORTE VIA IMED"/>
  </r>
  <r>
    <s v="12 DE SEPTIEMBRE DE 2025"/>
    <x v="145"/>
    <s v="ANA CASTRO ROJAS"/>
    <n v="11854294"/>
    <s v="ANA CASTRO ROJAS"/>
    <d v="2025-03-01T00:00:00"/>
    <s v="DUPLICADO"/>
    <n v="765480576"/>
    <n v="65383967"/>
    <n v="96439"/>
    <n v="0"/>
    <n v="96439"/>
    <n v="0"/>
    <n v="96439"/>
    <n v="765480576"/>
    <n v="285123"/>
    <s v="CORP DE BIENESTAR DEL PERSONAL DE A F P"/>
    <d v="2025-03-01T00:00:00"/>
    <d v="2025-03-26T00:00:00"/>
    <d v="2025-02-13T00:00:00"/>
    <d v="2025-02-13T00:00:00"/>
    <s v="AMBULATORIOS"/>
    <n v="22770612"/>
    <n v="3311105"/>
    <n v="69250855"/>
    <s v="TRASSA"/>
    <n v="18800209401"/>
    <n v="78070"/>
    <s v="SAL"/>
    <s v="AM05"/>
    <s v="EXAMENES RADIOLOGICOS"/>
    <s v="EXAMENES RADIOLOGICOS"/>
    <s v="EXAMENES RADIOLOGICOS"/>
    <n v="0"/>
    <n v="0"/>
    <n v="76098454"/>
    <s v="K"/>
    <s v="SIN ISAPRE"/>
    <s v="ACASTROR@AFPHABITAT.CL"/>
    <s v="11854294|76098454|765480576|65383967"/>
    <s v="GASTO FISICO"/>
    <b v="0"/>
    <s v="DEPOSITADO EN CUENTA"/>
  </r>
  <r>
    <s v="12 DE SEPTIEMBRE DE 2025"/>
    <x v="120"/>
    <s v="JAVIERA ANDREA ARRIETA SILVA"/>
    <n v="28560684"/>
    <s v="FACUNDO DANAEI ARRIETA"/>
    <d v="2025-02-01T00:00:00"/>
    <s v="INICIAL"/>
    <n v="765483697"/>
    <n v="765483697"/>
    <n v="18533"/>
    <n v="11120"/>
    <n v="7413"/>
    <n v="0"/>
    <n v="7413"/>
    <n v="765483697"/>
    <n v="285123"/>
    <s v="CORP DE BIENESTAR DEL PERSONAL DE A F P"/>
    <d v="2025-02-13T00:00:00"/>
    <d v="2025-02-13T00:00:00"/>
    <d v="2025-02-13T00:00:00"/>
    <d v="2025-02-13T00:00:00"/>
    <s v="AMBULATORIOS"/>
    <n v="22598471"/>
    <n v="2171709"/>
    <n v="68878480"/>
    <s v="TRASSA"/>
    <n v="16022025"/>
    <n v="77646"/>
    <s v="SAL"/>
    <s v="AM04"/>
    <s v="EXAMENES DE LABORATORIO"/>
    <s v="EXAMENES DE LABORATORIO"/>
    <s v="EXAMENES DE LABORATORIO"/>
    <s v="IMED SALUD"/>
    <n v="0"/>
    <n v="79576810"/>
    <n v="6"/>
    <s v="CONSALUD"/>
    <s v="JAVIERA.ARRIETA@AFPHABITAT.CL"/>
    <s v="17833560|79576810|765483697|765483697"/>
    <s v="IMED SALUD"/>
    <b v="1"/>
    <s v="APORTE VIA IMED"/>
  </r>
  <r>
    <s v="12 DE SEPTIEMBRE DE 2025"/>
    <x v="120"/>
    <s v="JAVIERA ANDREA ARRIETA SILVA"/>
    <n v="28560684"/>
    <s v="FACUNDO DANAEI ARRIETA"/>
    <d v="2025-03-01T00:00:00"/>
    <s v="DUPLICADO"/>
    <n v="765483697"/>
    <n v="65384444"/>
    <n v="7299"/>
    <n v="0"/>
    <n v="7299"/>
    <n v="0"/>
    <n v="7299"/>
    <n v="765483697"/>
    <n v="285123"/>
    <s v="CORP DE BIENESTAR DEL PERSONAL DE A F P"/>
    <d v="2025-03-01T00:00:00"/>
    <d v="2025-03-26T00:00:00"/>
    <d v="2025-02-13T00:00:00"/>
    <d v="2025-02-13T00:00:00"/>
    <s v="AMBULATORIOS"/>
    <n v="22770620"/>
    <n v="3311105"/>
    <n v="69251312"/>
    <s v="TRASSA"/>
    <n v="71936473"/>
    <n v="78070"/>
    <s v="SAL"/>
    <s v="AM04"/>
    <s v="EXAMENES DE LABORATORIO"/>
    <s v="EXAMENES DE LABORATORIO"/>
    <s v="EXAMENES DE LABORATORIO"/>
    <n v="0"/>
    <n v="0"/>
    <n v="79576810"/>
    <n v="6"/>
    <s v="SIN ISAPRE"/>
    <s v="JAVIERA.ARRIETA@AFPHABITAT.CL"/>
    <s v="17833560|79576810|765483697|65384444"/>
    <s v="GASTO FISICO"/>
    <b v="0"/>
    <s v="DEPOSITADO EN CUENTA"/>
  </r>
  <r>
    <s v="12 DE SEPTIEMBRE DE 2025"/>
    <x v="144"/>
    <s v="JACQUELINE NOVOA RIQUELME"/>
    <n v="10458253"/>
    <s v="JACQUELINE NOVOA RIQUELME"/>
    <d v="2025-02-01T00:00:00"/>
    <s v="INICIAL"/>
    <n v="765487432"/>
    <n v="765487432"/>
    <n v="24167"/>
    <n v="16917"/>
    <n v="7250"/>
    <n v="0"/>
    <n v="7250"/>
    <n v="765487432"/>
    <n v="285123"/>
    <s v="CORP DE BIENESTAR DEL PERSONAL DE A F P"/>
    <d v="2025-02-14T00:00:00"/>
    <d v="2025-02-14T00:00:00"/>
    <d v="2025-02-14T00:00:00"/>
    <d v="2025-02-14T00:00:00"/>
    <s v="AMBULATORIOS"/>
    <n v="22598483"/>
    <n v="2171709"/>
    <n v="68878711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CONSALUD"/>
    <s v="JNOVOA@AFPHABITAT.CL"/>
    <s v="10458253|96942400|765487432|765487432"/>
    <s v="IMED SALUD"/>
    <b v="1"/>
    <s v="APORTE VIA IMED"/>
  </r>
  <r>
    <s v="12 DE SEPTIEMBRE DE 2025"/>
    <x v="144"/>
    <s v="JACQUELINE NOVOA RIQUELME"/>
    <n v="10458253"/>
    <s v="JACQUELINE NOVOA RIQUELME"/>
    <d v="2025-03-01T00:00:00"/>
    <s v="DUPLICADO"/>
    <n v="765487432"/>
    <n v="65383849"/>
    <n v="6916"/>
    <n v="0"/>
    <n v="6916"/>
    <n v="0"/>
    <n v="6916"/>
    <n v="765487432"/>
    <n v="285123"/>
    <s v="CORP DE BIENESTAR DEL PERSONAL DE A F P"/>
    <d v="2025-03-01T00:00:00"/>
    <d v="2025-03-26T00:00:00"/>
    <d v="2025-02-14T00:00:00"/>
    <d v="2025-02-14T00:00:00"/>
    <s v="AMBULATORIOS"/>
    <n v="22770625"/>
    <n v="3311105"/>
    <n v="69250738"/>
    <s v="TRASSA"/>
    <n v="1702834992"/>
    <n v="78070"/>
    <s v="SAL"/>
    <s v="AM04"/>
    <s v="EXAMENES DE LABORATORIO"/>
    <s v="EXAMENES DE LABORATORIO"/>
    <s v="EXAMENES DE LABORATORIO"/>
    <n v="0"/>
    <n v="0"/>
    <n v="96942400"/>
    <n v="2"/>
    <s v="SIN ISAPRE"/>
    <s v="JNOVOA@AFPHABITAT.CL"/>
    <s v="10458253|96942400|765487432|65383849"/>
    <s v="GASTO FISICO"/>
    <b v="0"/>
    <s v="DEPOSITADO EN CUENTA"/>
  </r>
  <r>
    <s v="12 DE SEPTIEMBRE DE 2025"/>
    <x v="144"/>
    <s v="JACQUELINE NOVOA RIQUELME"/>
    <n v="10458253"/>
    <s v="JACQUELINE NOVOA RIQUELME"/>
    <d v="2025-02-01T00:00:00"/>
    <s v="INICIAL"/>
    <n v="765487433"/>
    <n v="765487433"/>
    <n v="37596"/>
    <n v="26319"/>
    <n v="11277"/>
    <n v="0"/>
    <n v="11277"/>
    <n v="765487433"/>
    <n v="285123"/>
    <s v="CORP DE BIENESTAR DEL PERSONAL DE A F P"/>
    <d v="2025-02-14T00:00:00"/>
    <d v="2025-02-14T00:00:00"/>
    <d v="2025-02-14T00:00:00"/>
    <d v="2025-02-14T00:00:00"/>
    <s v="AMBULATORIOS"/>
    <n v="22598483"/>
    <n v="2171709"/>
    <n v="68878710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CONSALUD"/>
    <s v="JNOVOA@AFPHABITAT.CL"/>
    <s v="10458253|96942400|765487433|765487433"/>
    <s v="IMED SALUD"/>
    <b v="1"/>
    <s v="APORTE VIA IMED"/>
  </r>
  <r>
    <s v="12 DE SEPTIEMBRE DE 2025"/>
    <x v="144"/>
    <s v="JACQUELINE NOVOA RIQUELME"/>
    <n v="10458253"/>
    <s v="JACQUELINE NOVOA RIQUELME"/>
    <d v="2025-03-01T00:00:00"/>
    <s v="DUPLICADO"/>
    <n v="765487433"/>
    <n v="65383850"/>
    <n v="11144"/>
    <n v="0"/>
    <n v="11144"/>
    <n v="0"/>
    <n v="11144"/>
    <n v="765487433"/>
    <n v="285123"/>
    <s v="CORP DE BIENESTAR DEL PERSONAL DE A F P"/>
    <d v="2025-03-01T00:00:00"/>
    <d v="2025-03-26T00:00:00"/>
    <d v="2025-02-14T00:00:00"/>
    <d v="2025-02-14T00:00:00"/>
    <s v="AMBULATORIOS"/>
    <n v="22770625"/>
    <n v="3311105"/>
    <n v="69250739"/>
    <s v="TRASSA"/>
    <n v="1702834992"/>
    <n v="78070"/>
    <s v="SAL"/>
    <s v="AM04"/>
    <s v="EXAMENES DE LABORATORIO"/>
    <s v="EXAMENES DE LABORATORIO"/>
    <s v="EXAMENES DE LABORATORIO"/>
    <n v="0"/>
    <n v="0"/>
    <n v="96942400"/>
    <n v="2"/>
    <s v="SIN ISAPRE"/>
    <s v="JNOVOA@AFPHABITAT.CL"/>
    <s v="10458253|96942400|765487433|65383850"/>
    <s v="GASTO FISICO"/>
    <b v="0"/>
    <s v="DEPOSITADO EN CUENTA"/>
  </r>
  <r>
    <s v="12 DE SEPTIEMBRE DE 2025"/>
    <x v="144"/>
    <s v="JACQUELINE NOVOA RIQUELME"/>
    <n v="10458253"/>
    <s v="JACQUELINE NOVOA RIQUELME"/>
    <d v="2025-02-01T00:00:00"/>
    <s v="INICIAL"/>
    <n v="765487434"/>
    <n v="765487434"/>
    <n v="31460"/>
    <n v="22024"/>
    <n v="9436"/>
    <n v="0"/>
    <n v="9436"/>
    <n v="765487434"/>
    <n v="285123"/>
    <s v="CORP DE BIENESTAR DEL PERSONAL DE A F P"/>
    <d v="2025-02-14T00:00:00"/>
    <d v="2025-02-14T00:00:00"/>
    <d v="2025-02-14T00:00:00"/>
    <d v="2025-02-14T00:00:00"/>
    <s v="AMBULATORIOS"/>
    <n v="22598483"/>
    <n v="2171709"/>
    <n v="68878709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CONSALUD"/>
    <s v="JNOVOA@AFPHABITAT.CL"/>
    <s v="10458253|96942400|765487434|765487434"/>
    <s v="IMED SALUD"/>
    <b v="1"/>
    <s v="APORTE VIA IMED"/>
  </r>
  <r>
    <s v="12 DE SEPTIEMBRE DE 2025"/>
    <x v="144"/>
    <s v="JACQUELINE NOVOA RIQUELME"/>
    <n v="10458253"/>
    <s v="JACQUELINE NOVOA RIQUELME"/>
    <d v="2025-03-01T00:00:00"/>
    <s v="DUPLICADO"/>
    <n v="765487434"/>
    <n v="65383851"/>
    <n v="9607"/>
    <n v="0"/>
    <n v="9607"/>
    <n v="0"/>
    <n v="9607"/>
    <n v="765487434"/>
    <n v="285123"/>
    <s v="CORP DE BIENESTAR DEL PERSONAL DE A F P"/>
    <d v="2025-03-01T00:00:00"/>
    <d v="2025-03-26T00:00:00"/>
    <d v="2025-02-14T00:00:00"/>
    <d v="2025-02-14T00:00:00"/>
    <s v="AMBULATORIOS"/>
    <n v="22770625"/>
    <n v="3311105"/>
    <n v="69250740"/>
    <s v="TRASSA"/>
    <n v="1702834992"/>
    <n v="78070"/>
    <s v="SAL"/>
    <s v="AM04"/>
    <s v="EXAMENES DE LABORATORIO"/>
    <s v="EXAMENES DE LABORATORIO"/>
    <s v="EXAMENES DE LABORATORIO"/>
    <n v="0"/>
    <n v="0"/>
    <n v="96942400"/>
    <n v="2"/>
    <s v="SIN ISAPRE"/>
    <s v="JNOVOA@AFPHABITAT.CL"/>
    <s v="10458253|96942400|765487434|65383851"/>
    <s v="GASTO FISICO"/>
    <b v="0"/>
    <s v="DEPOSITADO EN CUENTA"/>
  </r>
  <r>
    <s v="12 DE SEPTIEMBRE DE 2025"/>
    <x v="144"/>
    <s v="JACQUELINE NOVOA RIQUELME"/>
    <n v="10458253"/>
    <s v="JACQUELINE NOVOA RIQUELME"/>
    <d v="2025-02-01T00:00:00"/>
    <s v="INICIAL"/>
    <n v="765487435"/>
    <n v="765487435"/>
    <n v="19097"/>
    <n v="13368"/>
    <n v="5729"/>
    <n v="0"/>
    <n v="5729"/>
    <n v="765487435"/>
    <n v="285123"/>
    <s v="CORP DE BIENESTAR DEL PERSONAL DE A F P"/>
    <d v="2025-02-14T00:00:00"/>
    <d v="2025-02-14T00:00:00"/>
    <d v="2025-02-14T00:00:00"/>
    <d v="2025-02-14T00:00:00"/>
    <s v="AMBULATORIOS"/>
    <n v="22598483"/>
    <n v="2171709"/>
    <n v="68878708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CONSALUD"/>
    <s v="JNOVOA@AFPHABITAT.CL"/>
    <s v="10458253|96942400|765487435|765487435"/>
    <s v="IMED SALUD"/>
    <b v="1"/>
    <s v="APORTE VIA IMED"/>
  </r>
  <r>
    <s v="12 DE SEPTIEMBRE DE 2025"/>
    <x v="144"/>
    <s v="JACQUELINE NOVOA RIQUELME"/>
    <n v="10458253"/>
    <s v="JACQUELINE NOVOA RIQUELME"/>
    <d v="2025-03-01T00:00:00"/>
    <s v="DUPLICADO"/>
    <n v="765487435"/>
    <n v="65383852"/>
    <n v="5380"/>
    <n v="0"/>
    <n v="5380"/>
    <n v="0"/>
    <n v="5380"/>
    <n v="765487435"/>
    <n v="285123"/>
    <s v="CORP DE BIENESTAR DEL PERSONAL DE A F P"/>
    <d v="2025-03-01T00:00:00"/>
    <d v="2025-03-26T00:00:00"/>
    <d v="2025-02-14T00:00:00"/>
    <d v="2025-02-14T00:00:00"/>
    <s v="AMBULATORIOS"/>
    <n v="22770625"/>
    <n v="3311105"/>
    <n v="69250741"/>
    <s v="TRASSA"/>
    <n v="1702834992"/>
    <n v="78070"/>
    <s v="SAL"/>
    <s v="AM04"/>
    <s v="EXAMENES DE LABORATORIO"/>
    <s v="EXAMENES DE LABORATORIO"/>
    <s v="EXAMENES DE LABORATORIO"/>
    <n v="0"/>
    <n v="0"/>
    <n v="96942400"/>
    <n v="2"/>
    <s v="SIN ISAPRE"/>
    <s v="JNOVOA@AFPHABITAT.CL"/>
    <s v="10458253|96942400|765487435|65383852"/>
    <s v="GASTO FISICO"/>
    <b v="0"/>
    <s v="DEPOSITADO EN CUENTA"/>
  </r>
  <r>
    <s v="12 DE SEPTIEMBRE DE 2025"/>
    <x v="136"/>
    <s v="RAUL EDUARDO BUSTAMANTE CANTERO"/>
    <n v="11739910"/>
    <s v="RAUL EDUARDO BUSTAMANTE CANTERO"/>
    <d v="2025-02-01T00:00:00"/>
    <s v="INICIAL"/>
    <n v="765503086"/>
    <n v="765503086"/>
    <n v="114720"/>
    <n v="112426"/>
    <n v="2294"/>
    <n v="0"/>
    <n v="2294"/>
    <n v="765503086"/>
    <n v="285123"/>
    <s v="CORP DE BIENESTAR DEL PERSONAL DE A F P"/>
    <d v="2025-02-15T00:00:00"/>
    <d v="2025-02-15T00:00:00"/>
    <d v="2025-02-15T00:00:00"/>
    <d v="2025-02-15T00:00:00"/>
    <s v="AMBULATORIOS"/>
    <n v="22621710"/>
    <n v="2250942"/>
    <n v="68909080"/>
    <s v="TRASSA"/>
    <n v="23022025"/>
    <n v="77703"/>
    <s v="SAL"/>
    <s v="AM07"/>
    <s v="PROCEDIMIENTOS TERAPEUTICOS"/>
    <s v="PROCEDIMIENTOS TERAPEUTICOS"/>
    <s v="PROCEDIMIENTOS TERAPEUTICOS"/>
    <s v="IMED SALUD"/>
    <n v="0"/>
    <n v="96942400"/>
    <n v="2"/>
    <s v="CONSALUD"/>
    <s v="RBUSTAMA@AFPHABITAT.CL"/>
    <s v="11739910|96942400|765503086|765503086"/>
    <s v="IMED SALUD"/>
    <b v="1"/>
    <s v="APORTE VIA IMED"/>
  </r>
  <r>
    <s v="12 DE SEPTIEMBRE DE 2025"/>
    <x v="136"/>
    <s v="RAUL EDUARDO BUSTAMANTE CANTERO"/>
    <n v="11739910"/>
    <s v="RAUL EDUARDO BUSTAMANTE CANTERO"/>
    <d v="2025-03-01T00:00:00"/>
    <s v="DUPLICADO"/>
    <n v="765503086"/>
    <n v="65383958"/>
    <n v="11535"/>
    <n v="0"/>
    <n v="11535"/>
    <n v="0"/>
    <n v="11535"/>
    <n v="765503086"/>
    <n v="285123"/>
    <s v="CORP DE BIENESTAR DEL PERSONAL DE A F P"/>
    <d v="2025-03-01T00:00:00"/>
    <d v="2025-03-26T00:00:00"/>
    <d v="2025-02-15T00:00:00"/>
    <d v="2025-02-15T00:00:00"/>
    <s v="AMBULATORIOS"/>
    <n v="22770636"/>
    <n v="3311105"/>
    <n v="69250846"/>
    <s v="TRASSA"/>
    <n v="2650102250127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RBUSTAMA@AFPHABITAT.CL"/>
    <s v="11739910|96942400|765503086|65383958"/>
    <s v="GASTO FISICO"/>
    <b v="0"/>
    <s v="DEPOSITADO EN CUENTA"/>
  </r>
  <r>
    <s v="12 DE SEPTIEMBRE DE 2025"/>
    <x v="126"/>
    <s v="VALERIA ESMERALDA SEPULVEDA SEPULVEDA"/>
    <n v="9643668"/>
    <s v="VALERIA ESMERALDA SEPULVEDA SEPULVEDA"/>
    <d v="2025-02-01T00:00:00"/>
    <s v="INICIAL"/>
    <n v="765509052"/>
    <n v="765509052"/>
    <n v="31666"/>
    <n v="16283"/>
    <n v="15383"/>
    <n v="0"/>
    <n v="15383"/>
    <n v="765509052"/>
    <n v="285123"/>
    <s v="CORP DE BIENESTAR DEL PERSONAL DE A F P"/>
    <d v="2025-02-17T00:00:00"/>
    <d v="2025-02-17T00:00:00"/>
    <d v="2025-02-17T00:00:00"/>
    <d v="2025-02-17T00:00:00"/>
    <s v="AMBULATORIOS"/>
    <n v="22621723"/>
    <n v="2250942"/>
    <n v="68909391"/>
    <s v="TRASSA"/>
    <n v="23022025"/>
    <n v="77703"/>
    <s v="SAL"/>
    <s v="AM05"/>
    <s v="EXAMENES RADIOLOGICOS"/>
    <s v="EXAMENES RADIOLOGICOS"/>
    <s v="EXAMENES RADIOLOGICOS"/>
    <s v="IMED SALUD"/>
    <n v="0"/>
    <n v="76055963"/>
    <n v="6"/>
    <s v="CONSALUD"/>
    <s v="VSEPULVE@AFPHABITAT.CL"/>
    <s v="9643668|76055963|765509052|765509052"/>
    <s v="IMED SALUD"/>
    <b v="1"/>
    <s v="APORTE VIA IMED"/>
  </r>
  <r>
    <s v="12 DE SEPTIEMBRE DE 2025"/>
    <x v="126"/>
    <s v="VALERIA ESMERALDA SEPULVEDA SEPULVEDA"/>
    <n v="9643668"/>
    <s v="VALERIA ESMERALDA SEPULVEDA SEPULVEDA"/>
    <d v="2025-03-01T00:00:00"/>
    <s v="DUPLICADO"/>
    <n v="765509052"/>
    <n v="65383757"/>
    <n v="15392"/>
    <n v="0"/>
    <n v="15392"/>
    <n v="0"/>
    <n v="15392"/>
    <n v="765509052"/>
    <n v="285123"/>
    <s v="CORP DE BIENESTAR DEL PERSONAL DE A F P"/>
    <d v="2025-03-01T00:00:00"/>
    <d v="2025-03-26T00:00:00"/>
    <d v="2025-02-17T00:00:00"/>
    <d v="2025-02-17T00:00:00"/>
    <s v="AMBULATORIOS"/>
    <n v="22770641"/>
    <n v="3311105"/>
    <n v="69250647"/>
    <s v="TRASSA"/>
    <n v="580360901"/>
    <n v="78070"/>
    <s v="SAL"/>
    <s v="AM05"/>
    <s v="EXAMENES RADIOLOGICOS"/>
    <s v="EXAMENES RADIOLOGICOS"/>
    <s v="EXAMENES RADIOLOGICOS"/>
    <n v="0"/>
    <n v="0"/>
    <n v="76055963"/>
    <n v="6"/>
    <s v="SIN ISAPRE"/>
    <s v="VSEPULVE@AFPHABITAT.CL"/>
    <s v="9643668|76055963|765509052|65383757"/>
    <s v="GASTO FISICO"/>
    <b v="0"/>
    <s v="DEPOSITADO EN CUENTA"/>
  </r>
  <r>
    <s v="12 DE SEPTIEMBRE DE 2025"/>
    <x v="69"/>
    <s v="CARLOS FAUNDEZ SAEZ"/>
    <n v="13228306"/>
    <s v="CARLOS FAUNDEZ SAEZ"/>
    <d v="2025-02-01T00:00:00"/>
    <s v="INICIAL"/>
    <n v="765521912"/>
    <n v="765521912"/>
    <n v="14833"/>
    <n v="8150"/>
    <n v="6683"/>
    <n v="0"/>
    <n v="6683"/>
    <n v="765521912"/>
    <n v="285123"/>
    <s v="CORP DE BIENESTAR DEL PERSONAL DE A F P"/>
    <d v="2025-02-18T00:00:00"/>
    <d v="2025-02-18T00:00:00"/>
    <d v="2025-02-18T00:00:00"/>
    <d v="2025-02-18T00:00:00"/>
    <s v="AMBULATORIOS"/>
    <n v="22621781"/>
    <n v="2250942"/>
    <n v="68910014"/>
    <s v="TRASSA"/>
    <n v="23022025"/>
    <n v="77703"/>
    <s v="SAL"/>
    <s v="AM04"/>
    <s v="EXAMENES DE LABORATORIO"/>
    <s v="EXAMENES DE LABORATORIO"/>
    <s v="EXAMENES DE LABORATORIO"/>
    <s v="IMED SALUD"/>
    <n v="0"/>
    <n v="96951870"/>
    <n v="8"/>
    <s v="CONSALUD"/>
    <s v="CFAUNDEZ@AFPHABITAT.CL"/>
    <s v="13228306|96951870|765521912|765521912"/>
    <s v="IMED SALUD"/>
    <b v="1"/>
    <s v="APORTE VIA IMED"/>
  </r>
  <r>
    <s v="12 DE SEPTIEMBRE DE 2025"/>
    <x v="69"/>
    <s v="CARLOS FAUNDEZ SAEZ"/>
    <n v="13228306"/>
    <s v="CARLOS FAUNDEZ SAEZ"/>
    <d v="2025-03-01T00:00:00"/>
    <s v="DUPLICADO"/>
    <n v="765521912"/>
    <n v="65384087"/>
    <n v="6544"/>
    <n v="0"/>
    <n v="6544"/>
    <n v="0"/>
    <n v="6544"/>
    <n v="765521912"/>
    <n v="285123"/>
    <s v="CORP DE BIENESTAR DEL PERSONAL DE A F P"/>
    <d v="2025-03-01T00:00:00"/>
    <d v="2025-03-26T00:00:00"/>
    <d v="2025-02-18T00:00:00"/>
    <d v="2025-02-18T00:00:00"/>
    <s v="AMBULATORIOS"/>
    <n v="22770654"/>
    <n v="3311105"/>
    <n v="69250974"/>
    <s v="TRASSA"/>
    <n v="14070048661"/>
    <n v="78070"/>
    <s v="SAL"/>
    <s v="AM04"/>
    <s v="EXAMENES DE LABORATORIO"/>
    <s v="EXAMENES DE LABORATORIO"/>
    <s v="EXAMENES DE LABORATORIO"/>
    <n v="0"/>
    <n v="0"/>
    <n v="96951870"/>
    <n v="8"/>
    <s v="SIN ISAPRE"/>
    <s v="CFAUNDEZ@AFPHABITAT.CL"/>
    <s v="13228306|96951870|765521912|65384087"/>
    <s v="GASTO FISICO"/>
    <b v="0"/>
    <s v="DEPOSITADO EN CUENTA"/>
  </r>
  <r>
    <s v="12 DE SEPTIEMBRE DE 2025"/>
    <x v="146"/>
    <s v="RAUL ALBERTO SILVA ZAPATA"/>
    <n v="8230711"/>
    <s v="CAROLE HESS OCHOA"/>
    <d v="2025-02-01T00:00:00"/>
    <s v="INICIAL"/>
    <n v="765525239"/>
    <n v="765525239"/>
    <n v="13280"/>
    <n v="9077"/>
    <n v="4203"/>
    <n v="0"/>
    <n v="4203"/>
    <n v="765525239"/>
    <n v="285123"/>
    <s v="CORP DE BIENESTAR DEL PERSONAL DE A F P"/>
    <d v="2025-02-18T00:00:00"/>
    <d v="2025-02-18T00:00:00"/>
    <d v="2025-02-18T00:00:00"/>
    <d v="2025-02-18T00:00:00"/>
    <s v="AMBULATORIOS"/>
    <n v="22621764"/>
    <n v="2250942"/>
    <n v="68910156"/>
    <s v="TRASSA"/>
    <n v="23022025"/>
    <n v="77703"/>
    <s v="SAL"/>
    <s v="AM07"/>
    <s v="PROCEDIMIENTOS TERAPEUTICOS"/>
    <s v="PROCEDIMIENTOS TERAPEUTICOS"/>
    <s v="PROCEDIMIENTOS TERAPEUTICOS"/>
    <s v="IMED SALUD"/>
    <n v="0"/>
    <n v="96942400"/>
    <n v="2"/>
    <s v="CONSALUD"/>
    <s v="RSILVAP@AFPHABITAT.CL"/>
    <s v="6871191|96942400|765525239|765525239"/>
    <s v="IMED SALUD"/>
    <b v="1"/>
    <s v="APORTE VIA IMED"/>
  </r>
  <r>
    <s v="12 DE SEPTIEMBRE DE 2025"/>
    <x v="146"/>
    <s v="RAUL ALBERTO SILVA ZAPATA"/>
    <n v="8230711"/>
    <s v="CAROLE HESS OCHOA"/>
    <d v="2025-03-01T00:00:00"/>
    <s v="DUPLICADO"/>
    <n v="765525239"/>
    <n v="65383597"/>
    <n v="4234"/>
    <n v="0"/>
    <n v="4234"/>
    <n v="0"/>
    <n v="4234"/>
    <n v="765525239"/>
    <n v="285123"/>
    <s v="CORP DE BIENESTAR DEL PERSONAL DE A F P"/>
    <d v="2025-03-01T00:00:00"/>
    <d v="2025-03-26T00:00:00"/>
    <d v="2025-02-18T00:00:00"/>
    <d v="2025-02-18T00:00:00"/>
    <s v="AMBULATORIOS"/>
    <n v="22770650"/>
    <n v="3311105"/>
    <n v="69250488"/>
    <s v="TRASSA"/>
    <n v="36681938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RSILVAP@AFPHABITAT.CL"/>
    <s v="6871191|96942400|765525239|65383597"/>
    <s v="GASTO FISICO"/>
    <b v="0"/>
    <s v="DEPOSITADO EN CUENTA"/>
  </r>
  <r>
    <s v="12 DE SEPTIEMBRE DE 2025"/>
    <x v="125"/>
    <s v="RODRIGO GONZALEZ GONZALEZ"/>
    <n v="12892012"/>
    <s v="RODRIGO GONZALEZ GONZALEZ"/>
    <d v="2025-02-01T00:00:00"/>
    <s v="INICIAL"/>
    <n v="765542192"/>
    <n v="765542192"/>
    <n v="33800"/>
    <n v="28486"/>
    <n v="5314"/>
    <n v="0"/>
    <n v="5314"/>
    <n v="765542192"/>
    <n v="285123"/>
    <s v="CORP DE BIENESTAR DEL PERSONAL DE A F P"/>
    <d v="2025-02-19T00:00:00"/>
    <d v="2025-02-19T00:00:00"/>
    <d v="2025-02-19T00:00:00"/>
    <d v="2025-02-19T00:00:00"/>
    <s v="AMBULATORIOS"/>
    <n v="22621826"/>
    <n v="2250942"/>
    <n v="68911042"/>
    <s v="TRASSA"/>
    <n v="23022025"/>
    <n v="77703"/>
    <s v="SAL"/>
    <s v="AM05"/>
    <s v="EXAMENES RADIOLOGICOS"/>
    <s v="EXAMENES RADIOLOGICOS"/>
    <s v="EXAMENES RADIOLOGICOS"/>
    <s v="IMED SALUD"/>
    <n v="0"/>
    <n v="96942400"/>
    <n v="2"/>
    <s v="CONSALUD"/>
    <s v="RGONZALE@AFPHABITAT.CL"/>
    <s v="12892012|96942400|765542192|765542192"/>
    <s v="IMED SALUD"/>
    <b v="1"/>
    <s v="APORTE VIA IMED"/>
  </r>
  <r>
    <s v="12 DE SEPTIEMBRE DE 2025"/>
    <x v="125"/>
    <s v="RODRIGO GONZALEZ GONZALEZ"/>
    <n v="12892012"/>
    <s v="RODRIGO GONZALEZ GONZALEZ"/>
    <d v="2025-03-01T00:00:00"/>
    <s v="DUPLICADO"/>
    <n v="765542192"/>
    <n v="65384057"/>
    <n v="5391"/>
    <n v="0"/>
    <n v="5391"/>
    <n v="0"/>
    <n v="5391"/>
    <n v="765542192"/>
    <n v="285123"/>
    <s v="CORP DE BIENESTAR DEL PERSONAL DE A F P"/>
    <d v="2025-03-01T00:00:00"/>
    <d v="2025-03-26T00:00:00"/>
    <d v="2025-02-19T00:00:00"/>
    <d v="2025-02-19T00:00:00"/>
    <s v="AMBULATORIOS"/>
    <n v="22770668"/>
    <n v="3311105"/>
    <n v="69250945"/>
    <s v="TRASSA"/>
    <n v="207546631"/>
    <n v="78070"/>
    <s v="SAL"/>
    <s v="AM05"/>
    <s v="EXAMENES RADIOLOGICOS"/>
    <s v="EXAMENES RADIOLOGICOS"/>
    <s v="EXAMENES RADIOLOGICOS"/>
    <n v="0"/>
    <n v="0"/>
    <n v="96942400"/>
    <n v="2"/>
    <s v="SIN ISAPRE"/>
    <s v="RGONZALE@AFPHABITAT.CL"/>
    <s v="12892012|96942400|765542192|65384057"/>
    <s v="GASTO FISICO"/>
    <b v="0"/>
    <s v="DEPOSITADO EN CUENTA"/>
  </r>
  <r>
    <s v="12 DE SEPTIEMBRE DE 2025"/>
    <x v="125"/>
    <s v="RODRIGO GONZALEZ GONZALEZ"/>
    <n v="12892012"/>
    <s v="RODRIGO GONZALEZ GONZALEZ"/>
    <d v="2025-02-01T00:00:00"/>
    <s v="INICIAL"/>
    <n v="765542496"/>
    <n v="765542496"/>
    <n v="18785"/>
    <n v="15968"/>
    <n v="2817"/>
    <n v="0"/>
    <n v="2817"/>
    <n v="765542496"/>
    <n v="285123"/>
    <s v="CORP DE BIENESTAR DEL PERSONAL DE A F P"/>
    <d v="2025-02-19T00:00:00"/>
    <d v="2025-02-19T00:00:00"/>
    <d v="2025-02-19T00:00:00"/>
    <d v="2025-02-19T00:00:00"/>
    <s v="AMBULATORIOS"/>
    <n v="22621826"/>
    <n v="2250942"/>
    <n v="68911053"/>
    <s v="TRASSA"/>
    <n v="23022025"/>
    <n v="77703"/>
    <s v="SAL"/>
    <s v="AM05"/>
    <s v="EXAMENES RADIOLOGICOS"/>
    <s v="EXAMENES RADIOLOGICOS"/>
    <s v="EXAMENES RADIOLOGICOS"/>
    <s v="IMED SALUD"/>
    <n v="0"/>
    <n v="96942400"/>
    <n v="2"/>
    <s v="CONSALUD"/>
    <s v="RGONZALE@AFPHABITAT.CL"/>
    <s v="12892012|96942400|765542496|765542496"/>
    <s v="IMED SALUD"/>
    <b v="1"/>
    <s v="APORTE VIA IMED"/>
  </r>
  <r>
    <s v="12 DE SEPTIEMBRE DE 2025"/>
    <x v="125"/>
    <s v="RODRIGO GONZALEZ GONZALEZ"/>
    <n v="12892012"/>
    <s v="RODRIGO GONZALEZ GONZALEZ"/>
    <d v="2025-03-01T00:00:00"/>
    <s v="DUPLICADO"/>
    <n v="765542496"/>
    <n v="65384058"/>
    <n v="3080"/>
    <n v="0"/>
    <n v="3080"/>
    <n v="0"/>
    <n v="3080"/>
    <n v="765542496"/>
    <n v="285123"/>
    <s v="CORP DE BIENESTAR DEL PERSONAL DE A F P"/>
    <d v="2025-03-01T00:00:00"/>
    <d v="2025-03-26T00:00:00"/>
    <d v="2025-02-19T00:00:00"/>
    <d v="2025-02-19T00:00:00"/>
    <s v="AMBULATORIOS"/>
    <n v="22770668"/>
    <n v="3311105"/>
    <n v="69250946"/>
    <s v="TRASSA"/>
    <n v="207546631"/>
    <n v="78070"/>
    <s v="SAL"/>
    <s v="AM05"/>
    <s v="EXAMENES RADIOLOGICOS"/>
    <s v="EXAMENES RADIOLOGICOS"/>
    <s v="EXAMENES RADIOLOGICOS"/>
    <n v="0"/>
    <n v="0"/>
    <n v="96942400"/>
    <n v="2"/>
    <s v="SIN ISAPRE"/>
    <s v="RGONZALE@AFPHABITAT.CL"/>
    <s v="12892012|96942400|765542496|65384058"/>
    <s v="GASTO FISICO"/>
    <b v="0"/>
    <s v="DEPOSITADO EN CUENTA"/>
  </r>
  <r>
    <s v="12 DE SEPTIEMBRE DE 2025"/>
    <x v="138"/>
    <s v="NANCY TAPIA FUENTES"/>
    <n v="9484485"/>
    <s v="NANCY TAPIA FUENTES"/>
    <d v="2025-02-01T00:00:00"/>
    <s v="INICIAL"/>
    <n v="765547220"/>
    <n v="765547220"/>
    <n v="159900"/>
    <n v="82167"/>
    <n v="77733"/>
    <n v="0"/>
    <n v="77733"/>
    <n v="765547220"/>
    <n v="285123"/>
    <s v="CORP DE BIENESTAR DEL PERSONAL DE A F P"/>
    <d v="2025-02-19T00:00:00"/>
    <d v="2025-02-19T00:00:00"/>
    <d v="2025-02-19T00:00:00"/>
    <d v="2025-02-19T00:00:00"/>
    <s v="OPTICA"/>
    <n v="22621813"/>
    <n v="2250942"/>
    <n v="68911284"/>
    <s v="TRASSA"/>
    <n v="23022025"/>
    <n v="77703"/>
    <s v="SAL"/>
    <s v="OP01"/>
    <s v="MARCOS o CRISTALES OPTICOS o LENTE CONTACTO"/>
    <s v="CRISTALES OPTICOS ( GRUPO )"/>
    <s v="CRISTALES OPTICOS ( GRUPO )"/>
    <s v="IMED SALUD"/>
    <n v="0"/>
    <n v="82332100"/>
    <n v="7"/>
    <s v="CONSALUD"/>
    <s v="NTAPIA@AFPHABITAT.CL"/>
    <s v="9484485|82332100|765547220|765547220"/>
    <s v="IMED SALUD"/>
    <b v="1"/>
    <s v="APORTE VIA IMED"/>
  </r>
  <r>
    <s v="12 DE SEPTIEMBRE DE 2025"/>
    <x v="138"/>
    <s v="NANCY TAPIA FUENTES"/>
    <n v="9484485"/>
    <s v="NANCY TAPIA FUENTES"/>
    <d v="2025-03-01T00:00:00"/>
    <s v="DUPLICADO"/>
    <n v="765547220"/>
    <n v="65383740"/>
    <n v="77794"/>
    <n v="0"/>
    <n v="77794"/>
    <n v="0"/>
    <n v="37742"/>
    <n v="765547220"/>
    <n v="285123"/>
    <s v="CORP DE BIENESTAR DEL PERSONAL DE A F P"/>
    <d v="2025-03-01T00:00:00"/>
    <d v="2025-03-26T00:00:00"/>
    <d v="2025-02-19T00:00:00"/>
    <d v="2025-02-19T00:00:00"/>
    <s v="OPTICA"/>
    <n v="22770662"/>
    <n v="3311105"/>
    <n v="69250630"/>
    <s v="TRASSA"/>
    <n v="1702833996"/>
    <n v="78070"/>
    <s v="SAL"/>
    <s v="OP01"/>
    <s v="MARCOS o CRISTALES OPTICOS o LENTE CONTACTO"/>
    <s v="CRISTALES OPTICOS ( GRUPO )"/>
    <s v="CRISTALES OPTICOS ( GRUPO )"/>
    <n v="0"/>
    <n v="0"/>
    <n v="82332100"/>
    <n v="7"/>
    <s v="SIN ISAPRE"/>
    <s v="NTAPIA@AFPHABITAT.CL"/>
    <s v="9484485|82332100|765547220|65383740"/>
    <s v="GASTO FISICO"/>
    <b v="0"/>
    <s v="DEPOSITADO EN CUENTA"/>
  </r>
  <r>
    <s v="12 DE SEPTIEMBRE DE 2025"/>
    <x v="126"/>
    <s v="VALERIA ESMERALDA SEPULVEDA SEPULVEDA"/>
    <n v="9643668"/>
    <s v="VALERIA ESMERALDA SEPULVEDA SEPULVEDA"/>
    <d v="2025-02-01T00:00:00"/>
    <s v="INICIAL"/>
    <n v="765562729"/>
    <n v="765562729"/>
    <n v="3440"/>
    <n v="1962"/>
    <n v="1478"/>
    <n v="0"/>
    <n v="1478"/>
    <n v="765562729"/>
    <n v="285123"/>
    <s v="CORP DE BIENESTAR DEL PERSONAL DE A F P"/>
    <d v="2025-02-21T00:00:00"/>
    <d v="2025-02-21T00:00:00"/>
    <d v="2025-02-21T00:00:00"/>
    <d v="2025-02-21T00:00:00"/>
    <s v="AMBULATORIOS"/>
    <n v="22621899"/>
    <n v="2250942"/>
    <n v="68912032"/>
    <s v="TRASSA"/>
    <n v="23022025"/>
    <n v="77703"/>
    <s v="SAL"/>
    <s v="AM04"/>
    <s v="EXAMENES DE LABORATORIO"/>
    <s v="EXAMENES DE LABORATORIO"/>
    <s v="EXAMENES DE LABORATORIO"/>
    <s v="IMED SALUD"/>
    <n v="0"/>
    <n v="79749170"/>
    <n v="5"/>
    <s v="CONSALUD"/>
    <s v="VSEPULVE@AFPHABITAT.CL"/>
    <s v="9643668|79749170|765562729|765562729"/>
    <s v="IMED SALUD"/>
    <b v="1"/>
    <s v="APORTE VIA IMED"/>
  </r>
  <r>
    <s v="12 DE SEPTIEMBRE DE 2025"/>
    <x v="126"/>
    <s v="VALERIA ESMERALDA SEPULVEDA SEPULVEDA"/>
    <n v="9643668"/>
    <s v="VALERIA ESMERALDA SEPULVEDA SEPULVEDA"/>
    <d v="2025-03-01T00:00:00"/>
    <s v="DUPLICADO"/>
    <n v="765562729"/>
    <n v="65383758"/>
    <n v="1540"/>
    <n v="0"/>
    <n v="1540"/>
    <n v="0"/>
    <n v="1540"/>
    <n v="765562729"/>
    <n v="285123"/>
    <s v="CORP DE BIENESTAR DEL PERSONAL DE A F P"/>
    <d v="2025-03-01T00:00:00"/>
    <d v="2025-03-26T00:00:00"/>
    <d v="2025-02-21T00:00:00"/>
    <d v="2025-02-21T00:00:00"/>
    <s v="AMBULATORIOS"/>
    <n v="22770682"/>
    <n v="3311105"/>
    <n v="69250648"/>
    <s v="TRASSA"/>
    <n v="580360901"/>
    <n v="78070"/>
    <s v="SAL"/>
    <s v="AM04"/>
    <s v="EXAMENES DE LABORATORIO"/>
    <s v="EXAMENES DE LABORATORIO"/>
    <s v="EXAMENES DE LABORATORIO"/>
    <n v="0"/>
    <n v="0"/>
    <n v="79749170"/>
    <n v="5"/>
    <s v="SIN ISAPRE"/>
    <s v="VSEPULVE@AFPHABITAT.CL"/>
    <s v="9643668|79749170|765562729|65383758"/>
    <s v="GASTO FISICO"/>
    <b v="0"/>
    <s v="DEPOSITADO EN CUENTA"/>
  </r>
  <r>
    <s v="12 DE SEPTIEMBRE DE 2025"/>
    <x v="136"/>
    <s v="RAUL EDUARDO BUSTAMANTE CANTERO"/>
    <n v="11739910"/>
    <s v="RAUL EDUARDO BUSTAMANTE CANTERO"/>
    <d v="2025-02-01T00:00:00"/>
    <s v="INICIAL"/>
    <n v="765562903"/>
    <n v="765562903"/>
    <n v="35222"/>
    <n v="34518"/>
    <n v="704"/>
    <n v="0"/>
    <n v="704"/>
    <n v="765562903"/>
    <n v="285123"/>
    <s v="CORP DE BIENESTAR DEL PERSONAL DE A F P"/>
    <d v="2025-02-21T00:00:00"/>
    <d v="2025-02-21T00:00:00"/>
    <d v="2025-02-21T00:00:00"/>
    <d v="2025-02-21T00:00:00"/>
    <s v="AMBULATORIOS"/>
    <n v="22621905"/>
    <n v="2250942"/>
    <n v="68912038"/>
    <s v="TRASSA"/>
    <n v="23022025"/>
    <n v="77703"/>
    <s v="SAL"/>
    <s v="AM07"/>
    <s v="PROCEDIMIENTOS TERAPEUTICOS"/>
    <s v="PROCEDIMIENTOS TERAPEUTICOS"/>
    <s v="PROCEDIMIENTOS TERAPEUTICOS"/>
    <s v="IMED SALUD"/>
    <n v="0"/>
    <n v="96942400"/>
    <n v="2"/>
    <s v="CONSALUD"/>
    <s v="RBUSTAMA@AFPHABITAT.CL"/>
    <s v="11739910|96942400|765562903|765562903"/>
    <s v="IMED SALUD"/>
    <b v="1"/>
    <s v="APORTE VIA IMED"/>
  </r>
  <r>
    <s v="12 DE SEPTIEMBRE DE 2025"/>
    <x v="136"/>
    <s v="RAUL EDUARDO BUSTAMANTE CANTERO"/>
    <n v="11739910"/>
    <s v="RAUL EDUARDO BUSTAMANTE CANTERO"/>
    <d v="2025-03-01T00:00:00"/>
    <s v="DUPLICADO"/>
    <n v="765562903"/>
    <n v="65383959"/>
    <n v="3468"/>
    <n v="0"/>
    <n v="3468"/>
    <n v="0"/>
    <n v="3468"/>
    <n v="765562903"/>
    <n v="285123"/>
    <s v="CORP DE BIENESTAR DEL PERSONAL DE A F P"/>
    <d v="2025-03-01T00:00:00"/>
    <d v="2025-03-26T00:00:00"/>
    <d v="2025-02-21T00:00:00"/>
    <d v="2025-02-21T00:00:00"/>
    <s v="AMBULATORIOS"/>
    <n v="22770684"/>
    <n v="3311105"/>
    <n v="69250847"/>
    <s v="TRASSA"/>
    <n v="2650102250127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RBUSTAMA@AFPHABITAT.CL"/>
    <s v="11739910|96942400|765562903|65383959"/>
    <s v="GASTO FISICO"/>
    <b v="0"/>
    <s v="DEPOSITADO EN CUENTA"/>
  </r>
  <r>
    <s v="12 DE SEPTIEMBRE DE 2025"/>
    <x v="144"/>
    <s v="JACQUELINE NOVOA RIQUELME"/>
    <n v="10458253"/>
    <s v="JACQUELINE NOVOA RIQUELME"/>
    <d v="2025-02-01T00:00:00"/>
    <s v="INICIAL"/>
    <n v="765577753"/>
    <n v="765577753"/>
    <n v="33329"/>
    <n v="27329"/>
    <n v="6000"/>
    <n v="0"/>
    <n v="6000"/>
    <n v="765577753"/>
    <n v="285123"/>
    <s v="CORP DE BIENESTAR DEL PERSONAL DE A F P"/>
    <d v="2025-02-22T00:00:00"/>
    <d v="2025-02-22T00:00:00"/>
    <d v="2025-02-22T00:00:00"/>
    <d v="2025-02-22T00:00:00"/>
    <s v="AMBULATORIOS"/>
    <n v="22646284"/>
    <n v="3041018"/>
    <n v="68950307"/>
    <s v="TRASSA"/>
    <n v="2032025"/>
    <n v="77760"/>
    <s v="SAL"/>
    <s v="AM05"/>
    <s v="EXAMENES RADIOLOGICOS"/>
    <s v="EXAMENES RADIOLOGICOS"/>
    <s v="EXAMENES RADIOLOGICOS"/>
    <s v="IMED SALUD"/>
    <n v="0"/>
    <n v="96942400"/>
    <n v="2"/>
    <s v="CONSALUD"/>
    <s v="JNOVOA@AFPHABITAT.CL"/>
    <s v="10458253|96942400|765577753|765577753"/>
    <s v="IMED SALUD"/>
    <b v="1"/>
    <s v="APORTE VIA IMED"/>
  </r>
  <r>
    <s v="12 DE SEPTIEMBRE DE 2025"/>
    <x v="144"/>
    <s v="JACQUELINE NOVOA RIQUELME"/>
    <n v="10458253"/>
    <s v="JACQUELINE NOVOA RIQUELME"/>
    <d v="2025-03-01T00:00:00"/>
    <s v="DUPLICADO"/>
    <n v="765577753"/>
    <n v="65383853"/>
    <n v="6169"/>
    <n v="0"/>
    <n v="6169"/>
    <n v="0"/>
    <n v="6169"/>
    <n v="765577753"/>
    <n v="285123"/>
    <s v="CORP DE BIENESTAR DEL PERSONAL DE A F P"/>
    <d v="2025-03-01T00:00:00"/>
    <d v="2025-03-26T00:00:00"/>
    <d v="2025-02-22T00:00:00"/>
    <d v="2025-02-22T00:00:00"/>
    <s v="AMBULATORIOS"/>
    <n v="22770688"/>
    <n v="3311105"/>
    <n v="69250742"/>
    <s v="TRASSA"/>
    <n v="1702834992"/>
    <n v="78070"/>
    <s v="SAL"/>
    <s v="AM05"/>
    <s v="EXAMENES RADIOLOGICOS"/>
    <s v="EXAMENES RADIOLOGICOS"/>
    <s v="EXAMENES RADIOLOGICOS"/>
    <n v="0"/>
    <n v="0"/>
    <n v="96942400"/>
    <n v="2"/>
    <s v="SIN ISAPRE"/>
    <s v="JNOVOA@AFPHABITAT.CL"/>
    <s v="10458253|96942400|765577753|65383853"/>
    <s v="GASTO FISICO"/>
    <b v="0"/>
    <s v="DEPOSITADO EN CUENTA"/>
  </r>
  <r>
    <s v="12 DE SEPTIEMBRE DE 2025"/>
    <x v="144"/>
    <s v="JACQUELINE NOVOA RIQUELME"/>
    <n v="10458253"/>
    <s v="JACQUELINE NOVOA RIQUELME"/>
    <d v="2025-02-01T00:00:00"/>
    <s v="INICIAL"/>
    <n v="765577844"/>
    <n v="765577844"/>
    <n v="28992"/>
    <n v="20294"/>
    <n v="8698"/>
    <n v="0"/>
    <n v="8698"/>
    <n v="765577844"/>
    <n v="285123"/>
    <s v="CORP DE BIENESTAR DEL PERSONAL DE A F P"/>
    <d v="2025-02-22T00:00:00"/>
    <d v="2025-02-22T00:00:00"/>
    <d v="2025-02-22T00:00:00"/>
    <d v="2025-02-22T00:00:00"/>
    <s v="AMBULATORIOS"/>
    <n v="22646284"/>
    <n v="3041018"/>
    <n v="68950308"/>
    <s v="TRASSA"/>
    <n v="2032025"/>
    <n v="77760"/>
    <s v="SAL"/>
    <s v="AM05"/>
    <s v="EXAMENES RADIOLOGICOS"/>
    <s v="EXAMENES RADIOLOGICOS"/>
    <s v="EXAMENES RADIOLOGICOS"/>
    <s v="IMED SALUD"/>
    <n v="0"/>
    <n v="96942400"/>
    <n v="2"/>
    <s v="CONSALUD"/>
    <s v="JNOVOA@AFPHABITAT.CL"/>
    <s v="10458253|96942400|765577844|765577844"/>
    <s v="IMED SALUD"/>
    <b v="1"/>
    <s v="APORTE VIA IMED"/>
  </r>
  <r>
    <s v="12 DE SEPTIEMBRE DE 2025"/>
    <x v="144"/>
    <s v="JACQUELINE NOVOA RIQUELME"/>
    <n v="10458253"/>
    <s v="JACQUELINE NOVOA RIQUELME"/>
    <d v="2025-03-01T00:00:00"/>
    <s v="DUPLICADO"/>
    <n v="765577844"/>
    <n v="65383854"/>
    <n v="8868"/>
    <n v="0"/>
    <n v="8868"/>
    <n v="0"/>
    <n v="8868"/>
    <n v="765577844"/>
    <n v="285123"/>
    <s v="CORP DE BIENESTAR DEL PERSONAL DE A F P"/>
    <d v="2025-03-01T00:00:00"/>
    <d v="2025-03-26T00:00:00"/>
    <d v="2025-02-22T00:00:00"/>
    <d v="2025-02-22T00:00:00"/>
    <s v="AMBULATORIOS"/>
    <n v="22770688"/>
    <n v="3311105"/>
    <n v="69250743"/>
    <s v="TRASSA"/>
    <n v="1702834992"/>
    <n v="78070"/>
    <s v="SAL"/>
    <s v="AM05"/>
    <s v="EXAMENES RADIOLOGICOS"/>
    <s v="EXAMENES RADIOLOGICOS"/>
    <s v="EXAMENES RADIOLOGICOS"/>
    <n v="0"/>
    <n v="0"/>
    <n v="96942400"/>
    <n v="2"/>
    <s v="SIN ISAPRE"/>
    <s v="JNOVOA@AFPHABITAT.CL"/>
    <s v="10458253|96942400|765577844|65383854"/>
    <s v="GASTO FISICO"/>
    <b v="0"/>
    <s v="DEPOSITADO EN CUENTA"/>
  </r>
  <r>
    <s v="12 DE SEPTIEMBRE DE 2025"/>
    <x v="136"/>
    <s v="RAUL EDUARDO BUSTAMANTE CANTERO"/>
    <n v="11739910"/>
    <s v="RAUL EDUARDO BUSTAMANTE CANTERO"/>
    <d v="2025-02-01T00:00:00"/>
    <s v="INICIAL"/>
    <n v="765577902"/>
    <n v="765577902"/>
    <n v="11504"/>
    <n v="11274"/>
    <n v="230"/>
    <n v="0"/>
    <n v="230"/>
    <n v="765577902"/>
    <n v="285123"/>
    <s v="CORP DE BIENESTAR DEL PERSONAL DE A F P"/>
    <d v="2025-02-22T00:00:00"/>
    <d v="2025-02-22T00:00:00"/>
    <d v="2025-02-22T00:00:00"/>
    <d v="2025-02-22T00:00:00"/>
    <s v="AMBULATORIOS"/>
    <n v="22646285"/>
    <n v="3041018"/>
    <n v="68950312"/>
    <s v="TRASSA"/>
    <n v="2032025"/>
    <n v="77760"/>
    <s v="SAL"/>
    <s v="AM07"/>
    <s v="PROCEDIMIENTOS TERAPEUTICOS"/>
    <s v="PROCEDIMIENTOS TERAPEUTICOS"/>
    <s v="PROCEDIMIENTOS TERAPEUTICOS"/>
    <s v="IMED SALUD"/>
    <n v="0"/>
    <n v="96942400"/>
    <n v="2"/>
    <s v="CONSALUD"/>
    <s v="RBUSTAMA@AFPHABITAT.CL"/>
    <s v="11739910|96942400|765577902|765577902"/>
    <s v="IMED SALUD"/>
    <b v="1"/>
    <s v="APORTE VIA IMED"/>
  </r>
  <r>
    <s v="12 DE SEPTIEMBRE DE 2025"/>
    <x v="136"/>
    <s v="RAUL EDUARDO BUSTAMANTE CANTERO"/>
    <n v="11739910"/>
    <s v="RAUL EDUARDO BUSTAMANTE CANTERO"/>
    <d v="2025-03-01T00:00:00"/>
    <s v="DUPLICADO"/>
    <n v="765577902"/>
    <n v="65383960"/>
    <n v="1156"/>
    <n v="0"/>
    <n v="1156"/>
    <n v="0"/>
    <n v="1156"/>
    <n v="765577902"/>
    <n v="285123"/>
    <s v="CORP DE BIENESTAR DEL PERSONAL DE A F P"/>
    <d v="2025-03-01T00:00:00"/>
    <d v="2025-03-26T00:00:00"/>
    <d v="2025-02-22T00:00:00"/>
    <d v="2025-02-22T00:00:00"/>
    <s v="AMBULATORIOS"/>
    <n v="22770689"/>
    <n v="3311105"/>
    <n v="69250848"/>
    <s v="TRASSA"/>
    <n v="2650102250127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RBUSTAMA@AFPHABITAT.CL"/>
    <s v="11739910|96942400|765577902|65383960"/>
    <s v="GASTO FISICO"/>
    <b v="0"/>
    <s v="DEPOSITADO EN CUENTA"/>
  </r>
  <r>
    <s v="12 DE SEPTIEMBRE DE 2025"/>
    <x v="136"/>
    <s v="RAUL EDUARDO BUSTAMANTE CANTERO"/>
    <n v="11739910"/>
    <s v="RAUL EDUARDO BUSTAMANTE CANTERO"/>
    <d v="2025-02-01T00:00:00"/>
    <s v="INICIAL"/>
    <n v="765579441"/>
    <n v="765579441"/>
    <n v="23556"/>
    <n v="23010"/>
    <n v="546"/>
    <n v="0"/>
    <n v="546"/>
    <n v="765579441"/>
    <n v="285123"/>
    <s v="CORP DE BIENESTAR DEL PERSONAL DE A F P"/>
    <d v="2025-02-22T00:00:00"/>
    <d v="2025-02-22T00:00:00"/>
    <d v="2025-02-22T00:00:00"/>
    <d v="2025-02-22T00:00:00"/>
    <s v="AMBULATORIOS"/>
    <n v="22646285"/>
    <n v="3041018"/>
    <n v="68950397"/>
    <s v="TRASSA"/>
    <n v="2032025"/>
    <n v="77760"/>
    <s v="SAL"/>
    <s v="AM05"/>
    <s v="EXAMENES RADIOLOGICOS"/>
    <s v="EXAMENES RADIOLOGICOS"/>
    <s v="EXAMENES RADIOLOGICOS"/>
    <s v="IMED SALUD"/>
    <n v="0"/>
    <n v="96942400"/>
    <n v="2"/>
    <s v="CONSALUD"/>
    <s v="RBUSTAMA@AFPHABITAT.CL"/>
    <s v="11739910|96942400|765579441|765579441"/>
    <s v="IMED SALUD"/>
    <b v="1"/>
    <s v="APORTE VIA IMED"/>
  </r>
  <r>
    <s v="12 DE SEPTIEMBRE DE 2025"/>
    <x v="136"/>
    <s v="RAUL EDUARDO BUSTAMANTE CANTERO"/>
    <n v="11739910"/>
    <s v="RAUL EDUARDO BUSTAMANTE CANTERO"/>
    <d v="2025-03-01T00:00:00"/>
    <s v="DUPLICADO"/>
    <n v="765579441"/>
    <n v="65383961"/>
    <n v="2699"/>
    <n v="0"/>
    <n v="2699"/>
    <n v="0"/>
    <n v="2699"/>
    <n v="765579441"/>
    <n v="285123"/>
    <s v="CORP DE BIENESTAR DEL PERSONAL DE A F P"/>
    <d v="2025-03-01T00:00:00"/>
    <d v="2025-03-26T00:00:00"/>
    <d v="2025-02-22T00:00:00"/>
    <d v="2025-02-22T00:00:00"/>
    <s v="AMBULATORIOS"/>
    <n v="22770689"/>
    <n v="3311105"/>
    <n v="69250849"/>
    <s v="TRASSA"/>
    <n v="2650102250127"/>
    <n v="78070"/>
    <s v="SAL"/>
    <s v="AM05"/>
    <s v="EXAMENES RADIOLOGICOS"/>
    <s v="EXAMENES RADIOLOGICOS"/>
    <s v="EXAMENES RADIOLOGICOS"/>
    <n v="0"/>
    <n v="0"/>
    <n v="96942400"/>
    <n v="2"/>
    <s v="SIN ISAPRE"/>
    <s v="RBUSTAMA@AFPHABITAT.CL"/>
    <s v="11739910|96942400|765579441|65383961"/>
    <s v="GASTO FISICO"/>
    <b v="0"/>
    <s v="DEPOSITADO EN CUENTA"/>
  </r>
  <r>
    <s v="12 DE SEPTIEMBRE DE 2025"/>
    <x v="123"/>
    <s v="VANESSA DROGUETT TORO"/>
    <n v="15622250"/>
    <s v="VANESSA DROGUETT TORO"/>
    <d v="2025-03-01T00:00:00"/>
    <s v="DUPLICADO"/>
    <n v="765583778"/>
    <n v="65384334"/>
    <n v="109160"/>
    <n v="0"/>
    <n v="109160"/>
    <n v="0"/>
    <n v="109160"/>
    <n v="765583778"/>
    <n v="285123"/>
    <s v="CORP DE BIENESTAR DEL PERSONAL DE A F P"/>
    <d v="2025-03-01T00:00:00"/>
    <d v="2025-03-26T00:00:00"/>
    <d v="2025-02-23T00:00:00"/>
    <d v="2025-02-23T00:00:00"/>
    <s v="OPTICA"/>
    <n v="22770694"/>
    <n v="3311105"/>
    <n v="69251217"/>
    <s v="TRASSA"/>
    <n v="976468066"/>
    <n v="78070"/>
    <s v="SAL"/>
    <s v="OP01"/>
    <s v="MARCOS o CRISTALES OPTICOS o LENTE CONTACTO"/>
    <s v="CRISTALES OPTICOS ( GRUPO )"/>
    <s v="CRISTALES OPTICOS ( GRUPO )"/>
    <n v="0"/>
    <n v="0"/>
    <n v="76025494"/>
    <n v="0"/>
    <s v="SIN ISAPRE"/>
    <s v="VDROGUET@AFPHABITAT.CL"/>
    <s v="15622250|76025494|765583778|65384334"/>
    <s v="GASTO FISICO"/>
    <b v="0"/>
    <s v="DEPOSITADO EN CUENTA"/>
  </r>
  <r>
    <s v="12 DE SEPTIEMBRE DE 2025"/>
    <x v="147"/>
    <s v="FRANCISCO JAVIER MINA BERTOSSI"/>
    <n v="23011444"/>
    <s v="ELISA MINA ERRAZURIZ"/>
    <d v="2025-02-01T00:00:00"/>
    <s v="INICIAL"/>
    <n v="765594152"/>
    <n v="765594152"/>
    <n v="363118"/>
    <n v="172098"/>
    <n v="191020"/>
    <n v="0"/>
    <n v="191020"/>
    <n v="765594152"/>
    <n v="285123"/>
    <s v="CORP DE BIENESTAR DEL PERSONAL DE A F P"/>
    <d v="2025-02-24T00:00:00"/>
    <d v="2025-02-24T00:00:00"/>
    <d v="2025-02-24T00:00:00"/>
    <d v="2025-02-24T00:00:00"/>
    <s v="AMBULATORIOS"/>
    <n v="22646324"/>
    <n v="3041018"/>
    <n v="68951121"/>
    <s v="TRASSA"/>
    <n v="2032025"/>
    <n v="77760"/>
    <s v="SAL"/>
    <s v="AM05"/>
    <s v="EXAMENES RADIOLOGICOS"/>
    <s v="EXAMENES RADIOLOGICOS"/>
    <s v="EXAMENES RADIOLOGICOS"/>
    <s v="IMED SALUD"/>
    <n v="0"/>
    <n v="78317440"/>
    <n v="5"/>
    <s v="CONSALUD"/>
    <s v="FMINA@AFPHABITAT.CL"/>
    <s v="14166339|78317440|765594152|765594152"/>
    <s v="IMED SALUD"/>
    <b v="1"/>
    <s v="APORTE VIA IMED"/>
  </r>
  <r>
    <s v="12 DE SEPTIEMBRE DE 2025"/>
    <x v="147"/>
    <s v="FRANCISCO JAVIER MINA BERTOSSI"/>
    <n v="23011444"/>
    <s v="ELISA MINA ERRAZURIZ"/>
    <d v="2025-03-01T00:00:00"/>
    <s v="DUPLICADO"/>
    <n v="765594152"/>
    <n v="65384211"/>
    <n v="185992"/>
    <n v="0"/>
    <n v="185992"/>
    <n v="0"/>
    <n v="115901"/>
    <n v="765594152"/>
    <n v="285123"/>
    <s v="CORP DE BIENESTAR DEL PERSONAL DE A F P"/>
    <d v="2025-03-01T00:00:00"/>
    <d v="2025-03-26T00:00:00"/>
    <d v="2025-02-24T00:00:00"/>
    <d v="2025-02-24T00:00:00"/>
    <s v="AMBULATORIOS"/>
    <n v="22770703"/>
    <n v="3311105"/>
    <n v="69251086"/>
    <s v="TRASSA"/>
    <n v="988407011"/>
    <n v="78070"/>
    <s v="SAL"/>
    <s v="AM05"/>
    <s v="EXAMENES RADIOLOGICOS"/>
    <s v="EXAMENES RADIOLOGICOS"/>
    <s v="EXAMENES RADIOLOGICOS"/>
    <n v="0"/>
    <n v="0"/>
    <n v="78317440"/>
    <n v="5"/>
    <s v="SIN ISAPRE"/>
    <s v="FMINA@AFPHABITAT.CL"/>
    <s v="14166339|78317440|765594152|65384211"/>
    <s v="GASTO FISICO"/>
    <b v="0"/>
    <s v="DEPOSITADO EN CUENTA"/>
  </r>
  <r>
    <s v="12 DE SEPTIEMBRE DE 2025"/>
    <x v="148"/>
    <s v="DORIS GUZMAN WIDEMANN"/>
    <n v="9486641"/>
    <s v="DORIS GUZMAN WIDEMANN"/>
    <d v="2025-02-01T00:00:00"/>
    <s v="INICIAL"/>
    <n v="765595226"/>
    <n v="765595226"/>
    <n v="32365"/>
    <n v="29938"/>
    <n v="2427"/>
    <n v="0"/>
    <n v="2427"/>
    <n v="765595226"/>
    <n v="285123"/>
    <s v="CORP DE BIENESTAR DEL PERSONAL DE A F P"/>
    <d v="2025-02-24T00:00:00"/>
    <d v="2025-02-24T00:00:00"/>
    <d v="2025-02-24T00:00:00"/>
    <d v="2025-02-24T00:00:00"/>
    <s v="AMBULATORIOS"/>
    <n v="22646306"/>
    <n v="3041018"/>
    <n v="68951187"/>
    <s v="TRASSA"/>
    <n v="2032025"/>
    <n v="77760"/>
    <s v="SAL"/>
    <s v="AM05"/>
    <s v="EXAMENES RADIOLOGICOS"/>
    <s v="EXAMENES RADIOLOGICOS"/>
    <s v="EXAMENES RADIOLOGICOS"/>
    <s v="IMED SALUD"/>
    <n v="0"/>
    <n v="96631140"/>
    <n v="1"/>
    <s v="CONSALUD"/>
    <s v="DGUZMAN@AFPHABITAT.CL"/>
    <s v="9486641|96631140|765595226|765595226"/>
    <s v="IMED SALUD"/>
    <b v="1"/>
    <s v="APORTE VIA IMED"/>
  </r>
  <r>
    <s v="12 DE SEPTIEMBRE DE 2025"/>
    <x v="148"/>
    <s v="DORIS GUZMAN WIDEMANN"/>
    <n v="9486641"/>
    <s v="DORIS GUZMAN WIDEMANN"/>
    <d v="2025-03-01T00:00:00"/>
    <s v="DUPLICADO"/>
    <n v="765595226"/>
    <n v="65383741"/>
    <n v="2701"/>
    <n v="0"/>
    <n v="2701"/>
    <n v="0"/>
    <n v="2701"/>
    <n v="765595226"/>
    <n v="285123"/>
    <s v="CORP DE BIENESTAR DEL PERSONAL DE A F P"/>
    <d v="2025-03-01T00:00:00"/>
    <d v="2025-03-26T00:00:00"/>
    <d v="2025-02-24T00:00:00"/>
    <d v="2025-02-24T00:00:00"/>
    <s v="AMBULATORIOS"/>
    <n v="22770697"/>
    <n v="3311105"/>
    <n v="69250631"/>
    <s v="TRASSA"/>
    <n v="27656756"/>
    <n v="78070"/>
    <s v="SAL"/>
    <s v="AM05"/>
    <s v="EXAMENES RADIOLOGICOS"/>
    <s v="EXAMENES RADIOLOGICOS"/>
    <s v="EXAMENES RADIOLOGICOS"/>
    <n v="0"/>
    <n v="0"/>
    <n v="96631140"/>
    <n v="1"/>
    <s v="SIN ISAPRE"/>
    <s v="DGUZMAN@AFPHABITAT.CL"/>
    <s v="9486641|96631140|765595226|65383741"/>
    <s v="GASTO FISICO"/>
    <b v="0"/>
    <s v="DEPOSITADO EN CUENTA"/>
  </r>
  <r>
    <s v="12 DE SEPTIEMBRE DE 2025"/>
    <x v="127"/>
    <s v="GENESIS YERAMI BLOISE RODRIGUEZ"/>
    <n v="26190532"/>
    <s v="GENESIS YERAMI BLOISE RODRIGUEZ"/>
    <d v="2025-02-01T00:00:00"/>
    <s v="INICIAL"/>
    <n v="765603098"/>
    <n v="765603098"/>
    <n v="6941"/>
    <n v="4859"/>
    <n v="2082"/>
    <n v="0"/>
    <n v="2082"/>
    <n v="765603098"/>
    <n v="285123"/>
    <s v="CORP DE BIENESTAR DEL PERSONAL DE A F P"/>
    <d v="2025-02-25T00:00:00"/>
    <d v="2025-02-25T00:00:00"/>
    <d v="2025-02-25T00:00:00"/>
    <d v="2025-02-25T00:00:00"/>
    <s v="AMBULATORIOS"/>
    <n v="22646380"/>
    <n v="3041018"/>
    <n v="68951604"/>
    <s v="TRASSA"/>
    <n v="2032025"/>
    <n v="77760"/>
    <s v="SAL"/>
    <s v="AM04"/>
    <s v="EXAMENES DE LABORATORIO"/>
    <s v="EXAMENES DE LABORATORIO"/>
    <s v="EXAMENES DE LABORATORIO"/>
    <s v="IMED SALUD"/>
    <n v="0"/>
    <n v="96942400"/>
    <n v="2"/>
    <s v="CONSALUD"/>
    <s v="GENESIS.BLOISE@AFPHABITAT.CL"/>
    <s v="26190532|96942400|765603098|765603098"/>
    <s v="IMED SALUD"/>
    <b v="1"/>
    <s v="APORTE VIA IMED"/>
  </r>
  <r>
    <s v="12 DE SEPTIEMBRE DE 2025"/>
    <x v="127"/>
    <s v="GENESIS YERAMI BLOISE RODRIGUEZ"/>
    <n v="26190532"/>
    <s v="GENESIS YERAMI BLOISE RODRIGUEZ"/>
    <d v="2025-03-01T00:00:00"/>
    <s v="DUPLICADO"/>
    <n v="765603098"/>
    <n v="65384526"/>
    <n v="1930"/>
    <n v="0"/>
    <n v="1930"/>
    <n v="0"/>
    <n v="1930"/>
    <n v="765603098"/>
    <n v="285123"/>
    <s v="CORP DE BIENESTAR DEL PERSONAL DE A F P"/>
    <d v="2025-03-01T00:00:00"/>
    <d v="2025-03-26T00:00:00"/>
    <d v="2025-02-25T00:00:00"/>
    <d v="2025-02-25T00:00:00"/>
    <s v="AMBULATORIOS"/>
    <n v="22770719"/>
    <n v="3311105"/>
    <n v="69251389"/>
    <s v="TRASSA"/>
    <n v="19811327393"/>
    <n v="78070"/>
    <s v="SAL"/>
    <s v="AM04"/>
    <s v="EXAMENES DE LABORATORIO"/>
    <s v="EXAMENES DE LABORATORIO"/>
    <s v="EXAMENES DE LABORATORIO"/>
    <n v="0"/>
    <n v="0"/>
    <n v="96942400"/>
    <n v="2"/>
    <s v="SIN ISAPRE"/>
    <s v="GENESIS.BLOISE@AFPHABITAT.CL"/>
    <s v="26190532|96942400|765603098|65384526"/>
    <s v="GASTO FISICO"/>
    <b v="0"/>
    <s v="DEPOSITADO EN CUENTA"/>
  </r>
  <r>
    <s v="12 DE SEPTIEMBRE DE 2025"/>
    <x v="127"/>
    <s v="GENESIS YERAMI BLOISE RODRIGUEZ"/>
    <n v="26190532"/>
    <s v="GENESIS YERAMI BLOISE RODRIGUEZ"/>
    <d v="2025-02-01T00:00:00"/>
    <s v="INICIAL"/>
    <n v="765603352"/>
    <n v="765603352"/>
    <n v="5965"/>
    <n v="4176"/>
    <n v="1789"/>
    <n v="0"/>
    <n v="1789"/>
    <n v="765603352"/>
    <n v="285123"/>
    <s v="CORP DE BIENESTAR DEL PERSONAL DE A F P"/>
    <d v="2025-02-25T00:00:00"/>
    <d v="2025-02-25T00:00:00"/>
    <d v="2025-02-25T00:00:00"/>
    <d v="2025-02-25T00:00:00"/>
    <s v="AMBULATORIOS"/>
    <n v="22646380"/>
    <n v="3041018"/>
    <n v="68951617"/>
    <s v="TRASSA"/>
    <n v="2032025"/>
    <n v="77760"/>
    <s v="SAL"/>
    <s v="AM04"/>
    <s v="EXAMENES DE LABORATORIO"/>
    <s v="EXAMENES DE LABORATORIO"/>
    <s v="EXAMENES DE LABORATORIO"/>
    <s v="IMED SALUD"/>
    <n v="0"/>
    <n v="96942400"/>
    <n v="2"/>
    <s v="CONSALUD"/>
    <s v="GENESIS.BLOISE@AFPHABITAT.CL"/>
    <s v="26190532|96942400|765603352|765603352"/>
    <s v="IMED SALUD"/>
    <b v="1"/>
    <s v="APORTE VIA IMED"/>
  </r>
  <r>
    <s v="12 DE SEPTIEMBRE DE 2025"/>
    <x v="127"/>
    <s v="GENESIS YERAMI BLOISE RODRIGUEZ"/>
    <n v="26190532"/>
    <s v="GENESIS YERAMI BLOISE RODRIGUEZ"/>
    <d v="2025-03-01T00:00:00"/>
    <s v="DUPLICADO"/>
    <n v="765603352"/>
    <n v="65384527"/>
    <n v="1930"/>
    <n v="0"/>
    <n v="1930"/>
    <n v="0"/>
    <n v="1930"/>
    <n v="765603352"/>
    <n v="285123"/>
    <s v="CORP DE BIENESTAR DEL PERSONAL DE A F P"/>
    <d v="2025-03-01T00:00:00"/>
    <d v="2025-03-26T00:00:00"/>
    <d v="2025-02-25T00:00:00"/>
    <d v="2025-02-25T00:00:00"/>
    <s v="AMBULATORIOS"/>
    <n v="22770719"/>
    <n v="3311105"/>
    <n v="69251390"/>
    <s v="TRASSA"/>
    <n v="19811327393"/>
    <n v="78070"/>
    <s v="SAL"/>
    <s v="AM04"/>
    <s v="EXAMENES DE LABORATORIO"/>
    <s v="EXAMENES DE LABORATORIO"/>
    <s v="EXAMENES DE LABORATORIO"/>
    <n v="0"/>
    <n v="0"/>
    <n v="96942400"/>
    <n v="2"/>
    <s v="SIN ISAPRE"/>
    <s v="GENESIS.BLOISE@AFPHABITAT.CL"/>
    <s v="26190532|96942400|765603352|65384527"/>
    <s v="GASTO FISICO"/>
    <b v="0"/>
    <s v="DEPOSITADO EN CUENTA"/>
  </r>
  <r>
    <s v="12 DE SEPTIEMBRE DE 2025"/>
    <x v="149"/>
    <s v="CHRISTIAN SALGADO VARAS"/>
    <n v="12409984"/>
    <s v="CHRISTIAN SALGADO VARAS"/>
    <d v="2025-02-01T00:00:00"/>
    <s v="INICIAL"/>
    <n v="765607455"/>
    <n v="765607455"/>
    <n v="24427"/>
    <n v="21984"/>
    <n v="2443"/>
    <n v="0"/>
    <n v="2443"/>
    <n v="765607455"/>
    <n v="285123"/>
    <s v="CORP DE BIENESTAR DEL PERSONAL DE A F P"/>
    <d v="2025-02-25T00:00:00"/>
    <d v="2025-02-25T00:00:00"/>
    <d v="2025-02-25T00:00:00"/>
    <d v="2025-02-25T00:00:00"/>
    <s v="AMBULATORIOS"/>
    <n v="22646355"/>
    <n v="3041018"/>
    <n v="68951772"/>
    <s v="TRASSA"/>
    <n v="2032025"/>
    <n v="77760"/>
    <s v="SAL"/>
    <s v="AM05"/>
    <s v="EXAMENES RADIOLOGICOS"/>
    <s v="EXAMENES RADIOLOGICOS"/>
    <s v="EXAMENES RADIOLOGICOS"/>
    <s v="IMED SALUD"/>
    <n v="0"/>
    <n v="96942400"/>
    <n v="2"/>
    <s v="CONSALUD"/>
    <s v="CSALGADO@AFPHABITAT.CL"/>
    <s v="12409984|96942400|765607455|765607455"/>
    <s v="IMED SALUD"/>
    <b v="1"/>
    <s v="APORTE VIA IMED"/>
  </r>
  <r>
    <s v="12 DE SEPTIEMBRE DE 2025"/>
    <x v="149"/>
    <s v="CHRISTIAN SALGADO VARAS"/>
    <n v="12409984"/>
    <s v="CHRISTIAN SALGADO VARAS"/>
    <d v="2025-03-01T00:00:00"/>
    <s v="DUPLICADO"/>
    <n v="765607455"/>
    <n v="65384010"/>
    <n v="2316"/>
    <n v="0"/>
    <n v="2316"/>
    <n v="0"/>
    <n v="2316"/>
    <n v="765607455"/>
    <n v="285123"/>
    <s v="CORP DE BIENESTAR DEL PERSONAL DE A F P"/>
    <d v="2025-03-01T00:00:00"/>
    <d v="2025-03-26T00:00:00"/>
    <d v="2025-02-25T00:00:00"/>
    <d v="2025-02-25T00:00:00"/>
    <s v="AMBULATORIOS"/>
    <n v="22770713"/>
    <n v="3311105"/>
    <n v="69250898"/>
    <s v="TRASSA"/>
    <n v="15200139738"/>
    <n v="78070"/>
    <s v="SAL"/>
    <s v="AM05"/>
    <s v="EXAMENES RADIOLOGICOS"/>
    <s v="EXAMENES RADIOLOGICOS"/>
    <s v="EXAMENES RADIOLOGICOS"/>
    <n v="0"/>
    <n v="0"/>
    <n v="96942400"/>
    <n v="2"/>
    <s v="SIN ISAPRE"/>
    <s v="CSALGADO@AFPHABITAT.CL"/>
    <s v="12409984|96942400|765607455|65384010"/>
    <s v="GASTO FISICO"/>
    <b v="0"/>
    <s v="DEPOSITADO EN CUENTA"/>
  </r>
  <r>
    <s v="12 DE SEPTIEMBRE DE 2025"/>
    <x v="122"/>
    <s v="ROCÍO MONSERRAT     MONSALVE JIMÉNEZ"/>
    <n v="15178550"/>
    <s v="ROCÍO MONSERRAT     MONSALVE JIMÉNEZ"/>
    <d v="2025-02-01T00:00:00"/>
    <s v="INICIAL"/>
    <n v="765610137"/>
    <n v="765610137"/>
    <n v="87356"/>
    <n v="74533"/>
    <n v="12823"/>
    <n v="0"/>
    <n v="12823"/>
    <n v="765610137"/>
    <n v="285123"/>
    <s v="CORP DE BIENESTAR DEL PERSONAL DE A F P"/>
    <d v="2025-02-25T00:00:00"/>
    <d v="2025-02-25T00:00:00"/>
    <d v="2025-02-25T00:00:00"/>
    <d v="2025-02-25T00:00:00"/>
    <s v="AMBULATORIOS"/>
    <n v="22646366"/>
    <n v="3041018"/>
    <n v="68951888"/>
    <s v="TRASSA"/>
    <n v="2032025"/>
    <n v="77760"/>
    <s v="SAL"/>
    <s v="AM07"/>
    <s v="PROCEDIMIENTOS TERAPEUTICOS"/>
    <s v="PROCEDIMIENTOS TERAPEUTICOS"/>
    <s v="PROCEDIMIENTOS TERAPEUTICOS"/>
    <s v="IMED SALUD"/>
    <n v="0"/>
    <n v="96606750"/>
    <n v="0"/>
    <s v="CONSALUD"/>
    <s v="RMONSALV@AFPHABITAT.CL"/>
    <s v="15178550|96606750|765610137|765610137"/>
    <s v="IMED SALUD"/>
    <b v="1"/>
    <s v="APORTE VIA IMED"/>
  </r>
  <r>
    <s v="12 DE SEPTIEMBRE DE 2025"/>
    <x v="122"/>
    <s v="ROCÍO MONSERRAT     MONSALVE JIMÉNEZ"/>
    <n v="15178550"/>
    <s v="ROCÍO MONSERRAT     MONSALVE JIMÉNEZ"/>
    <d v="2025-03-01T00:00:00"/>
    <s v="DUPLICADO"/>
    <n v="765610137"/>
    <n v="65384261"/>
    <n v="12738"/>
    <n v="0"/>
    <n v="12738"/>
    <n v="0"/>
    <n v="12738"/>
    <n v="765610137"/>
    <n v="285123"/>
    <s v="CORP DE BIENESTAR DEL PERSONAL DE A F P"/>
    <d v="2025-03-01T00:00:00"/>
    <d v="2025-03-26T00:00:00"/>
    <d v="2025-02-25T00:00:00"/>
    <d v="2025-02-25T00:00:00"/>
    <s v="AMBULATORIOS"/>
    <n v="22770717"/>
    <n v="3311105"/>
    <n v="69251134"/>
    <s v="TRASSA"/>
    <n v="70407584"/>
    <n v="78070"/>
    <s v="SAL"/>
    <s v="AM07"/>
    <s v="PROCEDIMIENTOS TERAPEUTICOS"/>
    <s v="PROCEDIMIENTOS TERAPEUTICOS"/>
    <s v="PROCEDIMIENTOS TERAPEUTICOS"/>
    <n v="0"/>
    <n v="0"/>
    <n v="96606750"/>
    <n v="0"/>
    <s v="SIN ISAPRE"/>
    <s v="RMONSALV@AFPHABITAT.CL"/>
    <s v="15178550|96606750|765610137|65384261"/>
    <s v="GASTO FISICO"/>
    <b v="0"/>
    <s v="DEPOSITADO EN CUENTA"/>
  </r>
  <r>
    <s v="12 DE SEPTIEMBRE DE 2025"/>
    <x v="121"/>
    <s v="JACQUELINE ARAYA BULBOA"/>
    <n v="9401001"/>
    <s v="JACQUELINE ARAYA BULBOA"/>
    <d v="2025-02-01T00:00:00"/>
    <s v="INICIAL"/>
    <n v="765613665"/>
    <n v="765613665"/>
    <n v="41288"/>
    <n v="33031"/>
    <n v="8257"/>
    <n v="0"/>
    <n v="8257"/>
    <n v="765613665"/>
    <n v="285123"/>
    <s v="CORP DE BIENESTAR DEL PERSONAL DE A F P"/>
    <d v="2025-02-26T00:00:00"/>
    <d v="2025-02-26T00:00:00"/>
    <d v="2025-02-26T00:00:00"/>
    <d v="2025-02-26T00:00:00"/>
    <s v="AMBULATORIOS"/>
    <n v="22646386"/>
    <n v="3041018"/>
    <n v="68952057"/>
    <s v="TRASSA"/>
    <n v="2032025"/>
    <n v="77760"/>
    <s v="SAL"/>
    <s v="AM04"/>
    <s v="EXAMENES DE LABORATORIO"/>
    <s v="EXAMENES DE LABORATORIO"/>
    <s v="EXAMENES DE LABORATORIO"/>
    <s v="IMED SALUD"/>
    <n v="0"/>
    <n v="96942400"/>
    <n v="2"/>
    <s v="CONSALUD"/>
    <s v="JARAYA@AFPHABITAT.CL"/>
    <s v="9401001|96942400|765613665|765613665"/>
    <s v="IMED SALUD"/>
    <b v="1"/>
    <s v="APORTE VIA IMED"/>
  </r>
  <r>
    <s v="12 DE SEPTIEMBRE DE 2025"/>
    <x v="121"/>
    <s v="JACQUELINE ARAYA BULBOA"/>
    <n v="9401001"/>
    <s v="JACQUELINE ARAYA BULBOA"/>
    <d v="2025-03-01T00:00:00"/>
    <s v="DUPLICADO"/>
    <n v="765613665"/>
    <n v="65383727"/>
    <n v="8493"/>
    <n v="0"/>
    <n v="8493"/>
    <n v="0"/>
    <n v="8493"/>
    <n v="765613665"/>
    <n v="285123"/>
    <s v="CORP DE BIENESTAR DEL PERSONAL DE A F P"/>
    <d v="2025-03-01T00:00:00"/>
    <d v="2025-03-26T00:00:00"/>
    <d v="2025-02-26T00:00:00"/>
    <d v="2025-02-26T00:00:00"/>
    <s v="AMBULATORIOS"/>
    <n v="22770721"/>
    <n v="3311105"/>
    <n v="69250618"/>
    <s v="TRASSA"/>
    <n v="5864925"/>
    <n v="78070"/>
    <s v="SAL"/>
    <s v="AM04"/>
    <s v="EXAMENES DE LABORATORIO"/>
    <s v="EXAMENES DE LABORATORIO"/>
    <s v="EXAMENES DE LABORATORIO"/>
    <n v="0"/>
    <n v="0"/>
    <n v="96942400"/>
    <n v="2"/>
    <s v="SIN ISAPRE"/>
    <s v="JARAYA@AFPHABITAT.CL"/>
    <s v="9401001|96942400|765613665|65383727"/>
    <s v="GASTO FISICO"/>
    <b v="0"/>
    <s v="DEPOSITADO EN CUENTA"/>
  </r>
  <r>
    <s v="12 DE SEPTIEMBRE DE 2025"/>
    <x v="121"/>
    <s v="JACQUELINE ARAYA BULBOA"/>
    <n v="9401001"/>
    <s v="JACQUELINE ARAYA BULBOA"/>
    <d v="2025-02-01T00:00:00"/>
    <s v="INICIAL"/>
    <n v="765613666"/>
    <n v="765613666"/>
    <n v="45058"/>
    <n v="32542"/>
    <n v="12516"/>
    <n v="0"/>
    <n v="12516"/>
    <n v="765613666"/>
    <n v="285123"/>
    <s v="CORP DE BIENESTAR DEL PERSONAL DE A F P"/>
    <d v="2025-02-26T00:00:00"/>
    <d v="2025-02-26T00:00:00"/>
    <d v="2025-02-26T00:00:00"/>
    <d v="2025-02-26T00:00:00"/>
    <s v="AMBULATORIOS"/>
    <n v="22646386"/>
    <n v="3041018"/>
    <n v="68952056"/>
    <s v="TRASSA"/>
    <n v="2032025"/>
    <n v="77760"/>
    <s v="SAL"/>
    <s v="AM04"/>
    <s v="EXAMENES DE LABORATORIO"/>
    <s v="EXAMENES DE LABORATORIO"/>
    <s v="EXAMENES DE LABORATORIO"/>
    <s v="IMED SALUD"/>
    <n v="0"/>
    <n v="96942400"/>
    <n v="2"/>
    <s v="CONSALUD"/>
    <s v="JARAYA@AFPHABITAT.CL"/>
    <s v="9401001|96942400|765613666|765613666"/>
    <s v="IMED SALUD"/>
    <b v="1"/>
    <s v="APORTE VIA IMED"/>
  </r>
  <r>
    <s v="12 DE SEPTIEMBRE DE 2025"/>
    <x v="121"/>
    <s v="JACQUELINE ARAYA BULBOA"/>
    <n v="9401001"/>
    <s v="JACQUELINE ARAYA BULBOA"/>
    <d v="2025-03-01T00:00:00"/>
    <s v="DUPLICADO"/>
    <n v="765613666"/>
    <n v="65383728"/>
    <n v="11583"/>
    <n v="0"/>
    <n v="11583"/>
    <n v="0"/>
    <n v="11583"/>
    <n v="765613666"/>
    <n v="285123"/>
    <s v="CORP DE BIENESTAR DEL PERSONAL DE A F P"/>
    <d v="2025-03-01T00:00:00"/>
    <d v="2025-03-26T00:00:00"/>
    <d v="2025-02-26T00:00:00"/>
    <d v="2025-02-26T00:00:00"/>
    <s v="AMBULATORIOS"/>
    <n v="22770721"/>
    <n v="3311105"/>
    <n v="69250619"/>
    <s v="TRASSA"/>
    <n v="5864925"/>
    <n v="78070"/>
    <s v="SAL"/>
    <s v="AM04"/>
    <s v="EXAMENES DE LABORATORIO"/>
    <s v="EXAMENES DE LABORATORIO"/>
    <s v="EXAMENES DE LABORATORIO"/>
    <n v="0"/>
    <n v="0"/>
    <n v="96942400"/>
    <n v="2"/>
    <s v="SIN ISAPRE"/>
    <s v="JARAYA@AFPHABITAT.CL"/>
    <s v="9401001|96942400|765613666|65383728"/>
    <s v="GASTO FISICO"/>
    <b v="0"/>
    <s v="DEPOSITADO EN CUENTA"/>
  </r>
  <r>
    <s v="12 DE SEPTIEMBRE DE 2025"/>
    <x v="121"/>
    <s v="JACQUELINE ARAYA BULBOA"/>
    <n v="9401001"/>
    <s v="JACQUELINE ARAYA BULBOA"/>
    <d v="2025-02-01T00:00:00"/>
    <s v="INICIAL"/>
    <n v="765613667"/>
    <n v="765613667"/>
    <n v="16640"/>
    <n v="13297"/>
    <n v="3343"/>
    <n v="0"/>
    <n v="3343"/>
    <n v="765613667"/>
    <n v="285123"/>
    <s v="CORP DE BIENESTAR DEL PERSONAL DE A F P"/>
    <d v="2025-02-26T00:00:00"/>
    <d v="2025-02-26T00:00:00"/>
    <d v="2025-02-26T00:00:00"/>
    <d v="2025-02-26T00:00:00"/>
    <s v="AMBULATORIOS"/>
    <n v="22646386"/>
    <n v="3041018"/>
    <n v="68952055"/>
    <s v="TRASSA"/>
    <n v="2032025"/>
    <n v="77760"/>
    <s v="SAL"/>
    <s v="AM04"/>
    <s v="EXAMENES DE LABORATORIO"/>
    <s v="EXAMENES DE LABORATORIO"/>
    <s v="EXAMENES DE LABORATORIO"/>
    <s v="IMED SALUD"/>
    <n v="0"/>
    <n v="96942400"/>
    <n v="2"/>
    <s v="CONSALUD"/>
    <s v="JARAYA@AFPHABITAT.CL"/>
    <s v="9401001|96942400|765613667|765613667"/>
    <s v="IMED SALUD"/>
    <b v="1"/>
    <s v="APORTE VIA IMED"/>
  </r>
  <r>
    <s v="12 DE SEPTIEMBRE DE 2025"/>
    <x v="121"/>
    <s v="JACQUELINE ARAYA BULBOA"/>
    <n v="9401001"/>
    <s v="JACQUELINE ARAYA BULBOA"/>
    <d v="2025-03-01T00:00:00"/>
    <s v="DUPLICADO"/>
    <n v="765613667"/>
    <n v="65383729"/>
    <n v="3088"/>
    <n v="0"/>
    <n v="3088"/>
    <n v="0"/>
    <n v="3088"/>
    <n v="765613667"/>
    <n v="285123"/>
    <s v="CORP DE BIENESTAR DEL PERSONAL DE A F P"/>
    <d v="2025-03-01T00:00:00"/>
    <d v="2025-03-26T00:00:00"/>
    <d v="2025-02-26T00:00:00"/>
    <d v="2025-02-26T00:00:00"/>
    <s v="AMBULATORIOS"/>
    <n v="22770721"/>
    <n v="3311105"/>
    <n v="69250620"/>
    <s v="TRASSA"/>
    <n v="5864925"/>
    <n v="78070"/>
    <s v="SAL"/>
    <s v="AM04"/>
    <s v="EXAMENES DE LABORATORIO"/>
    <s v="EXAMENES DE LABORATORIO"/>
    <s v="EXAMENES DE LABORATORIO"/>
    <n v="0"/>
    <n v="0"/>
    <n v="96942400"/>
    <n v="2"/>
    <s v="SIN ISAPRE"/>
    <s v="JARAYA@AFPHABITAT.CL"/>
    <s v="9401001|96942400|765613667|65383729"/>
    <s v="GASTO FISICO"/>
    <b v="0"/>
    <s v="DEPOSITADO EN CUENTA"/>
  </r>
  <r>
    <s v="12 DE SEPTIEMBRE DE 2025"/>
    <x v="121"/>
    <s v="JACQUELINE ARAYA BULBOA"/>
    <n v="9401001"/>
    <s v="JACQUELINE ARAYA BULBOA"/>
    <d v="2025-02-01T00:00:00"/>
    <s v="INICIAL"/>
    <n v="765613668"/>
    <n v="765613668"/>
    <n v="16679"/>
    <n v="13343"/>
    <n v="3336"/>
    <n v="0"/>
    <n v="3336"/>
    <n v="765613668"/>
    <n v="285123"/>
    <s v="CORP DE BIENESTAR DEL PERSONAL DE A F P"/>
    <d v="2025-02-26T00:00:00"/>
    <d v="2025-02-26T00:00:00"/>
    <d v="2025-02-26T00:00:00"/>
    <d v="2025-02-26T00:00:00"/>
    <s v="AMBULATORIOS"/>
    <n v="22646386"/>
    <n v="3041018"/>
    <n v="68952054"/>
    <s v="TRASSA"/>
    <n v="2032025"/>
    <n v="77760"/>
    <s v="SAL"/>
    <s v="AM04"/>
    <s v="EXAMENES DE LABORATORIO"/>
    <s v="EXAMENES DE LABORATORIO"/>
    <s v="EXAMENES DE LABORATORIO"/>
    <s v="IMED SALUD"/>
    <n v="0"/>
    <n v="96942400"/>
    <n v="2"/>
    <s v="CONSALUD"/>
    <s v="JARAYA@AFPHABITAT.CL"/>
    <s v="9401001|96942400|765613668|765613668"/>
    <s v="IMED SALUD"/>
    <b v="1"/>
    <s v="APORTE VIA IMED"/>
  </r>
  <r>
    <s v="12 DE SEPTIEMBRE DE 2025"/>
    <x v="121"/>
    <s v="JACQUELINE ARAYA BULBOA"/>
    <n v="9401001"/>
    <s v="JACQUELINE ARAYA BULBOA"/>
    <d v="2025-03-01T00:00:00"/>
    <s v="DUPLICADO"/>
    <n v="765613668"/>
    <n v="65383730"/>
    <n v="3088"/>
    <n v="0"/>
    <n v="3088"/>
    <n v="0"/>
    <n v="3088"/>
    <n v="765613668"/>
    <n v="285123"/>
    <s v="CORP DE BIENESTAR DEL PERSONAL DE A F P"/>
    <d v="2025-03-01T00:00:00"/>
    <d v="2025-03-26T00:00:00"/>
    <d v="2025-02-26T00:00:00"/>
    <d v="2025-02-26T00:00:00"/>
    <s v="AMBULATORIOS"/>
    <n v="22770721"/>
    <n v="3311105"/>
    <n v="69250621"/>
    <s v="TRASSA"/>
    <n v="5864925"/>
    <n v="78070"/>
    <s v="SAL"/>
    <s v="AM04"/>
    <s v="EXAMENES DE LABORATORIO"/>
    <s v="EXAMENES DE LABORATORIO"/>
    <s v="EXAMENES DE LABORATORIO"/>
    <n v="0"/>
    <n v="0"/>
    <n v="96942400"/>
    <n v="2"/>
    <s v="SIN ISAPRE"/>
    <s v="JARAYA@AFPHABITAT.CL"/>
    <s v="9401001|96942400|765613668|65383730"/>
    <s v="GASTO FISICO"/>
    <b v="0"/>
    <s v="DEPOSITADO EN CUENTA"/>
  </r>
  <r>
    <s v="12 DE SEPTIEMBRE DE 2025"/>
    <x v="149"/>
    <s v="CHRISTIAN SALGADO VARAS"/>
    <n v="12409984"/>
    <s v="CHRISTIAN SALGADO VARAS"/>
    <d v="2025-02-01T00:00:00"/>
    <s v="INICIAL"/>
    <n v="765621424"/>
    <n v="765621424"/>
    <n v="11504"/>
    <n v="8292"/>
    <n v="3212"/>
    <n v="0"/>
    <n v="3212"/>
    <n v="765621424"/>
    <n v="285123"/>
    <s v="CORP DE BIENESTAR DEL PERSONAL DE A F P"/>
    <d v="2025-02-26T00:00:00"/>
    <d v="2025-02-26T00:00:00"/>
    <d v="2025-02-26T00:00:00"/>
    <d v="2025-02-26T00:00:00"/>
    <s v="AMBULATORIOS"/>
    <n v="22646399"/>
    <n v="3041018"/>
    <n v="68952426"/>
    <s v="TRASSA"/>
    <n v="2032025"/>
    <n v="77760"/>
    <s v="SAL"/>
    <s v="AM07"/>
    <s v="PROCEDIMIENTOS TERAPEUTICOS"/>
    <s v="PROCEDIMIENTOS TERAPEUTICOS"/>
    <s v="PROCEDIMIENTOS TERAPEUTICOS"/>
    <s v="IMED SALUD"/>
    <n v="0"/>
    <n v="96942400"/>
    <n v="2"/>
    <s v="CONSALUD"/>
    <s v="CSALGADO@AFPHABITAT.CL"/>
    <s v="12409984|96942400|765621424|765621424"/>
    <s v="IMED SALUD"/>
    <b v="1"/>
    <s v="APORTE VIA IMED"/>
  </r>
  <r>
    <s v="12 DE SEPTIEMBRE DE 2025"/>
    <x v="149"/>
    <s v="CHRISTIAN SALGADO VARAS"/>
    <n v="12409984"/>
    <s v="CHRISTIAN SALGADO VARAS"/>
    <d v="2025-03-01T00:00:00"/>
    <s v="DUPLICADO"/>
    <n v="765621424"/>
    <n v="65384011"/>
    <n v="3089"/>
    <n v="0"/>
    <n v="3089"/>
    <n v="0"/>
    <n v="3089"/>
    <n v="765621424"/>
    <n v="285123"/>
    <s v="CORP DE BIENESTAR DEL PERSONAL DE A F P"/>
    <d v="2025-03-01T00:00:00"/>
    <d v="2025-03-26T00:00:00"/>
    <d v="2025-02-26T00:00:00"/>
    <d v="2025-02-26T00:00:00"/>
    <s v="AMBULATORIOS"/>
    <n v="22770725"/>
    <n v="3311105"/>
    <n v="69250899"/>
    <s v="TRASSA"/>
    <n v="15200139738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CSALGADO@AFPHABITAT.CL"/>
    <s v="12409984|96942400|765621424|65384011"/>
    <s v="GASTO FISICO"/>
    <b v="0"/>
    <s v="DEPOSITADO EN CUENTA"/>
  </r>
  <r>
    <s v="12 DE SEPTIEMBRE DE 2025"/>
    <x v="135"/>
    <s v="NICOLAS SEPULVEDA GOMEZ"/>
    <n v="14453785"/>
    <s v="SOFIA UNDURRAGA FARIAS"/>
    <d v="2025-02-01T00:00:00"/>
    <s v="INICIAL"/>
    <n v="765623647"/>
    <n v="765623647"/>
    <n v="42464"/>
    <n v="13270"/>
    <n v="29194"/>
    <n v="0"/>
    <n v="29194"/>
    <n v="765623647"/>
    <n v="285123"/>
    <s v="CORP DE BIENESTAR DEL PERSONAL DE A F P"/>
    <d v="2025-02-26T00:00:00"/>
    <d v="2025-02-26T00:00:00"/>
    <d v="2025-02-26T00:00:00"/>
    <d v="2025-02-26T00:00:00"/>
    <s v="AMBULATORIOS"/>
    <n v="22646402"/>
    <n v="3041018"/>
    <n v="68952549"/>
    <s v="TRASSA"/>
    <n v="2032025"/>
    <n v="77760"/>
    <s v="SAL"/>
    <s v="AM04"/>
    <s v="EXAMENES DE LABORATORIO"/>
    <s v="EXAMENES DE LABORATORIO"/>
    <s v="EXAMENES DE LABORATORIO"/>
    <s v="IMED SALUD"/>
    <n v="0"/>
    <n v="96942400"/>
    <n v="2"/>
    <s v="CONSALUD"/>
    <s v="NICOLAS.SEPULVEDA@AFPHABITAT.CL"/>
    <s v="13281122|96942400|765623647|765623647"/>
    <s v="IMED SALUD"/>
    <b v="1"/>
    <s v="APORTE VIA IMED"/>
  </r>
  <r>
    <s v="12 DE SEPTIEMBRE DE 2025"/>
    <x v="135"/>
    <s v="NICOLAS SEPULVEDA GOMEZ"/>
    <n v="14453785"/>
    <s v="SOFIA UNDURRAGA FARIAS"/>
    <d v="2025-03-01T00:00:00"/>
    <s v="DUPLICADO"/>
    <n v="765623647"/>
    <n v="65384099"/>
    <n v="25101"/>
    <n v="0"/>
    <n v="25101"/>
    <n v="0"/>
    <n v="25101"/>
    <n v="765623647"/>
    <n v="285123"/>
    <s v="CORP DE BIENESTAR DEL PERSONAL DE A F P"/>
    <d v="2025-03-01T00:00:00"/>
    <d v="2025-03-26T00:00:00"/>
    <d v="2025-02-26T00:00:00"/>
    <d v="2025-02-26T00:00:00"/>
    <s v="AMBULATORIOS"/>
    <n v="22770726"/>
    <n v="3311105"/>
    <n v="69250984"/>
    <s v="TRASSA"/>
    <n v="210929341"/>
    <n v="78070"/>
    <s v="SAL"/>
    <s v="AM04"/>
    <s v="EXAMENES DE LABORATORIO"/>
    <s v="EXAMENES DE LABORATORIO"/>
    <s v="EXAMENES DE LABORATORIO"/>
    <n v="0"/>
    <n v="0"/>
    <n v="96942400"/>
    <n v="2"/>
    <s v="SIN ISAPRE"/>
    <s v="NICOLAS.SEPULVEDA@AFPHABITAT.CL"/>
    <s v="13281122|96942400|765623647|65384099"/>
    <s v="GASTO FISICO"/>
    <b v="0"/>
    <s v="DEPOSITADO EN CUENTA"/>
  </r>
  <r>
    <s v="12 DE SEPTIEMBRE DE 2025"/>
    <x v="135"/>
    <s v="NICOLAS SEPULVEDA GOMEZ"/>
    <n v="14453785"/>
    <s v="SOFIA UNDURRAGA FARIAS"/>
    <d v="2025-02-01T00:00:00"/>
    <s v="INICIAL"/>
    <n v="765623648"/>
    <n v="765623648"/>
    <n v="10736"/>
    <n v="8589"/>
    <n v="2147"/>
    <n v="0"/>
    <n v="2147"/>
    <n v="765623648"/>
    <n v="285123"/>
    <s v="CORP DE BIENESTAR DEL PERSONAL DE A F P"/>
    <d v="2025-02-26T00:00:00"/>
    <d v="2025-02-26T00:00:00"/>
    <d v="2025-02-26T00:00:00"/>
    <d v="2025-02-26T00:00:00"/>
    <s v="AMBULATORIOS"/>
    <n v="22646402"/>
    <n v="3041018"/>
    <n v="68952548"/>
    <s v="TRASSA"/>
    <n v="2032025"/>
    <n v="77760"/>
    <s v="SAL"/>
    <s v="AM07"/>
    <s v="PROCEDIMIENTOS TERAPEUTICOS"/>
    <s v="PROCEDIMIENTOS TERAPEUTICOS"/>
    <s v="PROCEDIMIENTOS TERAPEUTICOS"/>
    <s v="IMED SALUD"/>
    <n v="0"/>
    <n v="96942400"/>
    <n v="2"/>
    <s v="CONSALUD"/>
    <s v="NICOLAS.SEPULVEDA@AFPHABITAT.CL"/>
    <s v="13281122|96942400|765623648|765623648"/>
    <s v="IMED SALUD"/>
    <b v="1"/>
    <s v="APORTE VIA IMED"/>
  </r>
  <r>
    <s v="12 DE SEPTIEMBRE DE 2025"/>
    <x v="135"/>
    <s v="NICOLAS SEPULVEDA GOMEZ"/>
    <n v="14453785"/>
    <s v="SOFIA UNDURRAGA FARIAS"/>
    <d v="2025-03-01T00:00:00"/>
    <s v="DUPLICADO"/>
    <n v="765623648"/>
    <n v="65384100"/>
    <n v="2317"/>
    <n v="0"/>
    <n v="2317"/>
    <n v="0"/>
    <n v="2317"/>
    <n v="765623648"/>
    <n v="285123"/>
    <s v="CORP DE BIENESTAR DEL PERSONAL DE A F P"/>
    <d v="2025-03-01T00:00:00"/>
    <d v="2025-03-26T00:00:00"/>
    <d v="2025-02-26T00:00:00"/>
    <d v="2025-02-26T00:00:00"/>
    <s v="AMBULATORIOS"/>
    <n v="22770726"/>
    <n v="3311105"/>
    <n v="69250985"/>
    <s v="TRASSA"/>
    <n v="210929341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NICOLAS.SEPULVEDA@AFPHABITAT.CL"/>
    <s v="13281122|96942400|765623648|65384100"/>
    <s v="GASTO FISICO"/>
    <b v="0"/>
    <s v="DEPOSITADO EN CUENTA"/>
  </r>
  <r>
    <s v="12 DE SEPTIEMBRE DE 2025"/>
    <x v="135"/>
    <s v="NICOLAS SEPULVEDA GOMEZ"/>
    <n v="14453785"/>
    <s v="SOFIA UNDURRAGA FARIAS"/>
    <d v="2025-02-01T00:00:00"/>
    <s v="INICIAL"/>
    <n v="765623726"/>
    <n v="765623726"/>
    <n v="16992"/>
    <n v="13594"/>
    <n v="3398"/>
    <n v="0"/>
    <n v="3398"/>
    <n v="765623726"/>
    <n v="285123"/>
    <s v="CORP DE BIENESTAR DEL PERSONAL DE A F P"/>
    <d v="2025-02-26T00:00:00"/>
    <d v="2025-02-26T00:00:00"/>
    <d v="2025-02-26T00:00:00"/>
    <d v="2025-02-26T00:00:00"/>
    <s v="AMBULATORIOS"/>
    <n v="22646402"/>
    <n v="3041018"/>
    <n v="68952552"/>
    <s v="TRASSA"/>
    <n v="2032025"/>
    <n v="77760"/>
    <s v="SAL"/>
    <s v="AM07"/>
    <s v="PROCEDIMIENTOS TERAPEUTICOS"/>
    <s v="PROCEDIMIENTOS TERAPEUTICOS"/>
    <s v="PROCEDIMIENTOS TERAPEUTICOS"/>
    <s v="IMED SALUD"/>
    <n v="0"/>
    <n v="96942400"/>
    <n v="2"/>
    <s v="CONSALUD"/>
    <s v="NICOLAS.SEPULVEDA@AFPHABITAT.CL"/>
    <s v="13281122|96942400|765623726|765623726"/>
    <s v="IMED SALUD"/>
    <b v="1"/>
    <s v="APORTE VIA IMED"/>
  </r>
  <r>
    <s v="12 DE SEPTIEMBRE DE 2025"/>
    <x v="135"/>
    <s v="NICOLAS SEPULVEDA GOMEZ"/>
    <n v="14453785"/>
    <s v="SOFIA UNDURRAGA FARIAS"/>
    <d v="2025-03-01T00:00:00"/>
    <s v="DUPLICADO"/>
    <n v="765623726"/>
    <n v="65384101"/>
    <n v="3475"/>
    <n v="0"/>
    <n v="3475"/>
    <n v="0"/>
    <n v="3475"/>
    <n v="765623726"/>
    <n v="285123"/>
    <s v="CORP DE BIENESTAR DEL PERSONAL DE A F P"/>
    <d v="2025-03-01T00:00:00"/>
    <d v="2025-03-26T00:00:00"/>
    <d v="2025-02-26T00:00:00"/>
    <d v="2025-02-26T00:00:00"/>
    <s v="AMBULATORIOS"/>
    <n v="22770726"/>
    <n v="3311105"/>
    <n v="69250986"/>
    <s v="TRASSA"/>
    <n v="210929341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NICOLAS.SEPULVEDA@AFPHABITAT.CL"/>
    <s v="13281122|96942400|765623726|65384101"/>
    <s v="GASTO FISICO"/>
    <b v="0"/>
    <s v="DEPOSITADO EN CUENTA"/>
  </r>
  <r>
    <s v="12 DE SEPTIEMBRE DE 2025"/>
    <x v="144"/>
    <s v="JACQUELINE NOVOA RIQUELME"/>
    <n v="10458253"/>
    <s v="JACQUELINE NOVOA RIQUELME"/>
    <d v="2025-02-01T00:00:00"/>
    <s v="INICIAL"/>
    <n v="765625393"/>
    <n v="765625393"/>
    <n v="23232"/>
    <n v="16262"/>
    <n v="6970"/>
    <n v="0"/>
    <n v="6970"/>
    <n v="765625393"/>
    <n v="285123"/>
    <s v="CORP DE BIENESTAR DEL PERSONAL DE A F P"/>
    <d v="2025-02-26T00:00:00"/>
    <d v="2025-02-26T00:00:00"/>
    <d v="2025-02-26T00:00:00"/>
    <d v="2025-02-26T00:00:00"/>
    <s v="AMBULATORIOS"/>
    <n v="22646389"/>
    <n v="3041018"/>
    <n v="68952640"/>
    <s v="TRASSA"/>
    <n v="2032025"/>
    <n v="77760"/>
    <s v="SAL"/>
    <s v="AM05"/>
    <s v="EXAMENES RADIOLOGICOS"/>
    <s v="EXAMENES RADIOLOGICOS"/>
    <s v="EXAMENES RADIOLOGICOS"/>
    <s v="IMED SALUD"/>
    <n v="0"/>
    <n v="96942400"/>
    <n v="2"/>
    <s v="CONSALUD"/>
    <s v="JNOVOA@AFPHABITAT.CL"/>
    <s v="10458253|96942400|765625393|765625393"/>
    <s v="IMED SALUD"/>
    <b v="1"/>
    <s v="APORTE VIA IMED"/>
  </r>
  <r>
    <s v="12 DE SEPTIEMBRE DE 2025"/>
    <x v="144"/>
    <s v="JACQUELINE NOVOA RIQUELME"/>
    <n v="10458253"/>
    <s v="JACQUELINE NOVOA RIQUELME"/>
    <d v="2025-03-01T00:00:00"/>
    <s v="DUPLICADO"/>
    <n v="765625393"/>
    <n v="65383855"/>
    <n v="6951"/>
    <n v="0"/>
    <n v="6951"/>
    <n v="0"/>
    <n v="6951"/>
    <n v="765625393"/>
    <n v="285123"/>
    <s v="CORP DE BIENESTAR DEL PERSONAL DE A F P"/>
    <d v="2025-03-01T00:00:00"/>
    <d v="2025-03-26T00:00:00"/>
    <d v="2025-02-26T00:00:00"/>
    <d v="2025-02-26T00:00:00"/>
    <s v="AMBULATORIOS"/>
    <n v="22770723"/>
    <n v="3311105"/>
    <n v="69250744"/>
    <s v="TRASSA"/>
    <n v="1702834992"/>
    <n v="78070"/>
    <s v="SAL"/>
    <s v="AM05"/>
    <s v="EXAMENES RADIOLOGICOS"/>
    <s v="EXAMENES RADIOLOGICOS"/>
    <s v="EXAMENES RADIOLOGICOS"/>
    <n v="0"/>
    <n v="0"/>
    <n v="96942400"/>
    <n v="2"/>
    <s v="SIN ISAPRE"/>
    <s v="JNOVOA@AFPHABITAT.CL"/>
    <s v="10458253|96942400|765625393|65383855"/>
    <s v="GASTO FISICO"/>
    <b v="0"/>
    <s v="DEPOSITADO EN CUENTA"/>
  </r>
  <r>
    <s v="12 DE SEPTIEMBRE DE 2025"/>
    <x v="150"/>
    <s v="CESAR RODRIGUEZ MINCHOLA"/>
    <n v="23615149"/>
    <s v="TRINIDAD RODRIGUEZ GOMEZ"/>
    <d v="2025-02-01T00:00:00"/>
    <s v="INICIAL"/>
    <n v="765628452"/>
    <n v="765628452"/>
    <n v="26710"/>
    <n v="19329"/>
    <n v="7381"/>
    <n v="0"/>
    <n v="7381"/>
    <n v="765628452"/>
    <n v="285123"/>
    <s v="CORP DE BIENESTAR DEL PERSONAL DE A F P"/>
    <d v="2025-02-27T00:00:00"/>
    <d v="2025-02-27T00:00:00"/>
    <d v="2025-02-27T00:00:00"/>
    <d v="2025-02-27T00:00:00"/>
    <s v="AMBULATORIOS"/>
    <n v="22646459"/>
    <n v="3041018"/>
    <n v="68952873"/>
    <s v="TRASSA"/>
    <n v="2032025"/>
    <n v="77760"/>
    <s v="SAL"/>
    <s v="AM04"/>
    <s v="EXAMENES DE LABORATORIO"/>
    <s v="EXAMENES DE LABORATORIO"/>
    <s v="EXAMENES DE LABORATORIO"/>
    <s v="IMED SALUD"/>
    <n v="0"/>
    <n v="99573490"/>
    <n v="7"/>
    <s v="CONSALUD"/>
    <s v="CESAR.RODRIGUEZ@AFPHABITAT.CL"/>
    <s v="14733348|99573490|765628452|765628452"/>
    <s v="IMED SALUD"/>
    <b v="1"/>
    <s v="APORTE VIA IMED"/>
  </r>
  <r>
    <s v="12 DE SEPTIEMBRE DE 2025"/>
    <x v="150"/>
    <s v="CESAR RODRIGUEZ MINCHOLA"/>
    <n v="23615149"/>
    <s v="TRINIDAD RODRIGUEZ GOMEZ"/>
    <d v="2025-03-01T00:00:00"/>
    <s v="DUPLICADO"/>
    <n v="765628452"/>
    <n v="65384252"/>
    <n v="7339"/>
    <n v="0"/>
    <n v="7339"/>
    <n v="0"/>
    <n v="7339"/>
    <n v="765628452"/>
    <n v="285123"/>
    <s v="CORP DE BIENESTAR DEL PERSONAL DE A F P"/>
    <d v="2025-03-01T00:00:00"/>
    <d v="2025-03-26T00:00:00"/>
    <d v="2025-02-27T00:00:00"/>
    <d v="2025-02-27T00:00:00"/>
    <s v="AMBULATORIOS"/>
    <n v="22770738"/>
    <n v="3311105"/>
    <n v="69251125"/>
    <s v="TRASSA"/>
    <n v="72113446"/>
    <n v="78070"/>
    <s v="SAL"/>
    <s v="AM04"/>
    <s v="EXAMENES DE LABORATORIO"/>
    <s v="EXAMENES DE LABORATORIO"/>
    <s v="EXAMENES DE LABORATORIO"/>
    <n v="0"/>
    <n v="0"/>
    <n v="99573490"/>
    <n v="7"/>
    <s v="SIN ISAPRE"/>
    <s v="CESAR.RODRIGUEZ@AFPHABITAT.CL"/>
    <s v="14733348|99573490|765628452|65384252"/>
    <s v="GASTO FISICO"/>
    <b v="0"/>
    <s v="DEPOSITADO EN CUENTA"/>
  </r>
  <r>
    <s v="12 DE SEPTIEMBRE DE 2025"/>
    <x v="148"/>
    <s v="DORIS GUZMAN WIDEMANN"/>
    <n v="9486641"/>
    <s v="DORIS GUZMAN WIDEMANN"/>
    <d v="2025-02-01T00:00:00"/>
    <s v="INICIAL"/>
    <n v="765637451"/>
    <n v="765637451"/>
    <n v="303325"/>
    <n v="184176"/>
    <n v="119149"/>
    <n v="0"/>
    <n v="35909"/>
    <n v="765637451"/>
    <n v="285123"/>
    <s v="CORP DE BIENESTAR DEL PERSONAL DE A F P"/>
    <d v="2025-02-27T00:00:00"/>
    <d v="2025-02-27T00:00:00"/>
    <d v="2025-02-27T00:00:00"/>
    <d v="2025-02-27T00:00:00"/>
    <s v="AMBULATORIOS"/>
    <n v="22646430"/>
    <n v="3041018"/>
    <n v="68953285"/>
    <s v="TRASSA"/>
    <n v="2032025"/>
    <n v="77760"/>
    <s v="SAL"/>
    <s v="AM07"/>
    <s v="PROCEDIMIENTOS TERAPEUTICOS"/>
    <s v="PROCEDIMIENTOS TERAPEUTICOS"/>
    <s v="PROCEDIMIENTOS TERAPEUTICOS"/>
    <s v="IMED SALUD"/>
    <n v="0"/>
    <n v="96631140"/>
    <n v="1"/>
    <s v="CONSALUD"/>
    <s v="DGUZMAN@AFPHABITAT.CL"/>
    <s v="9486641|96631140|765637451|765637451"/>
    <s v="IMED SALUD"/>
    <b v="1"/>
    <s v="APORTE VIA IMED"/>
  </r>
  <r>
    <s v="12 DE SEPTIEMBRE DE 2025"/>
    <x v="148"/>
    <s v="DORIS GUZMAN WIDEMANN"/>
    <n v="9486641"/>
    <s v="DORIS GUZMAN WIDEMANN"/>
    <d v="2025-03-01T00:00:00"/>
    <s v="DUPLICADO"/>
    <n v="765637451"/>
    <n v="65383742"/>
    <n v="77264"/>
    <n v="0"/>
    <n v="77264"/>
    <n v="0"/>
    <n v="77264"/>
    <n v="765637451"/>
    <n v="285123"/>
    <s v="CORP DE BIENESTAR DEL PERSONAL DE A F P"/>
    <d v="2025-03-01T00:00:00"/>
    <d v="2025-03-26T00:00:00"/>
    <d v="2025-02-27T00:00:00"/>
    <d v="2025-02-27T00:00:00"/>
    <s v="AMBULATORIOS"/>
    <n v="22770731"/>
    <n v="3311105"/>
    <n v="69250632"/>
    <s v="TRASSA"/>
    <n v="27656756"/>
    <n v="78070"/>
    <s v="SAL"/>
    <s v="AM07"/>
    <s v="PROCEDIMIENTOS TERAPEUTICOS"/>
    <s v="PROCEDIMIENTOS TERAPEUTICOS"/>
    <s v="PROCEDIMIENTOS TERAPEUTICOS"/>
    <n v="0"/>
    <n v="0"/>
    <n v="96631140"/>
    <n v="1"/>
    <s v="SIN ISAPRE"/>
    <s v="DGUZMAN@AFPHABITAT.CL"/>
    <s v="9486641|96631140|765637451|65383742"/>
    <s v="GASTO FISICO"/>
    <b v="0"/>
    <s v="DEPOSITADO EN CUENTA"/>
  </r>
  <r>
    <s v="12 DE SEPTIEMBRE DE 2025"/>
    <x v="121"/>
    <s v="JACQUELINE ARAYA BULBOA"/>
    <n v="9401001"/>
    <s v="JACQUELINE ARAYA BULBOA"/>
    <d v="2025-02-01T00:00:00"/>
    <s v="INICIAL"/>
    <n v="765641908"/>
    <n v="765641908"/>
    <n v="23232"/>
    <n v="18259"/>
    <n v="4973"/>
    <n v="0"/>
    <n v="4973"/>
    <n v="765641908"/>
    <n v="285123"/>
    <s v="CORP DE BIENESTAR DEL PERSONAL DE A F P"/>
    <d v="2025-02-28T00:00:00"/>
    <d v="2025-02-28T00:00:00"/>
    <d v="2025-02-28T00:00:00"/>
    <d v="2025-02-28T00:00:00"/>
    <s v="AMBULATORIOS"/>
    <n v="22646484"/>
    <n v="3041018"/>
    <n v="68953529"/>
    <s v="TRASSA"/>
    <n v="2032025"/>
    <n v="77760"/>
    <s v="SAL"/>
    <s v="AM05"/>
    <s v="EXAMENES RADIOLOGICOS"/>
    <s v="EXAMENES RADIOLOGICOS"/>
    <s v="EXAMENES RADIOLOGICOS"/>
    <s v="IMED SALUD"/>
    <n v="0"/>
    <n v="96942400"/>
    <n v="2"/>
    <s v="CONSALUD"/>
    <s v="JARAYA@AFPHABITAT.CL"/>
    <s v="9401001|96942400|765641908|765641908"/>
    <s v="IMED SALUD"/>
    <b v="1"/>
    <s v="APORTE VIA IMED"/>
  </r>
  <r>
    <s v="12 DE SEPTIEMBRE DE 2025"/>
    <x v="121"/>
    <s v="JACQUELINE ARAYA BULBOA"/>
    <n v="9401001"/>
    <s v="JACQUELINE ARAYA BULBOA"/>
    <d v="2025-03-01T00:00:00"/>
    <s v="DUPLICADO"/>
    <n v="765641908"/>
    <n v="65383731"/>
    <n v="5024"/>
    <n v="0"/>
    <n v="5024"/>
    <n v="0"/>
    <n v="5024"/>
    <n v="765641908"/>
    <n v="285123"/>
    <s v="CORP DE BIENESTAR DEL PERSONAL DE A F P"/>
    <d v="2025-03-01T00:00:00"/>
    <d v="2025-03-26T00:00:00"/>
    <d v="2025-02-28T00:00:00"/>
    <d v="2025-02-28T00:00:00"/>
    <s v="AMBULATORIOS"/>
    <n v="22770742"/>
    <n v="3311105"/>
    <n v="69250622"/>
    <s v="TRASSA"/>
    <n v="5864925"/>
    <n v="78070"/>
    <s v="SAL"/>
    <s v="AM05"/>
    <s v="EXAMENES RADIOLOGICOS"/>
    <s v="EXAMENES RADIOLOGICOS"/>
    <s v="EXAMENES RADIOLOGICOS"/>
    <n v="0"/>
    <n v="0"/>
    <n v="96942400"/>
    <n v="2"/>
    <s v="SIN ISAPRE"/>
    <s v="JARAYA@AFPHABITAT.CL"/>
    <s v="9401001|96942400|765641908|65383731"/>
    <s v="GASTO FISICO"/>
    <b v="0"/>
    <s v="DEPOSITADO EN CUENTA"/>
  </r>
  <r>
    <s v="12 DE SEPTIEMBRE DE 2025"/>
    <x v="121"/>
    <s v="JACQUELINE ARAYA BULBOA"/>
    <n v="9401001"/>
    <s v="JACQUELINE ARAYA BULBOA"/>
    <d v="2025-02-01T00:00:00"/>
    <s v="INICIAL"/>
    <n v="765642032"/>
    <n v="765642032"/>
    <n v="28808"/>
    <n v="23047"/>
    <n v="5761"/>
    <n v="0"/>
    <n v="5761"/>
    <n v="765642032"/>
    <n v="285123"/>
    <s v="CORP DE BIENESTAR DEL PERSONAL DE A F P"/>
    <d v="2025-02-28T00:00:00"/>
    <d v="2025-02-28T00:00:00"/>
    <d v="2025-02-28T00:00:00"/>
    <d v="2025-02-28T00:00:00"/>
    <s v="AMBULATORIOS"/>
    <n v="22646484"/>
    <n v="3041018"/>
    <n v="68953532"/>
    <s v="TRASSA"/>
    <n v="2032025"/>
    <n v="77760"/>
    <s v="SAL"/>
    <s v="AM05"/>
    <s v="EXAMENES RADIOLOGICOS"/>
    <s v="EXAMENES RADIOLOGICOS"/>
    <s v="EXAMENES RADIOLOGICOS"/>
    <s v="IMED SALUD"/>
    <n v="0"/>
    <n v="96942400"/>
    <n v="2"/>
    <s v="CONSALUD"/>
    <s v="JARAYA@AFPHABITAT.CL"/>
    <s v="9401001|96942400|765642032|765642032"/>
    <s v="IMED SALUD"/>
    <b v="1"/>
    <s v="APORTE VIA IMED"/>
  </r>
  <r>
    <s v="12 DE SEPTIEMBRE DE 2025"/>
    <x v="121"/>
    <s v="JACQUELINE ARAYA BULBOA"/>
    <n v="9401001"/>
    <s v="JACQUELINE ARAYA BULBOA"/>
    <d v="2025-03-01T00:00:00"/>
    <s v="DUPLICADO"/>
    <n v="765642032"/>
    <n v="65383732"/>
    <n v="5797"/>
    <n v="0"/>
    <n v="5797"/>
    <n v="0"/>
    <n v="5797"/>
    <n v="765642032"/>
    <n v="285123"/>
    <s v="CORP DE BIENESTAR DEL PERSONAL DE A F P"/>
    <d v="2025-03-01T00:00:00"/>
    <d v="2025-03-26T00:00:00"/>
    <d v="2025-02-28T00:00:00"/>
    <d v="2025-02-28T00:00:00"/>
    <s v="AMBULATORIOS"/>
    <n v="22770742"/>
    <n v="3311105"/>
    <n v="69250623"/>
    <s v="TRASSA"/>
    <n v="5864925"/>
    <n v="78070"/>
    <s v="SAL"/>
    <s v="AM05"/>
    <s v="EXAMENES RADIOLOGICOS"/>
    <s v="EXAMENES RADIOLOGICOS"/>
    <s v="EXAMENES RADIOLOGICOS"/>
    <n v="0"/>
    <n v="0"/>
    <n v="96942400"/>
    <n v="2"/>
    <s v="SIN ISAPRE"/>
    <s v="JARAYA@AFPHABITAT.CL"/>
    <s v="9401001|96942400|765642032|65383732"/>
    <s v="GASTO FISICO"/>
    <b v="0"/>
    <s v="DEPOSITADO EN CUENTA"/>
  </r>
  <r>
    <s v="12 DE SEPTIEMBRE DE 2025"/>
    <x v="136"/>
    <s v="RAUL EDUARDO BUSTAMANTE CANTERO"/>
    <n v="11739910"/>
    <s v="RAUL EDUARDO BUSTAMANTE CANTERO"/>
    <d v="2025-03-01T00:00:00"/>
    <s v="INICIAL"/>
    <n v="765656662"/>
    <n v="765656662"/>
    <n v="46650"/>
    <n v="45251"/>
    <n v="1399"/>
    <n v="0"/>
    <n v="1399"/>
    <n v="765656662"/>
    <n v="285123"/>
    <s v="CORP DE BIENESTAR DEL PERSONAL DE A F P"/>
    <d v="2025-03-01T00:00:00"/>
    <d v="2025-03-01T00:00:00"/>
    <d v="2025-03-01T00:00:00"/>
    <d v="2025-03-01T00:00:00"/>
    <s v="AMBULATORIOS"/>
    <n v="22676562"/>
    <n v="3101656"/>
    <n v="68994407"/>
    <s v="TRASSA"/>
    <n v="9032025"/>
    <n v="77868"/>
    <s v="SAL"/>
    <s v="AM05"/>
    <s v="EXAMENES RADIOLOGICOS"/>
    <s v="EXAMENES RADIOLOGICOS"/>
    <s v="EXAMENES RADIOLOGICOS"/>
    <s v="IMED SALUD"/>
    <n v="0"/>
    <n v="96923250"/>
    <n v="2"/>
    <s v="CONSALUD"/>
    <s v="RBUSTAMA@AFPHABITAT.CL"/>
    <s v="11739910|96923250|765656662|765656662"/>
    <s v="IMED SALUD"/>
    <b v="1"/>
    <s v="APORTE VIA IMED"/>
  </r>
  <r>
    <s v="12 DE SEPTIEMBRE DE 2025"/>
    <x v="136"/>
    <s v="RAUL EDUARDO BUSTAMANTE CANTERO"/>
    <n v="11739910"/>
    <s v="RAUL EDUARDO BUSTAMANTE CANTERO"/>
    <d v="2025-03-01T00:00:00"/>
    <s v="DUPLICADO"/>
    <n v="765656662"/>
    <n v="65383962"/>
    <n v="6959"/>
    <n v="0"/>
    <n v="6959"/>
    <n v="0"/>
    <n v="6959"/>
    <n v="765656662"/>
    <n v="285123"/>
    <s v="CORP DE BIENESTAR DEL PERSONAL DE A F P"/>
    <d v="2025-03-01T00:00:00"/>
    <d v="2025-03-26T00:00:00"/>
    <d v="2025-03-01T00:00:00"/>
    <d v="2025-03-01T00:00:00"/>
    <s v="AMBULATORIOS"/>
    <n v="22772355"/>
    <n v="3311105"/>
    <n v="69250850"/>
    <s v="TRASSA"/>
    <n v="2650102250127"/>
    <n v="78070"/>
    <s v="SAL"/>
    <s v="AM05"/>
    <s v="EXAMENES RADIOLOGICOS"/>
    <s v="EXAMENES RADIOLOGICOS"/>
    <s v="EXAMENES RADIOLOGICOS"/>
    <n v="0"/>
    <n v="0"/>
    <n v="96923250"/>
    <n v="2"/>
    <s v="SIN ISAPRE"/>
    <s v="RBUSTAMA@AFPHABITAT.CL"/>
    <s v="11739910|96923250|765656662|65383962"/>
    <s v="GASTO FISICO"/>
    <b v="0"/>
    <s v="DEPOSITADO EN CUENTA"/>
  </r>
  <r>
    <s v="12 DE SEPTIEMBRE DE 2025"/>
    <x v="151"/>
    <s v="ALEXANDER JOHN MACKENZIE HUGHES"/>
    <n v="18768930"/>
    <s v="ALEXANDER JOHN MACKENZIE HUGHES"/>
    <d v="2025-03-01T00:00:00"/>
    <s v="INICIAL"/>
    <n v="765656729"/>
    <n v="765656729"/>
    <n v="17160"/>
    <n v="14587"/>
    <n v="2573"/>
    <n v="0"/>
    <n v="2573"/>
    <n v="765656729"/>
    <n v="285123"/>
    <s v="CORP DE BIENESTAR DEL PERSONAL DE A F P"/>
    <d v="2025-03-01T00:00:00"/>
    <d v="2025-03-01T00:00:00"/>
    <d v="2025-03-01T00:00:00"/>
    <d v="2025-03-01T00:00:00"/>
    <s v="AMBULATORIOS"/>
    <n v="22676570"/>
    <n v="3101656"/>
    <n v="68993392"/>
    <s v="TRASSA"/>
    <n v="9032025"/>
    <n v="77868"/>
    <s v="SAL"/>
    <s v="AM04"/>
    <s v="EXAMENES DE LABORATORIO"/>
    <s v="EXAMENES DE LABORATORIO"/>
    <s v="EXAMENES DE LABORATORIO"/>
    <s v="IMED SALUD"/>
    <n v="0"/>
    <n v="99573490"/>
    <n v="7"/>
    <s v="CONSALUD"/>
    <s v="ALEXANDER.MACKENZIE@AFPHABITAT.CL"/>
    <s v="18768930|99573490|765656729|765656729"/>
    <s v="IMED SALUD"/>
    <b v="1"/>
    <s v="APORTE VIA IMED"/>
  </r>
  <r>
    <s v="12 DE SEPTIEMBRE DE 2025"/>
    <x v="151"/>
    <s v="ALEXANDER JOHN MACKENZIE HUGHES"/>
    <n v="18768930"/>
    <s v="ALEXANDER JOHN MACKENZIE HUGHES"/>
    <d v="2025-03-01T00:00:00"/>
    <s v="DUPLICADO"/>
    <n v="765656729"/>
    <n v="65384472"/>
    <n v="2318"/>
    <n v="0"/>
    <n v="2318"/>
    <n v="0"/>
    <n v="2318"/>
    <n v="765656729"/>
    <n v="285123"/>
    <s v="CORP DE BIENESTAR DEL PERSONAL DE A F P"/>
    <d v="2025-03-01T00:00:00"/>
    <d v="2025-03-26T00:00:00"/>
    <d v="2025-03-01T00:00:00"/>
    <d v="2025-03-01T00:00:00"/>
    <s v="AMBULATORIOS"/>
    <n v="22772359"/>
    <n v="3311105"/>
    <n v="69251338"/>
    <s v="TRASSA"/>
    <n v="1540665607"/>
    <n v="78070"/>
    <s v="SAL"/>
    <s v="AM04"/>
    <s v="EXAMENES DE LABORATORIO"/>
    <s v="EXAMENES DE LABORATORIO"/>
    <s v="EXAMENES DE LABORATORIO"/>
    <n v="0"/>
    <n v="0"/>
    <n v="99573490"/>
    <n v="7"/>
    <s v="SIN ISAPRE"/>
    <s v="ALEXANDER.MACKENZIE@AFPHABITAT.CL"/>
    <s v="18768930|99573490|765656729|65384472"/>
    <s v="GASTO FISICO"/>
    <b v="0"/>
    <s v="DEPOSITADO EN CUENTA"/>
  </r>
  <r>
    <s v="12 DE SEPTIEMBRE DE 2025"/>
    <x v="151"/>
    <s v="ALEXANDER JOHN MACKENZIE HUGHES"/>
    <n v="18768930"/>
    <s v="ALEXANDER JOHN MACKENZIE HUGHES"/>
    <d v="2025-03-01T00:00:00"/>
    <s v="INICIAL"/>
    <n v="765656730"/>
    <n v="765656730"/>
    <n v="25450"/>
    <n v="21633"/>
    <n v="3817"/>
    <n v="0"/>
    <n v="3817"/>
    <n v="765656730"/>
    <n v="285123"/>
    <s v="CORP DE BIENESTAR DEL PERSONAL DE A F P"/>
    <d v="2025-03-01T00:00:00"/>
    <d v="2025-03-01T00:00:00"/>
    <d v="2025-03-01T00:00:00"/>
    <d v="2025-03-01T00:00:00"/>
    <s v="AMBULATORIOS"/>
    <n v="22676570"/>
    <n v="3101656"/>
    <n v="68997695"/>
    <s v="TRASSA"/>
    <n v="9032025"/>
    <n v="77868"/>
    <s v="SAL"/>
    <s v="AM04"/>
    <s v="EXAMENES DE LABORATORIO"/>
    <s v="EXAMENES DE LABORATORIO"/>
    <s v="EXAMENES DE LABORATORIO"/>
    <s v="IMED SALUD"/>
    <n v="0"/>
    <n v="99573490"/>
    <n v="7"/>
    <s v="CONSALUD"/>
    <s v="ALEXANDER.MACKENZIE@AFPHABITAT.CL"/>
    <s v="18768930|99573490|765656730|765656730"/>
    <s v="IMED SALUD"/>
    <b v="1"/>
    <s v="APORTE VIA IMED"/>
  </r>
  <r>
    <s v="12 DE SEPTIEMBRE DE 2025"/>
    <x v="151"/>
    <s v="ALEXANDER JOHN MACKENZIE HUGHES"/>
    <n v="18768930"/>
    <s v="ALEXANDER JOHN MACKENZIE HUGHES"/>
    <d v="2025-03-01T00:00:00"/>
    <s v="DUPLICADO"/>
    <n v="765656730"/>
    <n v="65384473"/>
    <n v="3478"/>
    <n v="0"/>
    <n v="3478"/>
    <n v="0"/>
    <n v="3478"/>
    <n v="765656730"/>
    <n v="285123"/>
    <s v="CORP DE BIENESTAR DEL PERSONAL DE A F P"/>
    <d v="2025-03-01T00:00:00"/>
    <d v="2025-03-26T00:00:00"/>
    <d v="2025-03-01T00:00:00"/>
    <d v="2025-03-01T00:00:00"/>
    <s v="AMBULATORIOS"/>
    <n v="22772359"/>
    <n v="3311105"/>
    <n v="69251339"/>
    <s v="TRASSA"/>
    <n v="1540665607"/>
    <n v="78070"/>
    <s v="SAL"/>
    <s v="AM04"/>
    <s v="EXAMENES DE LABORATORIO"/>
    <s v="EXAMENES DE LABORATORIO"/>
    <s v="EXAMENES DE LABORATORIO"/>
    <n v="0"/>
    <n v="0"/>
    <n v="99573490"/>
    <n v="7"/>
    <s v="SIN ISAPRE"/>
    <s v="ALEXANDER.MACKENZIE@AFPHABITAT.CL"/>
    <s v="18768930|99573490|765656730|65384473"/>
    <s v="GASTO FISICO"/>
    <b v="0"/>
    <s v="DEPOSITADO EN CUENTA"/>
  </r>
  <r>
    <s v="12 DE SEPTIEMBRE DE 2025"/>
    <x v="152"/>
    <s v="VERONICA MARIA MACHUCA VERGARA"/>
    <n v="17335923"/>
    <s v="VERONICA MARIA MACHUCA VERGARA"/>
    <d v="2025-03-01T00:00:00"/>
    <s v="INICIAL"/>
    <n v="765666970"/>
    <n v="765666970"/>
    <n v="40903"/>
    <n v="38860"/>
    <n v="2043"/>
    <n v="0"/>
    <n v="2043"/>
    <n v="765666970"/>
    <n v="285123"/>
    <s v="CORP DE BIENESTAR DEL PERSONAL DE A F P"/>
    <d v="2025-03-03T00:00:00"/>
    <d v="2025-03-03T00:00:00"/>
    <d v="2025-03-03T00:00:00"/>
    <d v="2025-03-03T00:00:00"/>
    <s v="AMBULATORIOS"/>
    <n v="22676630"/>
    <n v="3101656"/>
    <n v="68994711"/>
    <s v="TRASSA"/>
    <n v="9032025"/>
    <n v="77868"/>
    <s v="SAL"/>
    <s v="AM04"/>
    <s v="EXAMENES DE LABORATORIO"/>
    <s v="EXAMENES DE LABORATORIO"/>
    <s v="EXAMENES DE LABORATORIO"/>
    <s v="IMED SALUD"/>
    <n v="0"/>
    <n v="96942400"/>
    <n v="2"/>
    <s v="CONSALUD"/>
    <s v="VERONICA.MACHUCA@AFPHABITAT.CL"/>
    <s v="17335923|96942400|765666970|765666970"/>
    <s v="IMED SALUD"/>
    <b v="1"/>
    <s v="APORTE VIA IMED"/>
  </r>
  <r>
    <s v="12 DE SEPTIEMBRE DE 2025"/>
    <x v="152"/>
    <s v="VERONICA MARIA MACHUCA VERGARA"/>
    <n v="17335923"/>
    <s v="VERONICA MARIA MACHUCA VERGARA"/>
    <d v="2025-03-01T00:00:00"/>
    <s v="DUPLICADO"/>
    <n v="765666970"/>
    <n v="65384414"/>
    <n v="1545"/>
    <n v="0"/>
    <n v="1545"/>
    <n v="0"/>
    <n v="1545"/>
    <n v="765666970"/>
    <n v="285123"/>
    <s v="CORP DE BIENESTAR DEL PERSONAL DE A F P"/>
    <d v="2025-03-03T00:00:00"/>
    <d v="2025-03-26T00:00:00"/>
    <d v="2025-03-03T00:00:00"/>
    <d v="2025-03-03T00:00:00"/>
    <s v="AMBULATORIOS"/>
    <n v="22772378"/>
    <n v="3311105"/>
    <n v="69251284"/>
    <s v="TRASSA"/>
    <n v="94058341"/>
    <n v="78070"/>
    <s v="SAL"/>
    <s v="AM04"/>
    <s v="EXAMENES DE LABORATORIO"/>
    <s v="EXAMENES DE LABORATORIO"/>
    <s v="EXAMENES DE LABORATORIO"/>
    <n v="0"/>
    <n v="0"/>
    <n v="96942400"/>
    <n v="2"/>
    <s v="SIN ISAPRE"/>
    <s v="VERONICA.MACHUCA@AFPHABITAT.CL"/>
    <s v="17335923|96942400|765666970|65384414"/>
    <s v="GASTO FISICO"/>
    <b v="0"/>
    <s v="DEPOSITADO EN CUENTA"/>
  </r>
  <r>
    <s v="12 DE SEPTIEMBRE DE 2025"/>
    <x v="152"/>
    <s v="VERONICA MARIA MACHUCA VERGARA"/>
    <n v="17335923"/>
    <s v="VERONICA MARIA MACHUCA VERGARA"/>
    <d v="2025-03-01T00:00:00"/>
    <s v="INICIAL"/>
    <n v="765666971"/>
    <n v="765666971"/>
    <n v="7571"/>
    <n v="7193"/>
    <n v="378"/>
    <n v="0"/>
    <n v="378"/>
    <n v="765666971"/>
    <n v="285123"/>
    <s v="CORP DE BIENESTAR DEL PERSONAL DE A F P"/>
    <d v="2025-03-03T00:00:00"/>
    <d v="2025-03-03T00:00:00"/>
    <d v="2025-03-03T00:00:00"/>
    <d v="2025-03-03T00:00:00"/>
    <s v="AMBULATORIOS"/>
    <n v="22676630"/>
    <n v="3101656"/>
    <n v="68992909"/>
    <s v="TRASSA"/>
    <n v="9032025"/>
    <n v="77868"/>
    <s v="SAL"/>
    <s v="AM04"/>
    <s v="EXAMENES DE LABORATORIO"/>
    <s v="EXAMENES DE LABORATORIO"/>
    <s v="EXAMENES DE LABORATORIO"/>
    <s v="IMED SALUD"/>
    <n v="0"/>
    <n v="96942400"/>
    <n v="2"/>
    <s v="CONSALUD"/>
    <s v="VERONICA.MACHUCA@AFPHABITAT.CL"/>
    <s v="17335923|96942400|765666971|765666971"/>
    <s v="IMED SALUD"/>
    <b v="1"/>
    <s v="APORTE VIA IMED"/>
  </r>
  <r>
    <s v="12 DE SEPTIEMBRE DE 2025"/>
    <x v="152"/>
    <s v="VERONICA MARIA MACHUCA VERGARA"/>
    <n v="17335923"/>
    <s v="VERONICA MARIA MACHUCA VERGARA"/>
    <d v="2025-03-01T00:00:00"/>
    <s v="DUPLICADO"/>
    <n v="765666971"/>
    <n v="65384415"/>
    <n v="772"/>
    <n v="0"/>
    <n v="772"/>
    <n v="0"/>
    <n v="772"/>
    <n v="765666971"/>
    <n v="285123"/>
    <s v="CORP DE BIENESTAR DEL PERSONAL DE A F P"/>
    <d v="2025-03-03T00:00:00"/>
    <d v="2025-03-26T00:00:00"/>
    <d v="2025-03-03T00:00:00"/>
    <d v="2025-03-03T00:00:00"/>
    <s v="AMBULATORIOS"/>
    <n v="22772378"/>
    <n v="3311105"/>
    <n v="69251285"/>
    <s v="TRASSA"/>
    <n v="94058341"/>
    <n v="78070"/>
    <s v="SAL"/>
    <s v="AM04"/>
    <s v="EXAMENES DE LABORATORIO"/>
    <s v="EXAMENES DE LABORATORIO"/>
    <s v="EXAMENES DE LABORATORIO"/>
    <n v="0"/>
    <n v="0"/>
    <n v="96942400"/>
    <n v="2"/>
    <s v="SIN ISAPRE"/>
    <s v="VERONICA.MACHUCA@AFPHABITAT.CL"/>
    <s v="17335923|96942400|765666971|65384415"/>
    <s v="GASTO FISICO"/>
    <b v="0"/>
    <s v="DEPOSITADO EN CUENTA"/>
  </r>
  <r>
    <s v="12 DE SEPTIEMBRE DE 2025"/>
    <x v="127"/>
    <s v="GENESIS YERAMI BLOISE RODRIGUEZ"/>
    <n v="26190532"/>
    <s v="GENESIS YERAMI BLOISE RODRIGUEZ"/>
    <d v="2025-03-01T00:00:00"/>
    <s v="INICIAL"/>
    <n v="765678991"/>
    <n v="765678991"/>
    <n v="26830"/>
    <n v="22806"/>
    <n v="4024"/>
    <n v="0"/>
    <n v="4024"/>
    <n v="765678991"/>
    <n v="285123"/>
    <s v="CORP DE BIENESTAR DEL PERSONAL DE A F P"/>
    <d v="2025-03-03T00:00:00"/>
    <d v="2025-03-03T00:00:00"/>
    <d v="2025-03-03T00:00:00"/>
    <d v="2025-03-03T00:00:00"/>
    <s v="AMBULATORIOS"/>
    <n v="22676636"/>
    <n v="3101656"/>
    <n v="68997434"/>
    <s v="TRASSA"/>
    <n v="9032025"/>
    <n v="77868"/>
    <s v="SAL"/>
    <s v="AM05"/>
    <s v="EXAMENES RADIOLOGICOS"/>
    <s v="EXAMENES RADIOLOGICOS"/>
    <s v="EXAMENES RADIOLOGICOS"/>
    <s v="IMED SALUD"/>
    <n v="0"/>
    <n v="78040520"/>
    <n v="1"/>
    <s v="CONSALUD"/>
    <s v="GENESIS.BLOISE@AFPHABITAT.CL"/>
    <s v="26190532|78040520|765678991|765678991"/>
    <s v="IMED SALUD"/>
    <b v="1"/>
    <s v="APORTE VIA IMED"/>
  </r>
  <r>
    <s v="12 DE SEPTIEMBRE DE 2025"/>
    <x v="127"/>
    <s v="GENESIS YERAMI BLOISE RODRIGUEZ"/>
    <n v="26190532"/>
    <s v="GENESIS YERAMI BLOISE RODRIGUEZ"/>
    <d v="2025-03-01T00:00:00"/>
    <s v="DUPLICADO"/>
    <n v="765678991"/>
    <n v="65384528"/>
    <n v="4256"/>
    <n v="0"/>
    <n v="4256"/>
    <n v="0"/>
    <n v="4256"/>
    <n v="765678991"/>
    <n v="285123"/>
    <s v="CORP DE BIENESTAR DEL PERSONAL DE A F P"/>
    <d v="2025-03-03T00:00:00"/>
    <d v="2025-03-26T00:00:00"/>
    <d v="2025-03-03T00:00:00"/>
    <d v="2025-03-03T00:00:00"/>
    <s v="AMBULATORIOS"/>
    <n v="22772380"/>
    <n v="3311105"/>
    <n v="69251391"/>
    <s v="TRASSA"/>
    <n v="19811327393"/>
    <n v="78070"/>
    <s v="SAL"/>
    <s v="AM05"/>
    <s v="EXAMENES RADIOLOGICOS"/>
    <s v="EXAMENES RADIOLOGICOS"/>
    <s v="EXAMENES RADIOLOGICOS"/>
    <n v="0"/>
    <n v="0"/>
    <n v="78040520"/>
    <n v="1"/>
    <s v="SIN ISAPRE"/>
    <s v="GENESIS.BLOISE@AFPHABITAT.CL"/>
    <s v="26190532|78040520|765678991|65384528"/>
    <s v="GASTO FISICO"/>
    <b v="0"/>
    <s v="DEPOSITADO EN CUENTA"/>
  </r>
  <r>
    <s v="12 DE SEPTIEMBRE DE 2025"/>
    <x v="150"/>
    <s v="CESAR RODRIGUEZ MINCHOLA"/>
    <n v="16089904"/>
    <s v="MASSIEL GOMEZ PEREZ"/>
    <d v="2025-03-01T00:00:00"/>
    <s v="INICIAL"/>
    <n v="765679642"/>
    <n v="765679642"/>
    <n v="23556"/>
    <n v="14134"/>
    <n v="9422"/>
    <n v="0"/>
    <n v="9422"/>
    <n v="765679642"/>
    <n v="285123"/>
    <s v="CORP DE BIENESTAR DEL PERSONAL DE A F P"/>
    <d v="2025-03-03T00:00:00"/>
    <d v="2025-03-03T00:00:00"/>
    <d v="2025-03-03T00:00:00"/>
    <d v="2025-03-03T00:00:00"/>
    <s v="AMBULATORIOS"/>
    <n v="22676618"/>
    <n v="3101656"/>
    <n v="68996614"/>
    <s v="TRASSA"/>
    <n v="9032025"/>
    <n v="77868"/>
    <s v="SAL"/>
    <s v="AM05"/>
    <s v="EXAMENES RADIOLOGICOS"/>
    <s v="EXAMENES RADIOLOGICOS"/>
    <s v="EXAMENES RADIOLOGICOS"/>
    <s v="IMED SALUD"/>
    <n v="0"/>
    <n v="76098454"/>
    <s v="K"/>
    <s v="CONSALUD"/>
    <s v="CESAR.RODRIGUEZ@AFPHABITAT.CL"/>
    <s v="14733348|76098454|765679642|765679642"/>
    <s v="IMED SALUD"/>
    <b v="1"/>
    <s v="APORTE VIA IMED"/>
  </r>
  <r>
    <s v="12 DE SEPTIEMBRE DE 2025"/>
    <x v="150"/>
    <s v="CESAR RODRIGUEZ MINCHOLA"/>
    <n v="16089904"/>
    <s v="MASSIEL GOMEZ PEREZ"/>
    <d v="2025-03-01T00:00:00"/>
    <s v="DUPLICADO"/>
    <n v="765679642"/>
    <n v="65384251"/>
    <n v="9286"/>
    <n v="0"/>
    <n v="9286"/>
    <n v="0"/>
    <n v="9286"/>
    <n v="765679642"/>
    <n v="285123"/>
    <s v="CORP DE BIENESTAR DEL PERSONAL DE A F P"/>
    <d v="2025-03-03T00:00:00"/>
    <d v="2025-03-26T00:00:00"/>
    <d v="2025-03-03T00:00:00"/>
    <d v="2025-03-03T00:00:00"/>
    <s v="AMBULATORIOS"/>
    <n v="22772373"/>
    <n v="3311105"/>
    <n v="69251124"/>
    <s v="TRASSA"/>
    <n v="72113446"/>
    <n v="78070"/>
    <s v="SAL"/>
    <s v="AM05"/>
    <s v="EXAMENES RADIOLOGICOS"/>
    <s v="EXAMENES RADIOLOGICOS"/>
    <s v="EXAMENES RADIOLOGICOS"/>
    <n v="0"/>
    <n v="0"/>
    <n v="76098454"/>
    <s v="K"/>
    <s v="SIN ISAPRE"/>
    <s v="CESAR.RODRIGUEZ@AFPHABITAT.CL"/>
    <s v="14733348|76098454|765679642|65384251"/>
    <s v="GASTO FISICO"/>
    <b v="0"/>
    <s v="DEPOSITADO EN CUENTA"/>
  </r>
  <r>
    <s v="12 DE SEPTIEMBRE DE 2025"/>
    <x v="148"/>
    <s v="DORIS GUZMAN WIDEMANN"/>
    <n v="9486641"/>
    <s v="DORIS GUZMAN WIDEMANN"/>
    <d v="2025-03-01T00:00:00"/>
    <s v="INICIAL"/>
    <n v="765683786"/>
    <n v="765683786"/>
    <n v="96110"/>
    <n v="86150"/>
    <n v="9960"/>
    <n v="0"/>
    <n v="9960"/>
    <n v="765683786"/>
    <n v="285123"/>
    <s v="CORP DE BIENESTAR DEL PERSONAL DE A F P"/>
    <d v="2025-03-04T00:00:00"/>
    <d v="2025-03-04T00:00:00"/>
    <d v="2025-03-04T00:00:00"/>
    <d v="2025-03-04T00:00:00"/>
    <s v="AMBULATORIOS"/>
    <n v="22676639"/>
    <n v="3101656"/>
    <n v="68997961"/>
    <s v="TRASSA"/>
    <n v="9032025"/>
    <n v="77868"/>
    <s v="SAL"/>
    <s v="AM05"/>
    <s v="EXAMENES RADIOLOGICOS"/>
    <s v="EXAMENES RADIOLOGICOS"/>
    <s v="EXAMENES RADIOLOGICOS"/>
    <s v="IMED SALUD"/>
    <n v="0"/>
    <n v="96631140"/>
    <n v="1"/>
    <s v="CONSALUD"/>
    <s v="DGUZMAN@AFPHABITAT.CL"/>
    <s v="9486641|96631140|765683786|765683786"/>
    <s v="IMED SALUD"/>
    <b v="1"/>
    <s v="APORTE VIA IMED"/>
  </r>
  <r>
    <s v="12 DE SEPTIEMBRE DE 2025"/>
    <x v="148"/>
    <s v="DORIS GUZMAN WIDEMANN"/>
    <n v="9486641"/>
    <s v="DORIS GUZMAN WIDEMANN"/>
    <d v="2025-03-01T00:00:00"/>
    <s v="DUPLICADO"/>
    <n v="765683786"/>
    <n v="65383743"/>
    <n v="9676"/>
    <n v="0"/>
    <n v="9676"/>
    <n v="0"/>
    <n v="9676"/>
    <n v="765683786"/>
    <n v="285123"/>
    <s v="CORP DE BIENESTAR DEL PERSONAL DE A F P"/>
    <d v="2025-03-04T00:00:00"/>
    <d v="2025-03-26T00:00:00"/>
    <d v="2025-03-04T00:00:00"/>
    <d v="2025-03-04T00:00:00"/>
    <s v="AMBULATORIOS"/>
    <n v="22772385"/>
    <n v="3311105"/>
    <n v="69250633"/>
    <s v="TRASSA"/>
    <n v="27656756"/>
    <n v="78070"/>
    <s v="SAL"/>
    <s v="AM05"/>
    <s v="EXAMENES RADIOLOGICOS"/>
    <s v="EXAMENES RADIOLOGICOS"/>
    <s v="EXAMENES RADIOLOGICOS"/>
    <n v="0"/>
    <n v="0"/>
    <n v="96631140"/>
    <n v="1"/>
    <s v="SIN ISAPRE"/>
    <s v="DGUZMAN@AFPHABITAT.CL"/>
    <s v="9486641|96631140|765683786|65383743"/>
    <s v="GASTO FISICO"/>
    <b v="0"/>
    <s v="DEPOSITADO EN CUENTA"/>
  </r>
  <r>
    <s v="12 DE SEPTIEMBRE DE 2025"/>
    <x v="11"/>
    <s v="RUTH MUÑOZ GUTIERREZ"/>
    <n v="17562258"/>
    <s v="RUTH MUÑOZ GUTIERREZ"/>
    <d v="2025-03-01T00:00:00"/>
    <s v="INICIAL"/>
    <n v="765695633"/>
    <n v="765695633"/>
    <n v="397782"/>
    <n v="393804"/>
    <n v="3978"/>
    <n v="0"/>
    <n v="3978"/>
    <n v="765695633"/>
    <n v="285123"/>
    <s v="CORP DE BIENESTAR DEL PERSONAL DE A F P"/>
    <d v="2025-03-04T00:00:00"/>
    <d v="2025-03-04T00:00:00"/>
    <d v="2025-03-04T00:00:00"/>
    <d v="2025-03-04T00:00:00"/>
    <s v="AMBULATORIOS"/>
    <n v="22676679"/>
    <n v="3101656"/>
    <n v="68996275"/>
    <s v="TRASSA"/>
    <n v="9032025"/>
    <n v="77868"/>
    <s v="SAL"/>
    <s v="AM05"/>
    <s v="EXAMENES RADIOLOGICOS"/>
    <s v="EXAMENES RADIOLOGICOS"/>
    <s v="EXAMENES RADIOLOGICOS"/>
    <s v="IMED SALUD"/>
    <n v="0"/>
    <n v="96942400"/>
    <n v="2"/>
    <s v="CONSALUD"/>
    <s v="RUTH.MUNOZ@AFPHABITAT.CL"/>
    <s v="17562258|96942400|765695633|765695633"/>
    <s v="IMED SALUD"/>
    <b v="1"/>
    <s v="APORTE VIA IMED"/>
  </r>
  <r>
    <s v="12 DE SEPTIEMBRE DE 2025"/>
    <x v="11"/>
    <s v="RUTH MUÑOZ GUTIERREZ"/>
    <n v="17562258"/>
    <s v="RUTH MUÑOZ GUTIERREZ"/>
    <d v="2025-03-01T00:00:00"/>
    <s v="DUPLICADO"/>
    <n v="765695633"/>
    <n v="65384422"/>
    <n v="20128"/>
    <n v="0"/>
    <n v="20128"/>
    <n v="0"/>
    <n v="20128"/>
    <n v="765695633"/>
    <n v="285123"/>
    <s v="CORP DE BIENESTAR DEL PERSONAL DE A F P"/>
    <d v="2025-03-04T00:00:00"/>
    <d v="2025-03-26T00:00:00"/>
    <d v="2025-03-04T00:00:00"/>
    <d v="2025-03-04T00:00:00"/>
    <s v="AMBULATORIOS"/>
    <n v="22772398"/>
    <n v="3311105"/>
    <n v="69251290"/>
    <s v="TRASSA"/>
    <n v="410049078"/>
    <n v="78070"/>
    <s v="SAL"/>
    <s v="AM05"/>
    <s v="EXAMENES RADIOLOGICOS"/>
    <s v="EXAMENES RADIOLOGICOS"/>
    <s v="EXAMENES RADIOLOGICOS"/>
    <n v="0"/>
    <n v="0"/>
    <n v="96942400"/>
    <n v="2"/>
    <s v="SIN ISAPRE"/>
    <s v="RUTH.MUNOZ@AFPHABITAT.CL"/>
    <s v="17562258|96942400|765695633|65384422"/>
    <s v="GASTO FISICO"/>
    <b v="0"/>
    <s v="DEPOSITADO EN CUENTA"/>
  </r>
  <r>
    <s v="12 DE SEPTIEMBRE DE 2025"/>
    <x v="135"/>
    <s v="NICOLAS SEPULVEDA GOMEZ"/>
    <n v="14453785"/>
    <s v="SOFIA UNDURRAGA FARIAS"/>
    <d v="2025-03-01T00:00:00"/>
    <s v="INICIAL"/>
    <n v="765700556"/>
    <n v="765700556"/>
    <n v="31070"/>
    <n v="24856"/>
    <n v="6214"/>
    <n v="0"/>
    <n v="6214"/>
    <n v="765700556"/>
    <n v="285123"/>
    <s v="CORP DE BIENESTAR DEL PERSONAL DE A F P"/>
    <d v="2025-03-05T00:00:00"/>
    <d v="2025-03-05T00:00:00"/>
    <d v="2025-03-05T00:00:00"/>
    <d v="2025-03-05T00:00:00"/>
    <s v="AMBULATORIOS"/>
    <n v="22676716"/>
    <n v="3101656"/>
    <n v="68996618"/>
    <s v="TRASSA"/>
    <n v="9032025"/>
    <n v="77868"/>
    <s v="SAL"/>
    <s v="AM04"/>
    <s v="EXAMENES DE LABORATORIO"/>
    <s v="EXAMENES DE LABORATORIO"/>
    <s v="EXAMENES DE LABORATORIO"/>
    <s v="IMED SALUD"/>
    <n v="0"/>
    <n v="96942400"/>
    <n v="2"/>
    <s v="CONSALUD"/>
    <s v="NICOLAS.SEPULVEDA@AFPHABITAT.CL"/>
    <s v="13281122|96942400|765700556|765700556"/>
    <s v="IMED SALUD"/>
    <b v="1"/>
    <s v="APORTE VIA IMED"/>
  </r>
  <r>
    <s v="12 DE SEPTIEMBRE DE 2025"/>
    <x v="135"/>
    <s v="NICOLAS SEPULVEDA GOMEZ"/>
    <n v="14453785"/>
    <s v="SOFIA UNDURRAGA FARIAS"/>
    <d v="2025-03-01T00:00:00"/>
    <s v="DUPLICADO"/>
    <n v="765700556"/>
    <n v="65384102"/>
    <n v="6192"/>
    <n v="0"/>
    <n v="6192"/>
    <n v="0"/>
    <n v="6192"/>
    <n v="765700556"/>
    <n v="285123"/>
    <s v="CORP DE BIENESTAR DEL PERSONAL DE A F P"/>
    <d v="2025-03-05T00:00:00"/>
    <d v="2025-03-26T00:00:00"/>
    <d v="2025-03-05T00:00:00"/>
    <d v="2025-03-05T00:00:00"/>
    <s v="AMBULATORIOS"/>
    <n v="22772412"/>
    <n v="3311105"/>
    <n v="69250987"/>
    <s v="TRASSA"/>
    <n v="210929341"/>
    <n v="78070"/>
    <s v="SAL"/>
    <s v="AM04"/>
    <s v="EXAMENES DE LABORATORIO"/>
    <s v="EXAMENES DE LABORATORIO"/>
    <s v="EXAMENES DE LABORATORIO"/>
    <n v="0"/>
    <n v="0"/>
    <n v="96942400"/>
    <n v="2"/>
    <s v="SIN ISAPRE"/>
    <s v="NICOLAS.SEPULVEDA@AFPHABITAT.CL"/>
    <s v="13281122|96942400|765700556|65384102"/>
    <s v="GASTO FISICO"/>
    <b v="0"/>
    <s v="DEPOSITADO EN CUENTA"/>
  </r>
  <r>
    <s v="12 DE SEPTIEMBRE DE 2025"/>
    <x v="135"/>
    <s v="NICOLAS SEPULVEDA GOMEZ"/>
    <n v="14453785"/>
    <s v="SOFIA UNDURRAGA FARIAS"/>
    <d v="2025-03-01T00:00:00"/>
    <s v="INICIAL"/>
    <n v="765700557"/>
    <n v="765700557"/>
    <n v="42809"/>
    <n v="25445"/>
    <n v="17364"/>
    <n v="0"/>
    <n v="17364"/>
    <n v="765700557"/>
    <n v="285123"/>
    <s v="CORP DE BIENESTAR DEL PERSONAL DE A F P"/>
    <d v="2025-03-05T00:00:00"/>
    <d v="2025-03-05T00:00:00"/>
    <d v="2025-03-05T00:00:00"/>
    <d v="2025-03-05T00:00:00"/>
    <s v="AMBULATORIOS"/>
    <n v="22676716"/>
    <n v="3101656"/>
    <n v="68995132"/>
    <s v="TRASSA"/>
    <n v="9032025"/>
    <n v="77868"/>
    <s v="SAL"/>
    <s v="AM04"/>
    <s v="EXAMENES DE LABORATORIO"/>
    <s v="EXAMENES DE LABORATORIO"/>
    <s v="EXAMENES DE LABORATORIO"/>
    <s v="IMED SALUD"/>
    <n v="0"/>
    <n v="96942400"/>
    <n v="2"/>
    <s v="CONSALUD"/>
    <s v="NICOLAS.SEPULVEDA@AFPHABITAT.CL"/>
    <s v="13281122|96942400|765700557|765700557"/>
    <s v="IMED SALUD"/>
    <b v="1"/>
    <s v="APORTE VIA IMED"/>
  </r>
  <r>
    <s v="12 DE SEPTIEMBRE DE 2025"/>
    <x v="135"/>
    <s v="NICOLAS SEPULVEDA GOMEZ"/>
    <n v="14453785"/>
    <s v="SOFIA UNDURRAGA FARIAS"/>
    <d v="2025-03-01T00:00:00"/>
    <s v="DUPLICADO"/>
    <n v="765700557"/>
    <n v="65384103"/>
    <n v="16650"/>
    <n v="0"/>
    <n v="16650"/>
    <n v="0"/>
    <n v="16650"/>
    <n v="765700557"/>
    <n v="285123"/>
    <s v="CORP DE BIENESTAR DEL PERSONAL DE A F P"/>
    <d v="2025-03-05T00:00:00"/>
    <d v="2025-03-26T00:00:00"/>
    <d v="2025-03-05T00:00:00"/>
    <d v="2025-03-05T00:00:00"/>
    <s v="AMBULATORIOS"/>
    <n v="22772412"/>
    <n v="3311105"/>
    <n v="69250988"/>
    <s v="TRASSA"/>
    <n v="210929341"/>
    <n v="78070"/>
    <s v="SAL"/>
    <s v="AM04"/>
    <s v="EXAMENES DE LABORATORIO"/>
    <s v="EXAMENES DE LABORATORIO"/>
    <s v="EXAMENES DE LABORATORIO"/>
    <n v="0"/>
    <n v="0"/>
    <n v="96942400"/>
    <n v="2"/>
    <s v="SIN ISAPRE"/>
    <s v="NICOLAS.SEPULVEDA@AFPHABITAT.CL"/>
    <s v="13281122|96942400|765700557|65384103"/>
    <s v="GASTO FISICO"/>
    <b v="0"/>
    <s v="DEPOSITADO EN CUENTA"/>
  </r>
  <r>
    <s v="12 DE SEPTIEMBRE DE 2025"/>
    <x v="135"/>
    <s v="NICOLAS SEPULVEDA GOMEZ"/>
    <n v="14453785"/>
    <s v="SOFIA UNDURRAGA FARIAS"/>
    <d v="2025-03-01T00:00:00"/>
    <s v="INICIAL"/>
    <n v="765700723"/>
    <n v="765700723"/>
    <n v="23232"/>
    <n v="18586"/>
    <n v="4646"/>
    <n v="0"/>
    <n v="4646"/>
    <n v="765700723"/>
    <n v="285123"/>
    <s v="CORP DE BIENESTAR DEL PERSONAL DE A F P"/>
    <d v="2025-03-05T00:00:00"/>
    <d v="2025-03-05T00:00:00"/>
    <d v="2025-03-05T00:00:00"/>
    <d v="2025-03-05T00:00:00"/>
    <s v="AMBULATORIOS"/>
    <n v="22676716"/>
    <n v="3101656"/>
    <n v="68997816"/>
    <s v="TRASSA"/>
    <n v="9032025"/>
    <n v="77868"/>
    <s v="SAL"/>
    <s v="AM05"/>
    <s v="EXAMENES RADIOLOGICOS"/>
    <s v="EXAMENES RADIOLOGICOS"/>
    <s v="EXAMENES RADIOLOGICOS"/>
    <s v="IMED SALUD"/>
    <n v="0"/>
    <n v="96942400"/>
    <n v="2"/>
    <s v="CONSALUD"/>
    <s v="NICOLAS.SEPULVEDA@AFPHABITAT.CL"/>
    <s v="13281122|96942400|765700723|765700723"/>
    <s v="IMED SALUD"/>
    <b v="1"/>
    <s v="APORTE VIA IMED"/>
  </r>
  <r>
    <s v="12 DE SEPTIEMBRE DE 2025"/>
    <x v="135"/>
    <s v="NICOLAS SEPULVEDA GOMEZ"/>
    <n v="14453785"/>
    <s v="SOFIA UNDURRAGA FARIAS"/>
    <d v="2025-03-01T00:00:00"/>
    <s v="DUPLICADO"/>
    <n v="765700723"/>
    <n v="65384104"/>
    <n v="4646"/>
    <n v="0"/>
    <n v="4646"/>
    <n v="0"/>
    <n v="4646"/>
    <n v="765700723"/>
    <n v="285123"/>
    <s v="CORP DE BIENESTAR DEL PERSONAL DE A F P"/>
    <d v="2025-03-05T00:00:00"/>
    <d v="2025-03-26T00:00:00"/>
    <d v="2025-03-05T00:00:00"/>
    <d v="2025-03-05T00:00:00"/>
    <s v="AMBULATORIOS"/>
    <n v="22772412"/>
    <n v="3311105"/>
    <n v="69250989"/>
    <s v="TRASSA"/>
    <n v="210929341"/>
    <n v="78070"/>
    <s v="SAL"/>
    <s v="AM05"/>
    <s v="EXAMENES RADIOLOGICOS"/>
    <s v="EXAMENES RADIOLOGICOS"/>
    <s v="EXAMENES RADIOLOGICOS"/>
    <n v="0"/>
    <n v="0"/>
    <n v="96942400"/>
    <n v="2"/>
    <s v="SIN ISAPRE"/>
    <s v="NICOLAS.SEPULVEDA@AFPHABITAT.CL"/>
    <s v="13281122|96942400|765700723|65384104"/>
    <s v="GASTO FISICO"/>
    <b v="0"/>
    <s v="DEPOSITADO EN CUENTA"/>
  </r>
  <r>
    <s v="12 DE SEPTIEMBRE DE 2025"/>
    <x v="135"/>
    <s v="NICOLAS SEPULVEDA GOMEZ"/>
    <n v="14453785"/>
    <s v="SOFIA UNDURRAGA FARIAS"/>
    <d v="2025-03-01T00:00:00"/>
    <s v="INICIAL"/>
    <n v="765702524"/>
    <n v="765702524"/>
    <n v="33129"/>
    <n v="26503"/>
    <n v="6626"/>
    <n v="0"/>
    <n v="6626"/>
    <n v="765702524"/>
    <n v="285123"/>
    <s v="CORP DE BIENESTAR DEL PERSONAL DE A F P"/>
    <d v="2025-03-05T00:00:00"/>
    <d v="2025-03-05T00:00:00"/>
    <d v="2025-03-05T00:00:00"/>
    <d v="2025-03-05T00:00:00"/>
    <s v="AMBULATORIOS"/>
    <n v="22676716"/>
    <n v="3101656"/>
    <n v="68993492"/>
    <s v="TRASSA"/>
    <n v="9032025"/>
    <n v="77868"/>
    <s v="SAL"/>
    <s v="AM05"/>
    <s v="EXAMENES RADIOLOGICOS"/>
    <s v="EXAMENES RADIOLOGICOS"/>
    <s v="EXAMENES RADIOLOGICOS"/>
    <s v="IMED SALUD"/>
    <n v="0"/>
    <n v="96942400"/>
    <n v="2"/>
    <s v="CONSALUD"/>
    <s v="NICOLAS.SEPULVEDA@AFPHABITAT.CL"/>
    <s v="13281122|96942400|765702524|765702524"/>
    <s v="IMED SALUD"/>
    <b v="1"/>
    <s v="APORTE VIA IMED"/>
  </r>
  <r>
    <s v="12 DE SEPTIEMBRE DE 2025"/>
    <x v="135"/>
    <s v="NICOLAS SEPULVEDA GOMEZ"/>
    <n v="14453785"/>
    <s v="SOFIA UNDURRAGA FARIAS"/>
    <d v="2025-03-01T00:00:00"/>
    <s v="DUPLICADO"/>
    <n v="765702524"/>
    <n v="65384105"/>
    <n v="6582"/>
    <n v="0"/>
    <n v="6582"/>
    <n v="0"/>
    <n v="6582"/>
    <n v="765702524"/>
    <n v="285123"/>
    <s v="CORP DE BIENESTAR DEL PERSONAL DE A F P"/>
    <d v="2025-03-05T00:00:00"/>
    <d v="2025-03-26T00:00:00"/>
    <d v="2025-03-05T00:00:00"/>
    <d v="2025-03-05T00:00:00"/>
    <s v="AMBULATORIOS"/>
    <n v="22772412"/>
    <n v="3311105"/>
    <n v="69250990"/>
    <s v="TRASSA"/>
    <n v="210929341"/>
    <n v="78070"/>
    <s v="SAL"/>
    <s v="AM05"/>
    <s v="EXAMENES RADIOLOGICOS"/>
    <s v="EXAMENES RADIOLOGICOS"/>
    <s v="EXAMENES RADIOLOGICOS"/>
    <n v="0"/>
    <n v="0"/>
    <n v="96942400"/>
    <n v="2"/>
    <s v="SIN ISAPRE"/>
    <s v="NICOLAS.SEPULVEDA@AFPHABITAT.CL"/>
    <s v="13281122|96942400|765702524|65384105"/>
    <s v="GASTO FISICO"/>
    <b v="0"/>
    <s v="DEPOSITADO EN CUENTA"/>
  </r>
  <r>
    <s v="12 DE SEPTIEMBRE DE 2025"/>
    <x v="135"/>
    <s v="NICOLAS SEPULVEDA GOMEZ"/>
    <n v="14453785"/>
    <s v="SOFIA UNDURRAGA FARIAS"/>
    <d v="2025-03-01T00:00:00"/>
    <s v="INICIAL"/>
    <n v="765702557"/>
    <n v="765702557"/>
    <n v="23556"/>
    <n v="18845"/>
    <n v="4711"/>
    <n v="0"/>
    <n v="4711"/>
    <n v="765702557"/>
    <n v="285123"/>
    <s v="CORP DE BIENESTAR DEL PERSONAL DE A F P"/>
    <d v="2025-03-05T00:00:00"/>
    <d v="2025-03-05T00:00:00"/>
    <d v="2025-03-05T00:00:00"/>
    <d v="2025-03-05T00:00:00"/>
    <s v="AMBULATORIOS"/>
    <n v="22676716"/>
    <n v="3101656"/>
    <n v="68996672"/>
    <s v="TRASSA"/>
    <n v="9032025"/>
    <n v="77868"/>
    <s v="SAL"/>
    <s v="AM05"/>
    <s v="EXAMENES RADIOLOGICOS"/>
    <s v="EXAMENES RADIOLOGICOS"/>
    <s v="EXAMENES RADIOLOGICOS"/>
    <s v="IMED SALUD"/>
    <n v="0"/>
    <n v="96942400"/>
    <n v="2"/>
    <s v="CONSALUD"/>
    <s v="NICOLAS.SEPULVEDA@AFPHABITAT.CL"/>
    <s v="13281122|96942400|765702557|765702557"/>
    <s v="IMED SALUD"/>
    <b v="1"/>
    <s v="APORTE VIA IMED"/>
  </r>
  <r>
    <s v="12 DE SEPTIEMBRE DE 2025"/>
    <x v="135"/>
    <s v="NICOLAS SEPULVEDA GOMEZ"/>
    <n v="14453785"/>
    <s v="SOFIA UNDURRAGA FARIAS"/>
    <d v="2025-03-01T00:00:00"/>
    <s v="DUPLICADO"/>
    <n v="765702557"/>
    <n v="65384106"/>
    <n v="4646"/>
    <n v="0"/>
    <n v="4646"/>
    <n v="0"/>
    <n v="4646"/>
    <n v="765702557"/>
    <n v="285123"/>
    <s v="CORP DE BIENESTAR DEL PERSONAL DE A F P"/>
    <d v="2025-03-05T00:00:00"/>
    <d v="2025-03-26T00:00:00"/>
    <d v="2025-03-05T00:00:00"/>
    <d v="2025-03-05T00:00:00"/>
    <s v="AMBULATORIOS"/>
    <n v="22772412"/>
    <n v="3311105"/>
    <n v="69250991"/>
    <s v="TRASSA"/>
    <n v="210929341"/>
    <n v="78070"/>
    <s v="SAL"/>
    <s v="AM05"/>
    <s v="EXAMENES RADIOLOGICOS"/>
    <s v="EXAMENES RADIOLOGICOS"/>
    <s v="EXAMENES RADIOLOGICOS"/>
    <n v="0"/>
    <n v="0"/>
    <n v="96942400"/>
    <n v="2"/>
    <s v="SIN ISAPRE"/>
    <s v="NICOLAS.SEPULVEDA@AFPHABITAT.CL"/>
    <s v="13281122|96942400|765702557|65384106"/>
    <s v="GASTO FISICO"/>
    <b v="0"/>
    <s v="DEPOSITADO EN CUENTA"/>
  </r>
  <r>
    <s v="12 DE SEPTIEMBRE DE 2025"/>
    <x v="153"/>
    <s v="FELIPE GUILLER DEL CAMPO ROJAS"/>
    <n v="14119217"/>
    <s v="FELIPE GUILLER DEL CAMPO ROJAS"/>
    <d v="2025-03-01T00:00:00"/>
    <s v="INICIAL"/>
    <n v="765740255"/>
    <n v="765740255"/>
    <n v="62868"/>
    <n v="44008"/>
    <n v="18860"/>
    <n v="0"/>
    <n v="18860"/>
    <n v="765740255"/>
    <n v="285123"/>
    <s v="CORP DE BIENESTAR DEL PERSONAL DE A F P"/>
    <d v="2025-03-07T00:00:00"/>
    <d v="2025-03-07T00:00:00"/>
    <d v="2025-03-07T00:00:00"/>
    <d v="2025-03-07T00:00:00"/>
    <s v="AMBULATORIOS"/>
    <n v="22676832"/>
    <n v="3101656"/>
    <n v="68997128"/>
    <s v="TRASSA"/>
    <n v="9032025"/>
    <n v="77868"/>
    <s v="SAL"/>
    <s v="AM04"/>
    <s v="EXAMENES DE LABORATORIO"/>
    <s v="EXAMENES DE LABORATORIO"/>
    <s v="EXAMENES DE LABORATORIO"/>
    <s v="IMED SALUD"/>
    <n v="0"/>
    <n v="78040520"/>
    <n v="1"/>
    <s v="CONSALUD"/>
    <s v="FDELCAMP@AFPHABITAT.CL"/>
    <s v="14119217|78040520|765740255|765740255"/>
    <s v="IMED SALUD"/>
    <b v="1"/>
    <s v="APORTE VIA IMED"/>
  </r>
  <r>
    <s v="12 DE SEPTIEMBRE DE 2025"/>
    <x v="153"/>
    <s v="FELIPE GUILLER DEL CAMPO ROJAS"/>
    <n v="14119217"/>
    <s v="FELIPE GUILLER DEL CAMPO ROJAS"/>
    <d v="2025-03-01T00:00:00"/>
    <s v="DUPLICADO"/>
    <n v="765740255"/>
    <n v="65384206"/>
    <n v="18989"/>
    <n v="0"/>
    <n v="18989"/>
    <n v="0"/>
    <n v="18989"/>
    <n v="765740255"/>
    <n v="285123"/>
    <s v="CORP DE BIENESTAR DEL PERSONAL DE A F P"/>
    <d v="2025-03-07T00:00:00"/>
    <d v="2025-03-26T00:00:00"/>
    <d v="2025-03-07T00:00:00"/>
    <d v="2025-03-07T00:00:00"/>
    <s v="AMBULATORIOS"/>
    <n v="22772452"/>
    <n v="3311105"/>
    <n v="69251081"/>
    <s v="TRASSA"/>
    <n v="970436262"/>
    <n v="78070"/>
    <s v="SAL"/>
    <s v="AM04"/>
    <s v="EXAMENES DE LABORATORIO"/>
    <s v="EXAMENES DE LABORATORIO"/>
    <s v="EXAMENES DE LABORATORIO"/>
    <n v="0"/>
    <n v="0"/>
    <n v="78040520"/>
    <n v="1"/>
    <s v="SIN ISAPRE"/>
    <s v="FDELCAMP@AFPHABITAT.CL"/>
    <s v="14119217|78040520|765740255|65384206"/>
    <s v="GASTO FISICO"/>
    <b v="0"/>
    <s v="DEPOSITADO EN CUENTA"/>
  </r>
  <r>
    <s v="12 DE SEPTIEMBRE DE 2025"/>
    <x v="139"/>
    <s v="JUDITH CUBILLOS BAHAMONDES"/>
    <n v="11166332"/>
    <s v="JUDITH CUBILLOS BAHAMONDES"/>
    <d v="2025-03-01T00:00:00"/>
    <s v="INICIAL"/>
    <n v="765752520"/>
    <n v="765752520"/>
    <n v="17250"/>
    <n v="14663"/>
    <n v="2587"/>
    <n v="0"/>
    <n v="2587"/>
    <n v="765752520"/>
    <n v="285123"/>
    <s v="CORP DE BIENESTAR DEL PERSONAL DE A F P"/>
    <d v="2025-03-09T00:00:00"/>
    <d v="2025-03-09T00:00:00"/>
    <d v="2025-03-09T00:00:00"/>
    <d v="2025-03-09T00:00:00"/>
    <s v="AMBULATORIOS"/>
    <n v="22703053"/>
    <n v="3181006"/>
    <n v="69051525"/>
    <s v="TRASSA"/>
    <n v="16032025"/>
    <n v="77922"/>
    <s v="SAL"/>
    <s v="AM07"/>
    <s v="PROCEDIMIENTOS TERAPEUTICOS"/>
    <s v="PROCEDIMIENTOS TERAPEUTICOS"/>
    <s v="PROCEDIMIENTOS TERAPEUTICOS"/>
    <s v="IMED SALUD"/>
    <n v="0"/>
    <n v="76754097"/>
    <n v="3"/>
    <s v="CONSALUD"/>
    <s v="JCUBILLO@AFPHABITAT.CL"/>
    <s v="11166332|76754097|765752520|765752520"/>
    <s v="IMED SALUD"/>
    <b v="1"/>
    <s v="APORTE VIA IMED"/>
  </r>
  <r>
    <s v="12 DE SEPTIEMBRE DE 2025"/>
    <x v="139"/>
    <s v="JUDITH CUBILLOS BAHAMONDES"/>
    <n v="11166332"/>
    <s v="JUDITH CUBILLOS BAHAMONDES"/>
    <d v="2025-03-01T00:00:00"/>
    <s v="DUPLICADO"/>
    <n v="765752520"/>
    <n v="65383916"/>
    <n v="2327"/>
    <n v="0"/>
    <n v="2327"/>
    <n v="0"/>
    <n v="2327"/>
    <n v="765752520"/>
    <n v="285123"/>
    <s v="CORP DE BIENESTAR DEL PERSONAL DE A F P"/>
    <d v="2025-03-09T00:00:00"/>
    <d v="2025-03-26T00:00:00"/>
    <d v="2025-03-09T00:00:00"/>
    <d v="2025-03-09T00:00:00"/>
    <s v="AMBULATORIOS"/>
    <n v="22772466"/>
    <n v="3311105"/>
    <n v="69250805"/>
    <s v="TRASSA"/>
    <n v="67296303"/>
    <n v="78070"/>
    <s v="SAL"/>
    <s v="AM07"/>
    <s v="PROCEDIMIENTOS TERAPEUTICOS"/>
    <s v="PROCEDIMIENTOS TERAPEUTICOS"/>
    <s v="PROCEDIMIENTOS TERAPEUTICOS"/>
    <n v="0"/>
    <n v="0"/>
    <n v="76754097"/>
    <n v="3"/>
    <s v="SIN ISAPRE"/>
    <s v="JCUBILLO@AFPHABITAT.CL"/>
    <s v="11166332|76754097|765752520|65383916"/>
    <s v="GASTO FISICO"/>
    <b v="0"/>
    <s v="DEPOSITADO EN CUENTA"/>
  </r>
  <r>
    <s v="12 DE SEPTIEMBRE DE 2025"/>
    <x v="154"/>
    <s v="MARCIA GERALDINE DIAZ BONILLA"/>
    <n v="15543105"/>
    <s v="MARCIA GERALDINE DIAZ BONILLA"/>
    <d v="2025-01-01T00:00:00"/>
    <s v="INICIAL"/>
    <n v="915289335"/>
    <n v="915289335"/>
    <n v="16430"/>
    <n v="5140"/>
    <n v="11290"/>
    <n v="0"/>
    <n v="11290"/>
    <n v="915289335"/>
    <n v="285123"/>
    <s v="CORP DE BIENESTAR DEL PERSONAL DE A F P"/>
    <d v="2025-01-03T00:00:00"/>
    <d v="2025-01-03T00:00:00"/>
    <d v="2025-01-03T00:00:00"/>
    <d v="2025-01-03T00:00:00"/>
    <s v="AMBULATORIOS"/>
    <n v="22473682"/>
    <n v="1061637"/>
    <n v="68611532"/>
    <s v="TRASSA"/>
    <n v="5012025"/>
    <n v="77320"/>
    <s v="SAL"/>
    <s v="AM04"/>
    <s v="EXAMENES DE LABORATORIO"/>
    <s v="EXAMENES DE LABORATORIO"/>
    <s v="EXAMENES DE LABORATORIO"/>
    <s v="IMED SALUD"/>
    <n v="0"/>
    <n v="96942400"/>
    <n v="2"/>
    <s v="FONASA"/>
    <s v="MDIAZB@AFPHABITAT.CL"/>
    <s v="15543105|96942400|915289335|915289335"/>
    <s v="IMED SALUD"/>
    <b v="1"/>
    <s v="APORTE VIA IMED"/>
  </r>
  <r>
    <s v="12 DE SEPTIEMBRE DE 2025"/>
    <x v="154"/>
    <s v="MARCIA GERALDINE DIAZ BONILLA"/>
    <n v="15543105"/>
    <s v="MARCIA GERALDINE DIAZ BONILLA"/>
    <d v="2025-03-01T00:00:00"/>
    <s v="DUPLICADO"/>
    <n v="915289335"/>
    <n v="65384315"/>
    <n v="9988"/>
    <n v="0"/>
    <n v="9988"/>
    <n v="0"/>
    <n v="9988"/>
    <n v="915289335"/>
    <n v="285123"/>
    <s v="CORP DE BIENESTAR DEL PERSONAL DE A F P"/>
    <d v="2025-03-01T00:00:00"/>
    <d v="2025-03-26T00:00:00"/>
    <d v="2025-01-03T00:00:00"/>
    <d v="2025-01-03T00:00:00"/>
    <s v="AMBULATORIOS"/>
    <n v="22770283"/>
    <n v="3311105"/>
    <n v="69251198"/>
    <s v="TRASSA"/>
    <n v="987634170"/>
    <n v="78070"/>
    <s v="SAL"/>
    <s v="AM04"/>
    <s v="EXAMENES DE LABORATORIO"/>
    <s v="EXAMENES DE LABORATORIO"/>
    <s v="EXAMENES DE LABORATORIO"/>
    <n v="0"/>
    <n v="0"/>
    <n v="96942400"/>
    <n v="2"/>
    <s v="SIN ISAPRE"/>
    <s v="MDIAZB@AFPHABITAT.CL"/>
    <s v="15543105|96942400|915289335|65384315"/>
    <s v="GASTO FISICO"/>
    <b v="0"/>
    <s v="DEPOSITADO EN CUENTA"/>
  </r>
  <r>
    <s v="12 DE SEPTIEMBRE DE 2025"/>
    <x v="155"/>
    <s v="SOLANGE ANDREA QUIROZ CAMPOS"/>
    <n v="17884354"/>
    <s v="SOLANGE ANDREA QUIROZ CAMPOS"/>
    <d v="2025-01-01T00:00:00"/>
    <s v="INICIAL"/>
    <n v="915341596"/>
    <n v="915341596"/>
    <n v="23230"/>
    <n v="7260"/>
    <n v="15970"/>
    <n v="0"/>
    <n v="15970"/>
    <n v="915341596"/>
    <n v="285123"/>
    <s v="CORP DE BIENESTAR DEL PERSONAL DE A F P"/>
    <d v="2025-01-03T00:00:00"/>
    <d v="2025-01-03T00:00:00"/>
    <d v="2025-01-03T00:00:00"/>
    <d v="2025-01-03T00:00:00"/>
    <s v="AMBULATORIOS"/>
    <n v="22473693"/>
    <n v="1061637"/>
    <n v="68611840"/>
    <s v="TRASSA"/>
    <n v="5012025"/>
    <n v="77320"/>
    <s v="SAL"/>
    <s v="AM05"/>
    <s v="EXAMENES RADIOLOGICOS"/>
    <s v="EXAMENES RADIOLOGICOS"/>
    <s v="EXAMENES RADIOLOGICOS"/>
    <s v="IMED SALUD"/>
    <n v="0"/>
    <n v="77591970"/>
    <n v="1"/>
    <s v="FONASA"/>
    <s v="SOLANGE.QUIROZ@AFPHABITAT.CL"/>
    <s v="17884354|77591970|915341596|915341596"/>
    <s v="IMED SALUD"/>
    <b v="1"/>
    <s v="APORTE VIA IMED"/>
  </r>
  <r>
    <s v="12 DE SEPTIEMBRE DE 2025"/>
    <x v="155"/>
    <s v="SOLANGE ANDREA QUIROZ CAMPOS"/>
    <n v="17884354"/>
    <s v="SOLANGE ANDREA QUIROZ CAMPOS"/>
    <d v="2025-03-01T00:00:00"/>
    <s v="DUPLICADO"/>
    <n v="915341596"/>
    <n v="65384445"/>
    <n v="13832"/>
    <n v="0"/>
    <n v="13832"/>
    <n v="0"/>
    <n v="13832"/>
    <n v="915341596"/>
    <n v="285123"/>
    <s v="CORP DE BIENESTAR DEL PERSONAL DE A F P"/>
    <d v="2025-03-01T00:00:00"/>
    <d v="2025-03-26T00:00:00"/>
    <d v="2025-01-03T00:00:00"/>
    <d v="2025-01-03T00:00:00"/>
    <s v="AMBULATORIOS"/>
    <n v="22770286"/>
    <n v="3311105"/>
    <n v="69251313"/>
    <s v="TRASSA"/>
    <n v="17884354"/>
    <n v="78070"/>
    <s v="SAL"/>
    <s v="AM05"/>
    <s v="EXAMENES RADIOLOGICOS"/>
    <s v="EXAMENES RADIOLOGICOS"/>
    <s v="EXAMENES RADIOLOGICOS"/>
    <n v="0"/>
    <n v="0"/>
    <n v="77591970"/>
    <n v="1"/>
    <s v="SIN ISAPRE"/>
    <s v="SOLANGE.QUIROZ@AFPHABITAT.CL"/>
    <s v="17884354|77591970|915341596|65384445"/>
    <s v="GASTO FISICO"/>
    <b v="0"/>
    <s v="DEPOSITADO EN CUENTA"/>
  </r>
  <r>
    <s v="12 DE SEPTIEMBRE DE 2025"/>
    <x v="156"/>
    <s v="JORGE MADRID ORTIZ"/>
    <n v="8330037"/>
    <s v="JORGE MADRID ORTIZ"/>
    <d v="2025-01-01T00:00:00"/>
    <s v="INICIAL"/>
    <n v="915355249"/>
    <n v="915355249"/>
    <n v="359330"/>
    <n v="323398"/>
    <n v="35932"/>
    <n v="0"/>
    <n v="35932"/>
    <n v="915355249"/>
    <n v="285123"/>
    <s v="CORP DE BIENESTAR DEL PERSONAL DE A F P"/>
    <d v="2025-01-03T00:00:00"/>
    <d v="2025-01-03T00:00:00"/>
    <d v="2025-01-03T00:00:00"/>
    <d v="2025-01-03T00:00:00"/>
    <s v="AMBULATORIOS"/>
    <n v="22473650"/>
    <n v="1061637"/>
    <n v="68611912"/>
    <s v="TRASSA"/>
    <n v="5012025"/>
    <n v="77320"/>
    <s v="SAL"/>
    <s v="AM05"/>
    <s v="EXAMENES RADIOLOGICOS"/>
    <s v="EXAMENES RADIOLOGICOS"/>
    <s v="EXAMENES RADIOLOGICOS"/>
    <s v="IMED SALUD"/>
    <n v="0"/>
    <n v="76098454"/>
    <s v="K"/>
    <s v="FONASA"/>
    <s v="JMADRID@AFPHABITAT.CL"/>
    <s v="8330037|76098454|915355249|915355249"/>
    <s v="IMED SALUD"/>
    <b v="1"/>
    <s v="APORTE VIA IMED"/>
  </r>
  <r>
    <s v="12 DE SEPTIEMBRE DE 2025"/>
    <x v="156"/>
    <s v="JORGE MADRID ORTIZ"/>
    <n v="8330037"/>
    <s v="JORGE MADRID ORTIZ"/>
    <d v="2025-03-01T00:00:00"/>
    <s v="DUPLICADO"/>
    <n v="915355249"/>
    <n v="65383647"/>
    <n v="36118"/>
    <n v="0"/>
    <n v="36118"/>
    <n v="0"/>
    <n v="36118"/>
    <n v="915355249"/>
    <n v="285123"/>
    <s v="CORP DE BIENESTAR DEL PERSONAL DE A F P"/>
    <d v="2025-03-01T00:00:00"/>
    <d v="2025-03-26T00:00:00"/>
    <d v="2025-01-03T00:00:00"/>
    <d v="2025-01-03T00:00:00"/>
    <s v="AMBULATORIOS"/>
    <n v="22770278"/>
    <n v="3311105"/>
    <n v="69250538"/>
    <s v="TRASSA"/>
    <n v="21874964"/>
    <n v="78070"/>
    <s v="SAL"/>
    <s v="AM05"/>
    <s v="EXAMENES RADIOLOGICOS"/>
    <s v="EXAMENES RADIOLOGICOS"/>
    <s v="EXAMENES RADIOLOGICOS"/>
    <n v="0"/>
    <n v="0"/>
    <n v="76098454"/>
    <s v="K"/>
    <s v="SIN ISAPRE"/>
    <s v="JMADRID@AFPHABITAT.CL"/>
    <s v="8330037|76098454|915355249|65383647"/>
    <s v="GASTO FISICO"/>
    <b v="0"/>
    <s v="DEPOSITADO EN CUENTA"/>
  </r>
  <r>
    <s v="12 DE SEPTIEMBRE DE 2025"/>
    <x v="157"/>
    <s v="RICARDO ANTONIO SEPULVEDA ARAYA"/>
    <n v="10179673"/>
    <s v="RICARDO ANTONIO SEPULVEDA ARAYA"/>
    <d v="2025-03-01T00:00:00"/>
    <s v="DUPLICADO"/>
    <n v="915393055"/>
    <n v="65383807"/>
    <n v="13448"/>
    <n v="0"/>
    <n v="13448"/>
    <n v="0"/>
    <n v="13448"/>
    <n v="915393055"/>
    <n v="285123"/>
    <s v="CORP DE BIENESTAR DEL PERSONAL DE A F P"/>
    <d v="2025-03-01T00:00:00"/>
    <d v="2025-03-26T00:00:00"/>
    <d v="2025-01-03T00:00:00"/>
    <d v="2025-01-03T00:00:00"/>
    <s v="AMBULATORIOS"/>
    <n v="22770280"/>
    <n v="3311105"/>
    <n v="69250696"/>
    <s v="TRASSA"/>
    <n v="989650955"/>
    <n v="78070"/>
    <s v="SAL"/>
    <s v="AM05"/>
    <s v="EXAMENES RADIOLOGICOS"/>
    <s v="EXAMENES RADIOLOGICOS"/>
    <s v="EXAMENES RADIOLOGICOS"/>
    <n v="0"/>
    <n v="0"/>
    <n v="76098454"/>
    <s v="K"/>
    <s v="SIN ISAPRE"/>
    <s v="RICARDO.SEPULVEDA@AFPHABITAT.CL"/>
    <s v="10179673|76098454|915393055|65383807"/>
    <s v="GASTO FISICO"/>
    <b v="0"/>
    <s v="DEPOSITADO EN CUENTA"/>
  </r>
  <r>
    <s v="12 DE SEPTIEMBRE DE 2025"/>
    <x v="158"/>
    <s v="ANTONIO ALFREDO OSORIO DIAZ"/>
    <n v="15583792"/>
    <s v="ANTONIO ALFREDO OSORIO DIAZ"/>
    <d v="2025-01-01T00:00:00"/>
    <s v="INICIAL"/>
    <n v="915412522"/>
    <n v="915412522"/>
    <n v="30720"/>
    <n v="9610"/>
    <n v="21110"/>
    <n v="0"/>
    <n v="21110"/>
    <n v="915412522"/>
    <n v="285123"/>
    <s v="CORP DE BIENESTAR DEL PERSONAL DE A F P"/>
    <d v="2025-01-04T00:00:00"/>
    <d v="2025-01-04T00:00:00"/>
    <d v="2025-01-04T00:00:00"/>
    <d v="2025-01-04T00:00:00"/>
    <s v="AMBULATORIOS"/>
    <n v="22462205"/>
    <n v="1131703"/>
    <n v="68648596"/>
    <s v="TRASSA"/>
    <n v="12012025"/>
    <n v="77298"/>
    <s v="SAL"/>
    <s v="AM04"/>
    <s v="EXAMENES DE LABORATORIO"/>
    <s v="EXAMENES DE LABORATORIO"/>
    <s v="EXAMENES DE LABORATORIO"/>
    <s v="IMED SALUD"/>
    <n v="0"/>
    <n v="96986050"/>
    <n v="3"/>
    <s v="FONASA"/>
    <s v="AOSORIOD@AFPHABITAT.CL"/>
    <s v="15583792|96986050|915412522|915412522"/>
    <s v="IMED SALUD"/>
    <b v="1"/>
    <s v="APORTE VIA IMED"/>
  </r>
  <r>
    <s v="12 DE SEPTIEMBRE DE 2025"/>
    <x v="158"/>
    <s v="ANTONIO ALFREDO OSORIO DIAZ"/>
    <n v="15583792"/>
    <s v="ANTONIO ALFREDO OSORIO DIAZ"/>
    <d v="2025-03-01T00:00:00"/>
    <s v="DUPLICADO"/>
    <n v="915412522"/>
    <n v="65384325"/>
    <n v="18827"/>
    <n v="0"/>
    <n v="18827"/>
    <n v="0"/>
    <n v="18827"/>
    <n v="915412522"/>
    <n v="285123"/>
    <s v="CORP DE BIENESTAR DEL PERSONAL DE A F P"/>
    <d v="2025-03-01T00:00:00"/>
    <d v="2025-03-26T00:00:00"/>
    <d v="2025-01-04T00:00:00"/>
    <d v="2025-01-04T00:00:00"/>
    <s v="AMBULATORIOS"/>
    <n v="22770287"/>
    <n v="3311105"/>
    <n v="69251208"/>
    <s v="TRASSA"/>
    <n v="89828348"/>
    <n v="78070"/>
    <s v="SAL"/>
    <s v="AM04"/>
    <s v="EXAMENES DE LABORATORIO"/>
    <s v="EXAMENES DE LABORATORIO"/>
    <s v="EXAMENES DE LABORATORIO"/>
    <n v="0"/>
    <n v="0"/>
    <n v="96986050"/>
    <n v="3"/>
    <s v="SIN ISAPRE"/>
    <s v="AOSORIOD@AFPHABITAT.CL"/>
    <s v="15583792|96986050|915412522|65384325"/>
    <s v="GASTO FISICO"/>
    <b v="0"/>
    <s v="DEPOSITADO EN CUENTA"/>
  </r>
  <r>
    <s v="12 DE SEPTIEMBRE DE 2025"/>
    <x v="158"/>
    <s v="ANTONIO ALFREDO OSORIO DIAZ"/>
    <n v="15583792"/>
    <s v="ANTONIO ALFREDO OSORIO DIAZ"/>
    <d v="2025-01-01T00:00:00"/>
    <s v="INICIAL"/>
    <n v="915412523"/>
    <n v="915412523"/>
    <n v="42980"/>
    <n v="13440"/>
    <n v="29540"/>
    <n v="0"/>
    <n v="29540"/>
    <n v="915412523"/>
    <n v="285123"/>
    <s v="CORP DE BIENESTAR DEL PERSONAL DE A F P"/>
    <d v="2025-01-04T00:00:00"/>
    <d v="2025-01-04T00:00:00"/>
    <d v="2025-01-04T00:00:00"/>
    <d v="2025-01-04T00:00:00"/>
    <s v="AMBULATORIOS"/>
    <n v="22462205"/>
    <n v="1131703"/>
    <n v="68648595"/>
    <s v="TRASSA"/>
    <n v="12012025"/>
    <n v="77298"/>
    <s v="SAL"/>
    <s v="AM04"/>
    <s v="EXAMENES DE LABORATORIO"/>
    <s v="EXAMENES DE LABORATORIO"/>
    <s v="EXAMENES DE LABORATORIO"/>
    <s v="IMED SALUD"/>
    <n v="0"/>
    <n v="96986050"/>
    <n v="3"/>
    <s v="FONASA"/>
    <s v="AOSORIOD@AFPHABITAT.CL"/>
    <s v="15583792|96986050|915412523|915412523"/>
    <s v="IMED SALUD"/>
    <b v="1"/>
    <s v="APORTE VIA IMED"/>
  </r>
  <r>
    <s v="12 DE SEPTIEMBRE DE 2025"/>
    <x v="158"/>
    <s v="ANTONIO ALFREDO OSORIO DIAZ"/>
    <n v="15583792"/>
    <s v="ANTONIO ALFREDO OSORIO DIAZ"/>
    <d v="2025-03-01T00:00:00"/>
    <s v="DUPLICADO"/>
    <n v="915412523"/>
    <n v="65384326"/>
    <n v="25359"/>
    <n v="0"/>
    <n v="25359"/>
    <n v="0"/>
    <n v="25359"/>
    <n v="915412523"/>
    <n v="285123"/>
    <s v="CORP DE BIENESTAR DEL PERSONAL DE A F P"/>
    <d v="2025-03-01T00:00:00"/>
    <d v="2025-03-26T00:00:00"/>
    <d v="2025-01-04T00:00:00"/>
    <d v="2025-01-04T00:00:00"/>
    <s v="AMBULATORIOS"/>
    <n v="22770287"/>
    <n v="3311105"/>
    <n v="69251209"/>
    <s v="TRASSA"/>
    <n v="89828348"/>
    <n v="78070"/>
    <s v="SAL"/>
    <s v="AM04"/>
    <s v="EXAMENES DE LABORATORIO"/>
    <s v="EXAMENES DE LABORATORIO"/>
    <s v="EXAMENES DE LABORATORIO"/>
    <n v="0"/>
    <n v="0"/>
    <n v="96986050"/>
    <n v="3"/>
    <s v="SIN ISAPRE"/>
    <s v="AOSORIOD@AFPHABITAT.CL"/>
    <s v="15583792|96986050|915412523|65384326"/>
    <s v="GASTO FISICO"/>
    <b v="0"/>
    <s v="DEPOSITADO EN CUENTA"/>
  </r>
  <r>
    <s v="12 DE SEPTIEMBRE DE 2025"/>
    <x v="158"/>
    <s v="ANTONIO ALFREDO OSORIO DIAZ"/>
    <n v="15583792"/>
    <s v="ANTONIO ALFREDO OSORIO DIAZ"/>
    <d v="2025-01-01T00:00:00"/>
    <s v="INICIAL"/>
    <n v="915412524"/>
    <n v="915412524"/>
    <n v="31540"/>
    <n v="11878"/>
    <n v="19662"/>
    <n v="0"/>
    <n v="19662"/>
    <n v="915412524"/>
    <n v="285123"/>
    <s v="CORP DE BIENESTAR DEL PERSONAL DE A F P"/>
    <d v="2025-01-04T00:00:00"/>
    <d v="2025-01-04T00:00:00"/>
    <d v="2025-01-04T00:00:00"/>
    <d v="2025-01-04T00:00:00"/>
    <s v="AMBULATORIOS"/>
    <n v="22462205"/>
    <n v="1131703"/>
    <n v="68648594"/>
    <s v="TRASSA"/>
    <n v="12012025"/>
    <n v="77298"/>
    <s v="SAL"/>
    <s v="AM04"/>
    <s v="EXAMENES DE LABORATORIO"/>
    <s v="EXAMENES DE LABORATORIO"/>
    <s v="EXAMENES DE LABORATORIO"/>
    <s v="IMED SALUD"/>
    <n v="0"/>
    <n v="96986050"/>
    <n v="3"/>
    <s v="FONASA"/>
    <s v="AOSORIOD@AFPHABITAT.CL"/>
    <s v="15583792|96986050|915412524|915412524"/>
    <s v="IMED SALUD"/>
    <b v="1"/>
    <s v="APORTE VIA IMED"/>
  </r>
  <r>
    <s v="12 DE SEPTIEMBRE DE 2025"/>
    <x v="158"/>
    <s v="ANTONIO ALFREDO OSORIO DIAZ"/>
    <n v="15583792"/>
    <s v="ANTONIO ALFREDO OSORIO DIAZ"/>
    <d v="2025-03-01T00:00:00"/>
    <s v="DUPLICADO"/>
    <n v="915412524"/>
    <n v="65384327"/>
    <n v="16137"/>
    <n v="0"/>
    <n v="16137"/>
    <n v="0"/>
    <n v="16137"/>
    <n v="915412524"/>
    <n v="285123"/>
    <s v="CORP DE BIENESTAR DEL PERSONAL DE A F P"/>
    <d v="2025-03-01T00:00:00"/>
    <d v="2025-03-26T00:00:00"/>
    <d v="2025-01-04T00:00:00"/>
    <d v="2025-01-04T00:00:00"/>
    <s v="AMBULATORIOS"/>
    <n v="22770287"/>
    <n v="3311105"/>
    <n v="69251210"/>
    <s v="TRASSA"/>
    <n v="89828348"/>
    <n v="78070"/>
    <s v="SAL"/>
    <s v="AM04"/>
    <s v="EXAMENES DE LABORATORIO"/>
    <s v="EXAMENES DE LABORATORIO"/>
    <s v="EXAMENES DE LABORATORIO"/>
    <n v="0"/>
    <n v="0"/>
    <n v="96986050"/>
    <n v="3"/>
    <s v="SIN ISAPRE"/>
    <s v="AOSORIOD@AFPHABITAT.CL"/>
    <s v="15583792|96986050|915412524|65384327"/>
    <s v="GASTO FISICO"/>
    <b v="0"/>
    <s v="DEPOSITADO EN CUENTA"/>
  </r>
  <r>
    <s v="12 DE SEPTIEMBRE DE 2025"/>
    <x v="159"/>
    <s v="ROCIO POZO ANTONIN"/>
    <n v="15549922"/>
    <s v="ROCIO POZO ANTONIN"/>
    <d v="2025-01-01T00:00:00"/>
    <s v="INICIAL"/>
    <n v="915488785"/>
    <n v="915488785"/>
    <n v="203070"/>
    <n v="125185"/>
    <n v="77885"/>
    <n v="0"/>
    <n v="77885"/>
    <n v="915488785"/>
    <n v="285123"/>
    <s v="CORP DE BIENESTAR DEL PERSONAL DE A F P"/>
    <d v="2025-01-06T00:00:00"/>
    <d v="2025-01-06T00:00:00"/>
    <d v="2025-01-06T00:00:00"/>
    <d v="2025-01-06T00:00:00"/>
    <s v="AMBULATORIOS"/>
    <n v="22462221"/>
    <n v="1131703"/>
    <n v="68649102"/>
    <s v="TRASSA"/>
    <n v="12012025"/>
    <n v="77298"/>
    <s v="SAL"/>
    <s v="AM05"/>
    <s v="EXAMENES RADIOLOGICOS"/>
    <s v="EXAMENES RADIOLOGICOS"/>
    <s v="EXAMENES RADIOLOGICOS"/>
    <s v="IMED SALUD"/>
    <n v="0"/>
    <n v="96942400"/>
    <n v="2"/>
    <s v="FONASA"/>
    <s v="ROCIO.POZO@AFPHABITAT.CL"/>
    <s v="15549922|96942400|915488785|915488785"/>
    <s v="IMED SALUD"/>
    <b v="1"/>
    <s v="APORTE VIA IMED"/>
  </r>
  <r>
    <s v="12 DE SEPTIEMBRE DE 2025"/>
    <x v="159"/>
    <s v="ROCIO POZO ANTONIN"/>
    <n v="15549922"/>
    <s v="ROCIO POZO ANTONIN"/>
    <d v="2025-03-01T00:00:00"/>
    <s v="DUPLICADO"/>
    <n v="915488785"/>
    <n v="65384321"/>
    <n v="78016"/>
    <n v="0"/>
    <n v="78016"/>
    <n v="0"/>
    <n v="78016"/>
    <n v="915488785"/>
    <n v="285123"/>
    <s v="CORP DE BIENESTAR DEL PERSONAL DE A F P"/>
    <d v="2025-03-01T00:00:00"/>
    <d v="2025-03-26T00:00:00"/>
    <d v="2025-01-06T00:00:00"/>
    <d v="2025-01-06T00:00:00"/>
    <s v="AMBULATORIOS"/>
    <n v="22770297"/>
    <n v="3311105"/>
    <n v="69251204"/>
    <s v="TRASSA"/>
    <n v="76696217"/>
    <n v="78070"/>
    <s v="SAL"/>
    <s v="AM05"/>
    <s v="EXAMENES RADIOLOGICOS"/>
    <s v="EXAMENES RADIOLOGICOS"/>
    <s v="EXAMENES RADIOLOGICOS"/>
    <n v="0"/>
    <n v="0"/>
    <n v="96942400"/>
    <n v="2"/>
    <s v="SIN ISAPRE"/>
    <s v="ROCIO.POZO@AFPHABITAT.CL"/>
    <s v="15549922|96942400|915488785|65384321"/>
    <s v="GASTO FISICO"/>
    <b v="0"/>
    <s v="DEPOSITADO EN CUENTA"/>
  </r>
  <r>
    <s v="12 DE SEPTIEMBRE DE 2025"/>
    <x v="160"/>
    <s v="PAULA PACHECO BARRAZA"/>
    <n v="9304885"/>
    <s v="PAULA PACHECO BARRAZA"/>
    <d v="2025-01-01T00:00:00"/>
    <s v="INICIAL"/>
    <n v="915674184"/>
    <n v="915674184"/>
    <n v="41600"/>
    <n v="13000"/>
    <n v="28600"/>
    <n v="0"/>
    <n v="28600"/>
    <n v="915674184"/>
    <n v="285123"/>
    <s v="CORP DE BIENESTAR DEL PERSONAL DE A F P"/>
    <d v="2025-01-07T00:00:00"/>
    <d v="2025-01-07T00:00:00"/>
    <d v="2025-01-07T00:00:00"/>
    <d v="2025-01-07T00:00:00"/>
    <s v="AMBULATORIOS"/>
    <n v="22462230"/>
    <n v="1131703"/>
    <n v="68650031"/>
    <s v="TRASSA"/>
    <n v="12012025"/>
    <n v="77298"/>
    <s v="SAL"/>
    <s v="AM05"/>
    <s v="EXAMENES RADIOLOGICOS"/>
    <s v="EXAMENES RADIOLOGICOS"/>
    <s v="EXAMENES RADIOLOGICOS"/>
    <s v="IMED SALUD"/>
    <n v="0"/>
    <n v="77061480"/>
    <n v="5"/>
    <s v="FONASA"/>
    <s v="PPACHECB@AFPHABITAT.CL"/>
    <s v="9304885|77061480|915674184|915674184"/>
    <s v="IMED SALUD"/>
    <b v="1"/>
    <s v="APORTE VIA IMED"/>
  </r>
  <r>
    <s v="12 DE SEPTIEMBRE DE 2025"/>
    <x v="160"/>
    <s v="PAULA PACHECO BARRAZA"/>
    <n v="9304885"/>
    <s v="PAULA PACHECO BARRAZA"/>
    <d v="2025-03-01T00:00:00"/>
    <s v="DUPLICADO"/>
    <n v="915674184"/>
    <n v="65383719"/>
    <n v="24597"/>
    <n v="0"/>
    <n v="24597"/>
    <n v="0"/>
    <n v="24597"/>
    <n v="915674184"/>
    <n v="285123"/>
    <s v="CORP DE BIENESTAR DEL PERSONAL DE A F P"/>
    <d v="2025-03-01T00:00:00"/>
    <d v="2025-03-26T00:00:00"/>
    <d v="2025-01-07T00:00:00"/>
    <d v="2025-01-07T00:00:00"/>
    <s v="AMBULATORIOS"/>
    <n v="22770301"/>
    <n v="3311105"/>
    <n v="69250610"/>
    <s v="TRASSA"/>
    <n v="9304885"/>
    <n v="78070"/>
    <s v="SAL"/>
    <s v="AM05"/>
    <s v="EXAMENES RADIOLOGICOS"/>
    <s v="EXAMENES RADIOLOGICOS"/>
    <s v="EXAMENES RADIOLOGICOS"/>
    <n v="0"/>
    <n v="0"/>
    <n v="77061480"/>
    <n v="5"/>
    <s v="SIN ISAPRE"/>
    <s v="PPACHECB@AFPHABITAT.CL"/>
    <s v="9304885|77061480|915674184|65383719"/>
    <s v="GASTO FISICO"/>
    <b v="0"/>
    <s v="DEPOSITADO EN CUENTA"/>
  </r>
  <r>
    <s v="12 DE SEPTIEMBRE DE 2025"/>
    <x v="161"/>
    <s v="NICOLETTE LEEANE MENESES SANTELICES"/>
    <n v="23345188"/>
    <s v="IGNACIO MORAN MENESES"/>
    <d v="2025-01-01T00:00:00"/>
    <s v="INICIAL"/>
    <n v="915732160"/>
    <n v="915732160"/>
    <n v="76250"/>
    <n v="23850"/>
    <n v="52400"/>
    <n v="0"/>
    <n v="52400"/>
    <n v="915732160"/>
    <n v="285123"/>
    <s v="CORP DE BIENESTAR DEL PERSONAL DE A F P"/>
    <d v="2025-01-07T00:00:00"/>
    <d v="2025-01-07T00:00:00"/>
    <d v="2025-01-07T00:00:00"/>
    <d v="2025-01-07T00:00:00"/>
    <s v="AMBULATORIOS"/>
    <n v="22462249"/>
    <n v="1131703"/>
    <n v="68650290"/>
    <s v="TRASSA"/>
    <n v="12012025"/>
    <n v="77298"/>
    <s v="SAL"/>
    <s v="AM05"/>
    <s v="EXAMENES RADIOLOGICOS"/>
    <s v="EXAMENES RADIOLOGICOS"/>
    <s v="EXAMENES RADIOLOGICOS"/>
    <s v="IMED SALUD"/>
    <n v="0"/>
    <n v="88081300"/>
    <n v="5"/>
    <s v="FONASA"/>
    <s v="NICOLETTE.MENESES@AFPHABITAT.CL"/>
    <s v="17585933|88081300|915732160|915732160"/>
    <s v="IMED SALUD"/>
    <b v="1"/>
    <s v="APORTE VIA IMED"/>
  </r>
  <r>
    <s v="12 DE SEPTIEMBRE DE 2025"/>
    <x v="161"/>
    <s v="NICOLETTE LEEANE MENESES SANTELICES"/>
    <n v="23345188"/>
    <s v="IGNACIO MORAN MENESES"/>
    <d v="2025-03-01T00:00:00"/>
    <s v="DUPLICADO"/>
    <n v="915732160"/>
    <n v="65384426"/>
    <n v="45351"/>
    <n v="0"/>
    <n v="45351"/>
    <n v="0"/>
    <n v="45351"/>
    <n v="915732160"/>
    <n v="285123"/>
    <s v="CORP DE BIENESTAR DEL PERSONAL DE A F P"/>
    <d v="2025-03-01T00:00:00"/>
    <d v="2025-03-26T00:00:00"/>
    <d v="2025-01-07T00:00:00"/>
    <d v="2025-01-07T00:00:00"/>
    <s v="AMBULATORIOS"/>
    <n v="22770308"/>
    <n v="3311105"/>
    <n v="69251294"/>
    <s v="TRASSA"/>
    <n v="10013857200"/>
    <n v="78070"/>
    <s v="SAL"/>
    <s v="AM05"/>
    <s v="EXAMENES RADIOLOGICOS"/>
    <s v="EXAMENES RADIOLOGICOS"/>
    <s v="EXAMENES RADIOLOGICOS"/>
    <n v="0"/>
    <n v="0"/>
    <n v="88081300"/>
    <n v="5"/>
    <s v="SIN ISAPRE"/>
    <s v="NICOLETTE.MENESES@AFPHABITAT.CL"/>
    <s v="17585933|88081300|915732160|65384426"/>
    <s v="GASTO FISICO"/>
    <b v="0"/>
    <s v="DEPOSITADO EN CUENTA"/>
  </r>
  <r>
    <s v="12 DE SEPTIEMBRE DE 2025"/>
    <x v="2"/>
    <s v="DANIELA ANDREA MENDEZ CASTILLO"/>
    <n v="17729073"/>
    <s v="DANIELA ANDREA MENDEZ CASTILLO"/>
    <d v="2025-01-01T00:00:00"/>
    <s v="INICIAL"/>
    <n v="915768794"/>
    <n v="915768794"/>
    <n v="9680"/>
    <n v="4028"/>
    <n v="5652"/>
    <n v="0"/>
    <n v="5652"/>
    <n v="915768794"/>
    <n v="285123"/>
    <s v="CORP DE BIENESTAR DEL PERSONAL DE A F P"/>
    <d v="2025-01-07T00:00:00"/>
    <d v="2025-01-07T00:00:00"/>
    <d v="2025-01-07T00:00:00"/>
    <d v="2025-01-07T00:00:00"/>
    <s v="AMBULATORIOS"/>
    <n v="22462250"/>
    <n v="1131703"/>
    <n v="68650472"/>
    <s v="TRASSA"/>
    <n v="12012025"/>
    <n v="77298"/>
    <s v="SAL"/>
    <s v="AM04"/>
    <s v="EXAMENES DE LABORATORIO"/>
    <s v="EXAMENES DE LABORATORIO"/>
    <s v="EXAMENES DE LABORATORIO"/>
    <s v="IMED SALUD"/>
    <n v="0"/>
    <n v="96802800"/>
    <n v="6"/>
    <s v="FONASA"/>
    <s v="DANIELA.MENDEZ@AFPHABITAT.CL"/>
    <s v="17729073|96802800|915768794|915768794"/>
    <s v="IMED SALUD"/>
    <b v="1"/>
    <s v="APORTE VIA IMED"/>
  </r>
  <r>
    <s v="12 DE SEPTIEMBRE DE 2025"/>
    <x v="2"/>
    <s v="DANIELA ANDREA MENDEZ CASTILLO"/>
    <n v="17729073"/>
    <s v="DANIELA ANDREA MENDEZ CASTILLO"/>
    <d v="2025-03-01T00:00:00"/>
    <s v="DUPLICADO"/>
    <n v="915768794"/>
    <n v="65384428"/>
    <n v="5764"/>
    <n v="0"/>
    <n v="5764"/>
    <n v="0"/>
    <n v="5764"/>
    <n v="915768794"/>
    <n v="285123"/>
    <s v="CORP DE BIENESTAR DEL PERSONAL DE A F P"/>
    <d v="2025-03-01T00:00:00"/>
    <d v="2025-03-26T00:00:00"/>
    <d v="2025-01-07T00:00:00"/>
    <d v="2025-01-07T00:00:00"/>
    <s v="AMBULATORIOS"/>
    <n v="22770309"/>
    <n v="3311105"/>
    <n v="69251296"/>
    <s v="TRASSA"/>
    <n v="4012349701"/>
    <n v="78070"/>
    <s v="SAL"/>
    <s v="AM04"/>
    <s v="EXAMENES DE LABORATORIO"/>
    <s v="EXAMENES DE LABORATORIO"/>
    <s v="EXAMENES DE LABORATORIO"/>
    <n v="0"/>
    <n v="0"/>
    <n v="96802800"/>
    <n v="6"/>
    <s v="SIN ISAPRE"/>
    <s v="DANIELA.MENDEZ@AFPHABITAT.CL"/>
    <s v="17729073|96802800|915768794|65384428"/>
    <s v="GASTO FISICO"/>
    <b v="0"/>
    <s v="DEPOSITADO EN CUENTA"/>
  </r>
  <r>
    <s v="12 DE SEPTIEMBRE DE 2025"/>
    <x v="157"/>
    <s v="RICARDO ANTONIO SEPULVEDA ARAYA"/>
    <n v="10179673"/>
    <s v="RICARDO ANTONIO SEPULVEDA ARAYA"/>
    <d v="2025-01-01T00:00:00"/>
    <s v="INICIAL"/>
    <n v="915769803"/>
    <n v="915769803"/>
    <n v="23120"/>
    <n v="7230"/>
    <n v="15890"/>
    <n v="0"/>
    <n v="15890"/>
    <n v="915769803"/>
    <n v="285123"/>
    <s v="CORP DE BIENESTAR DEL PERSONAL DE A F P"/>
    <d v="2025-01-07T00:00:00"/>
    <d v="2025-01-07T00:00:00"/>
    <d v="2025-01-07T00:00:00"/>
    <d v="2025-01-07T00:00:00"/>
    <s v="AMBULATORIOS"/>
    <n v="22462233"/>
    <n v="1131703"/>
    <n v="68650480"/>
    <s v="TRASSA"/>
    <n v="12012025"/>
    <n v="77298"/>
    <s v="SAL"/>
    <s v="AM05"/>
    <s v="EXAMENES RADIOLOGICOS"/>
    <s v="EXAMENES RADIOLOGICOS"/>
    <s v="EXAMENES RADIOLOGICOS"/>
    <s v="IMED SALUD"/>
    <n v="0"/>
    <n v="76098454"/>
    <s v="K"/>
    <s v="FONASA"/>
    <s v="RICARDO.SEPULVEDA@AFPHABITAT.CL"/>
    <s v="10179673|76098454|915769803|915769803"/>
    <s v="IMED SALUD"/>
    <b v="1"/>
    <s v="APORTE VIA IMED"/>
  </r>
  <r>
    <s v="12 DE SEPTIEMBRE DE 2025"/>
    <x v="157"/>
    <s v="RICARDO ANTONIO SEPULVEDA ARAYA"/>
    <n v="10179673"/>
    <s v="RICARDO ANTONIO SEPULVEDA ARAYA"/>
    <d v="2025-03-01T00:00:00"/>
    <s v="DUPLICADO"/>
    <n v="915769803"/>
    <n v="65383808"/>
    <n v="13451"/>
    <n v="0"/>
    <n v="13451"/>
    <n v="0"/>
    <n v="13451"/>
    <n v="915769803"/>
    <n v="285123"/>
    <s v="CORP DE BIENESTAR DEL PERSONAL DE A F P"/>
    <d v="2025-03-01T00:00:00"/>
    <d v="2025-03-26T00:00:00"/>
    <d v="2025-01-07T00:00:00"/>
    <d v="2025-01-07T00:00:00"/>
    <s v="AMBULATORIOS"/>
    <n v="22770303"/>
    <n v="3311105"/>
    <n v="69250697"/>
    <s v="TRASSA"/>
    <n v="989650955"/>
    <n v="78070"/>
    <s v="SAL"/>
    <s v="AM05"/>
    <s v="EXAMENES RADIOLOGICOS"/>
    <s v="EXAMENES RADIOLOGICOS"/>
    <s v="EXAMENES RADIOLOGICOS"/>
    <n v="0"/>
    <n v="0"/>
    <n v="76098454"/>
    <s v="K"/>
    <s v="SIN ISAPRE"/>
    <s v="RICARDO.SEPULVEDA@AFPHABITAT.CL"/>
    <s v="10179673|76098454|915769803|65383808"/>
    <s v="GASTO FISICO"/>
    <b v="0"/>
    <s v="DEPOSITADO EN CUENTA"/>
  </r>
  <r>
    <s v="12 DE SEPTIEMBRE DE 2025"/>
    <x v="162"/>
    <s v="KARINA ANGEL VALDEBENITO CORTES"/>
    <n v="13071799"/>
    <s v="KARINA ANGEL VALDEBENITO CORTES"/>
    <d v="2025-01-01T00:00:00"/>
    <s v="INICIAL"/>
    <n v="915786111"/>
    <n v="915786111"/>
    <n v="24570"/>
    <n v="7680"/>
    <n v="16890"/>
    <n v="0"/>
    <n v="16890"/>
    <n v="915786111"/>
    <n v="285123"/>
    <s v="CORP DE BIENESTAR DEL PERSONAL DE A F P"/>
    <d v="2025-01-08T00:00:00"/>
    <d v="2025-01-08T00:00:00"/>
    <d v="2025-01-08T00:00:00"/>
    <d v="2025-01-08T00:00:00"/>
    <s v="AMBULATORIOS"/>
    <n v="22462261"/>
    <n v="1131703"/>
    <n v="68650621"/>
    <s v="TRASSA"/>
    <n v="12012025"/>
    <n v="77298"/>
    <s v="SAL"/>
    <s v="AM04"/>
    <s v="EXAMENES DE LABORATORIO"/>
    <s v="EXAMENES DE LABORATORIO"/>
    <s v="EXAMENES DE LABORATORIO"/>
    <s v="IMED SALUD"/>
    <n v="0"/>
    <n v="96942400"/>
    <n v="2"/>
    <s v="FONASA"/>
    <s v="KVALDEBE@AFPHABITAT.CL"/>
    <s v="13071799|96942400|915786111|915786111"/>
    <s v="IMED SALUD"/>
    <b v="1"/>
    <s v="APORTE VIA IMED"/>
  </r>
  <r>
    <s v="12 DE SEPTIEMBRE DE 2025"/>
    <x v="162"/>
    <s v="KARINA ANGEL VALDEBENITO CORTES"/>
    <n v="13071799"/>
    <s v="KARINA ANGEL VALDEBENITO CORTES"/>
    <d v="2025-03-01T00:00:00"/>
    <s v="DUPLICADO"/>
    <n v="915786111"/>
    <n v="65384067"/>
    <n v="15757"/>
    <n v="0"/>
    <n v="15757"/>
    <n v="0"/>
    <n v="15757"/>
    <n v="915786111"/>
    <n v="285123"/>
    <s v="CORP DE BIENESTAR DEL PERSONAL DE A F P"/>
    <d v="2025-03-01T00:00:00"/>
    <d v="2025-03-26T00:00:00"/>
    <d v="2025-01-08T00:00:00"/>
    <d v="2025-01-08T00:00:00"/>
    <s v="AMBULATORIOS"/>
    <n v="22770315"/>
    <n v="3311105"/>
    <n v="69250955"/>
    <s v="TRASSA"/>
    <n v="55130002921"/>
    <n v="78070"/>
    <s v="SAL"/>
    <s v="AM04"/>
    <s v="EXAMENES DE LABORATORIO"/>
    <s v="EXAMENES DE LABORATORIO"/>
    <s v="EXAMENES DE LABORATORIO"/>
    <n v="0"/>
    <n v="0"/>
    <n v="96942400"/>
    <n v="2"/>
    <s v="SIN ISAPRE"/>
    <s v="KVALDEBE@AFPHABITAT.CL"/>
    <s v="13071799|96942400|915786111|65384067"/>
    <s v="GASTO FISICO"/>
    <b v="0"/>
    <s v="DEPOSITADO EN CUENTA"/>
  </r>
  <r>
    <s v="12 DE SEPTIEMBRE DE 2025"/>
    <x v="162"/>
    <s v="KARINA ANGEL VALDEBENITO CORTES"/>
    <n v="13071799"/>
    <s v="KARINA ANGEL VALDEBENITO CORTES"/>
    <d v="2025-01-01T00:00:00"/>
    <s v="INICIAL"/>
    <n v="915786112"/>
    <n v="915786112"/>
    <n v="17020"/>
    <n v="5340"/>
    <n v="11680"/>
    <n v="0"/>
    <n v="11680"/>
    <n v="915786112"/>
    <n v="285123"/>
    <s v="CORP DE BIENESTAR DEL PERSONAL DE A F P"/>
    <d v="2025-01-08T00:00:00"/>
    <d v="2025-01-08T00:00:00"/>
    <d v="2025-01-08T00:00:00"/>
    <d v="2025-01-08T00:00:00"/>
    <s v="AMBULATORIOS"/>
    <n v="22462261"/>
    <n v="1131703"/>
    <n v="68650620"/>
    <s v="TRASSA"/>
    <n v="12012025"/>
    <n v="77298"/>
    <s v="SAL"/>
    <s v="AM04"/>
    <s v="EXAMENES DE LABORATORIO"/>
    <s v="EXAMENES DE LABORATORIO"/>
    <s v="EXAMENES DE LABORATORIO"/>
    <s v="IMED SALUD"/>
    <n v="0"/>
    <n v="96942400"/>
    <n v="2"/>
    <s v="FONASA"/>
    <s v="KVALDEBE@AFPHABITAT.CL"/>
    <s v="13071799|96942400|915786112|915786112"/>
    <s v="IMED SALUD"/>
    <b v="1"/>
    <s v="APORTE VIA IMED"/>
  </r>
  <r>
    <s v="12 DE SEPTIEMBRE DE 2025"/>
    <x v="162"/>
    <s v="KARINA ANGEL VALDEBENITO CORTES"/>
    <n v="13071799"/>
    <s v="KARINA ANGEL VALDEBENITO CORTES"/>
    <d v="2025-03-01T00:00:00"/>
    <s v="DUPLICADO"/>
    <n v="915786112"/>
    <n v="65384068"/>
    <n v="9608"/>
    <n v="0"/>
    <n v="9608"/>
    <n v="0"/>
    <n v="9608"/>
    <n v="915786112"/>
    <n v="285123"/>
    <s v="CORP DE BIENESTAR DEL PERSONAL DE A F P"/>
    <d v="2025-03-01T00:00:00"/>
    <d v="2025-03-26T00:00:00"/>
    <d v="2025-01-08T00:00:00"/>
    <d v="2025-01-08T00:00:00"/>
    <s v="AMBULATORIOS"/>
    <n v="22770315"/>
    <n v="3311105"/>
    <n v="69250956"/>
    <s v="TRASSA"/>
    <n v="55130002921"/>
    <n v="78070"/>
    <s v="SAL"/>
    <s v="AM04"/>
    <s v="EXAMENES DE LABORATORIO"/>
    <s v="EXAMENES DE LABORATORIO"/>
    <s v="EXAMENES DE LABORATORIO"/>
    <n v="0"/>
    <n v="0"/>
    <n v="96942400"/>
    <n v="2"/>
    <s v="SIN ISAPRE"/>
    <s v="KVALDEBE@AFPHABITAT.CL"/>
    <s v="13071799|96942400|915786112|65384068"/>
    <s v="GASTO FISICO"/>
    <b v="0"/>
    <s v="DEPOSITADO EN CUENTA"/>
  </r>
  <r>
    <s v="12 DE SEPTIEMBRE DE 2025"/>
    <x v="162"/>
    <s v="KARINA ANGEL VALDEBENITO CORTES"/>
    <n v="13071799"/>
    <s v="KARINA ANGEL VALDEBENITO CORTES"/>
    <d v="2025-01-01T00:00:00"/>
    <s v="INICIAL"/>
    <n v="915786113"/>
    <n v="915786113"/>
    <n v="35070"/>
    <n v="10970"/>
    <n v="24100"/>
    <n v="0"/>
    <n v="24100"/>
    <n v="915786113"/>
    <n v="285123"/>
    <s v="CORP DE BIENESTAR DEL PERSONAL DE A F P"/>
    <d v="2025-01-08T00:00:00"/>
    <d v="2025-01-08T00:00:00"/>
    <d v="2025-01-08T00:00:00"/>
    <d v="2025-01-08T00:00:00"/>
    <s v="AMBULATORIOS"/>
    <n v="22462261"/>
    <n v="1131703"/>
    <n v="68650619"/>
    <s v="TRASSA"/>
    <n v="12012025"/>
    <n v="77298"/>
    <s v="SAL"/>
    <s v="AM04"/>
    <s v="EXAMENES DE LABORATORIO"/>
    <s v="EXAMENES DE LABORATORIO"/>
    <s v="EXAMENES DE LABORATORIO"/>
    <s v="IMED SALUD"/>
    <n v="0"/>
    <n v="96942400"/>
    <n v="2"/>
    <s v="FONASA"/>
    <s v="KVALDEBE@AFPHABITAT.CL"/>
    <s v="13071799|96942400|915786113|915786113"/>
    <s v="IMED SALUD"/>
    <b v="1"/>
    <s v="APORTE VIA IMED"/>
  </r>
  <r>
    <s v="12 DE SEPTIEMBRE DE 2025"/>
    <x v="162"/>
    <s v="KARINA ANGEL VALDEBENITO CORTES"/>
    <n v="13071799"/>
    <s v="KARINA ANGEL VALDEBENITO CORTES"/>
    <d v="2025-03-01T00:00:00"/>
    <s v="DUPLICADO"/>
    <n v="915786113"/>
    <n v="65384069"/>
    <n v="20754"/>
    <n v="0"/>
    <n v="20754"/>
    <n v="0"/>
    <n v="20754"/>
    <n v="915786113"/>
    <n v="285123"/>
    <s v="CORP DE BIENESTAR DEL PERSONAL DE A F P"/>
    <d v="2025-03-01T00:00:00"/>
    <d v="2025-03-26T00:00:00"/>
    <d v="2025-01-08T00:00:00"/>
    <d v="2025-01-08T00:00:00"/>
    <s v="AMBULATORIOS"/>
    <n v="22770315"/>
    <n v="3311105"/>
    <n v="69250957"/>
    <s v="TRASSA"/>
    <n v="55130002921"/>
    <n v="78070"/>
    <s v="SAL"/>
    <s v="AM04"/>
    <s v="EXAMENES DE LABORATORIO"/>
    <s v="EXAMENES DE LABORATORIO"/>
    <s v="EXAMENES DE LABORATORIO"/>
    <n v="0"/>
    <n v="0"/>
    <n v="96942400"/>
    <n v="2"/>
    <s v="SIN ISAPRE"/>
    <s v="KVALDEBE@AFPHABITAT.CL"/>
    <s v="13071799|96942400|915786113|65384069"/>
    <s v="GASTO FISICO"/>
    <b v="0"/>
    <s v="DEPOSITADO EN CUENTA"/>
  </r>
  <r>
    <s v="12 DE SEPTIEMBRE DE 2025"/>
    <x v="161"/>
    <s v="NICOLETTE LEEANE MENESES SANTELICES"/>
    <n v="17585933"/>
    <s v="NICOLETTE LEEANE MENESES SANTELICES"/>
    <d v="2025-01-01T00:00:00"/>
    <s v="INICIAL"/>
    <n v="915807719"/>
    <n v="915807719"/>
    <n v="37740"/>
    <n v="11800"/>
    <n v="25940"/>
    <n v="0"/>
    <n v="25940"/>
    <n v="915807719"/>
    <n v="285123"/>
    <s v="CORP DE BIENESTAR DEL PERSONAL DE A F P"/>
    <d v="2025-01-08T00:00:00"/>
    <d v="2025-01-08T00:00:00"/>
    <d v="2025-01-08T00:00:00"/>
    <d v="2025-01-08T00:00:00"/>
    <s v="AMBULATORIOS"/>
    <n v="22462268"/>
    <n v="1131703"/>
    <n v="68650743"/>
    <s v="TRASSA"/>
    <n v="12012025"/>
    <n v="77298"/>
    <s v="SAL"/>
    <s v="AM04"/>
    <s v="EXAMENES DE LABORATORIO"/>
    <s v="EXAMENES DE LABORATORIO"/>
    <s v="EXAMENES DE LABORATORIO"/>
    <s v="IMED SALUD"/>
    <n v="0"/>
    <n v="79749170"/>
    <n v="5"/>
    <s v="FONASA"/>
    <s v="NICOLETTE.MENESES@AFPHABITAT.CL"/>
    <s v="17585933|79749170|915807719|915807719"/>
    <s v="IMED SALUD"/>
    <b v="1"/>
    <s v="APORTE VIA IMED"/>
  </r>
  <r>
    <s v="12 DE SEPTIEMBRE DE 2025"/>
    <x v="161"/>
    <s v="NICOLETTE LEEANE MENESES SANTELICES"/>
    <n v="17585933"/>
    <s v="NICOLETTE LEEANE MENESES SANTELICES"/>
    <d v="2025-03-01T00:00:00"/>
    <s v="DUPLICADO"/>
    <n v="915807719"/>
    <n v="65384423"/>
    <n v="22675"/>
    <n v="0"/>
    <n v="22675"/>
    <n v="0"/>
    <n v="22675"/>
    <n v="915807719"/>
    <n v="285123"/>
    <s v="CORP DE BIENESTAR DEL PERSONAL DE A F P"/>
    <d v="2025-03-01T00:00:00"/>
    <d v="2025-03-26T00:00:00"/>
    <d v="2025-01-08T00:00:00"/>
    <d v="2025-01-08T00:00:00"/>
    <s v="AMBULATORIOS"/>
    <n v="22770318"/>
    <n v="3311105"/>
    <n v="69251291"/>
    <s v="TRASSA"/>
    <n v="10013857200"/>
    <n v="78070"/>
    <s v="SAL"/>
    <s v="AM04"/>
    <s v="EXAMENES DE LABORATORIO"/>
    <s v="EXAMENES DE LABORATORIO"/>
    <s v="EXAMENES DE LABORATORIO"/>
    <n v="0"/>
    <n v="0"/>
    <n v="79749170"/>
    <n v="5"/>
    <s v="SIN ISAPRE"/>
    <s v="NICOLETTE.MENESES@AFPHABITAT.CL"/>
    <s v="17585933|79749170|915807719|65384423"/>
    <s v="GASTO FISICO"/>
    <b v="0"/>
    <s v="DEPOSITADO EN CUENTA"/>
  </r>
  <r>
    <s v="12 DE SEPTIEMBRE DE 2025"/>
    <x v="161"/>
    <s v="NICOLETTE LEEANE MENESES SANTELICES"/>
    <n v="17585933"/>
    <s v="NICOLETTE LEEANE MENESES SANTELICES"/>
    <d v="2025-01-01T00:00:00"/>
    <s v="INICIAL"/>
    <n v="915807720"/>
    <n v="915807720"/>
    <n v="30400"/>
    <n v="9510"/>
    <n v="20890"/>
    <n v="0"/>
    <n v="20890"/>
    <n v="915807720"/>
    <n v="285123"/>
    <s v="CORP DE BIENESTAR DEL PERSONAL DE A F P"/>
    <d v="2025-01-08T00:00:00"/>
    <d v="2025-01-08T00:00:00"/>
    <d v="2025-01-08T00:00:00"/>
    <d v="2025-01-08T00:00:00"/>
    <s v="AMBULATORIOS"/>
    <n v="22462268"/>
    <n v="1131703"/>
    <n v="68650742"/>
    <s v="TRASSA"/>
    <n v="12012025"/>
    <n v="77298"/>
    <s v="SAL"/>
    <s v="AM04"/>
    <s v="EXAMENES DE LABORATORIO"/>
    <s v="EXAMENES DE LABORATORIO"/>
    <s v="EXAMENES DE LABORATORIO"/>
    <s v="IMED SALUD"/>
    <n v="0"/>
    <n v="79749170"/>
    <n v="5"/>
    <s v="FONASA"/>
    <s v="NICOLETTE.MENESES@AFPHABITAT.CL"/>
    <s v="17585933|79749170|915807720|915807720"/>
    <s v="IMED SALUD"/>
    <b v="1"/>
    <s v="APORTE VIA IMED"/>
  </r>
  <r>
    <s v="12 DE SEPTIEMBRE DE 2025"/>
    <x v="161"/>
    <s v="NICOLETTE LEEANE MENESES SANTELICES"/>
    <n v="17585933"/>
    <s v="NICOLETTE LEEANE MENESES SANTELICES"/>
    <d v="2025-03-01T00:00:00"/>
    <s v="DUPLICADO"/>
    <n v="915807720"/>
    <n v="65384424"/>
    <n v="18063"/>
    <n v="0"/>
    <n v="18063"/>
    <n v="0"/>
    <n v="18063"/>
    <n v="915807720"/>
    <n v="285123"/>
    <s v="CORP DE BIENESTAR DEL PERSONAL DE A F P"/>
    <d v="2025-03-01T00:00:00"/>
    <d v="2025-03-26T00:00:00"/>
    <d v="2025-01-08T00:00:00"/>
    <d v="2025-01-08T00:00:00"/>
    <s v="AMBULATORIOS"/>
    <n v="22770318"/>
    <n v="3311105"/>
    <n v="69251292"/>
    <s v="TRASSA"/>
    <n v="10013857200"/>
    <n v="78070"/>
    <s v="SAL"/>
    <s v="AM04"/>
    <s v="EXAMENES DE LABORATORIO"/>
    <s v="EXAMENES DE LABORATORIO"/>
    <s v="EXAMENES DE LABORATORIO"/>
    <n v="0"/>
    <n v="0"/>
    <n v="79749170"/>
    <n v="5"/>
    <s v="SIN ISAPRE"/>
    <s v="NICOLETTE.MENESES@AFPHABITAT.CL"/>
    <s v="17585933|79749170|915807720|65384424"/>
    <s v="GASTO FISICO"/>
    <b v="0"/>
    <s v="DEPOSITADO EN CUENTA"/>
  </r>
  <r>
    <s v="12 DE SEPTIEMBRE DE 2025"/>
    <x v="156"/>
    <s v="JORGE MADRID ORTIZ"/>
    <n v="8330037"/>
    <s v="JORGE MADRID ORTIZ"/>
    <d v="2025-01-01T00:00:00"/>
    <s v="INICIAL"/>
    <n v="915866088"/>
    <n v="915866088"/>
    <n v="31940"/>
    <n v="27552"/>
    <n v="4388"/>
    <n v="0"/>
    <n v="4388"/>
    <n v="915866088"/>
    <n v="285123"/>
    <s v="CORP DE BIENESTAR DEL PERSONAL DE A F P"/>
    <d v="2025-01-08T00:00:00"/>
    <d v="2025-01-08T00:00:00"/>
    <d v="2025-01-08T00:00:00"/>
    <d v="2025-01-08T00:00:00"/>
    <s v="AMBULATORIOS"/>
    <n v="22462251"/>
    <n v="1131703"/>
    <n v="68650975"/>
    <s v="TRASSA"/>
    <n v="12012025"/>
    <n v="77298"/>
    <s v="SAL"/>
    <s v="AM04"/>
    <s v="EXAMENES DE LABORATORIO"/>
    <s v="EXAMENES DE LABORATORIO"/>
    <s v="EXAMENES DE LABORATORIO"/>
    <s v="IMED SALUD"/>
    <n v="0"/>
    <n v="96986050"/>
    <n v="3"/>
    <s v="FONASA"/>
    <s v="JMADRID@AFPHABITAT.CL"/>
    <s v="8330037|96986050|915866088|915866088"/>
    <s v="IMED SALUD"/>
    <b v="1"/>
    <s v="APORTE VIA IMED"/>
  </r>
  <r>
    <s v="12 DE SEPTIEMBRE DE 2025"/>
    <x v="156"/>
    <s v="JORGE MADRID ORTIZ"/>
    <n v="8330037"/>
    <s v="JORGE MADRID ORTIZ"/>
    <d v="2025-03-01T00:00:00"/>
    <s v="DUPLICADO"/>
    <n v="915866088"/>
    <n v="65383648"/>
    <n v="4226"/>
    <n v="0"/>
    <n v="4226"/>
    <n v="0"/>
    <n v="4226"/>
    <n v="915866088"/>
    <n v="285123"/>
    <s v="CORP DE BIENESTAR DEL PERSONAL DE A F P"/>
    <d v="2025-03-01T00:00:00"/>
    <d v="2025-03-26T00:00:00"/>
    <d v="2025-01-08T00:00:00"/>
    <d v="2025-01-08T00:00:00"/>
    <s v="AMBULATORIOS"/>
    <n v="22770310"/>
    <n v="3311105"/>
    <n v="69250539"/>
    <s v="TRASSA"/>
    <n v="21874964"/>
    <n v="78070"/>
    <s v="SAL"/>
    <s v="AM04"/>
    <s v="EXAMENES DE LABORATORIO"/>
    <s v="EXAMENES DE LABORATORIO"/>
    <s v="EXAMENES DE LABORATORIO"/>
    <n v="0"/>
    <n v="0"/>
    <n v="96986050"/>
    <n v="3"/>
    <s v="SIN ISAPRE"/>
    <s v="JMADRID@AFPHABITAT.CL"/>
    <s v="8330037|96986050|915866088|65383648"/>
    <s v="GASTO FISICO"/>
    <b v="0"/>
    <s v="DEPOSITADO EN CUENTA"/>
  </r>
  <r>
    <s v="12 DE SEPTIEMBRE DE 2025"/>
    <x v="163"/>
    <s v="PAOLA MUÑOZ MONTES"/>
    <n v="10690510"/>
    <s v="PAOLA MUÑOZ MONTES"/>
    <d v="2025-01-01T00:00:00"/>
    <s v="INICIAL"/>
    <n v="916049985"/>
    <n v="916049985"/>
    <n v="42460"/>
    <n v="13270"/>
    <n v="29190"/>
    <n v="0"/>
    <n v="29190"/>
    <n v="916049985"/>
    <n v="285123"/>
    <s v="CORP DE BIENESTAR DEL PERSONAL DE A F P"/>
    <d v="2025-01-09T00:00:00"/>
    <d v="2025-01-09T00:00:00"/>
    <d v="2025-01-09T00:00:00"/>
    <d v="2025-01-09T00:00:00"/>
    <s v="AMBULATORIOS"/>
    <n v="22462275"/>
    <n v="1131703"/>
    <n v="68652016"/>
    <s v="TRASSA"/>
    <n v="12012025"/>
    <n v="77298"/>
    <s v="SAL"/>
    <s v="AM04"/>
    <s v="EXAMENES DE LABORATORIO"/>
    <s v="EXAMENES DE LABORATORIO"/>
    <s v="EXAMENES DE LABORATORIO"/>
    <s v="IMED SALUD"/>
    <n v="0"/>
    <n v="88611600"/>
    <n v="4"/>
    <s v="FONASA"/>
    <s v="PMUNOZM@AFPHABITAT.CL"/>
    <s v="10690510|88611600|916049985|916049985"/>
    <s v="IMED SALUD"/>
    <b v="1"/>
    <s v="APORTE VIA IMED"/>
  </r>
  <r>
    <s v="12 DE SEPTIEMBRE DE 2025"/>
    <x v="163"/>
    <s v="PAOLA MUÑOZ MONTES"/>
    <n v="10690510"/>
    <s v="PAOLA MUÑOZ MONTES"/>
    <d v="2025-03-01T00:00:00"/>
    <s v="DUPLICADO"/>
    <n v="916049985"/>
    <n v="65383895"/>
    <n v="25369"/>
    <n v="0"/>
    <n v="25369"/>
    <n v="0"/>
    <n v="25369"/>
    <n v="916049985"/>
    <n v="285123"/>
    <s v="CORP DE BIENESTAR DEL PERSONAL DE A F P"/>
    <d v="2025-03-01T00:00:00"/>
    <d v="2025-03-26T00:00:00"/>
    <d v="2025-01-09T00:00:00"/>
    <d v="2025-01-09T00:00:00"/>
    <s v="AMBULATORIOS"/>
    <n v="22770322"/>
    <n v="3311105"/>
    <n v="69250784"/>
    <s v="TRASSA"/>
    <n v="5930151206"/>
    <n v="78070"/>
    <s v="SAL"/>
    <s v="AM04"/>
    <s v="EXAMENES DE LABORATORIO"/>
    <s v="EXAMENES DE LABORATORIO"/>
    <s v="EXAMENES DE LABORATORIO"/>
    <n v="0"/>
    <n v="0"/>
    <n v="88611600"/>
    <n v="4"/>
    <s v="SIN ISAPRE"/>
    <s v="PMUNOZM@AFPHABITAT.CL"/>
    <s v="10690510|88611600|916049985|65383895"/>
    <s v="GASTO FISICO"/>
    <b v="0"/>
    <s v="DEPOSITADO EN CUENTA"/>
  </r>
  <r>
    <s v="12 DE SEPTIEMBRE DE 2025"/>
    <x v="164"/>
    <s v="MARTA DEL PILAR FARIAS SALDAÑA"/>
    <n v="10242781"/>
    <s v="MARTA DEL PILAR FARIAS SALDAÑA"/>
    <d v="2025-01-01T00:00:00"/>
    <s v="INICIAL"/>
    <n v="916064279"/>
    <n v="916064279"/>
    <n v="33140"/>
    <n v="10370"/>
    <n v="22770"/>
    <n v="0"/>
    <n v="22770"/>
    <n v="916064279"/>
    <n v="285123"/>
    <s v="CORP DE BIENESTAR DEL PERSONAL DE A F P"/>
    <d v="2025-01-10T00:00:00"/>
    <d v="2025-01-10T00:00:00"/>
    <d v="2025-01-10T00:00:00"/>
    <d v="2025-01-10T00:00:00"/>
    <s v="AMBULATORIOS"/>
    <n v="22462289"/>
    <n v="1131703"/>
    <n v="68652133"/>
    <s v="TRASSA"/>
    <n v="12012025"/>
    <n v="77298"/>
    <s v="SAL"/>
    <s v="AM04"/>
    <s v="EXAMENES DE LABORATORIO"/>
    <s v="EXAMENES DE LABORATORIO"/>
    <s v="EXAMENES DE LABORATORIO"/>
    <s v="IMED SALUD"/>
    <n v="0"/>
    <n v="96617350"/>
    <n v="5"/>
    <s v="FONASA"/>
    <s v="MFARIAS@AFPHABITAT.CL"/>
    <s v="10242781|96617350|916064279|916064279"/>
    <s v="IMED SALUD"/>
    <b v="1"/>
    <s v="APORTE VIA IMED"/>
  </r>
  <r>
    <s v="12 DE SEPTIEMBRE DE 2025"/>
    <x v="164"/>
    <s v="MARTA DEL PILAR FARIAS SALDAÑA"/>
    <n v="10242781"/>
    <s v="MARTA DEL PILAR FARIAS SALDAÑA"/>
    <d v="2025-03-01T00:00:00"/>
    <s v="DUPLICADO"/>
    <n v="916064279"/>
    <n v="65383821"/>
    <n v="19984"/>
    <n v="0"/>
    <n v="19984"/>
    <n v="0"/>
    <n v="19984"/>
    <n v="916064279"/>
    <n v="285123"/>
    <s v="CORP DE BIENESTAR DEL PERSONAL DE A F P"/>
    <d v="2025-03-01T00:00:00"/>
    <d v="2025-03-26T00:00:00"/>
    <d v="2025-01-10T00:00:00"/>
    <d v="2025-01-10T00:00:00"/>
    <s v="AMBULATORIOS"/>
    <n v="22770326"/>
    <n v="3311105"/>
    <n v="69250710"/>
    <s v="TRASSA"/>
    <n v="45066906"/>
    <n v="78070"/>
    <s v="SAL"/>
    <s v="AM04"/>
    <s v="EXAMENES DE LABORATORIO"/>
    <s v="EXAMENES DE LABORATORIO"/>
    <s v="EXAMENES DE LABORATORIO"/>
    <n v="0"/>
    <n v="0"/>
    <n v="96617350"/>
    <n v="5"/>
    <s v="SIN ISAPRE"/>
    <s v="MFARIAS@AFPHABITAT.CL"/>
    <s v="10242781|96617350|916064279|65383821"/>
    <s v="GASTO FISICO"/>
    <b v="0"/>
    <s v="DEPOSITADO EN CUENTA"/>
  </r>
  <r>
    <s v="12 DE SEPTIEMBRE DE 2025"/>
    <x v="2"/>
    <s v="DANIELA ANDREA MENDEZ CASTILLO"/>
    <n v="17729073"/>
    <s v="DANIELA ANDREA MENDEZ CASTILLO"/>
    <d v="2025-01-01T00:00:00"/>
    <s v="INICIAL"/>
    <n v="916141055"/>
    <n v="916141055"/>
    <n v="9680"/>
    <n v="3030"/>
    <n v="6650"/>
    <n v="0"/>
    <n v="6650"/>
    <n v="916141055"/>
    <n v="285123"/>
    <s v="CORP DE BIENESTAR DEL PERSONAL DE A F P"/>
    <d v="2025-01-10T00:00:00"/>
    <d v="2025-01-10T00:00:00"/>
    <d v="2025-01-10T00:00:00"/>
    <d v="2025-01-10T00:00:00"/>
    <s v="AMBULATORIOS"/>
    <n v="22462306"/>
    <n v="1131703"/>
    <n v="68652547"/>
    <s v="TRASSA"/>
    <n v="12012025"/>
    <n v="77298"/>
    <s v="SAL"/>
    <s v="AM04"/>
    <s v="EXAMENES DE LABORATORIO"/>
    <s v="EXAMENES DE LABORATORIO"/>
    <s v="EXAMENES DE LABORATORIO"/>
    <s v="IMED SALUD"/>
    <n v="0"/>
    <n v="96802800"/>
    <n v="6"/>
    <s v="FONASA"/>
    <s v="DANIELA.MENDEZ@AFPHABITAT.CL"/>
    <s v="17729073|96802800|916141055|916141055"/>
    <s v="IMED SALUD"/>
    <b v="1"/>
    <s v="APORTE VIA IMED"/>
  </r>
  <r>
    <s v="12 DE SEPTIEMBRE DE 2025"/>
    <x v="2"/>
    <s v="DANIELA ANDREA MENDEZ CASTILLO"/>
    <n v="17729073"/>
    <s v="DANIELA ANDREA MENDEZ CASTILLO"/>
    <d v="2025-03-01T00:00:00"/>
    <s v="DUPLICADO"/>
    <n v="916141055"/>
    <n v="65384429"/>
    <n v="5764"/>
    <n v="0"/>
    <n v="5764"/>
    <n v="0"/>
    <n v="5764"/>
    <n v="916141055"/>
    <n v="285123"/>
    <s v="CORP DE BIENESTAR DEL PERSONAL DE A F P"/>
    <d v="2025-03-01T00:00:00"/>
    <d v="2025-03-26T00:00:00"/>
    <d v="2025-01-10T00:00:00"/>
    <d v="2025-01-10T00:00:00"/>
    <s v="AMBULATORIOS"/>
    <n v="22770332"/>
    <n v="3311105"/>
    <n v="69251297"/>
    <s v="TRASSA"/>
    <n v="4012349701"/>
    <n v="78070"/>
    <s v="SAL"/>
    <s v="AM04"/>
    <s v="EXAMENES DE LABORATORIO"/>
    <s v="EXAMENES DE LABORATORIO"/>
    <s v="EXAMENES DE LABORATORIO"/>
    <n v="0"/>
    <n v="0"/>
    <n v="96802800"/>
    <n v="6"/>
    <s v="SIN ISAPRE"/>
    <s v="DANIELA.MENDEZ@AFPHABITAT.CL"/>
    <s v="17729073|96802800|916141055|65384429"/>
    <s v="GASTO FISICO"/>
    <b v="0"/>
    <s v="DEPOSITADO EN CUENTA"/>
  </r>
  <r>
    <s v="12 DE SEPTIEMBRE DE 2025"/>
    <x v="160"/>
    <s v="PAULA PACHECO BARRAZA"/>
    <n v="9304885"/>
    <s v="PAULA PACHECO BARRAZA"/>
    <d v="2025-01-01T00:00:00"/>
    <s v="INICIAL"/>
    <n v="916311355"/>
    <n v="916311355"/>
    <n v="17660"/>
    <n v="6800"/>
    <n v="10860"/>
    <n v="0"/>
    <n v="10860"/>
    <n v="916311355"/>
    <n v="285123"/>
    <s v="CORP DE BIENESTAR DEL PERSONAL DE A F P"/>
    <d v="2025-01-13T00:00:00"/>
    <d v="2025-01-13T00:00:00"/>
    <d v="2025-01-13T00:00:00"/>
    <d v="2025-01-13T00:00:00"/>
    <s v="AMBULATORIOS"/>
    <n v="22497782"/>
    <n v="1210929"/>
    <n v="68688043"/>
    <s v="TRASSA"/>
    <n v="19012025"/>
    <n v="77381"/>
    <s v="SAL"/>
    <s v="AM04"/>
    <s v="EXAMENES DE LABORATORIO"/>
    <s v="EXAMENES DE LABORATORIO"/>
    <s v="EXAMENES DE LABORATORIO"/>
    <s v="IMED SALUD"/>
    <n v="0"/>
    <n v="52003490"/>
    <n v="0"/>
    <s v="FONASA"/>
    <s v="PPACHECB@AFPHABITAT.CL"/>
    <s v="9304885|52003490|916311355|916311355"/>
    <s v="IMED SALUD"/>
    <b v="1"/>
    <s v="APORTE VIA IMED"/>
  </r>
  <r>
    <s v="12 DE SEPTIEMBRE DE 2025"/>
    <x v="160"/>
    <s v="PAULA PACHECO BARRAZA"/>
    <n v="9304885"/>
    <s v="PAULA PACHECO BARRAZA"/>
    <d v="2025-03-01T00:00:00"/>
    <s v="DUPLICADO"/>
    <n v="916311355"/>
    <n v="65383720"/>
    <n v="10373"/>
    <n v="0"/>
    <n v="10373"/>
    <n v="0"/>
    <n v="10373"/>
    <n v="916311355"/>
    <n v="285123"/>
    <s v="CORP DE BIENESTAR DEL PERSONAL DE A F P"/>
    <d v="2025-03-01T00:00:00"/>
    <d v="2025-03-26T00:00:00"/>
    <d v="2025-01-13T00:00:00"/>
    <d v="2025-01-13T00:00:00"/>
    <s v="AMBULATORIOS"/>
    <n v="22770334"/>
    <n v="3311105"/>
    <n v="69250611"/>
    <s v="TRASSA"/>
    <n v="9304885"/>
    <n v="78070"/>
    <s v="SAL"/>
    <s v="AM04"/>
    <s v="EXAMENES DE LABORATORIO"/>
    <s v="EXAMENES DE LABORATORIO"/>
    <s v="EXAMENES DE LABORATORIO"/>
    <n v="0"/>
    <n v="0"/>
    <n v="52003490"/>
    <n v="0"/>
    <s v="SIN ISAPRE"/>
    <s v="PPACHECB@AFPHABITAT.CL"/>
    <s v="9304885|52003490|916311355|65383720"/>
    <s v="GASTO FISICO"/>
    <b v="0"/>
    <s v="DEPOSITADO EN CUENTA"/>
  </r>
  <r>
    <s v="12 DE SEPTIEMBRE DE 2025"/>
    <x v="165"/>
    <s v="DANITZA SCARLET VASQUEZ MUÑOZ"/>
    <n v="19517789"/>
    <s v="DANITZA SCARLET VASQUEZ MUÑOZ"/>
    <d v="2025-01-01T00:00:00"/>
    <s v="INICIAL"/>
    <n v="916333722"/>
    <n v="916333722"/>
    <n v="122060"/>
    <n v="38150"/>
    <n v="83910"/>
    <n v="0"/>
    <n v="83910"/>
    <n v="916333722"/>
    <n v="285123"/>
    <s v="CORP DE BIENESTAR DEL PERSONAL DE A F P"/>
    <d v="2025-01-13T00:00:00"/>
    <d v="2025-01-13T00:00:00"/>
    <d v="2025-01-13T00:00:00"/>
    <d v="2025-01-13T00:00:00"/>
    <s v="AMBULATORIOS"/>
    <n v="22497823"/>
    <n v="1210929"/>
    <n v="68688154"/>
    <s v="TRASSA"/>
    <n v="19012025"/>
    <n v="77381"/>
    <s v="SAL"/>
    <s v="AM05"/>
    <s v="EXAMENES RADIOLOGICOS"/>
    <s v="EXAMENES RADIOLOGICOS"/>
    <s v="EXAMENES RADIOLOGICOS"/>
    <s v="IMED SALUD"/>
    <n v="0"/>
    <n v="96942400"/>
    <n v="2"/>
    <s v="FONASA"/>
    <s v="DANITZA.VASQUEZ@AFPHABITAT.CL"/>
    <s v="19517789|96942400|916333722|916333722"/>
    <s v="IMED SALUD"/>
    <b v="1"/>
    <s v="APORTE VIA IMED"/>
  </r>
  <r>
    <s v="12 DE SEPTIEMBRE DE 2025"/>
    <x v="165"/>
    <s v="DANITZA SCARLET VASQUEZ MUÑOZ"/>
    <n v="19517789"/>
    <s v="DANITZA SCARLET VASQUEZ MUÑOZ"/>
    <d v="2025-03-01T00:00:00"/>
    <s v="DUPLICADO"/>
    <n v="916333722"/>
    <n v="65384487"/>
    <n v="72246"/>
    <n v="0"/>
    <n v="72246"/>
    <n v="0"/>
    <n v="72246"/>
    <n v="916333722"/>
    <n v="285123"/>
    <s v="CORP DE BIENESTAR DEL PERSONAL DE A F P"/>
    <d v="2025-03-01T00:00:00"/>
    <d v="2025-03-26T00:00:00"/>
    <d v="2025-01-13T00:00:00"/>
    <d v="2025-01-13T00:00:00"/>
    <s v="AMBULATORIOS"/>
    <n v="22770342"/>
    <n v="3311105"/>
    <n v="69251353"/>
    <s v="TRASSA"/>
    <n v="4011816018"/>
    <n v="78070"/>
    <s v="SAL"/>
    <s v="AM05"/>
    <s v="EXAMENES RADIOLOGICOS"/>
    <s v="EXAMENES RADIOLOGICOS"/>
    <s v="EXAMENES RADIOLOGICOS"/>
    <n v="0"/>
    <n v="0"/>
    <n v="96942400"/>
    <n v="2"/>
    <s v="SIN ISAPRE"/>
    <s v="DANITZA.VASQUEZ@AFPHABITAT.CL"/>
    <s v="19517789|96942400|916333722|65384487"/>
    <s v="GASTO FISICO"/>
    <b v="0"/>
    <s v="DEPOSITADO EN CUENTA"/>
  </r>
  <r>
    <s v="12 DE SEPTIEMBRE DE 2025"/>
    <x v="166"/>
    <s v="XIMENA DEL PILAR CALDERA CARCAMO"/>
    <n v="14157190"/>
    <s v="XIMENA DEL PILAR CALDERA CARCAMO"/>
    <d v="2025-01-01T00:00:00"/>
    <s v="INICIAL"/>
    <n v="916357934"/>
    <n v="916357934"/>
    <n v="122060"/>
    <n v="38150"/>
    <n v="83910"/>
    <n v="0"/>
    <n v="83910"/>
    <n v="916357934"/>
    <n v="285123"/>
    <s v="CORP DE BIENESTAR DEL PERSONAL DE A F P"/>
    <d v="2025-01-13T00:00:00"/>
    <d v="2025-01-13T00:00:00"/>
    <d v="2025-01-13T00:00:00"/>
    <d v="2025-01-13T00:00:00"/>
    <s v="AMBULATORIOS"/>
    <n v="22497804"/>
    <n v="1210929"/>
    <n v="68688277"/>
    <s v="TRASSA"/>
    <n v="19012025"/>
    <n v="77381"/>
    <s v="SAL"/>
    <s v="AM05"/>
    <s v="EXAMENES RADIOLOGICOS"/>
    <s v="EXAMENES RADIOLOGICOS"/>
    <s v="EXAMENES RADIOLOGICOS"/>
    <s v="IMED SALUD"/>
    <n v="0"/>
    <n v="96942400"/>
    <n v="2"/>
    <s v="FONASA"/>
    <s v="XCALDERA@AFPHABITAT.CL"/>
    <s v="14157190|96942400|916357934|916357934"/>
    <s v="IMED SALUD"/>
    <b v="1"/>
    <s v="APORTE VIA IMED"/>
  </r>
  <r>
    <s v="12 DE SEPTIEMBRE DE 2025"/>
    <x v="166"/>
    <s v="XIMENA DEL PILAR CALDERA CARCAMO"/>
    <n v="14157190"/>
    <s v="XIMENA DEL PILAR CALDERA CARCAMO"/>
    <d v="2025-03-01T00:00:00"/>
    <s v="DUPLICADO"/>
    <n v="916357934"/>
    <n v="65384207"/>
    <n v="72246"/>
    <n v="0"/>
    <n v="72246"/>
    <n v="0"/>
    <n v="72246"/>
    <n v="916357934"/>
    <n v="285123"/>
    <s v="CORP DE BIENESTAR DEL PERSONAL DE A F P"/>
    <d v="2025-03-01T00:00:00"/>
    <d v="2025-03-26T00:00:00"/>
    <d v="2025-01-13T00:00:00"/>
    <d v="2025-01-13T00:00:00"/>
    <s v="AMBULATORIOS"/>
    <n v="22770339"/>
    <n v="3311105"/>
    <n v="69251082"/>
    <s v="TRASSA"/>
    <n v="15060102662"/>
    <n v="78070"/>
    <s v="SAL"/>
    <s v="AM05"/>
    <s v="EXAMENES RADIOLOGICOS"/>
    <s v="EXAMENES RADIOLOGICOS"/>
    <s v="EXAMENES RADIOLOGICOS"/>
    <n v="0"/>
    <n v="0"/>
    <n v="96942400"/>
    <n v="2"/>
    <s v="SIN ISAPRE"/>
    <s v="XCALDERA@AFPHABITAT.CL"/>
    <s v="14157190|96942400|916357934|65384207"/>
    <s v="GASTO FISICO"/>
    <b v="0"/>
    <s v="DEPOSITADO EN CUENTA"/>
  </r>
  <r>
    <s v="12 DE SEPTIEMBRE DE 2025"/>
    <x v="165"/>
    <s v="DANITZA SCARLET VASQUEZ MUÑOZ"/>
    <n v="19517789"/>
    <s v="DANITZA SCARLET VASQUEZ MUÑOZ"/>
    <d v="2025-01-01T00:00:00"/>
    <s v="INICIAL"/>
    <n v="916375811"/>
    <n v="916375811"/>
    <n v="11500"/>
    <n v="3600"/>
    <n v="7900"/>
    <n v="0"/>
    <n v="7900"/>
    <n v="916375811"/>
    <n v="285123"/>
    <s v="CORP DE BIENESTAR DEL PERSONAL DE A F P"/>
    <d v="2025-01-13T00:00:00"/>
    <d v="2025-01-13T00:00:00"/>
    <d v="2025-01-13T00:00:00"/>
    <d v="2025-01-13T00:00:00"/>
    <s v="AMBULATORIOS"/>
    <n v="22497823"/>
    <n v="1210929"/>
    <n v="68688374"/>
    <s v="TRASSA"/>
    <n v="19012025"/>
    <n v="77381"/>
    <s v="SAL"/>
    <s v="AM07"/>
    <s v="PROCEDIMIENTOS TERAPEUTICOS"/>
    <s v="PROCEDIMIENTOS TERAPEUTICOS"/>
    <s v="PROCEDIMIENTOS TERAPEUTICOS"/>
    <s v="IMED SALUD"/>
    <n v="0"/>
    <n v="96942400"/>
    <n v="2"/>
    <s v="FONASA"/>
    <s v="DANITZA.VASQUEZ@AFPHABITAT.CL"/>
    <s v="19517789|96942400|916375811|916375811"/>
    <s v="IMED SALUD"/>
    <b v="1"/>
    <s v="APORTE VIA IMED"/>
  </r>
  <r>
    <s v="12 DE SEPTIEMBRE DE 2025"/>
    <x v="165"/>
    <s v="DANITZA SCARLET VASQUEZ MUÑOZ"/>
    <n v="19517789"/>
    <s v="DANITZA SCARLET VASQUEZ MUÑOZ"/>
    <d v="2025-03-01T00:00:00"/>
    <s v="DUPLICADO"/>
    <n v="916375811"/>
    <n v="65384488"/>
    <n v="6917"/>
    <n v="0"/>
    <n v="6917"/>
    <n v="0"/>
    <n v="6917"/>
    <n v="916375811"/>
    <n v="285123"/>
    <s v="CORP DE BIENESTAR DEL PERSONAL DE A F P"/>
    <d v="2025-03-01T00:00:00"/>
    <d v="2025-03-26T00:00:00"/>
    <d v="2025-01-13T00:00:00"/>
    <d v="2025-01-13T00:00:00"/>
    <s v="AMBULATORIOS"/>
    <n v="22770342"/>
    <n v="3311105"/>
    <n v="69251354"/>
    <s v="TRASSA"/>
    <n v="4011816018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DANITZA.VASQUEZ@AFPHABITAT.CL"/>
    <s v="19517789|96942400|916375811|65384488"/>
    <s v="GASTO FISICO"/>
    <b v="0"/>
    <s v="DEPOSITADO EN CUENTA"/>
  </r>
  <r>
    <s v="12 DE SEPTIEMBRE DE 2025"/>
    <x v="163"/>
    <s v="PAOLA MUÑOZ MONTES"/>
    <n v="10690510"/>
    <s v="PAOLA MUÑOZ MONTES"/>
    <d v="2025-01-01T00:00:00"/>
    <s v="INICIAL"/>
    <n v="916406327"/>
    <n v="916406327"/>
    <n v="14400"/>
    <n v="4500"/>
    <n v="9900"/>
    <n v="0"/>
    <n v="9900"/>
    <n v="916406327"/>
    <n v="285123"/>
    <s v="CORP DE BIENESTAR DEL PERSONAL DE A F P"/>
    <d v="2025-01-13T00:00:00"/>
    <d v="2025-01-13T00:00:00"/>
    <d v="2025-01-13T00:00:00"/>
    <d v="2025-01-13T00:00:00"/>
    <s v="AMBULATORIOS"/>
    <n v="22497788"/>
    <n v="1210929"/>
    <n v="68688549"/>
    <s v="TRASSA"/>
    <n v="19012025"/>
    <n v="77381"/>
    <s v="SAL"/>
    <s v="AM07"/>
    <s v="PROCEDIMIENTOS TERAPEUTICOS"/>
    <s v="PROCEDIMIENTOS TERAPEUTICOS"/>
    <s v="PROCEDIMIENTOS TERAPEUTICOS"/>
    <s v="IMED SALUD"/>
    <n v="0"/>
    <n v="88611600"/>
    <n v="4"/>
    <s v="FONASA"/>
    <s v="PMUNOZM@AFPHABITAT.CL"/>
    <s v="10690510|88611600|916406327|916406327"/>
    <s v="IMED SALUD"/>
    <b v="1"/>
    <s v="APORTE VIA IMED"/>
  </r>
  <r>
    <s v="12 DE SEPTIEMBRE DE 2025"/>
    <x v="163"/>
    <s v="PAOLA MUÑOZ MONTES"/>
    <n v="10690510"/>
    <s v="PAOLA MUÑOZ MONTES"/>
    <d v="2025-03-01T00:00:00"/>
    <s v="DUPLICADO"/>
    <n v="916406327"/>
    <n v="65383896"/>
    <n v="8454"/>
    <n v="0"/>
    <n v="8454"/>
    <n v="0"/>
    <n v="8454"/>
    <n v="916406327"/>
    <n v="285123"/>
    <s v="CORP DE BIENESTAR DEL PERSONAL DE A F P"/>
    <d v="2025-03-01T00:00:00"/>
    <d v="2025-03-26T00:00:00"/>
    <d v="2025-01-13T00:00:00"/>
    <d v="2025-01-13T00:00:00"/>
    <s v="AMBULATORIOS"/>
    <n v="22770336"/>
    <n v="3311105"/>
    <n v="69250785"/>
    <s v="TRASSA"/>
    <n v="5930151206"/>
    <n v="78070"/>
    <s v="SAL"/>
    <s v="AM07"/>
    <s v="PROCEDIMIENTOS TERAPEUTICOS"/>
    <s v="PROCEDIMIENTOS TERAPEUTICOS"/>
    <s v="PROCEDIMIENTOS TERAPEUTICOS"/>
    <n v="0"/>
    <n v="0"/>
    <n v="88611600"/>
    <n v="4"/>
    <s v="SIN ISAPRE"/>
    <s v="PMUNOZM@AFPHABITAT.CL"/>
    <s v="10690510|88611600|916406327|65383896"/>
    <s v="GASTO FISICO"/>
    <b v="0"/>
    <s v="DEPOSITADO EN CUENTA"/>
  </r>
  <r>
    <s v="12 DE SEPTIEMBRE DE 2025"/>
    <x v="163"/>
    <s v="PAOLA MUÑOZ MONTES"/>
    <n v="10690510"/>
    <s v="PAOLA MUÑOZ MONTES"/>
    <d v="2025-01-01T00:00:00"/>
    <s v="INICIAL"/>
    <n v="916406416"/>
    <n v="916406416"/>
    <n v="80750"/>
    <n v="34080"/>
    <n v="46670"/>
    <n v="0"/>
    <n v="46670"/>
    <n v="916406416"/>
    <n v="285123"/>
    <s v="CORP DE BIENESTAR DEL PERSONAL DE A F P"/>
    <d v="2025-01-13T00:00:00"/>
    <d v="2025-01-13T00:00:00"/>
    <d v="2025-01-13T00:00:00"/>
    <d v="2025-01-13T00:00:00"/>
    <s v="AMBULATORIOS"/>
    <n v="22497788"/>
    <n v="1210929"/>
    <n v="68688552"/>
    <s v="TRASSA"/>
    <n v="19012025"/>
    <n v="77381"/>
    <s v="SAL"/>
    <s v="AM07"/>
    <s v="PROCEDIMIENTOS TERAPEUTICOS"/>
    <s v="PROCEDIMIENTOS TERAPEUTICOS"/>
    <s v="PROCEDIMIENTOS TERAPEUTICOS"/>
    <s v="IMED SALUD"/>
    <n v="0"/>
    <n v="88611600"/>
    <n v="4"/>
    <s v="FONASA"/>
    <s v="PMUNOZM@AFPHABITAT.CL"/>
    <s v="10690510|88611600|916406416|916406416"/>
    <s v="IMED SALUD"/>
    <b v="1"/>
    <s v="APORTE VIA IMED"/>
  </r>
  <r>
    <s v="12 DE SEPTIEMBRE DE 2025"/>
    <x v="163"/>
    <s v="PAOLA MUÑOZ MONTES"/>
    <n v="10690510"/>
    <s v="PAOLA MUÑOZ MONTES"/>
    <d v="2025-03-01T00:00:00"/>
    <s v="DUPLICADO"/>
    <n v="916406416"/>
    <n v="65383897"/>
    <n v="39197"/>
    <n v="0"/>
    <n v="39197"/>
    <n v="0"/>
    <n v="39197"/>
    <n v="916406416"/>
    <n v="285123"/>
    <s v="CORP DE BIENESTAR DEL PERSONAL DE A F P"/>
    <d v="2025-03-01T00:00:00"/>
    <d v="2025-03-26T00:00:00"/>
    <d v="2025-01-13T00:00:00"/>
    <d v="2025-01-13T00:00:00"/>
    <s v="AMBULATORIOS"/>
    <n v="22770336"/>
    <n v="3311105"/>
    <n v="69250786"/>
    <s v="TRASSA"/>
    <n v="5930151206"/>
    <n v="78070"/>
    <s v="SAL"/>
    <s v="AM07"/>
    <s v="PROCEDIMIENTOS TERAPEUTICOS"/>
    <s v="PROCEDIMIENTOS TERAPEUTICOS"/>
    <s v="PROCEDIMIENTOS TERAPEUTICOS"/>
    <n v="0"/>
    <n v="0"/>
    <n v="88611600"/>
    <n v="4"/>
    <s v="SIN ISAPRE"/>
    <s v="PMUNOZM@AFPHABITAT.CL"/>
    <s v="10690510|88611600|916406416|65383897"/>
    <s v="GASTO FISICO"/>
    <b v="0"/>
    <s v="DEPOSITADO EN CUENTA"/>
  </r>
  <r>
    <s v="12 DE SEPTIEMBRE DE 2025"/>
    <x v="167"/>
    <s v="LIDIA ORELLANA ALCAYAGA"/>
    <n v="8577904"/>
    <s v="LIDIA ORELLANA ALCAYAGA"/>
    <d v="2025-01-01T00:00:00"/>
    <s v="INICIAL"/>
    <n v="916507769"/>
    <n v="916507769"/>
    <n v="29080"/>
    <n v="9100"/>
    <n v="19980"/>
    <n v="0"/>
    <n v="19980"/>
    <n v="916507769"/>
    <n v="285123"/>
    <s v="CORP DE BIENESTAR DEL PERSONAL DE A F P"/>
    <d v="2025-01-14T00:00:00"/>
    <d v="2025-01-14T00:00:00"/>
    <d v="2025-01-14T00:00:00"/>
    <d v="2025-01-14T00:00:00"/>
    <s v="AMBULATORIOS"/>
    <n v="22497833"/>
    <n v="1210929"/>
    <n v="68689055"/>
    <s v="TRASSA"/>
    <n v="19012025"/>
    <n v="77381"/>
    <s v="SAL"/>
    <s v="AM05"/>
    <s v="EXAMENES RADIOLOGICOS"/>
    <s v="EXAMENES RADIOLOGICOS"/>
    <s v="EXAMENES RADIOLOGICOS"/>
    <s v="IMED SALUD"/>
    <n v="0"/>
    <n v="60910000"/>
    <n v="1"/>
    <s v="FONASA"/>
    <s v="LORELLAA@AFPHABITAT.CL"/>
    <s v="8577904|60910000|916507769|916507769"/>
    <s v="IMED SALUD"/>
    <b v="1"/>
    <s v="APORTE VIA IMED"/>
  </r>
  <r>
    <s v="12 DE SEPTIEMBRE DE 2025"/>
    <x v="167"/>
    <s v="LIDIA ORELLANA ALCAYAGA"/>
    <n v="8577904"/>
    <s v="LIDIA ORELLANA ALCAYAGA"/>
    <d v="2025-03-01T00:00:00"/>
    <s v="DUPLICADO"/>
    <n v="916507769"/>
    <n v="65383680"/>
    <n v="19980"/>
    <n v="0"/>
    <n v="19980"/>
    <n v="0"/>
    <n v="19980"/>
    <n v="916507769"/>
    <n v="285123"/>
    <s v="CORP DE BIENESTAR DEL PERSONAL DE A F P"/>
    <d v="2025-03-01T00:00:00"/>
    <d v="2025-03-26T00:00:00"/>
    <d v="2025-01-14T00:00:00"/>
    <d v="2025-01-14T00:00:00"/>
    <s v="AMBULATORIOS"/>
    <n v="22770345"/>
    <n v="3311105"/>
    <n v="69250571"/>
    <s v="TRASSA"/>
    <n v="8577904"/>
    <n v="78070"/>
    <s v="SAL"/>
    <s v="AM05"/>
    <s v="EXAMENES RADIOLOGICOS"/>
    <s v="EXAMENES RADIOLOGICOS"/>
    <s v="EXAMENES RADIOLOGICOS"/>
    <n v="0"/>
    <n v="0"/>
    <n v="60910000"/>
    <n v="1"/>
    <s v="SIN ISAPRE"/>
    <s v="LORELLAA@AFPHABITAT.CL"/>
    <s v="8577904|60910000|916507769|65383680"/>
    <s v="GASTO FISICO"/>
    <b v="0"/>
    <s v="DEPOSITADO EN CUENTA"/>
  </r>
  <r>
    <s v="12 DE SEPTIEMBRE DE 2025"/>
    <x v="166"/>
    <s v="XIMENA DEL PILAR CALDERA CARCAMO"/>
    <n v="14157190"/>
    <s v="XIMENA DEL PILAR CALDERA CARCAMO"/>
    <d v="2025-01-01T00:00:00"/>
    <s v="INICIAL"/>
    <n v="916587328"/>
    <n v="916587328"/>
    <n v="175560"/>
    <n v="92180"/>
    <n v="83380"/>
    <n v="0"/>
    <n v="30640"/>
    <n v="916587328"/>
    <n v="285123"/>
    <s v="CORP DE BIENESTAR DEL PERSONAL DE A F P"/>
    <d v="2025-01-15T00:00:00"/>
    <d v="2025-01-15T00:00:00"/>
    <d v="2025-01-15T00:00:00"/>
    <d v="2025-01-15T00:00:00"/>
    <s v="AMBULATORIOS"/>
    <n v="22497889"/>
    <n v="1210929"/>
    <n v="68689569"/>
    <s v="TRASSA"/>
    <n v="19012025"/>
    <n v="77381"/>
    <s v="SAL"/>
    <s v="AM07"/>
    <s v="PROCEDIMIENTOS TERAPEUTICOS"/>
    <s v="PROCEDIMIENTOS TERAPEUTICOS"/>
    <s v="PROCEDIMIENTOS TERAPEUTICOS"/>
    <s v="IMED SALUD"/>
    <n v="0"/>
    <n v="77774340"/>
    <n v="6"/>
    <s v="FONASA"/>
    <s v="XCALDERA@AFPHABITAT.CL"/>
    <s v="14157190|77774340|916587328|916587328"/>
    <s v="IMED SALUD"/>
    <b v="1"/>
    <s v="APORTE VIA IMED"/>
  </r>
  <r>
    <s v="12 DE SEPTIEMBRE DE 2025"/>
    <x v="166"/>
    <s v="XIMENA DEL PILAR CALDERA CARCAMO"/>
    <n v="14157190"/>
    <s v="XIMENA DEL PILAR CALDERA CARCAMO"/>
    <d v="2025-03-01T00:00:00"/>
    <s v="DUPLICADO"/>
    <n v="916587328"/>
    <n v="65384208"/>
    <n v="49950"/>
    <n v="0"/>
    <n v="49950"/>
    <n v="0"/>
    <n v="49950"/>
    <n v="916587328"/>
    <n v="285123"/>
    <s v="CORP DE BIENESTAR DEL PERSONAL DE A F P"/>
    <d v="2025-03-01T00:00:00"/>
    <d v="2025-03-26T00:00:00"/>
    <d v="2025-01-15T00:00:00"/>
    <d v="2025-01-15T00:00:00"/>
    <s v="AMBULATORIOS"/>
    <n v="22770352"/>
    <n v="3311105"/>
    <n v="69251083"/>
    <s v="TRASSA"/>
    <n v="15060102662"/>
    <n v="78070"/>
    <s v="SAL"/>
    <s v="AM07"/>
    <s v="PROCEDIMIENTOS TERAPEUTICOS"/>
    <s v="PROCEDIMIENTOS TERAPEUTICOS"/>
    <s v="PROCEDIMIENTOS TERAPEUTICOS"/>
    <n v="0"/>
    <n v="0"/>
    <n v="77774340"/>
    <n v="6"/>
    <s v="SIN ISAPRE"/>
    <s v="XCALDERA@AFPHABITAT.CL"/>
    <s v="14157190|77774340|916587328|65384208"/>
    <s v="GASTO FISICO"/>
    <b v="0"/>
    <s v="DEPOSITADO EN CUENTA"/>
  </r>
  <r>
    <s v="12 DE SEPTIEMBRE DE 2025"/>
    <x v="168"/>
    <s v="GISSELA FERNANDEZ ROMERO"/>
    <n v="25849717"/>
    <s v="JULIAN LOZANO FERNANDEZ"/>
    <d v="2025-01-01T00:00:00"/>
    <s v="INICIAL"/>
    <n v="916588601"/>
    <n v="916588601"/>
    <n v="17060"/>
    <n v="5340"/>
    <n v="11720"/>
    <n v="0"/>
    <n v="11720"/>
    <n v="916588601"/>
    <n v="285123"/>
    <s v="CORP DE BIENESTAR DEL PERSONAL DE A F P"/>
    <d v="2025-01-15T00:00:00"/>
    <d v="2025-01-15T00:00:00"/>
    <d v="2025-01-15T00:00:00"/>
    <d v="2025-01-15T00:00:00"/>
    <s v="AMBULATORIOS"/>
    <n v="22497895"/>
    <n v="1210929"/>
    <n v="68689581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FONASA"/>
    <s v="GFERNAND@AFPHABITAT.CL"/>
    <s v="16143311|99573490|916588601|916588601"/>
    <s v="IMED SALUD"/>
    <b v="1"/>
    <s v="APORTE VIA IMED"/>
  </r>
  <r>
    <s v="12 DE SEPTIEMBRE DE 2025"/>
    <x v="168"/>
    <s v="GISSELA FERNANDEZ ROMERO"/>
    <n v="25849717"/>
    <s v="JULIAN LOZANO FERNANDEZ"/>
    <d v="2025-03-01T00:00:00"/>
    <s v="DUPLICADO"/>
    <n v="916588601"/>
    <n v="65384362"/>
    <n v="10371"/>
    <n v="0"/>
    <n v="10371"/>
    <n v="0"/>
    <n v="10371"/>
    <n v="916588601"/>
    <n v="285123"/>
    <s v="CORP DE BIENESTAR DEL PERSONAL DE A F P"/>
    <d v="2025-03-01T00:00:00"/>
    <d v="2025-03-26T00:00:00"/>
    <d v="2025-01-15T00:00:00"/>
    <d v="2025-01-15T00:00:00"/>
    <s v="AMBULATORIOS"/>
    <n v="22770353"/>
    <n v="3311105"/>
    <n v="69251245"/>
    <s v="TRASSA"/>
    <n v="1709850616"/>
    <n v="78070"/>
    <s v="SAL"/>
    <s v="AM04"/>
    <s v="EXAMENES DE LABORATORIO"/>
    <s v="EXAMENES DE LABORATORIO"/>
    <s v="EXAMENES DE LABORATORIO"/>
    <n v="0"/>
    <n v="0"/>
    <n v="99573490"/>
    <n v="7"/>
    <s v="SIN ISAPRE"/>
    <s v="GFERNAND@AFPHABITAT.CL"/>
    <s v="16143311|99573490|916588601|65384362"/>
    <s v="GASTO FISICO"/>
    <b v="0"/>
    <s v="DEPOSITADO EN CUENTA"/>
  </r>
  <r>
    <s v="12 DE SEPTIEMBRE DE 2025"/>
    <x v="168"/>
    <s v="GISSELA FERNANDEZ ROMERO"/>
    <n v="25849717"/>
    <s v="JULIAN LOZANO FERNANDEZ"/>
    <d v="2025-01-01T00:00:00"/>
    <s v="INICIAL"/>
    <n v="916588602"/>
    <n v="916588602"/>
    <n v="39250"/>
    <n v="12280"/>
    <n v="26970"/>
    <n v="0"/>
    <n v="26970"/>
    <n v="916588602"/>
    <n v="285123"/>
    <s v="CORP DE BIENESTAR DEL PERSONAL DE A F P"/>
    <d v="2025-01-15T00:00:00"/>
    <d v="2025-01-15T00:00:00"/>
    <d v="2025-01-15T00:00:00"/>
    <d v="2025-01-15T00:00:00"/>
    <s v="AMBULATORIOS"/>
    <n v="22497895"/>
    <n v="1210929"/>
    <n v="68689580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FONASA"/>
    <s v="GFERNAND@AFPHABITAT.CL"/>
    <s v="16143311|99573490|916588602|916588602"/>
    <s v="IMED SALUD"/>
    <b v="1"/>
    <s v="APORTE VIA IMED"/>
  </r>
  <r>
    <s v="12 DE SEPTIEMBRE DE 2025"/>
    <x v="168"/>
    <s v="GISSELA FERNANDEZ ROMERO"/>
    <n v="25849717"/>
    <s v="JULIAN LOZANO FERNANDEZ"/>
    <d v="2025-03-01T00:00:00"/>
    <s v="DUPLICADO"/>
    <n v="916588602"/>
    <n v="65384363"/>
    <n v="23435"/>
    <n v="0"/>
    <n v="23435"/>
    <n v="0"/>
    <n v="23435"/>
    <n v="916588602"/>
    <n v="285123"/>
    <s v="CORP DE BIENESTAR DEL PERSONAL DE A F P"/>
    <d v="2025-03-01T00:00:00"/>
    <d v="2025-03-26T00:00:00"/>
    <d v="2025-01-15T00:00:00"/>
    <d v="2025-01-15T00:00:00"/>
    <s v="AMBULATORIOS"/>
    <n v="22770353"/>
    <n v="3311105"/>
    <n v="69251246"/>
    <s v="TRASSA"/>
    <n v="1709850616"/>
    <n v="78070"/>
    <s v="SAL"/>
    <s v="AM04"/>
    <s v="EXAMENES DE LABORATORIO"/>
    <s v="EXAMENES DE LABORATORIO"/>
    <s v="EXAMENES DE LABORATORIO"/>
    <n v="0"/>
    <n v="0"/>
    <n v="99573490"/>
    <n v="7"/>
    <s v="SIN ISAPRE"/>
    <s v="GFERNAND@AFPHABITAT.CL"/>
    <s v="16143311|99573490|916588602|65384363"/>
    <s v="GASTO FISICO"/>
    <b v="0"/>
    <s v="DEPOSITADO EN CUENTA"/>
  </r>
  <r>
    <s v="12 DE SEPTIEMBRE DE 2025"/>
    <x v="168"/>
    <s v="GISSELA FERNANDEZ ROMERO"/>
    <n v="25849717"/>
    <s v="JULIAN LOZANO FERNANDEZ"/>
    <d v="2025-01-01T00:00:00"/>
    <s v="INICIAL"/>
    <n v="916588603"/>
    <n v="916588603"/>
    <n v="49960"/>
    <n v="15620"/>
    <n v="34340"/>
    <n v="0"/>
    <n v="34340"/>
    <n v="916588603"/>
    <n v="285123"/>
    <s v="CORP DE BIENESTAR DEL PERSONAL DE A F P"/>
    <d v="2025-01-15T00:00:00"/>
    <d v="2025-01-15T00:00:00"/>
    <d v="2025-01-15T00:00:00"/>
    <d v="2025-01-15T00:00:00"/>
    <s v="AMBULATORIOS"/>
    <n v="22497895"/>
    <n v="1210929"/>
    <n v="68689579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FONASA"/>
    <s v="GFERNAND@AFPHABITAT.CL"/>
    <s v="16143311|99573490|916588603|916588603"/>
    <s v="IMED SALUD"/>
    <b v="1"/>
    <s v="APORTE VIA IMED"/>
  </r>
  <r>
    <s v="12 DE SEPTIEMBRE DE 2025"/>
    <x v="168"/>
    <s v="GISSELA FERNANDEZ ROMERO"/>
    <n v="25849717"/>
    <s v="JULIAN LOZANO FERNANDEZ"/>
    <d v="2025-03-01T00:00:00"/>
    <s v="DUPLICADO"/>
    <n v="916588603"/>
    <n v="65384364"/>
    <n v="29584"/>
    <n v="0"/>
    <n v="29584"/>
    <n v="0"/>
    <n v="29584"/>
    <n v="916588603"/>
    <n v="285123"/>
    <s v="CORP DE BIENESTAR DEL PERSONAL DE A F P"/>
    <d v="2025-03-01T00:00:00"/>
    <d v="2025-03-26T00:00:00"/>
    <d v="2025-01-15T00:00:00"/>
    <d v="2025-01-15T00:00:00"/>
    <s v="AMBULATORIOS"/>
    <n v="22770353"/>
    <n v="3311105"/>
    <n v="69251247"/>
    <s v="TRASSA"/>
    <n v="1709850616"/>
    <n v="78070"/>
    <s v="SAL"/>
    <s v="AM04"/>
    <s v="EXAMENES DE LABORATORIO"/>
    <s v="EXAMENES DE LABORATORIO"/>
    <s v="EXAMENES DE LABORATORIO"/>
    <n v="0"/>
    <n v="0"/>
    <n v="99573490"/>
    <n v="7"/>
    <s v="SIN ISAPRE"/>
    <s v="GFERNAND@AFPHABITAT.CL"/>
    <s v="16143311|99573490|916588603|65384364"/>
    <s v="GASTO FISICO"/>
    <b v="0"/>
    <s v="DEPOSITADO EN CUENTA"/>
  </r>
  <r>
    <s v="12 DE SEPTIEMBRE DE 2025"/>
    <x v="168"/>
    <s v="GISSELA FERNANDEZ ROMERO"/>
    <n v="22698485"/>
    <s v="JESUS LOZANO FERNANDEZ"/>
    <d v="2025-01-01T00:00:00"/>
    <s v="INICIAL"/>
    <n v="916589075"/>
    <n v="916589075"/>
    <n v="17160"/>
    <n v="5370"/>
    <n v="11790"/>
    <n v="0"/>
    <n v="11790"/>
    <n v="916589075"/>
    <n v="285123"/>
    <s v="CORP DE BIENESTAR DEL PERSONAL DE A F P"/>
    <d v="2025-01-15T00:00:00"/>
    <d v="2025-01-15T00:00:00"/>
    <d v="2025-01-15T00:00:00"/>
    <d v="2025-01-15T00:00:00"/>
    <s v="AMBULATORIOS"/>
    <n v="22497895"/>
    <n v="1210929"/>
    <n v="68689588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FONASA"/>
    <s v="GFERNAND@AFPHABITAT.CL"/>
    <s v="16143311|99573490|916589075|916589075"/>
    <s v="IMED SALUD"/>
    <b v="1"/>
    <s v="APORTE VIA IMED"/>
  </r>
  <r>
    <s v="12 DE SEPTIEMBRE DE 2025"/>
    <x v="168"/>
    <s v="GISSELA FERNANDEZ ROMERO"/>
    <n v="22698485"/>
    <s v="JESUS LOZANO FERNANDEZ"/>
    <d v="2025-03-01T00:00:00"/>
    <s v="DUPLICADO"/>
    <n v="916589075"/>
    <n v="65384359"/>
    <n v="10371"/>
    <n v="0"/>
    <n v="10371"/>
    <n v="0"/>
    <n v="10371"/>
    <n v="916589075"/>
    <n v="285123"/>
    <s v="CORP DE BIENESTAR DEL PERSONAL DE A F P"/>
    <d v="2025-03-01T00:00:00"/>
    <d v="2025-03-26T00:00:00"/>
    <d v="2025-01-15T00:00:00"/>
    <d v="2025-01-15T00:00:00"/>
    <s v="AMBULATORIOS"/>
    <n v="22770353"/>
    <n v="3311105"/>
    <n v="69251242"/>
    <s v="TRASSA"/>
    <n v="1709850616"/>
    <n v="78070"/>
    <s v="SAL"/>
    <s v="AM04"/>
    <s v="EXAMENES DE LABORATORIO"/>
    <s v="EXAMENES DE LABORATORIO"/>
    <s v="EXAMENES DE LABORATORIO"/>
    <n v="0"/>
    <n v="0"/>
    <n v="99573490"/>
    <n v="7"/>
    <s v="SIN ISAPRE"/>
    <s v="GFERNAND@AFPHABITAT.CL"/>
    <s v="16143311|99573490|916589075|65384359"/>
    <s v="GASTO FISICO"/>
    <b v="0"/>
    <s v="DEPOSITADO EN CUENTA"/>
  </r>
  <r>
    <s v="12 DE SEPTIEMBRE DE 2025"/>
    <x v="168"/>
    <s v="GISSELA FERNANDEZ ROMERO"/>
    <n v="22698485"/>
    <s v="JESUS LOZANO FERNANDEZ"/>
    <d v="2025-01-01T00:00:00"/>
    <s v="INICIAL"/>
    <n v="916589076"/>
    <n v="916589076"/>
    <n v="39250"/>
    <n v="12280"/>
    <n v="26970"/>
    <n v="0"/>
    <n v="26970"/>
    <n v="916589076"/>
    <n v="285123"/>
    <s v="CORP DE BIENESTAR DEL PERSONAL DE A F P"/>
    <d v="2025-01-15T00:00:00"/>
    <d v="2025-01-15T00:00:00"/>
    <d v="2025-01-15T00:00:00"/>
    <d v="2025-01-15T00:00:00"/>
    <s v="AMBULATORIOS"/>
    <n v="22497895"/>
    <n v="1210929"/>
    <n v="68689587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FONASA"/>
    <s v="GFERNAND@AFPHABITAT.CL"/>
    <s v="16143311|99573490|916589076|916589076"/>
    <s v="IMED SALUD"/>
    <b v="1"/>
    <s v="APORTE VIA IMED"/>
  </r>
  <r>
    <s v="12 DE SEPTIEMBRE DE 2025"/>
    <x v="168"/>
    <s v="GISSELA FERNANDEZ ROMERO"/>
    <n v="22698485"/>
    <s v="JESUS LOZANO FERNANDEZ"/>
    <d v="2025-03-01T00:00:00"/>
    <s v="DUPLICADO"/>
    <n v="916589076"/>
    <n v="65384360"/>
    <n v="23435"/>
    <n v="0"/>
    <n v="23435"/>
    <n v="0"/>
    <n v="23435"/>
    <n v="916589076"/>
    <n v="285123"/>
    <s v="CORP DE BIENESTAR DEL PERSONAL DE A F P"/>
    <d v="2025-03-01T00:00:00"/>
    <d v="2025-03-26T00:00:00"/>
    <d v="2025-01-15T00:00:00"/>
    <d v="2025-01-15T00:00:00"/>
    <s v="AMBULATORIOS"/>
    <n v="22770353"/>
    <n v="3311105"/>
    <n v="69251243"/>
    <s v="TRASSA"/>
    <n v="1709850616"/>
    <n v="78070"/>
    <s v="SAL"/>
    <s v="AM04"/>
    <s v="EXAMENES DE LABORATORIO"/>
    <s v="EXAMENES DE LABORATORIO"/>
    <s v="EXAMENES DE LABORATORIO"/>
    <n v="0"/>
    <n v="0"/>
    <n v="99573490"/>
    <n v="7"/>
    <s v="SIN ISAPRE"/>
    <s v="GFERNAND@AFPHABITAT.CL"/>
    <s v="16143311|99573490|916589076|65384360"/>
    <s v="GASTO FISICO"/>
    <b v="0"/>
    <s v="DEPOSITADO EN CUENTA"/>
  </r>
  <r>
    <s v="12 DE SEPTIEMBRE DE 2025"/>
    <x v="168"/>
    <s v="GISSELA FERNANDEZ ROMERO"/>
    <n v="22698485"/>
    <s v="JESUS LOZANO FERNANDEZ"/>
    <d v="2025-01-01T00:00:00"/>
    <s v="INICIAL"/>
    <n v="916589077"/>
    <n v="916589077"/>
    <n v="49960"/>
    <n v="15620"/>
    <n v="34340"/>
    <n v="0"/>
    <n v="34340"/>
    <n v="916589077"/>
    <n v="285123"/>
    <s v="CORP DE BIENESTAR DEL PERSONAL DE A F P"/>
    <d v="2025-01-15T00:00:00"/>
    <d v="2025-01-15T00:00:00"/>
    <d v="2025-01-15T00:00:00"/>
    <d v="2025-01-15T00:00:00"/>
    <s v="AMBULATORIOS"/>
    <n v="22497895"/>
    <n v="1210929"/>
    <n v="68689586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FONASA"/>
    <s v="GFERNAND@AFPHABITAT.CL"/>
    <s v="16143311|99573490|916589077|916589077"/>
    <s v="IMED SALUD"/>
    <b v="1"/>
    <s v="APORTE VIA IMED"/>
  </r>
  <r>
    <s v="12 DE SEPTIEMBRE DE 2025"/>
    <x v="168"/>
    <s v="GISSELA FERNANDEZ ROMERO"/>
    <n v="22698485"/>
    <s v="JESUS LOZANO FERNANDEZ"/>
    <d v="2025-03-01T00:00:00"/>
    <s v="DUPLICADO"/>
    <n v="916589077"/>
    <n v="65384361"/>
    <n v="29584"/>
    <n v="0"/>
    <n v="29584"/>
    <n v="0"/>
    <n v="29584"/>
    <n v="916589077"/>
    <n v="285123"/>
    <s v="CORP DE BIENESTAR DEL PERSONAL DE A F P"/>
    <d v="2025-03-01T00:00:00"/>
    <d v="2025-03-26T00:00:00"/>
    <d v="2025-01-15T00:00:00"/>
    <d v="2025-01-15T00:00:00"/>
    <s v="AMBULATORIOS"/>
    <n v="22770353"/>
    <n v="3311105"/>
    <n v="69251244"/>
    <s v="TRASSA"/>
    <n v="1709850616"/>
    <n v="78070"/>
    <s v="SAL"/>
    <s v="AM04"/>
    <s v="EXAMENES DE LABORATORIO"/>
    <s v="EXAMENES DE LABORATORIO"/>
    <s v="EXAMENES DE LABORATORIO"/>
    <n v="0"/>
    <n v="0"/>
    <n v="99573490"/>
    <n v="7"/>
    <s v="SIN ISAPRE"/>
    <s v="GFERNAND@AFPHABITAT.CL"/>
    <s v="16143311|99573490|916589077|65384361"/>
    <s v="GASTO FISICO"/>
    <b v="0"/>
    <s v="DEPOSITADO EN CUENTA"/>
  </r>
  <r>
    <s v="12 DE SEPTIEMBRE DE 2025"/>
    <x v="155"/>
    <s v="SOLANGE ANDREA QUIROZ CAMPOS"/>
    <n v="17884354"/>
    <s v="SOLANGE ANDREA QUIROZ CAMPOS"/>
    <d v="2025-01-01T00:00:00"/>
    <s v="INICIAL"/>
    <n v="916617511"/>
    <n v="916617511"/>
    <n v="16430"/>
    <n v="5140"/>
    <n v="11290"/>
    <n v="0"/>
    <n v="11290"/>
    <n v="916617511"/>
    <n v="285123"/>
    <s v="CORP DE BIENESTAR DEL PERSONAL DE A F P"/>
    <d v="2025-01-15T00:00:00"/>
    <d v="2025-01-15T00:00:00"/>
    <d v="2025-01-15T00:00:00"/>
    <d v="2025-01-15T00:00:00"/>
    <s v="AMBULATORIOS"/>
    <n v="22497909"/>
    <n v="1210929"/>
    <n v="68689726"/>
    <s v="TRASSA"/>
    <n v="19012025"/>
    <n v="77381"/>
    <s v="SAL"/>
    <s v="AM04"/>
    <s v="EXAMENES DE LABORATORIO"/>
    <s v="EXAMENES DE LABORATORIO"/>
    <s v="EXAMENES DE LABORATORIO"/>
    <s v="IMED SALUD"/>
    <n v="0"/>
    <n v="9461401"/>
    <n v="5"/>
    <s v="FONASA"/>
    <s v="SOLANGE.QUIROZ@AFPHABITAT.CL"/>
    <s v="17884354|9461401|916617511|916617511"/>
    <s v="IMED SALUD"/>
    <b v="1"/>
    <s v="APORTE VIA IMED"/>
  </r>
  <r>
    <s v="12 DE SEPTIEMBRE DE 2025"/>
    <x v="155"/>
    <s v="SOLANGE ANDREA QUIROZ CAMPOS"/>
    <n v="17884354"/>
    <s v="SOLANGE ANDREA QUIROZ CAMPOS"/>
    <d v="2025-03-01T00:00:00"/>
    <s v="DUPLICADO"/>
    <n v="916617511"/>
    <n v="65384446"/>
    <n v="9988"/>
    <n v="0"/>
    <n v="9988"/>
    <n v="0"/>
    <n v="9988"/>
    <n v="916617511"/>
    <n v="285123"/>
    <s v="CORP DE BIENESTAR DEL PERSONAL DE A F P"/>
    <d v="2025-03-01T00:00:00"/>
    <d v="2025-03-26T00:00:00"/>
    <d v="2025-01-15T00:00:00"/>
    <d v="2025-01-15T00:00:00"/>
    <s v="AMBULATORIOS"/>
    <n v="22770356"/>
    <n v="3311105"/>
    <n v="69251314"/>
    <s v="TRASSA"/>
    <n v="17884354"/>
    <n v="78070"/>
    <s v="SAL"/>
    <s v="AM04"/>
    <s v="EXAMENES DE LABORATORIO"/>
    <s v="EXAMENES DE LABORATORIO"/>
    <s v="EXAMENES DE LABORATORIO"/>
    <n v="0"/>
    <n v="0"/>
    <n v="9461401"/>
    <n v="5"/>
    <s v="SIN ISAPRE"/>
    <s v="SOLANGE.QUIROZ@AFPHABITAT.CL"/>
    <s v="17884354|9461401|916617511|65384446"/>
    <s v="GASTO FISICO"/>
    <b v="0"/>
    <s v="DEPOSITADO EN CUENTA"/>
  </r>
  <r>
    <s v="12 DE SEPTIEMBRE DE 2025"/>
    <x v="115"/>
    <s v="ERNESTO RIVERA PEREIRA"/>
    <n v="10583396"/>
    <s v="PAMELA TEJEDO CARMONA"/>
    <d v="2025-01-01T00:00:00"/>
    <s v="INICIAL"/>
    <n v="916639740"/>
    <n v="916639740"/>
    <n v="35460"/>
    <n v="11080"/>
    <n v="24380"/>
    <n v="0"/>
    <n v="24380"/>
    <n v="916639740"/>
    <n v="285123"/>
    <s v="CORP DE BIENESTAR DEL PERSONAL DE A F P"/>
    <d v="2025-01-15T00:00:00"/>
    <d v="2025-01-15T00:00:00"/>
    <d v="2025-01-15T00:00:00"/>
    <d v="2025-01-15T00:00:00"/>
    <s v="AMBULATORIOS"/>
    <n v="22497865"/>
    <n v="1210929"/>
    <n v="68689845"/>
    <s v="TRASSA"/>
    <n v="19012025"/>
    <n v="77381"/>
    <s v="SAL"/>
    <s v="AM05"/>
    <s v="EXAMENES RADIOLOGICOS"/>
    <s v="EXAMENES RADIOLOGICOS"/>
    <s v="EXAMENES RADIOLOGICOS"/>
    <s v="IMED SALUD"/>
    <n v="0"/>
    <n v="76098454"/>
    <s v="K"/>
    <s v="FONASA"/>
    <s v="ERIVERA@AFPHABITAT.CL"/>
    <s v="8956787|76098454|916639740|916639740"/>
    <s v="IMED SALUD"/>
    <b v="1"/>
    <s v="APORTE VIA IMED"/>
  </r>
  <r>
    <s v="12 DE SEPTIEMBRE DE 2025"/>
    <x v="115"/>
    <s v="ERNESTO RIVERA PEREIRA"/>
    <n v="10583396"/>
    <s v="PAMELA TEJEDO CARMONA"/>
    <d v="2025-03-01T00:00:00"/>
    <s v="DUPLICADO"/>
    <n v="916639740"/>
    <n v="65383697"/>
    <n v="44306"/>
    <n v="0"/>
    <n v="44306"/>
    <n v="0"/>
    <n v="44306"/>
    <n v="916639740"/>
    <n v="285123"/>
    <s v="CORP DE BIENESTAR DEL PERSONAL DE A F P"/>
    <d v="2025-03-01T00:00:00"/>
    <d v="2025-03-26T00:00:00"/>
    <d v="2025-01-15T00:00:00"/>
    <d v="2025-01-15T00:00:00"/>
    <s v="AMBULATORIOS"/>
    <n v="22770676"/>
    <n v="3311105"/>
    <n v="69250588"/>
    <s v="TRASSA"/>
    <n v="63512556"/>
    <n v="78070"/>
    <s v="SAL"/>
    <s v="AM05"/>
    <s v="EXAMENES RADIOLOGICOS"/>
    <s v="EXAMENES RADIOLOGICOS"/>
    <s v="EXAMENES RADIOLOGICOS"/>
    <n v="0"/>
    <n v="0"/>
    <n v="76098454"/>
    <s v="K"/>
    <s v="SIN ISAPRE"/>
    <s v="ERIVERA@AFPHABITAT.CL"/>
    <s v="8956787|76098454|916639740|65383697"/>
    <s v="GASTO FISICO"/>
    <b v="0"/>
    <s v="DEPOSITADO EN CUENTA"/>
  </r>
  <r>
    <s v="12 DE SEPTIEMBRE DE 2025"/>
    <x v="115"/>
    <s v="ERNESTO RIVERA PEREIRA"/>
    <n v="10583396"/>
    <s v="PAMELA TEJEDO CARMONA"/>
    <d v="2025-01-01T00:00:00"/>
    <s v="INICIAL"/>
    <n v="916640109"/>
    <n v="916640109"/>
    <n v="28990"/>
    <n v="9060"/>
    <n v="19930"/>
    <n v="0"/>
    <n v="19930"/>
    <n v="916640109"/>
    <n v="285123"/>
    <s v="CORP DE BIENESTAR DEL PERSONAL DE A F P"/>
    <d v="2025-01-15T00:00:00"/>
    <d v="2025-01-15T00:00:00"/>
    <d v="2025-01-15T00:00:00"/>
    <d v="2025-01-15T00:00:00"/>
    <s v="AMBULATORIOS"/>
    <n v="22497865"/>
    <n v="1210929"/>
    <n v="68689846"/>
    <s v="TRASSA"/>
    <n v="19012025"/>
    <n v="77381"/>
    <s v="SAL"/>
    <s v="AM05"/>
    <s v="EXAMENES RADIOLOGICOS"/>
    <s v="EXAMENES RADIOLOGICOS"/>
    <s v="EXAMENES RADIOLOGICOS"/>
    <s v="IMED SALUD"/>
    <n v="0"/>
    <n v="76098454"/>
    <s v="K"/>
    <s v="FONASA"/>
    <s v="ERIVERA@AFPHABITAT.CL"/>
    <s v="8956787|76098454|916640109|916640109"/>
    <s v="IMED SALUD"/>
    <b v="1"/>
    <s v="APORTE VIA IMED"/>
  </r>
  <r>
    <s v="12 DE SEPTIEMBRE DE 2025"/>
    <x v="2"/>
    <s v="DANIELA ANDREA MENDEZ CASTILLO"/>
    <n v="17729073"/>
    <s v="DANIELA ANDREA MENDEZ CASTILLO"/>
    <d v="2025-01-01T00:00:00"/>
    <s v="INICIAL"/>
    <n v="916645712"/>
    <n v="916645712"/>
    <n v="9680"/>
    <n v="7984"/>
    <n v="1696"/>
    <n v="0"/>
    <n v="1696"/>
    <n v="916645712"/>
    <n v="285123"/>
    <s v="CORP DE BIENESTAR DEL PERSONAL DE A F P"/>
    <d v="2025-01-15T00:00:00"/>
    <d v="2025-01-15T00:00:00"/>
    <d v="2025-01-15T00:00:00"/>
    <d v="2025-01-15T00:00:00"/>
    <s v="AMBULATORIOS"/>
    <n v="22497907"/>
    <n v="1210929"/>
    <n v="68689876"/>
    <s v="TRASSA"/>
    <n v="19012025"/>
    <n v="77381"/>
    <s v="SAL"/>
    <s v="AM04"/>
    <s v="EXAMENES DE LABORATORIO"/>
    <s v="EXAMENES DE LABORATORIO"/>
    <s v="EXAMENES DE LABORATORIO"/>
    <s v="IMED SALUD"/>
    <n v="0"/>
    <n v="96802800"/>
    <n v="6"/>
    <s v="FONASA"/>
    <s v="DANIELA.MENDEZ@AFPHABITAT.CL"/>
    <s v="17729073|96802800|916645712|916645712"/>
    <s v="IMED SALUD"/>
    <b v="1"/>
    <s v="APORTE VIA IMED"/>
  </r>
  <r>
    <s v="12 DE SEPTIEMBRE DE 2025"/>
    <x v="2"/>
    <s v="DANIELA ANDREA MENDEZ CASTILLO"/>
    <n v="17729073"/>
    <s v="DANIELA ANDREA MENDEZ CASTILLO"/>
    <d v="2025-03-01T00:00:00"/>
    <s v="DUPLICADO"/>
    <n v="916645712"/>
    <n v="65384430"/>
    <n v="1920"/>
    <n v="0"/>
    <n v="1920"/>
    <n v="0"/>
    <n v="1920"/>
    <n v="916645712"/>
    <n v="285123"/>
    <s v="CORP DE BIENESTAR DEL PERSONAL DE A F P"/>
    <d v="2025-03-01T00:00:00"/>
    <d v="2025-03-26T00:00:00"/>
    <d v="2025-01-15T00:00:00"/>
    <d v="2025-01-15T00:00:00"/>
    <s v="AMBULATORIOS"/>
    <n v="22770354"/>
    <n v="3311105"/>
    <n v="69251298"/>
    <s v="TRASSA"/>
    <n v="4012349701"/>
    <n v="78070"/>
    <s v="SAL"/>
    <s v="AM04"/>
    <s v="EXAMENES DE LABORATORIO"/>
    <s v="EXAMENES DE LABORATORIO"/>
    <s v="EXAMENES DE LABORATORIO"/>
    <n v="0"/>
    <n v="0"/>
    <n v="96802800"/>
    <n v="6"/>
    <s v="SIN ISAPRE"/>
    <s v="DANIELA.MENDEZ@AFPHABITAT.CL"/>
    <s v="17729073|96802800|916645712|65384430"/>
    <s v="GASTO FISICO"/>
    <b v="0"/>
    <s v="DEPOSITADO EN CUENTA"/>
  </r>
  <r>
    <s v="12 DE SEPTIEMBRE DE 2025"/>
    <x v="165"/>
    <s v="DANITZA SCARLET VASQUEZ MUÑOZ"/>
    <n v="19517789"/>
    <s v="DANITZA SCARLET VASQUEZ MUÑOZ"/>
    <d v="2025-01-01T00:00:00"/>
    <s v="INICIAL"/>
    <n v="916702110"/>
    <n v="916702110"/>
    <n v="30950"/>
    <n v="12390"/>
    <n v="18560"/>
    <n v="0"/>
    <n v="18560"/>
    <n v="916702110"/>
    <n v="285123"/>
    <s v="CORP DE BIENESTAR DEL PERSONAL DE A F P"/>
    <d v="2025-01-16T00:00:00"/>
    <d v="2025-01-16T00:00:00"/>
    <d v="2025-01-16T00:00:00"/>
    <d v="2025-01-16T00:00:00"/>
    <s v="AMBULATORIOS"/>
    <n v="22497947"/>
    <n v="1210929"/>
    <n v="68690184"/>
    <s v="TRASSA"/>
    <n v="19012025"/>
    <n v="77381"/>
    <s v="SAL"/>
    <s v="AM04"/>
    <s v="EXAMENES DE LABORATORIO"/>
    <s v="EXAMENES DE LABORATORIO"/>
    <s v="EXAMENES DE LABORATORIO"/>
    <s v="IMED SALUD"/>
    <n v="0"/>
    <n v="96942400"/>
    <n v="2"/>
    <s v="FONASA"/>
    <s v="DANITZA.VASQUEZ@AFPHABITAT.CL"/>
    <s v="19517789|96942400|916702110|916702110"/>
    <s v="IMED SALUD"/>
    <b v="1"/>
    <s v="APORTE VIA IMED"/>
  </r>
  <r>
    <s v="12 DE SEPTIEMBRE DE 2025"/>
    <x v="165"/>
    <s v="DANITZA SCARLET VASQUEZ MUÑOZ"/>
    <n v="19517789"/>
    <s v="DANITZA SCARLET VASQUEZ MUÑOZ"/>
    <d v="2025-03-01T00:00:00"/>
    <s v="DUPLICADO"/>
    <n v="916702110"/>
    <n v="65384489"/>
    <n v="15750"/>
    <n v="0"/>
    <n v="15750"/>
    <n v="0"/>
    <n v="15750"/>
    <n v="916702110"/>
    <n v="285123"/>
    <s v="CORP DE BIENESTAR DEL PERSONAL DE A F P"/>
    <d v="2025-03-01T00:00:00"/>
    <d v="2025-03-26T00:00:00"/>
    <d v="2025-01-16T00:00:00"/>
    <d v="2025-01-16T00:00:00"/>
    <s v="AMBULATORIOS"/>
    <n v="22770364"/>
    <n v="3311105"/>
    <n v="69251355"/>
    <s v="TRASSA"/>
    <n v="4011816018"/>
    <n v="78070"/>
    <s v="SAL"/>
    <s v="AM04"/>
    <s v="EXAMENES DE LABORATORIO"/>
    <s v="EXAMENES DE LABORATORIO"/>
    <s v="EXAMENES DE LABORATORIO"/>
    <n v="0"/>
    <n v="0"/>
    <n v="96942400"/>
    <n v="2"/>
    <s v="SIN ISAPRE"/>
    <s v="DANITZA.VASQUEZ@AFPHABITAT.CL"/>
    <s v="19517789|96942400|916702110|65384489"/>
    <s v="GASTO FISICO"/>
    <b v="0"/>
    <s v="DEPOSITADO EN CUENTA"/>
  </r>
  <r>
    <s v="12 DE SEPTIEMBRE DE 2025"/>
    <x v="165"/>
    <s v="DANITZA SCARLET VASQUEZ MUÑOZ"/>
    <n v="19517789"/>
    <s v="DANITZA SCARLET VASQUEZ MUÑOZ"/>
    <d v="2025-01-01T00:00:00"/>
    <s v="INICIAL"/>
    <n v="916702111"/>
    <n v="916702111"/>
    <n v="12080"/>
    <n v="6801"/>
    <n v="5279"/>
    <n v="0"/>
    <n v="5279"/>
    <n v="916702111"/>
    <n v="285123"/>
    <s v="CORP DE BIENESTAR DEL PERSONAL DE A F P"/>
    <d v="2025-01-16T00:00:00"/>
    <d v="2025-01-16T00:00:00"/>
    <d v="2025-01-16T00:00:00"/>
    <d v="2025-01-16T00:00:00"/>
    <s v="AMBULATORIOS"/>
    <n v="22497947"/>
    <n v="1210929"/>
    <n v="68690183"/>
    <s v="TRASSA"/>
    <n v="19012025"/>
    <n v="77381"/>
    <s v="SAL"/>
    <s v="AM04"/>
    <s v="EXAMENES DE LABORATORIO"/>
    <s v="EXAMENES DE LABORATORIO"/>
    <s v="EXAMENES DE LABORATORIO"/>
    <s v="IMED SALUD"/>
    <n v="0"/>
    <n v="96942400"/>
    <n v="2"/>
    <s v="FONASA"/>
    <s v="DANITZA.VASQUEZ@AFPHABITAT.CL"/>
    <s v="19517789|96942400|916702111|916702111"/>
    <s v="IMED SALUD"/>
    <b v="1"/>
    <s v="APORTE VIA IMED"/>
  </r>
  <r>
    <s v="12 DE SEPTIEMBRE DE 2025"/>
    <x v="165"/>
    <s v="DANITZA SCARLET VASQUEZ MUÑOZ"/>
    <n v="19517789"/>
    <s v="DANITZA SCARLET VASQUEZ MUÑOZ"/>
    <d v="2025-03-01T00:00:00"/>
    <s v="DUPLICADO"/>
    <n v="916702111"/>
    <n v="65384490"/>
    <n v="4609"/>
    <n v="0"/>
    <n v="4609"/>
    <n v="0"/>
    <n v="4609"/>
    <n v="916702111"/>
    <n v="285123"/>
    <s v="CORP DE BIENESTAR DEL PERSONAL DE A F P"/>
    <d v="2025-03-01T00:00:00"/>
    <d v="2025-03-26T00:00:00"/>
    <d v="2025-01-16T00:00:00"/>
    <d v="2025-01-16T00:00:00"/>
    <s v="AMBULATORIOS"/>
    <n v="22770364"/>
    <n v="3311105"/>
    <n v="69251356"/>
    <s v="TRASSA"/>
    <n v="4011816018"/>
    <n v="78070"/>
    <s v="SAL"/>
    <s v="AM04"/>
    <s v="EXAMENES DE LABORATORIO"/>
    <s v="EXAMENES DE LABORATORIO"/>
    <s v="EXAMENES DE LABORATORIO"/>
    <n v="0"/>
    <n v="0"/>
    <n v="96942400"/>
    <n v="2"/>
    <s v="SIN ISAPRE"/>
    <s v="DANITZA.VASQUEZ@AFPHABITAT.CL"/>
    <s v="19517789|96942400|916702111|65384490"/>
    <s v="GASTO FISICO"/>
    <b v="0"/>
    <s v="DEPOSITADO EN CUENTA"/>
  </r>
  <r>
    <s v="12 DE SEPTIEMBRE DE 2025"/>
    <x v="169"/>
    <s v="MARCELA MUÑOZ OLIVARES"/>
    <n v="9183962"/>
    <s v="MARCELA MUÑOZ OLIVARES"/>
    <d v="2025-01-01T00:00:00"/>
    <s v="INICIAL"/>
    <n v="916709141"/>
    <n v="916709141"/>
    <n v="15070"/>
    <n v="4710"/>
    <n v="10360"/>
    <n v="0"/>
    <n v="10360"/>
    <n v="916709141"/>
    <n v="285123"/>
    <s v="CORP DE BIENESTAR DEL PERSONAL DE A F P"/>
    <d v="2025-01-16T00:00:00"/>
    <d v="2025-01-16T00:00:00"/>
    <d v="2025-01-16T00:00:00"/>
    <d v="2025-01-16T00:00:00"/>
    <s v="AMBULATORIOS"/>
    <n v="22497921"/>
    <n v="1210929"/>
    <n v="68690212"/>
    <s v="TRASSA"/>
    <n v="19012025"/>
    <n v="77381"/>
    <s v="SAL"/>
    <s v="AM04"/>
    <s v="EXAMENES DE LABORATORIO"/>
    <s v="EXAMENES DE LABORATORIO"/>
    <s v="EXAMENES DE LABORATORIO"/>
    <s v="IMED SALUD"/>
    <n v="0"/>
    <n v="96942400"/>
    <n v="2"/>
    <s v="FONASA"/>
    <s v="MMUNOZO@AFPHABITAT.CL"/>
    <s v="9183962|96942400|916709141|916709141"/>
    <s v="IMED SALUD"/>
    <b v="1"/>
    <s v="APORTE VIA IMED"/>
  </r>
  <r>
    <s v="12 DE SEPTIEMBRE DE 2025"/>
    <x v="169"/>
    <s v="MARCELA MUÑOZ OLIVARES"/>
    <n v="9183962"/>
    <s v="MARCELA MUÑOZ OLIVARES"/>
    <d v="2025-03-01T00:00:00"/>
    <s v="DUPLICADO"/>
    <n v="916709141"/>
    <n v="65383715"/>
    <n v="9220"/>
    <n v="0"/>
    <n v="9220"/>
    <n v="0"/>
    <n v="9220"/>
    <n v="916709141"/>
    <n v="285123"/>
    <s v="CORP DE BIENESTAR DEL PERSONAL DE A F P"/>
    <d v="2025-03-01T00:00:00"/>
    <d v="2025-03-26T00:00:00"/>
    <d v="2025-01-16T00:00:00"/>
    <d v="2025-01-16T00:00:00"/>
    <s v="AMBULATORIOS"/>
    <n v="22770359"/>
    <n v="3311105"/>
    <n v="69250606"/>
    <s v="TRASSA"/>
    <n v="19996373090"/>
    <n v="78070"/>
    <s v="SAL"/>
    <s v="AM04"/>
    <s v="EXAMENES DE LABORATORIO"/>
    <s v="EXAMENES DE LABORATORIO"/>
    <s v="EXAMENES DE LABORATORIO"/>
    <n v="0"/>
    <n v="0"/>
    <n v="96942400"/>
    <n v="2"/>
    <s v="SIN ISAPRE"/>
    <s v="MMUNOZO@AFPHABITAT.CL"/>
    <s v="9183962|96942400|916709141|65383715"/>
    <s v="GASTO FISICO"/>
    <b v="0"/>
    <s v="DEPOSITADO EN CUENTA"/>
  </r>
  <r>
    <s v="12 DE SEPTIEMBRE DE 2025"/>
    <x v="170"/>
    <s v="CLAUDIA MAGDALENA ANTIPA REYES"/>
    <n v="15297793"/>
    <s v="CLAUDIA MAGDALENA ANTIPA REYES"/>
    <d v="2025-01-01T00:00:00"/>
    <s v="INICIAL"/>
    <n v="916816585"/>
    <n v="916816585"/>
    <n v="30060"/>
    <n v="9400"/>
    <n v="20660"/>
    <n v="0"/>
    <n v="20660"/>
    <n v="916816585"/>
    <n v="285123"/>
    <s v="CORP DE BIENESTAR DEL PERSONAL DE A F P"/>
    <d v="2025-01-16T00:00:00"/>
    <d v="2025-01-16T00:00:00"/>
    <d v="2025-01-16T00:00:00"/>
    <d v="2025-01-16T00:00:00"/>
    <s v="AMBULATORIOS"/>
    <n v="22497938"/>
    <n v="1210929"/>
    <n v="68690683"/>
    <s v="TRASSA"/>
    <n v="19012025"/>
    <n v="77381"/>
    <s v="SAL"/>
    <s v="AM05"/>
    <s v="EXAMENES RADIOLOGICOS"/>
    <s v="EXAMENES RADIOLOGICOS"/>
    <s v="EXAMENES RADIOLOGICOS"/>
    <s v="IMED SALUD"/>
    <n v="0"/>
    <n v="96942400"/>
    <n v="2"/>
    <s v="FONASA"/>
    <s v="CANTIPA@AFPHABITAT.CL"/>
    <s v="15297793|96942400|916816585|916816585"/>
    <s v="IMED SALUD"/>
    <b v="1"/>
    <s v="APORTE VIA IMED"/>
  </r>
  <r>
    <s v="12 DE SEPTIEMBRE DE 2025"/>
    <x v="170"/>
    <s v="CLAUDIA MAGDALENA ANTIPA REYES"/>
    <n v="15297793"/>
    <s v="CLAUDIA MAGDALENA ANTIPA REYES"/>
    <d v="2025-03-01T00:00:00"/>
    <s v="DUPLICADO"/>
    <n v="916816585"/>
    <n v="65384264"/>
    <n v="18058"/>
    <n v="0"/>
    <n v="18058"/>
    <n v="0"/>
    <n v="18058"/>
    <n v="916816585"/>
    <n v="285123"/>
    <s v="CORP DE BIENESTAR DEL PERSONAL DE A F P"/>
    <d v="2025-03-01T00:00:00"/>
    <d v="2025-03-26T00:00:00"/>
    <d v="2025-01-16T00:00:00"/>
    <d v="2025-01-16T00:00:00"/>
    <s v="AMBULATORIOS"/>
    <n v="22770363"/>
    <n v="3311105"/>
    <n v="69251137"/>
    <s v="TRASSA"/>
    <n v="2701931210"/>
    <n v="78070"/>
    <s v="SAL"/>
    <s v="AM05"/>
    <s v="EXAMENES RADIOLOGICOS"/>
    <s v="EXAMENES RADIOLOGICOS"/>
    <s v="EXAMENES RADIOLOGICOS"/>
    <n v="0"/>
    <n v="0"/>
    <n v="96942400"/>
    <n v="2"/>
    <s v="SIN ISAPRE"/>
    <s v="CANTIPA@AFPHABITAT.CL"/>
    <s v="15297793|96942400|916816585|65384264"/>
    <s v="GASTO FISICO"/>
    <b v="0"/>
    <s v="DEPOSITADO EN CUENTA"/>
  </r>
  <r>
    <s v="12 DE SEPTIEMBRE DE 2025"/>
    <x v="29"/>
    <s v="ANDREA SOLEDAD CASANUEVA LABRA"/>
    <n v="22445349"/>
    <s v="TOMAS MUNOZ CASANUEVA"/>
    <d v="2025-01-01T00:00:00"/>
    <s v="INICIAL"/>
    <n v="916848845"/>
    <n v="916848845"/>
    <n v="39170"/>
    <n v="12250"/>
    <n v="26920"/>
    <n v="0"/>
    <n v="26920"/>
    <n v="916848845"/>
    <n v="285123"/>
    <s v="CORP DE BIENESTAR DEL PERSONAL DE A F P"/>
    <d v="2025-01-17T00:00:00"/>
    <d v="2025-01-17T00:00:00"/>
    <d v="2025-01-17T00:00:00"/>
    <d v="2025-01-17T00:00:00"/>
    <s v="AMBULATORIOS"/>
    <n v="22497981"/>
    <n v="1210929"/>
    <n v="68690910"/>
    <s v="TRASSA"/>
    <n v="19012025"/>
    <n v="77381"/>
    <s v="SAL"/>
    <s v="AM04"/>
    <s v="EXAMENES DE LABORATORIO"/>
    <s v="EXAMENES DE LABORATORIO"/>
    <s v="EXAMENES DE LABORATORIO"/>
    <s v="IMED SALUD"/>
    <n v="0"/>
    <n v="53125850"/>
    <n v="9"/>
    <s v="FONASA"/>
    <s v="ANDREA.CASANUEVA@AFPHABITAT.CL"/>
    <s v="16427949|53125850|916848845|916848845"/>
    <s v="IMED SALUD"/>
    <b v="1"/>
    <s v="APORTE VIA IMED"/>
  </r>
  <r>
    <s v="12 DE SEPTIEMBRE DE 2025"/>
    <x v="29"/>
    <s v="ANDREA SOLEDAD CASANUEVA LABRA"/>
    <n v="22445349"/>
    <s v="TOMAS MUNOZ CASANUEVA"/>
    <d v="2025-03-01T00:00:00"/>
    <s v="DUPLICADO"/>
    <n v="916848845"/>
    <n v="65384368"/>
    <n v="23434"/>
    <n v="0"/>
    <n v="23434"/>
    <n v="0"/>
    <n v="23434"/>
    <n v="916848845"/>
    <n v="285123"/>
    <s v="CORP DE BIENESTAR DEL PERSONAL DE A F P"/>
    <d v="2025-03-01T00:00:00"/>
    <d v="2025-03-26T00:00:00"/>
    <d v="2025-01-17T00:00:00"/>
    <d v="2025-01-17T00:00:00"/>
    <s v="AMBULATORIOS"/>
    <n v="22770375"/>
    <n v="3311105"/>
    <n v="69251251"/>
    <s v="TRASSA"/>
    <n v="36670179791"/>
    <n v="78070"/>
    <s v="SAL"/>
    <s v="AM04"/>
    <s v="EXAMENES DE LABORATORIO"/>
    <s v="EXAMENES DE LABORATORIO"/>
    <s v="EXAMENES DE LABORATORIO"/>
    <n v="0"/>
    <n v="0"/>
    <n v="53125850"/>
    <n v="9"/>
    <s v="SIN ISAPRE"/>
    <s v="ANDREA.CASANUEVA@AFPHABITAT.CL"/>
    <s v="16427949|53125850|916848845|65384368"/>
    <s v="GASTO FISICO"/>
    <b v="0"/>
    <s v="DEPOSITADO EN CUENTA"/>
  </r>
  <r>
    <s v="12 DE SEPTIEMBRE DE 2025"/>
    <x v="29"/>
    <s v="ANDREA SOLEDAD CASANUEVA LABRA"/>
    <n v="22445349"/>
    <s v="TOMAS MUNOZ CASANUEVA"/>
    <d v="2025-01-01T00:00:00"/>
    <s v="INICIAL"/>
    <n v="916849200"/>
    <n v="916849200"/>
    <n v="26080"/>
    <n v="8150"/>
    <n v="17930"/>
    <n v="0"/>
    <n v="17930"/>
    <n v="916849200"/>
    <n v="285123"/>
    <s v="CORP DE BIENESTAR DEL PERSONAL DE A F P"/>
    <d v="2025-01-17T00:00:00"/>
    <d v="2025-01-17T00:00:00"/>
    <d v="2025-01-17T00:00:00"/>
    <d v="2025-01-17T00:00:00"/>
    <s v="AMBULATORIOS"/>
    <n v="22497981"/>
    <n v="1210929"/>
    <n v="68690913"/>
    <s v="TRASSA"/>
    <n v="19012025"/>
    <n v="77381"/>
    <s v="SAL"/>
    <s v="AM04"/>
    <s v="EXAMENES DE LABORATORIO"/>
    <s v="EXAMENES DE LABORATORIO"/>
    <s v="EXAMENES DE LABORATORIO"/>
    <s v="IMED SALUD"/>
    <n v="0"/>
    <n v="53125850"/>
    <n v="9"/>
    <s v="FONASA"/>
    <s v="ANDREA.CASANUEVA@AFPHABITAT.CL"/>
    <s v="16427949|53125850|916849200|916849200"/>
    <s v="IMED SALUD"/>
    <b v="1"/>
    <s v="APORTE VIA IMED"/>
  </r>
  <r>
    <s v="12 DE SEPTIEMBRE DE 2025"/>
    <x v="29"/>
    <s v="ANDREA SOLEDAD CASANUEVA LABRA"/>
    <n v="22445349"/>
    <s v="TOMAS MUNOZ CASANUEVA"/>
    <d v="2025-03-01T00:00:00"/>
    <s v="DUPLICADO"/>
    <n v="916849200"/>
    <n v="65384369"/>
    <n v="15751"/>
    <n v="0"/>
    <n v="15751"/>
    <n v="0"/>
    <n v="15751"/>
    <n v="916849200"/>
    <n v="285123"/>
    <s v="CORP DE BIENESTAR DEL PERSONAL DE A F P"/>
    <d v="2025-03-01T00:00:00"/>
    <d v="2025-03-26T00:00:00"/>
    <d v="2025-01-17T00:00:00"/>
    <d v="2025-01-17T00:00:00"/>
    <s v="AMBULATORIOS"/>
    <n v="22770375"/>
    <n v="3311105"/>
    <n v="69251252"/>
    <s v="TRASSA"/>
    <n v="36670179791"/>
    <n v="78070"/>
    <s v="SAL"/>
    <s v="AM04"/>
    <s v="EXAMENES DE LABORATORIO"/>
    <s v="EXAMENES DE LABORATORIO"/>
    <s v="EXAMENES DE LABORATORIO"/>
    <n v="0"/>
    <n v="0"/>
    <n v="53125850"/>
    <n v="9"/>
    <s v="SIN ISAPRE"/>
    <s v="ANDREA.CASANUEVA@AFPHABITAT.CL"/>
    <s v="16427949|53125850|916849200|65384369"/>
    <s v="GASTO FISICO"/>
    <b v="0"/>
    <s v="DEPOSITADO EN CUENTA"/>
  </r>
  <r>
    <s v="12 DE SEPTIEMBRE DE 2025"/>
    <x v="171"/>
    <s v="INDIRA JACQUELINE MONSALVES ZUÑIGA"/>
    <n v="10295620"/>
    <s v="INDIRA JACQUELINE MONSALVES ZUÑIGA"/>
    <d v="2025-01-01T00:00:00"/>
    <s v="INICIAL"/>
    <n v="916858622"/>
    <n v="916858622"/>
    <n v="28990"/>
    <n v="9060"/>
    <n v="19930"/>
    <n v="0"/>
    <n v="19930"/>
    <n v="916858622"/>
    <n v="285123"/>
    <s v="CORP DE BIENESTAR DEL PERSONAL DE A F P"/>
    <d v="2025-01-17T00:00:00"/>
    <d v="2025-01-17T00:00:00"/>
    <d v="2025-01-17T00:00:00"/>
    <d v="2025-01-17T00:00:00"/>
    <s v="AMBULATORIOS"/>
    <n v="22497958"/>
    <n v="1210929"/>
    <n v="68690977"/>
    <s v="TRASSA"/>
    <n v="19012025"/>
    <n v="77381"/>
    <s v="SAL"/>
    <s v="AM05"/>
    <s v="EXAMENES RADIOLOGICOS"/>
    <s v="EXAMENES RADIOLOGICOS"/>
    <s v="EXAMENES RADIOLOGICOS"/>
    <s v="IMED SALUD"/>
    <n v="0"/>
    <n v="96942400"/>
    <n v="2"/>
    <s v="FONASA"/>
    <s v="IMONSALV@AFPHABITAT.CL"/>
    <s v="10295620|96942400|916858622|916858622"/>
    <s v="IMED SALUD"/>
    <b v="1"/>
    <s v="APORTE VIA IMED"/>
  </r>
  <r>
    <s v="12 DE SEPTIEMBRE DE 2025"/>
    <x v="171"/>
    <s v="INDIRA JACQUELINE MONSALVES ZUÑIGA"/>
    <n v="10295620"/>
    <s v="INDIRA JACQUELINE MONSALVES ZUÑIGA"/>
    <d v="2025-03-01T00:00:00"/>
    <s v="DUPLICADO"/>
    <n v="916858622"/>
    <n v="65383833"/>
    <n v="17288"/>
    <n v="0"/>
    <n v="17288"/>
    <n v="0"/>
    <n v="17288"/>
    <n v="916858622"/>
    <n v="285123"/>
    <s v="CORP DE BIENESTAR DEL PERSONAL DE A F P"/>
    <d v="2025-03-01T00:00:00"/>
    <d v="2025-03-26T00:00:00"/>
    <d v="2025-01-17T00:00:00"/>
    <d v="2025-01-17T00:00:00"/>
    <s v="AMBULATORIOS"/>
    <n v="22770369"/>
    <n v="3311105"/>
    <n v="69250722"/>
    <s v="TRASSA"/>
    <n v="32190072443"/>
    <n v="78070"/>
    <s v="SAL"/>
    <s v="AM05"/>
    <s v="EXAMENES RADIOLOGICOS"/>
    <s v="EXAMENES RADIOLOGICOS"/>
    <s v="EXAMENES RADIOLOGICOS"/>
    <n v="0"/>
    <n v="0"/>
    <n v="96942400"/>
    <n v="2"/>
    <s v="SIN ISAPRE"/>
    <s v="IMONSALV@AFPHABITAT.CL"/>
    <s v="10295620|96942400|916858622|65383833"/>
    <s v="GASTO FISICO"/>
    <b v="0"/>
    <s v="DEPOSITADO EN CUENTA"/>
  </r>
  <r>
    <s v="12 DE SEPTIEMBRE DE 2025"/>
    <x v="164"/>
    <s v="MARTA DEL PILAR FARIAS SALDAÑA"/>
    <n v="10242781"/>
    <s v="MARTA DEL PILAR FARIAS SALDAÑA"/>
    <d v="2025-01-01T00:00:00"/>
    <s v="INICIAL"/>
    <n v="916876220"/>
    <n v="916876220"/>
    <n v="38520"/>
    <n v="12040"/>
    <n v="26480"/>
    <n v="0"/>
    <n v="26480"/>
    <n v="916876220"/>
    <n v="285123"/>
    <s v="CORP DE BIENESTAR DEL PERSONAL DE A F P"/>
    <d v="2025-01-17T00:00:00"/>
    <d v="2025-01-17T00:00:00"/>
    <d v="2025-01-17T00:00:00"/>
    <d v="2025-01-17T00:00:00"/>
    <s v="SALUD MENTAL"/>
    <n v="22497956"/>
    <n v="1210929"/>
    <n v="68691054"/>
    <s v="TRASSA"/>
    <n v="19012025"/>
    <n v="77381"/>
    <s v="SAL"/>
    <s v="SM01"/>
    <s v="CONSULTA O SESIONES PSIQUIATRICAS"/>
    <s v="CONSULTA PSIQUIATRICA"/>
    <s v="CONSULTA PSIQUIATRICA"/>
    <s v="IMED SALUD"/>
    <n v="0"/>
    <n v="76416482"/>
    <n v="2"/>
    <s v="FONASA"/>
    <s v="MFARIAS@AFPHABITAT.CL"/>
    <s v="10242781|76416482|916876220|916876220"/>
    <s v="IMED SALUD"/>
    <b v="1"/>
    <s v="APORTE VIA IMED"/>
  </r>
  <r>
    <s v="12 DE SEPTIEMBRE DE 2025"/>
    <x v="164"/>
    <s v="MARTA DEL PILAR FARIAS SALDAÑA"/>
    <n v="10242781"/>
    <s v="MARTA DEL PILAR FARIAS SALDAÑA"/>
    <d v="2025-03-01T00:00:00"/>
    <s v="DUPLICADO"/>
    <n v="916876220"/>
    <n v="65383822"/>
    <n v="26509"/>
    <n v="0"/>
    <n v="26509"/>
    <n v="0"/>
    <n v="26509"/>
    <n v="916876220"/>
    <n v="285123"/>
    <s v="CORP DE BIENESTAR DEL PERSONAL DE A F P"/>
    <d v="2025-03-01T00:00:00"/>
    <d v="2025-03-26T00:00:00"/>
    <d v="2025-01-17T00:00:00"/>
    <d v="2025-01-17T00:00:00"/>
    <s v="SALUD MENTAL"/>
    <n v="22770367"/>
    <n v="3311105"/>
    <n v="69250711"/>
    <s v="TRASSA"/>
    <n v="45066906"/>
    <n v="78070"/>
    <s v="SAL"/>
    <s v="SM01"/>
    <s v="CONSULTA O SESIONES PSIQUIATRICAS"/>
    <s v="CONSULTA PSIQUIATRICA"/>
    <s v="CONSULTA PSIQUIATRICA"/>
    <n v="0"/>
    <n v="0"/>
    <n v="76416482"/>
    <n v="2"/>
    <s v="SIN ISAPRE"/>
    <s v="MFARIAS@AFPHABITAT.CL"/>
    <s v="10242781|76416482|916876220|65383822"/>
    <s v="GASTO FISICO"/>
    <b v="0"/>
    <s v="DEPOSITADO EN CUENTA"/>
  </r>
  <r>
    <s v="12 DE SEPTIEMBRE DE 2025"/>
    <x v="5"/>
    <s v="CAMILA MOYA SANHUEZA"/>
    <n v="20107537"/>
    <s v="CAMILA MOYA SANHUEZA"/>
    <d v="2025-01-01T00:00:00"/>
    <s v="INICIAL"/>
    <n v="916886853"/>
    <n v="916886853"/>
    <n v="16000"/>
    <n v="5000"/>
    <n v="11000"/>
    <n v="0"/>
    <n v="11000"/>
    <n v="916886853"/>
    <n v="285123"/>
    <s v="CORP DE BIENESTAR DEL PERSONAL DE A F P"/>
    <d v="2025-01-17T00:00:00"/>
    <d v="2025-01-17T00:00:00"/>
    <d v="2025-01-17T00:00:00"/>
    <d v="2025-01-17T00:00:00"/>
    <s v="AMBULATORIOS"/>
    <n v="22497995"/>
    <n v="1210929"/>
    <n v="68691123"/>
    <s v="TRASSA"/>
    <n v="19012025"/>
    <n v="77381"/>
    <s v="SAL"/>
    <s v="AM04"/>
    <s v="EXAMENES DE LABORATORIO"/>
    <s v="EXAMENES DE LABORATORIO"/>
    <s v="EXAMENES DE LABORATORIO"/>
    <s v="IMED SALUD"/>
    <n v="0"/>
    <n v="78022810"/>
    <n v="5"/>
    <s v="FONASA"/>
    <s v="CAMILA.MOYA@AFPHABITAT.CL"/>
    <s v="20107537|78022810|916886853|916886853"/>
    <s v="IMED SALUD"/>
    <b v="1"/>
    <s v="APORTE VIA IMED"/>
  </r>
  <r>
    <s v="12 DE SEPTIEMBRE DE 2025"/>
    <x v="5"/>
    <s v="CAMILA MOYA SANHUEZA"/>
    <n v="20107537"/>
    <s v="CAMILA MOYA SANHUEZA"/>
    <d v="2025-03-01T00:00:00"/>
    <s v="DUPLICADO"/>
    <n v="916886853"/>
    <n v="65384498"/>
    <n v="9988"/>
    <n v="0"/>
    <n v="9988"/>
    <n v="0"/>
    <n v="9988"/>
    <n v="916886853"/>
    <n v="285123"/>
    <s v="CORP DE BIENESTAR DEL PERSONAL DE A F P"/>
    <d v="2025-03-01T00:00:00"/>
    <d v="2025-03-26T00:00:00"/>
    <d v="2025-01-17T00:00:00"/>
    <d v="2025-01-17T00:00:00"/>
    <s v="AMBULATORIOS"/>
    <n v="22770378"/>
    <n v="3311105"/>
    <n v="69251364"/>
    <s v="TRASSA"/>
    <n v="20107537"/>
    <n v="78070"/>
    <s v="SAL"/>
    <s v="AM04"/>
    <s v="EXAMENES DE LABORATORIO"/>
    <s v="EXAMENES DE LABORATORIO"/>
    <s v="EXAMENES DE LABORATORIO"/>
    <n v="0"/>
    <n v="0"/>
    <n v="78022810"/>
    <n v="5"/>
    <s v="SIN ISAPRE"/>
    <s v="CAMILA.MOYA@AFPHABITAT.CL"/>
    <s v="20107537|78022810|916886853|65384498"/>
    <s v="GASTO FISICO"/>
    <b v="0"/>
    <s v="DEPOSITADO EN CUENTA"/>
  </r>
  <r>
    <s v="12 DE SEPTIEMBRE DE 2025"/>
    <x v="166"/>
    <s v="XIMENA DEL PILAR CALDERA CARCAMO"/>
    <n v="14157190"/>
    <s v="XIMENA DEL PILAR CALDERA CARCAMO"/>
    <d v="2025-01-01T00:00:00"/>
    <s v="INICIAL"/>
    <n v="916902146"/>
    <n v="916902146"/>
    <n v="23230"/>
    <n v="13068"/>
    <n v="10162"/>
    <n v="0"/>
    <n v="10162"/>
    <n v="916902146"/>
    <n v="285123"/>
    <s v="CORP DE BIENESTAR DEL PERSONAL DE A F P"/>
    <d v="2025-01-17T00:00:00"/>
    <d v="2025-01-17T00:00:00"/>
    <d v="2025-01-17T00:00:00"/>
    <d v="2025-01-17T00:00:00"/>
    <s v="AMBULATORIOS"/>
    <n v="22497977"/>
    <n v="1210929"/>
    <n v="68691169"/>
    <s v="TRASSA"/>
    <n v="19012025"/>
    <n v="77381"/>
    <s v="SAL"/>
    <s v="AM05"/>
    <s v="EXAMENES RADIOLOGICOS"/>
    <s v="EXAMENES RADIOLOGICOS"/>
    <s v="EXAMENES RADIOLOGICOS"/>
    <s v="IMED SALUD"/>
    <n v="0"/>
    <n v="76098454"/>
    <s v="K"/>
    <s v="FONASA"/>
    <s v="XCALDERA@AFPHABITAT.CL"/>
    <s v="14157190|76098454|916902146|916902146"/>
    <s v="IMED SALUD"/>
    <b v="1"/>
    <s v="APORTE VIA IMED"/>
  </r>
  <r>
    <s v="12 DE SEPTIEMBRE DE 2025"/>
    <x v="166"/>
    <s v="XIMENA DEL PILAR CALDERA CARCAMO"/>
    <n v="14157190"/>
    <s v="XIMENA DEL PILAR CALDERA CARCAMO"/>
    <d v="2025-03-01T00:00:00"/>
    <s v="DUPLICADO"/>
    <n v="916902146"/>
    <n v="65384209"/>
    <n v="8068"/>
    <n v="0"/>
    <n v="8068"/>
    <n v="0"/>
    <n v="8068"/>
    <n v="916902146"/>
    <n v="285123"/>
    <s v="CORP DE BIENESTAR DEL PERSONAL DE A F P"/>
    <d v="2025-03-01T00:00:00"/>
    <d v="2025-03-26T00:00:00"/>
    <d v="2025-01-17T00:00:00"/>
    <d v="2025-01-17T00:00:00"/>
    <s v="AMBULATORIOS"/>
    <n v="22770373"/>
    <n v="3311105"/>
    <n v="69251084"/>
    <s v="TRASSA"/>
    <n v="15060102662"/>
    <n v="78070"/>
    <s v="SAL"/>
    <s v="AM05"/>
    <s v="EXAMENES RADIOLOGICOS"/>
    <s v="EXAMENES RADIOLOGICOS"/>
    <s v="EXAMENES RADIOLOGICOS"/>
    <n v="0"/>
    <n v="0"/>
    <n v="76098454"/>
    <s v="K"/>
    <s v="SIN ISAPRE"/>
    <s v="XCALDERA@AFPHABITAT.CL"/>
    <s v="14157190|76098454|916902146|65384209"/>
    <s v="GASTO FISICO"/>
    <b v="0"/>
    <s v="DEPOSITADO EN CUENTA"/>
  </r>
  <r>
    <s v="12 DE SEPTIEMBRE DE 2025"/>
    <x v="165"/>
    <s v="DANITZA SCARLET VASQUEZ MUÑOZ"/>
    <n v="19517789"/>
    <s v="DANITZA SCARLET VASQUEZ MUÑOZ"/>
    <d v="2025-01-01T00:00:00"/>
    <s v="INICIAL"/>
    <n v="916914338"/>
    <n v="916914338"/>
    <n v="14850"/>
    <n v="8353"/>
    <n v="6497"/>
    <n v="0"/>
    <n v="6497"/>
    <n v="916914338"/>
    <n v="285123"/>
    <s v="CORP DE BIENESTAR DEL PERSONAL DE A F P"/>
    <d v="2025-01-17T00:00:00"/>
    <d v="2025-01-17T00:00:00"/>
    <d v="2025-01-17T00:00:00"/>
    <d v="2025-01-17T00:00:00"/>
    <s v="AMBULATORIOS"/>
    <n v="22497990"/>
    <n v="1210929"/>
    <n v="68691240"/>
    <s v="TRASSA"/>
    <n v="19012025"/>
    <n v="77381"/>
    <s v="SAL"/>
    <s v="AM07"/>
    <s v="PROCEDIMIENTOS TERAPEUTICOS"/>
    <s v="PROCEDIMIENTOS TERAPEUTICOS"/>
    <s v="PROCEDIMIENTOS TERAPEUTICOS"/>
    <s v="IMED SALUD"/>
    <n v="0"/>
    <n v="96942400"/>
    <n v="2"/>
    <s v="FONASA"/>
    <s v="DANITZA.VASQUEZ@AFPHABITAT.CL"/>
    <s v="19517789|96942400|916914338|916914338"/>
    <s v="IMED SALUD"/>
    <b v="1"/>
    <s v="APORTE VIA IMED"/>
  </r>
  <r>
    <s v="12 DE SEPTIEMBRE DE 2025"/>
    <x v="165"/>
    <s v="DANITZA SCARLET VASQUEZ MUÑOZ"/>
    <n v="19517789"/>
    <s v="DANITZA SCARLET VASQUEZ MUÑOZ"/>
    <d v="2025-03-01T00:00:00"/>
    <s v="DUPLICADO"/>
    <n v="916914338"/>
    <n v="65384491"/>
    <n v="5378"/>
    <n v="0"/>
    <n v="5378"/>
    <n v="0"/>
    <n v="5378"/>
    <n v="916914338"/>
    <n v="285123"/>
    <s v="CORP DE BIENESTAR DEL PERSONAL DE A F P"/>
    <d v="2025-03-01T00:00:00"/>
    <d v="2025-03-26T00:00:00"/>
    <d v="2025-01-17T00:00:00"/>
    <d v="2025-01-17T00:00:00"/>
    <s v="AMBULATORIOS"/>
    <n v="22770376"/>
    <n v="3311105"/>
    <n v="69251357"/>
    <s v="TRASSA"/>
    <n v="4011816018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DANITZA.VASQUEZ@AFPHABITAT.CL"/>
    <s v="19517789|96942400|916914338|65384491"/>
    <s v="GASTO FISICO"/>
    <b v="0"/>
    <s v="DEPOSITADO EN CUENTA"/>
  </r>
  <r>
    <s v="12 DE SEPTIEMBRE DE 2025"/>
    <x v="168"/>
    <s v="GISSELA FERNANDEZ ROMERO"/>
    <n v="25849717"/>
    <s v="JULIAN LOZANO FERNANDEZ"/>
    <d v="2025-01-01T00:00:00"/>
    <s v="INICIAL"/>
    <n v="916924163"/>
    <n v="916924163"/>
    <n v="6030"/>
    <n v="1890"/>
    <n v="4140"/>
    <n v="0"/>
    <n v="4140"/>
    <n v="916924163"/>
    <n v="285123"/>
    <s v="CORP DE BIENESTAR DEL PERSONAL DE A F P"/>
    <d v="2025-01-17T00:00:00"/>
    <d v="2025-01-17T00:00:00"/>
    <d v="2025-01-17T00:00:00"/>
    <d v="2025-01-17T00:00:00"/>
    <s v="AMBULATORIOS"/>
    <n v="22497980"/>
    <n v="1210929"/>
    <n v="68691314"/>
    <s v="TRASSA"/>
    <n v="19012025"/>
    <n v="77381"/>
    <s v="SAL"/>
    <s v="AM04"/>
    <s v="EXAMENES DE LABORATORIO"/>
    <s v="EXAMENES DE LABORATORIO"/>
    <s v="EXAMENES DE LABORATORIO"/>
    <s v="IMED SALUD"/>
    <n v="0"/>
    <n v="96600850"/>
    <n v="4"/>
    <s v="FONASA"/>
    <s v="GFERNAND@AFPHABITAT.CL"/>
    <s v="16143311|96600850|916924163|916924163"/>
    <s v="IMED SALUD"/>
    <b v="1"/>
    <s v="APORTE VIA IMED"/>
  </r>
  <r>
    <s v="12 DE SEPTIEMBRE DE 2025"/>
    <x v="168"/>
    <s v="GISSELA FERNANDEZ ROMERO"/>
    <n v="25849717"/>
    <s v="JULIAN LOZANO FERNANDEZ"/>
    <d v="2025-03-01T00:00:00"/>
    <s v="DUPLICADO"/>
    <n v="916924163"/>
    <n v="65384365"/>
    <n v="3841"/>
    <n v="0"/>
    <n v="3841"/>
    <n v="0"/>
    <n v="3841"/>
    <n v="916924163"/>
    <n v="285123"/>
    <s v="CORP DE BIENESTAR DEL PERSONAL DE A F P"/>
    <d v="2025-03-01T00:00:00"/>
    <d v="2025-03-26T00:00:00"/>
    <d v="2025-01-17T00:00:00"/>
    <d v="2025-01-17T00:00:00"/>
    <s v="AMBULATORIOS"/>
    <n v="22770374"/>
    <n v="3311105"/>
    <n v="69251248"/>
    <s v="TRASSA"/>
    <n v="1709850616"/>
    <n v="78070"/>
    <s v="SAL"/>
    <s v="AM04"/>
    <s v="EXAMENES DE LABORATORIO"/>
    <s v="EXAMENES DE LABORATORIO"/>
    <s v="EXAMENES DE LABORATORIO"/>
    <n v="0"/>
    <n v="0"/>
    <n v="96600850"/>
    <n v="4"/>
    <s v="SIN ISAPRE"/>
    <s v="GFERNAND@AFPHABITAT.CL"/>
    <s v="16143311|96600850|916924163|65384365"/>
    <s v="GASTO FISICO"/>
    <b v="0"/>
    <s v="DEPOSITADO EN CUENTA"/>
  </r>
  <r>
    <s v="12 DE SEPTIEMBRE DE 2025"/>
    <x v="172"/>
    <s v="JESSICA FUENTES OSORIO"/>
    <n v="13937515"/>
    <s v="JESSICA FUENTES OSORIO"/>
    <d v="2025-01-01T00:00:00"/>
    <s v="INICIAL"/>
    <n v="917037886"/>
    <n v="917037886"/>
    <n v="37650"/>
    <n v="11770"/>
    <n v="25880"/>
    <n v="0"/>
    <n v="25880"/>
    <n v="917037886"/>
    <n v="285123"/>
    <s v="CORP DE BIENESTAR DEL PERSONAL DE A F P"/>
    <d v="2025-01-20T00:00:00"/>
    <d v="2025-01-20T00:00:00"/>
    <d v="2025-01-20T00:00:00"/>
    <d v="2025-01-20T00:00:00"/>
    <s v="AMBULATORIOS"/>
    <n v="22524601"/>
    <n v="1271320"/>
    <n v="68705713"/>
    <s v="TRASSA"/>
    <n v="26012025"/>
    <n v="77442"/>
    <s v="SAL"/>
    <s v="AM04"/>
    <s v="EXAMENES DE LABORATORIO"/>
    <s v="EXAMENES DE LABORATORIO"/>
    <s v="EXAMENES DE LABORATORIO"/>
    <s v="IMED SALUD"/>
    <n v="0"/>
    <n v="96898980"/>
    <n v="4"/>
    <s v="FONASA"/>
    <s v="JESSICA.FUENTES@AFPHABITAT.CL"/>
    <s v="13937515|96898980|917037886|917037886"/>
    <s v="IMED SALUD"/>
    <b v="1"/>
    <s v="APORTE VIA IMED"/>
  </r>
  <r>
    <s v="12 DE SEPTIEMBRE DE 2025"/>
    <x v="172"/>
    <s v="JESSICA FUENTES OSORIO"/>
    <n v="13937515"/>
    <s v="JESSICA FUENTES OSORIO"/>
    <d v="2025-03-01T00:00:00"/>
    <s v="DUPLICADO"/>
    <n v="917037886"/>
    <n v="65384161"/>
    <n v="21893"/>
    <n v="0"/>
    <n v="21893"/>
    <n v="0"/>
    <n v="21893"/>
    <n v="917037886"/>
    <n v="285123"/>
    <s v="CORP DE BIENESTAR DEL PERSONAL DE A F P"/>
    <d v="2025-03-01T00:00:00"/>
    <d v="2025-03-26T00:00:00"/>
    <d v="2025-01-20T00:00:00"/>
    <d v="2025-01-20T00:00:00"/>
    <s v="AMBULATORIOS"/>
    <n v="22770385"/>
    <n v="3311105"/>
    <n v="69251041"/>
    <s v="TRASSA"/>
    <n v="61167282"/>
    <n v="78070"/>
    <s v="SAL"/>
    <s v="AM04"/>
    <s v="EXAMENES DE LABORATORIO"/>
    <s v="EXAMENES DE LABORATORIO"/>
    <s v="EXAMENES DE LABORATORIO"/>
    <n v="0"/>
    <n v="0"/>
    <n v="96898980"/>
    <n v="4"/>
    <s v="SIN ISAPRE"/>
    <s v="JESSICA.FUENTES@AFPHABITAT.CL"/>
    <s v="13937515|96898980|917037886|65384161"/>
    <s v="GASTO FISICO"/>
    <b v="0"/>
    <s v="DEPOSITADO EN CUENTA"/>
  </r>
  <r>
    <s v="12 DE SEPTIEMBRE DE 2025"/>
    <x v="172"/>
    <s v="JESSICA FUENTES OSORIO"/>
    <n v="13937515"/>
    <s v="JESSICA FUENTES OSORIO"/>
    <d v="2025-01-01T00:00:00"/>
    <s v="INICIAL"/>
    <n v="917037890"/>
    <n v="917037890"/>
    <n v="1360"/>
    <n v="430"/>
    <n v="930"/>
    <n v="0"/>
    <n v="930"/>
    <n v="917037890"/>
    <n v="285123"/>
    <s v="CORP DE BIENESTAR DEL PERSONAL DE A F P"/>
    <d v="2025-01-20T00:00:00"/>
    <d v="2025-01-20T00:00:00"/>
    <d v="2025-01-20T00:00:00"/>
    <d v="2025-01-20T00:00:00"/>
    <s v="AMBULATORIOS"/>
    <n v="22524601"/>
    <n v="1271320"/>
    <n v="68705714"/>
    <s v="TRASSA"/>
    <n v="26012025"/>
    <n v="77442"/>
    <s v="SAL"/>
    <s v="AM04"/>
    <s v="EXAMENES DE LABORATORIO"/>
    <s v="EXAMENES DE LABORATORIO"/>
    <s v="EXAMENES DE LABORATORIO"/>
    <s v="IMED SALUD"/>
    <n v="0"/>
    <n v="76696200"/>
    <n v="9"/>
    <s v="FONASA"/>
    <s v="JESSICA.FUENTES@AFPHABITAT.CL"/>
    <s v="13937515|76696200|917037890|917037890"/>
    <s v="IMED SALUD"/>
    <b v="1"/>
    <s v="APORTE VIA IMED"/>
  </r>
  <r>
    <s v="12 DE SEPTIEMBRE DE 2025"/>
    <x v="172"/>
    <s v="JESSICA FUENTES OSORIO"/>
    <n v="13937515"/>
    <s v="JESSICA FUENTES OSORIO"/>
    <d v="2025-03-01T00:00:00"/>
    <s v="DUPLICADO"/>
    <n v="917037890"/>
    <n v="65384162"/>
    <n v="768"/>
    <n v="0"/>
    <n v="768"/>
    <n v="0"/>
    <n v="768"/>
    <n v="917037890"/>
    <n v="285123"/>
    <s v="CORP DE BIENESTAR DEL PERSONAL DE A F P"/>
    <d v="2025-03-01T00:00:00"/>
    <d v="2025-03-26T00:00:00"/>
    <d v="2025-01-20T00:00:00"/>
    <d v="2025-01-20T00:00:00"/>
    <s v="AMBULATORIOS"/>
    <n v="22770385"/>
    <n v="3311105"/>
    <n v="69251042"/>
    <s v="TRASSA"/>
    <n v="61167282"/>
    <n v="78070"/>
    <s v="SAL"/>
    <s v="AM04"/>
    <s v="EXAMENES DE LABORATORIO"/>
    <s v="EXAMENES DE LABORATORIO"/>
    <s v="EXAMENES DE LABORATORIO"/>
    <n v="0"/>
    <n v="0"/>
    <n v="76696200"/>
    <n v="9"/>
    <s v="SIN ISAPRE"/>
    <s v="JESSICA.FUENTES@AFPHABITAT.CL"/>
    <s v="13937515|76696200|917037890|65384162"/>
    <s v="GASTO FISICO"/>
    <b v="0"/>
    <s v="DEPOSITADO EN CUENTA"/>
  </r>
  <r>
    <s v="12 DE SEPTIEMBRE DE 2025"/>
    <x v="173"/>
    <s v="MARIA JOSE SOTO HELLWIG"/>
    <n v="24186825"/>
    <s v="ALONSO NAVARRO SOTO"/>
    <d v="2025-01-01T00:00:00"/>
    <s v="INICIAL"/>
    <n v="917114454"/>
    <n v="917114454"/>
    <n v="30060"/>
    <n v="9400"/>
    <n v="20660"/>
    <n v="0"/>
    <n v="20660"/>
    <n v="917114454"/>
    <n v="285123"/>
    <s v="CORP DE BIENESTAR DEL PERSONAL DE A F P"/>
    <d v="2025-01-20T00:00:00"/>
    <d v="2025-01-20T00:00:00"/>
    <d v="2025-01-20T00:00:00"/>
    <d v="2025-01-20T00:00:00"/>
    <s v="AMBULATORIOS"/>
    <n v="22524610"/>
    <n v="1271320"/>
    <n v="68706088"/>
    <s v="TRASSA"/>
    <n v="26012025"/>
    <n v="77442"/>
    <s v="SAL"/>
    <s v="AM05"/>
    <s v="EXAMENES RADIOLOGICOS"/>
    <s v="EXAMENES RADIOLOGICOS"/>
    <s v="EXAMENES RADIOLOGICOS"/>
    <s v="IMED SALUD"/>
    <n v="0"/>
    <n v="76110809"/>
    <n v="3"/>
    <s v="FONASA"/>
    <s v="MSOTOHE@AFPHABITAT.CL"/>
    <s v="16380701|76110809|917114454|917114454"/>
    <s v="IMED SALUD"/>
    <b v="1"/>
    <s v="APORTE VIA IMED"/>
  </r>
  <r>
    <s v="12 DE SEPTIEMBRE DE 2025"/>
    <x v="173"/>
    <s v="MARIA JOSE SOTO HELLWIG"/>
    <n v="24186825"/>
    <s v="ALONSO NAVARRO SOTO"/>
    <d v="2025-03-01T00:00:00"/>
    <s v="DUPLICADO"/>
    <n v="917114454"/>
    <n v="65384367"/>
    <n v="18053"/>
    <n v="0"/>
    <n v="18053"/>
    <n v="0"/>
    <n v="18053"/>
    <n v="917114454"/>
    <n v="285123"/>
    <s v="CORP DE BIENESTAR DEL PERSONAL DE A F P"/>
    <d v="2025-03-01T00:00:00"/>
    <d v="2025-03-26T00:00:00"/>
    <d v="2025-01-20T00:00:00"/>
    <d v="2025-01-20T00:00:00"/>
    <s v="AMBULATORIOS"/>
    <n v="22770389"/>
    <n v="3311105"/>
    <n v="69251250"/>
    <s v="TRASSA"/>
    <n v="80654762"/>
    <n v="78070"/>
    <s v="SAL"/>
    <s v="AM05"/>
    <s v="EXAMENES RADIOLOGICOS"/>
    <s v="EXAMENES RADIOLOGICOS"/>
    <s v="EXAMENES RADIOLOGICOS"/>
    <n v="0"/>
    <n v="0"/>
    <n v="76110809"/>
    <n v="3"/>
    <s v="SIN ISAPRE"/>
    <s v="MSOTOHE@AFPHABITAT.CL"/>
    <s v="16380701|76110809|917114454|65384367"/>
    <s v="GASTO FISICO"/>
    <b v="0"/>
    <s v="DEPOSITADO EN CUENTA"/>
  </r>
  <r>
    <s v="12 DE SEPTIEMBRE DE 2025"/>
    <x v="5"/>
    <s v="CAMILA MOYA SANHUEZA"/>
    <n v="20107537"/>
    <s v="CAMILA MOYA SANHUEZA"/>
    <d v="2025-01-01T00:00:00"/>
    <s v="INICIAL"/>
    <n v="917121926"/>
    <n v="917121926"/>
    <n v="41600"/>
    <n v="13000"/>
    <n v="28600"/>
    <n v="0"/>
    <n v="28600"/>
    <n v="917121926"/>
    <n v="285123"/>
    <s v="CORP DE BIENESTAR DEL PERSONAL DE A F P"/>
    <d v="2025-01-20T00:00:00"/>
    <d v="2025-01-20T00:00:00"/>
    <d v="2025-01-20T00:00:00"/>
    <d v="2025-01-20T00:00:00"/>
    <s v="AMBULATORIOS"/>
    <n v="22524629"/>
    <n v="1271320"/>
    <n v="68706123"/>
    <s v="TRASSA"/>
    <n v="26012025"/>
    <n v="77442"/>
    <s v="SAL"/>
    <s v="AM05"/>
    <s v="EXAMENES RADIOLOGICOS"/>
    <s v="EXAMENES RADIOLOGICOS"/>
    <s v="EXAMENES RADIOLOGICOS"/>
    <s v="IMED SALUD"/>
    <n v="0"/>
    <n v="96938650"/>
    <s v="K"/>
    <s v="FONASA"/>
    <s v="CAMILA.MOYA@AFPHABITAT.CL"/>
    <s v="20107537|96938650|917121926|917121926"/>
    <s v="IMED SALUD"/>
    <b v="1"/>
    <s v="APORTE VIA IMED"/>
  </r>
  <r>
    <s v="12 DE SEPTIEMBRE DE 2025"/>
    <x v="5"/>
    <s v="CAMILA MOYA SANHUEZA"/>
    <n v="20107537"/>
    <s v="CAMILA MOYA SANHUEZA"/>
    <d v="2025-03-01T00:00:00"/>
    <s v="DUPLICADO"/>
    <n v="917121926"/>
    <n v="65384499"/>
    <n v="24583"/>
    <n v="0"/>
    <n v="24583"/>
    <n v="0"/>
    <n v="24583"/>
    <n v="917121926"/>
    <n v="285123"/>
    <s v="CORP DE BIENESTAR DEL PERSONAL DE A F P"/>
    <d v="2025-03-01T00:00:00"/>
    <d v="2025-03-26T00:00:00"/>
    <d v="2025-01-20T00:00:00"/>
    <d v="2025-01-20T00:00:00"/>
    <s v="AMBULATORIOS"/>
    <n v="22770391"/>
    <n v="3311105"/>
    <n v="69251365"/>
    <s v="TRASSA"/>
    <n v="20107537"/>
    <n v="78070"/>
    <s v="SAL"/>
    <s v="AM05"/>
    <s v="EXAMENES RADIOLOGICOS"/>
    <s v="EXAMENES RADIOLOGICOS"/>
    <s v="EXAMENES RADIOLOGICOS"/>
    <n v="0"/>
    <n v="0"/>
    <n v="96938650"/>
    <s v="K"/>
    <s v="SIN ISAPRE"/>
    <s v="CAMILA.MOYA@AFPHABITAT.CL"/>
    <s v="20107537|96938650|917121926|65384499"/>
    <s v="GASTO FISICO"/>
    <b v="0"/>
    <s v="DEPOSITADO EN CUENTA"/>
  </r>
  <r>
    <s v="12 DE SEPTIEMBRE DE 2025"/>
    <x v="174"/>
    <s v="GRACIELA RUBILAR CHIHUAICURA"/>
    <n v="15552230"/>
    <s v="GRACIELA RUBILAR CHIHUAICURA"/>
    <d v="2025-01-01T00:00:00"/>
    <s v="INICIAL"/>
    <n v="917178577"/>
    <n v="917178577"/>
    <n v="19260"/>
    <n v="6020"/>
    <n v="13240"/>
    <n v="0"/>
    <n v="13240"/>
    <n v="917178577"/>
    <n v="285123"/>
    <s v="CORP DE BIENESTAR DEL PERSONAL DE A F P"/>
    <d v="2025-01-20T00:00:00"/>
    <d v="2025-01-20T00:00:00"/>
    <d v="2025-01-20T00:00:00"/>
    <d v="2025-01-20T00:00:00"/>
    <s v="SALUD MENTAL"/>
    <n v="22524607"/>
    <n v="1271320"/>
    <n v="68706446"/>
    <s v="TRASSA"/>
    <n v="26012025"/>
    <n v="77442"/>
    <s v="SAL"/>
    <s v="SM01"/>
    <s v="CONSULTA O SESIONES PSIQUIATRICAS"/>
    <s v="CONSULTA PSIQUIATRICA"/>
    <s v="CONSULTA PSIQUIATRICA"/>
    <s v="IMED SALUD"/>
    <n v="0"/>
    <n v="76567582"/>
    <n v="0"/>
    <s v="FONASA"/>
    <s v="GRUBILAR@AFPHABITAT.CL"/>
    <s v="15552230|76567582|917178577|917178577"/>
    <s v="IMED SALUD"/>
    <b v="1"/>
    <s v="APORTE VIA IMED"/>
  </r>
  <r>
    <s v="12 DE SEPTIEMBRE DE 2025"/>
    <x v="174"/>
    <s v="GRACIELA RUBILAR CHIHUAICURA"/>
    <n v="15552230"/>
    <s v="GRACIELA RUBILAR CHIHUAICURA"/>
    <d v="2025-03-01T00:00:00"/>
    <s v="DUPLICADO"/>
    <n v="917178577"/>
    <n v="65384323"/>
    <n v="13059"/>
    <n v="0"/>
    <n v="13059"/>
    <n v="0"/>
    <n v="13059"/>
    <n v="917178577"/>
    <n v="285123"/>
    <s v="CORP DE BIENESTAR DEL PERSONAL DE A F P"/>
    <d v="2025-03-01T00:00:00"/>
    <d v="2025-03-26T00:00:00"/>
    <d v="2025-01-20T00:00:00"/>
    <d v="2025-01-20T00:00:00"/>
    <s v="SALUD MENTAL"/>
    <n v="22770388"/>
    <n v="3311105"/>
    <n v="69251206"/>
    <s v="TRASSA"/>
    <n v="169190419929"/>
    <n v="78070"/>
    <s v="SAL"/>
    <s v="SM01"/>
    <s v="CONSULTA O SESIONES PSIQUIATRICAS"/>
    <s v="CONSULTA PSIQUIATRICA"/>
    <s v="CONSULTA PSIQUIATRICA"/>
    <n v="0"/>
    <n v="0"/>
    <n v="76567582"/>
    <n v="0"/>
    <s v="SIN ISAPRE"/>
    <s v="GRUBILAR@AFPHABITAT.CL"/>
    <s v="15552230|76567582|917178577|65384323"/>
    <s v="GASTO FISICO"/>
    <b v="0"/>
    <s v="DEPOSITADO EN CUENTA"/>
  </r>
  <r>
    <s v="12 DE SEPTIEMBRE DE 2025"/>
    <x v="175"/>
    <s v="SOLEDAD ALVARADO CESPEDES"/>
    <n v="11841687"/>
    <s v="SOLEDAD ALVARADO CESPEDES"/>
    <d v="2025-01-01T00:00:00"/>
    <s v="INICIAL"/>
    <n v="917187246"/>
    <n v="917187246"/>
    <n v="11500"/>
    <n v="3600"/>
    <n v="7900"/>
    <n v="0"/>
    <n v="7900"/>
    <n v="917187246"/>
    <n v="285123"/>
    <s v="CORP DE BIENESTAR DEL PERSONAL DE A F P"/>
    <d v="2025-01-21T00:00:00"/>
    <d v="2025-01-21T00:00:00"/>
    <d v="2025-01-21T00:00:00"/>
    <d v="2025-01-21T00:00:00"/>
    <s v="AMBULATORIOS"/>
    <n v="22524644"/>
    <n v="1271320"/>
    <n v="68706534"/>
    <s v="TRASSA"/>
    <n v="26012025"/>
    <n v="77442"/>
    <s v="SAL"/>
    <s v="AM07"/>
    <s v="PROCEDIMIENTOS TERAPEUTICOS"/>
    <s v="PROCEDIMIENTOS TERAPEUTICOS"/>
    <s v="PROCEDIMIENTOS TERAPEUTICOS"/>
    <s v="IMED SALUD"/>
    <n v="0"/>
    <n v="76098454"/>
    <s v="K"/>
    <s v="FONASA"/>
    <s v="SALVARAD@AFPHABITAT.CL"/>
    <s v="11841687|76098454|917187246|917187246"/>
    <s v="IMED SALUD"/>
    <b v="1"/>
    <s v="APORTE VIA IMED"/>
  </r>
  <r>
    <s v="12 DE SEPTIEMBRE DE 2025"/>
    <x v="175"/>
    <s v="SOLEDAD ALVARADO CESPEDES"/>
    <n v="11841687"/>
    <s v="SOLEDAD ALVARADO CESPEDES"/>
    <d v="2025-03-01T00:00:00"/>
    <s v="DUPLICADO"/>
    <n v="917187246"/>
    <n v="65383964"/>
    <n v="6913"/>
    <n v="0"/>
    <n v="6913"/>
    <n v="0"/>
    <n v="6913"/>
    <n v="917187246"/>
    <n v="285123"/>
    <s v="CORP DE BIENESTAR DEL PERSONAL DE A F P"/>
    <d v="2025-03-01T00:00:00"/>
    <d v="2025-03-26T00:00:00"/>
    <d v="2025-01-21T00:00:00"/>
    <d v="2025-01-21T00:00:00"/>
    <s v="AMBULATORIOS"/>
    <n v="22770393"/>
    <n v="3311105"/>
    <n v="69250852"/>
    <s v="TRASSA"/>
    <n v="972740144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SALVARAD@AFPHABITAT.CL"/>
    <s v="11841687|76098454|917187246|65383964"/>
    <s v="GASTO FISICO"/>
    <b v="0"/>
    <s v="DEPOSITADO EN CUENTA"/>
  </r>
  <r>
    <s v="12 DE SEPTIEMBRE DE 2025"/>
    <x v="176"/>
    <s v="BERNARDA JOSEFINA FONSECA GONZALEZ"/>
    <n v="26464544"/>
    <s v="BERNARDA JOSEFINA FONSECA GONZALEZ"/>
    <d v="2025-01-01T00:00:00"/>
    <s v="INICIAL"/>
    <n v="917193497"/>
    <n v="917193497"/>
    <n v="9680"/>
    <n v="3779"/>
    <n v="5901"/>
    <n v="0"/>
    <n v="5901"/>
    <n v="917193497"/>
    <n v="285123"/>
    <s v="CORP DE BIENESTAR DEL PERSONAL DE A F P"/>
    <d v="2025-01-21T00:00:00"/>
    <d v="2025-01-21T00:00:00"/>
    <d v="2025-01-21T00:00:00"/>
    <d v="2025-01-21T00:00:00"/>
    <s v="AMBULATORIOS"/>
    <n v="22524679"/>
    <n v="1271320"/>
    <n v="68706589"/>
    <s v="TRASSA"/>
    <n v="26012025"/>
    <n v="77442"/>
    <s v="SAL"/>
    <s v="AM04"/>
    <s v="EXAMENES DE LABORATORIO"/>
    <s v="EXAMENES DE LABORATORIO"/>
    <s v="EXAMENES DE LABORATORIO"/>
    <s v="IMED SALUD"/>
    <n v="0"/>
    <n v="96986050"/>
    <n v="3"/>
    <s v="FONASA"/>
    <s v="BERNALDA.FONSECA@AFPHABITAT.CL"/>
    <s v="26464544|96986050|917193497|917193497"/>
    <s v="IMED SALUD"/>
    <b v="1"/>
    <s v="APORTE VIA IMED"/>
  </r>
  <r>
    <s v="12 DE SEPTIEMBRE DE 2025"/>
    <x v="176"/>
    <s v="BERNARDA JOSEFINA FONSECA GONZALEZ"/>
    <n v="26464544"/>
    <s v="BERNARDA JOSEFINA FONSECA GONZALEZ"/>
    <d v="2025-03-01T00:00:00"/>
    <s v="DUPLICADO"/>
    <n v="917193497"/>
    <n v="65384543"/>
    <n v="4993"/>
    <n v="0"/>
    <n v="4993"/>
    <n v="0"/>
    <n v="4993"/>
    <n v="917193497"/>
    <n v="285123"/>
    <s v="CORP DE BIENESTAR DEL PERSONAL DE A F P"/>
    <d v="2025-03-01T00:00:00"/>
    <d v="2025-03-26T00:00:00"/>
    <d v="2025-01-21T00:00:00"/>
    <d v="2025-01-21T00:00:00"/>
    <s v="AMBULATORIOS"/>
    <n v="22770401"/>
    <n v="3311105"/>
    <n v="69251406"/>
    <s v="TRASSA"/>
    <n v="64880648"/>
    <n v="78070"/>
    <s v="SAL"/>
    <s v="AM04"/>
    <s v="EXAMENES DE LABORATORIO"/>
    <s v="EXAMENES DE LABORATORIO"/>
    <s v="EXAMENES DE LABORATORIO"/>
    <n v="0"/>
    <n v="0"/>
    <n v="96986050"/>
    <n v="3"/>
    <s v="SIN ISAPRE"/>
    <s v="BERNALDA.FONSECA@AFPHABITAT.CL"/>
    <s v="26464544|96986050|917193497|65384543"/>
    <s v="GASTO FISICO"/>
    <b v="0"/>
    <s v="DEPOSITADO EN CUENTA"/>
  </r>
  <r>
    <s v="12 DE SEPTIEMBRE DE 2025"/>
    <x v="176"/>
    <s v="BERNARDA JOSEFINA FONSECA GONZALEZ"/>
    <n v="26464544"/>
    <s v="BERNARDA JOSEFINA FONSECA GONZALEZ"/>
    <d v="2025-01-01T00:00:00"/>
    <s v="INICIAL"/>
    <n v="917194507"/>
    <n v="917194507"/>
    <n v="31950"/>
    <n v="23170"/>
    <n v="8780"/>
    <n v="0"/>
    <n v="8780"/>
    <n v="917194507"/>
    <n v="285123"/>
    <s v="CORP DE BIENESTAR DEL PERSONAL DE A F P"/>
    <d v="2025-01-21T00:00:00"/>
    <d v="2025-01-21T00:00:00"/>
    <d v="2025-01-21T00:00:00"/>
    <d v="2025-01-21T00:00:00"/>
    <s v="AMBULATORIOS"/>
    <n v="22524679"/>
    <n v="1271320"/>
    <n v="68706593"/>
    <s v="TRASSA"/>
    <n v="26012025"/>
    <n v="77442"/>
    <s v="SAL"/>
    <s v="AM04"/>
    <s v="EXAMENES DE LABORATORIO"/>
    <s v="EXAMENES DE LABORATORIO"/>
    <s v="EXAMENES DE LABORATORIO"/>
    <s v="IMED SALUD"/>
    <n v="0"/>
    <n v="96986050"/>
    <n v="3"/>
    <s v="FONASA"/>
    <s v="BERNALDA.FONSECA@AFPHABITAT.CL"/>
    <s v="26464544|96986050|917194507|917194507"/>
    <s v="IMED SALUD"/>
    <b v="1"/>
    <s v="APORTE VIA IMED"/>
  </r>
  <r>
    <s v="12 DE SEPTIEMBRE DE 2025"/>
    <x v="176"/>
    <s v="BERNARDA JOSEFINA FONSECA GONZALEZ"/>
    <n v="26464544"/>
    <s v="BERNARDA JOSEFINA FONSECA GONZALEZ"/>
    <d v="2025-03-01T00:00:00"/>
    <s v="DUPLICADO"/>
    <n v="917194507"/>
    <n v="65384544"/>
    <n v="8449"/>
    <n v="0"/>
    <n v="8449"/>
    <n v="0"/>
    <n v="8449"/>
    <n v="917194507"/>
    <n v="285123"/>
    <s v="CORP DE BIENESTAR DEL PERSONAL DE A F P"/>
    <d v="2025-03-01T00:00:00"/>
    <d v="2025-03-26T00:00:00"/>
    <d v="2025-01-21T00:00:00"/>
    <d v="2025-01-21T00:00:00"/>
    <s v="AMBULATORIOS"/>
    <n v="22770401"/>
    <n v="3311105"/>
    <n v="69251407"/>
    <s v="TRASSA"/>
    <n v="64880648"/>
    <n v="78070"/>
    <s v="SAL"/>
    <s v="AM04"/>
    <s v="EXAMENES DE LABORATORIO"/>
    <s v="EXAMENES DE LABORATORIO"/>
    <s v="EXAMENES DE LABORATORIO"/>
    <n v="0"/>
    <n v="0"/>
    <n v="96986050"/>
    <n v="3"/>
    <s v="SIN ISAPRE"/>
    <s v="BERNALDA.FONSECA@AFPHABITAT.CL"/>
    <s v="26464544|96986050|917194507|65384544"/>
    <s v="GASTO FISICO"/>
    <b v="0"/>
    <s v="DEPOSITADO EN CUENTA"/>
  </r>
  <r>
    <s v="12 DE SEPTIEMBRE DE 2025"/>
    <x v="176"/>
    <s v="BERNARDA JOSEFINA FONSECA GONZALEZ"/>
    <n v="26464544"/>
    <s v="BERNARDA JOSEFINA FONSECA GONZALEZ"/>
    <d v="2025-01-01T00:00:00"/>
    <s v="INICIAL"/>
    <n v="917194508"/>
    <n v="917194508"/>
    <n v="49950"/>
    <n v="36218"/>
    <n v="13732"/>
    <n v="0"/>
    <n v="13732"/>
    <n v="917194508"/>
    <n v="285123"/>
    <s v="CORP DE BIENESTAR DEL PERSONAL DE A F P"/>
    <d v="2025-01-21T00:00:00"/>
    <d v="2025-01-21T00:00:00"/>
    <d v="2025-01-21T00:00:00"/>
    <d v="2025-01-21T00:00:00"/>
    <s v="AMBULATORIOS"/>
    <n v="22524679"/>
    <n v="1271320"/>
    <n v="68706592"/>
    <s v="TRASSA"/>
    <n v="26012025"/>
    <n v="77442"/>
    <s v="SAL"/>
    <s v="AM04"/>
    <s v="EXAMENES DE LABORATORIO"/>
    <s v="EXAMENES DE LABORATORIO"/>
    <s v="EXAMENES DE LABORATORIO"/>
    <s v="IMED SALUD"/>
    <n v="0"/>
    <n v="96986050"/>
    <n v="3"/>
    <s v="FONASA"/>
    <s v="BERNALDA.FONSECA@AFPHABITAT.CL"/>
    <s v="26464544|96986050|917194508|917194508"/>
    <s v="IMED SALUD"/>
    <b v="1"/>
    <s v="APORTE VIA IMED"/>
  </r>
  <r>
    <s v="12 DE SEPTIEMBRE DE 2025"/>
    <x v="176"/>
    <s v="BERNARDA JOSEFINA FONSECA GONZALEZ"/>
    <n v="26464544"/>
    <s v="BERNARDA JOSEFINA FONSECA GONZALEZ"/>
    <d v="2025-03-01T00:00:00"/>
    <s v="DUPLICADO"/>
    <n v="917194508"/>
    <n v="65384545"/>
    <n v="13824"/>
    <n v="0"/>
    <n v="13824"/>
    <n v="0"/>
    <n v="13824"/>
    <n v="917194508"/>
    <n v="285123"/>
    <s v="CORP DE BIENESTAR DEL PERSONAL DE A F P"/>
    <d v="2025-03-01T00:00:00"/>
    <d v="2025-03-26T00:00:00"/>
    <d v="2025-01-21T00:00:00"/>
    <d v="2025-01-21T00:00:00"/>
    <s v="AMBULATORIOS"/>
    <n v="22770401"/>
    <n v="3311105"/>
    <n v="69251408"/>
    <s v="TRASSA"/>
    <n v="64880648"/>
    <n v="78070"/>
    <s v="SAL"/>
    <s v="AM04"/>
    <s v="EXAMENES DE LABORATORIO"/>
    <s v="EXAMENES DE LABORATORIO"/>
    <s v="EXAMENES DE LABORATORIO"/>
    <n v="0"/>
    <n v="0"/>
    <n v="96986050"/>
    <n v="3"/>
    <s v="SIN ISAPRE"/>
    <s v="BERNALDA.FONSECA@AFPHABITAT.CL"/>
    <s v="26464544|96986050|917194508|65384545"/>
    <s v="GASTO FISICO"/>
    <b v="0"/>
    <s v="DEPOSITADO EN CUENTA"/>
  </r>
  <r>
    <s v="12 DE SEPTIEMBRE DE 2025"/>
    <x v="175"/>
    <s v="SOLEDAD ALVARADO CESPEDES"/>
    <n v="11841687"/>
    <s v="SOLEDAD ALVARADO CESPEDES"/>
    <d v="2025-01-01T00:00:00"/>
    <s v="INICIAL"/>
    <n v="917196933"/>
    <n v="917196933"/>
    <n v="54240"/>
    <n v="16960"/>
    <n v="37280"/>
    <n v="0"/>
    <n v="37280"/>
    <n v="917196933"/>
    <n v="285123"/>
    <s v="CORP DE BIENESTAR DEL PERSONAL DE A F P"/>
    <d v="2025-01-21T00:00:00"/>
    <d v="2025-01-21T00:00:00"/>
    <d v="2025-01-21T00:00:00"/>
    <d v="2025-01-21T00:00:00"/>
    <s v="AMBULATORIOS"/>
    <n v="22524644"/>
    <n v="1271320"/>
    <n v="68706608"/>
    <s v="TRASSA"/>
    <n v="26012025"/>
    <n v="77442"/>
    <s v="SAL"/>
    <s v="AM04"/>
    <s v="EXAMENES DE LABORATORIO"/>
    <s v="EXAMENES DE LABORATORIO"/>
    <s v="EXAMENES DE LABORATORIO"/>
    <s v="IMED SALUD"/>
    <n v="0"/>
    <n v="96986050"/>
    <n v="3"/>
    <s v="FONASA"/>
    <s v="SALVARAD@AFPHABITAT.CL"/>
    <s v="11841687|96986050|917196933|917196933"/>
    <s v="IMED SALUD"/>
    <b v="1"/>
    <s v="APORTE VIA IMED"/>
  </r>
  <r>
    <s v="12 DE SEPTIEMBRE DE 2025"/>
    <x v="175"/>
    <s v="SOLEDAD ALVARADO CESPEDES"/>
    <n v="11841687"/>
    <s v="SOLEDAD ALVARADO CESPEDES"/>
    <d v="2025-03-01T00:00:00"/>
    <s v="DUPLICADO"/>
    <n v="917196933"/>
    <n v="65383965"/>
    <n v="33030"/>
    <n v="0"/>
    <n v="33030"/>
    <n v="0"/>
    <n v="33030"/>
    <n v="917196933"/>
    <n v="285123"/>
    <s v="CORP DE BIENESTAR DEL PERSONAL DE A F P"/>
    <d v="2025-03-01T00:00:00"/>
    <d v="2025-03-26T00:00:00"/>
    <d v="2025-01-21T00:00:00"/>
    <d v="2025-01-21T00:00:00"/>
    <s v="AMBULATORIOS"/>
    <n v="22770393"/>
    <n v="3311105"/>
    <n v="69250853"/>
    <s v="TRASSA"/>
    <n v="972740144"/>
    <n v="78070"/>
    <s v="SAL"/>
    <s v="AM04"/>
    <s v="EXAMENES DE LABORATORIO"/>
    <s v="EXAMENES DE LABORATORIO"/>
    <s v="EXAMENES DE LABORATORIO"/>
    <n v="0"/>
    <n v="0"/>
    <n v="96986050"/>
    <n v="3"/>
    <s v="SIN ISAPRE"/>
    <s v="SALVARAD@AFPHABITAT.CL"/>
    <s v="11841687|96986050|917196933|65383965"/>
    <s v="GASTO FISICO"/>
    <b v="0"/>
    <s v="DEPOSITADO EN CUENTA"/>
  </r>
  <r>
    <s v="12 DE SEPTIEMBRE DE 2025"/>
    <x v="175"/>
    <s v="SOLEDAD ALVARADO CESPEDES"/>
    <n v="11841687"/>
    <s v="SOLEDAD ALVARADO CESPEDES"/>
    <d v="2025-01-01T00:00:00"/>
    <s v="INICIAL"/>
    <n v="917196934"/>
    <n v="917196934"/>
    <n v="50750"/>
    <n v="15870"/>
    <n v="34880"/>
    <n v="0"/>
    <n v="34880"/>
    <n v="917196934"/>
    <n v="285123"/>
    <s v="CORP DE BIENESTAR DEL PERSONAL DE A F P"/>
    <d v="2025-01-21T00:00:00"/>
    <d v="2025-01-21T00:00:00"/>
    <d v="2025-01-21T00:00:00"/>
    <d v="2025-01-21T00:00:00"/>
    <s v="AMBULATORIOS"/>
    <n v="22524644"/>
    <n v="1271320"/>
    <n v="68706607"/>
    <s v="TRASSA"/>
    <n v="26012025"/>
    <n v="77442"/>
    <s v="SAL"/>
    <s v="AM04"/>
    <s v="EXAMENES DE LABORATORIO"/>
    <s v="EXAMENES DE LABORATORIO"/>
    <s v="EXAMENES DE LABORATORIO"/>
    <s v="IMED SALUD"/>
    <n v="0"/>
    <n v="96986050"/>
    <n v="3"/>
    <s v="FONASA"/>
    <s v="SALVARAD@AFPHABITAT.CL"/>
    <s v="11841687|96986050|917196934|917196934"/>
    <s v="IMED SALUD"/>
    <b v="1"/>
    <s v="APORTE VIA IMED"/>
  </r>
  <r>
    <s v="12 DE SEPTIEMBRE DE 2025"/>
    <x v="175"/>
    <s v="SOLEDAD ALVARADO CESPEDES"/>
    <n v="11841687"/>
    <s v="SOLEDAD ALVARADO CESPEDES"/>
    <d v="2025-03-01T00:00:00"/>
    <s v="DUPLICADO"/>
    <n v="917196934"/>
    <n v="65383966"/>
    <n v="30341"/>
    <n v="0"/>
    <n v="30341"/>
    <n v="0"/>
    <n v="30341"/>
    <n v="917196934"/>
    <n v="285123"/>
    <s v="CORP DE BIENESTAR DEL PERSONAL DE A F P"/>
    <d v="2025-03-01T00:00:00"/>
    <d v="2025-03-26T00:00:00"/>
    <d v="2025-01-21T00:00:00"/>
    <d v="2025-01-21T00:00:00"/>
    <s v="AMBULATORIOS"/>
    <n v="22770393"/>
    <n v="3311105"/>
    <n v="69250854"/>
    <s v="TRASSA"/>
    <n v="972740144"/>
    <n v="78070"/>
    <s v="SAL"/>
    <s v="AM04"/>
    <s v="EXAMENES DE LABORATORIO"/>
    <s v="EXAMENES DE LABORATORIO"/>
    <s v="EXAMENES DE LABORATORIO"/>
    <n v="0"/>
    <n v="0"/>
    <n v="96986050"/>
    <n v="3"/>
    <s v="SIN ISAPRE"/>
    <s v="SALVARAD@AFPHABITAT.CL"/>
    <s v="11841687|96986050|917196934|65383966"/>
    <s v="GASTO FISICO"/>
    <b v="0"/>
    <s v="DEPOSITADO EN CUENTA"/>
  </r>
  <r>
    <s v="12 DE SEPTIEMBRE DE 2025"/>
    <x v="177"/>
    <s v="INGRID MUÑOZ HERNANDEZ"/>
    <n v="23006183"/>
    <s v="MARTIN REINKING MUNOZ"/>
    <d v="2025-01-01T00:00:00"/>
    <s v="INICIAL"/>
    <n v="917339065"/>
    <n v="917339065"/>
    <n v="33560"/>
    <n v="10500"/>
    <n v="23060"/>
    <n v="0"/>
    <n v="23060"/>
    <n v="917339065"/>
    <n v="285123"/>
    <s v="CORP DE BIENESTAR DEL PERSONAL DE A F P"/>
    <d v="2025-01-22T00:00:00"/>
    <d v="2025-01-22T00:00:00"/>
    <d v="2025-01-22T00:00:00"/>
    <d v="2025-01-22T00:00:00"/>
    <s v="AMBULATORIOS"/>
    <n v="22524699"/>
    <n v="1271320"/>
    <n v="68707396"/>
    <s v="TRASSA"/>
    <n v="26012025"/>
    <n v="77442"/>
    <s v="SAL"/>
    <s v="AM04"/>
    <s v="EXAMENES DE LABORATORIO"/>
    <s v="EXAMENES DE LABORATORIO"/>
    <s v="EXAMENES DE LABORATORIO"/>
    <s v="IMED SALUD"/>
    <n v="0"/>
    <n v="78802190"/>
    <n v="9"/>
    <s v="FONASA"/>
    <s v="IMUNOZH@AFPHABITAT.CL"/>
    <s v="13245307|78802190|917339065|917339065"/>
    <s v="IMED SALUD"/>
    <b v="1"/>
    <s v="APORTE VIA IMED"/>
  </r>
  <r>
    <s v="12 DE SEPTIEMBRE DE 2025"/>
    <x v="177"/>
    <s v="INGRID MUÑOZ HERNANDEZ"/>
    <n v="23006183"/>
    <s v="MARTIN REINKING MUNOZ"/>
    <d v="2025-03-01T00:00:00"/>
    <s v="DUPLICADO"/>
    <n v="917339065"/>
    <n v="65384094"/>
    <n v="19585"/>
    <n v="0"/>
    <n v="19585"/>
    <n v="0"/>
    <n v="19585"/>
    <n v="917339065"/>
    <n v="285123"/>
    <s v="CORP DE BIENESTAR DEL PERSONAL DE A F P"/>
    <d v="2025-03-01T00:00:00"/>
    <d v="2025-03-26T00:00:00"/>
    <d v="2025-01-22T00:00:00"/>
    <d v="2025-01-22T00:00:00"/>
    <s v="AMBULATORIOS"/>
    <n v="22770411"/>
    <n v="3311105"/>
    <n v="69250981"/>
    <s v="TRASSA"/>
    <n v="66209008"/>
    <n v="78070"/>
    <s v="SAL"/>
    <s v="AM04"/>
    <s v="EXAMENES DE LABORATORIO"/>
    <s v="EXAMENES DE LABORATORIO"/>
    <s v="EXAMENES DE LABORATORIO"/>
    <n v="0"/>
    <n v="0"/>
    <n v="78802190"/>
    <n v="9"/>
    <s v="SIN ISAPRE"/>
    <s v="IMUNOZH@AFPHABITAT.CL"/>
    <s v="13245307|78802190|917339065|65384094"/>
    <s v="GASTO FISICO"/>
    <b v="0"/>
    <s v="DEPOSITADO EN CUENTA"/>
  </r>
  <r>
    <s v="12 DE SEPTIEMBRE DE 2025"/>
    <x v="177"/>
    <s v="INGRID MUÑOZ HERNANDEZ"/>
    <n v="23006183"/>
    <s v="MARTIN REINKING MUNOZ"/>
    <d v="2025-01-01T00:00:00"/>
    <s v="INICIAL"/>
    <n v="917339066"/>
    <n v="917339066"/>
    <n v="13520"/>
    <n v="4230"/>
    <n v="9290"/>
    <n v="0"/>
    <n v="9290"/>
    <n v="917339066"/>
    <n v="285123"/>
    <s v="CORP DE BIENESTAR DEL PERSONAL DE A F P"/>
    <d v="2025-01-22T00:00:00"/>
    <d v="2025-01-22T00:00:00"/>
    <d v="2025-01-22T00:00:00"/>
    <d v="2025-01-22T00:00:00"/>
    <s v="AMBULATORIOS"/>
    <n v="22524699"/>
    <n v="1271320"/>
    <n v="68707395"/>
    <s v="TRASSA"/>
    <n v="26012025"/>
    <n v="77442"/>
    <s v="SAL"/>
    <s v="AM04"/>
    <s v="EXAMENES DE LABORATORIO"/>
    <s v="EXAMENES DE LABORATORIO"/>
    <s v="EXAMENES DE LABORATORIO"/>
    <s v="IMED SALUD"/>
    <n v="0"/>
    <n v="78802190"/>
    <n v="9"/>
    <s v="FONASA"/>
    <s v="IMUNOZH@AFPHABITAT.CL"/>
    <s v="13245307|78802190|917339066|917339066"/>
    <s v="IMED SALUD"/>
    <b v="1"/>
    <s v="APORTE VIA IMED"/>
  </r>
  <r>
    <s v="12 DE SEPTIEMBRE DE 2025"/>
    <x v="177"/>
    <s v="INGRID MUÑOZ HERNANDEZ"/>
    <n v="23006183"/>
    <s v="MARTIN REINKING MUNOZ"/>
    <d v="2025-03-01T00:00:00"/>
    <s v="DUPLICADO"/>
    <n v="917339066"/>
    <n v="65384095"/>
    <n v="8065"/>
    <n v="0"/>
    <n v="8065"/>
    <n v="0"/>
    <n v="8065"/>
    <n v="917339066"/>
    <n v="285123"/>
    <s v="CORP DE BIENESTAR DEL PERSONAL DE A F P"/>
    <d v="2025-03-01T00:00:00"/>
    <d v="2025-03-26T00:00:00"/>
    <d v="2025-01-22T00:00:00"/>
    <d v="2025-01-22T00:00:00"/>
    <s v="AMBULATORIOS"/>
    <n v="22770411"/>
    <n v="3311105"/>
    <n v="69250982"/>
    <s v="TRASSA"/>
    <n v="66209008"/>
    <n v="78070"/>
    <s v="SAL"/>
    <s v="AM04"/>
    <s v="EXAMENES DE LABORATORIO"/>
    <s v="EXAMENES DE LABORATORIO"/>
    <s v="EXAMENES DE LABORATORIO"/>
    <n v="0"/>
    <n v="0"/>
    <n v="78802190"/>
    <n v="9"/>
    <s v="SIN ISAPRE"/>
    <s v="IMUNOZH@AFPHABITAT.CL"/>
    <s v="13245307|78802190|917339066|65384095"/>
    <s v="GASTO FISICO"/>
    <b v="0"/>
    <s v="DEPOSITADO EN CUENTA"/>
  </r>
  <r>
    <s v="12 DE SEPTIEMBRE DE 2025"/>
    <x v="178"/>
    <s v="ANAMARIA DE LOURDES CARRASCO ALONSO"/>
    <n v="12026051"/>
    <s v="ANAMARIA DE LOURDES CARRASCO ALONSO"/>
    <d v="2025-01-01T00:00:00"/>
    <s v="INICIAL"/>
    <n v="917362947"/>
    <n v="917362947"/>
    <n v="26660"/>
    <n v="8340"/>
    <n v="18320"/>
    <n v="0"/>
    <n v="18320"/>
    <n v="917362947"/>
    <n v="285123"/>
    <s v="CORP DE BIENESTAR DEL PERSONAL DE A F P"/>
    <d v="2025-01-22T00:00:00"/>
    <d v="2025-01-22T00:00:00"/>
    <d v="2025-01-22T00:00:00"/>
    <d v="2025-01-22T00:00:00"/>
    <s v="AMBULATORIOS"/>
    <n v="22524694"/>
    <n v="1271320"/>
    <n v="68707526"/>
    <s v="TRASSA"/>
    <n v="26012025"/>
    <n v="77442"/>
    <s v="SAL"/>
    <s v="AM04"/>
    <s v="EXAMENES DE LABORATORIO"/>
    <s v="EXAMENES DE LABORATORIO"/>
    <s v="EXAMENES DE LABORATORIO"/>
    <s v="IMED SALUD"/>
    <n v="0"/>
    <n v="96617350"/>
    <n v="5"/>
    <s v="FONASA"/>
    <s v="ANAMARIA.CARRASCO@AFPHABITAT.CL"/>
    <s v="12026051|96617350|917362947|917362947"/>
    <s v="IMED SALUD"/>
    <b v="1"/>
    <s v="APORTE VIA IMED"/>
  </r>
  <r>
    <s v="12 DE SEPTIEMBRE DE 2025"/>
    <x v="178"/>
    <s v="ANAMARIA DE LOURDES CARRASCO ALONSO"/>
    <n v="12026051"/>
    <s v="ANAMARIA DE LOURDES CARRASCO ALONSO"/>
    <d v="2025-03-01T00:00:00"/>
    <s v="DUPLICADO"/>
    <n v="917362947"/>
    <n v="65383984"/>
    <n v="15361"/>
    <n v="0"/>
    <n v="15361"/>
    <n v="0"/>
    <n v="15361"/>
    <n v="917362947"/>
    <n v="285123"/>
    <s v="CORP DE BIENESTAR DEL PERSONAL DE A F P"/>
    <d v="2025-03-01T00:00:00"/>
    <d v="2025-03-26T00:00:00"/>
    <d v="2025-01-22T00:00:00"/>
    <d v="2025-01-22T00:00:00"/>
    <s v="AMBULATORIOS"/>
    <n v="22770408"/>
    <n v="3311105"/>
    <n v="69250872"/>
    <s v="TRASSA"/>
    <n v="93009178"/>
    <n v="78070"/>
    <s v="SAL"/>
    <s v="AM04"/>
    <s v="EXAMENES DE LABORATORIO"/>
    <s v="EXAMENES DE LABORATORIO"/>
    <s v="EXAMENES DE LABORATORIO"/>
    <n v="0"/>
    <n v="0"/>
    <n v="96617350"/>
    <n v="5"/>
    <s v="SIN ISAPRE"/>
    <s v="ANAMARIA.CARRASCO@AFPHABITAT.CL"/>
    <s v="12026051|96617350|917362947|65383984"/>
    <s v="GASTO FISICO"/>
    <b v="0"/>
    <s v="DEPOSITADO EN CUENTA"/>
  </r>
  <r>
    <s v="12 DE SEPTIEMBRE DE 2025"/>
    <x v="178"/>
    <s v="ANAMARIA DE LOURDES CARRASCO ALONSO"/>
    <n v="12026051"/>
    <s v="ANAMARIA DE LOURDES CARRASCO ALONSO"/>
    <d v="2025-01-01T00:00:00"/>
    <s v="INICIAL"/>
    <n v="917362948"/>
    <n v="917362948"/>
    <n v="37810"/>
    <n v="11820"/>
    <n v="25990"/>
    <n v="0"/>
    <n v="25990"/>
    <n v="917362948"/>
    <n v="285123"/>
    <s v="CORP DE BIENESTAR DEL PERSONAL DE A F P"/>
    <d v="2025-01-22T00:00:00"/>
    <d v="2025-01-22T00:00:00"/>
    <d v="2025-01-22T00:00:00"/>
    <d v="2025-01-22T00:00:00"/>
    <s v="AMBULATORIOS"/>
    <n v="22524694"/>
    <n v="1271320"/>
    <n v="68707525"/>
    <s v="TRASSA"/>
    <n v="26012025"/>
    <n v="77442"/>
    <s v="SAL"/>
    <s v="AM04"/>
    <s v="EXAMENES DE LABORATORIO"/>
    <s v="EXAMENES DE LABORATORIO"/>
    <s v="EXAMENES DE LABORATORIO"/>
    <s v="IMED SALUD"/>
    <n v="0"/>
    <n v="96617350"/>
    <n v="5"/>
    <s v="FONASA"/>
    <s v="ANAMARIA.CARRASCO@AFPHABITAT.CL"/>
    <s v="12026051|96617350|917362948|917362948"/>
    <s v="IMED SALUD"/>
    <b v="1"/>
    <s v="APORTE VIA IMED"/>
  </r>
  <r>
    <s v="12 DE SEPTIEMBRE DE 2025"/>
    <x v="178"/>
    <s v="ANAMARIA DE LOURDES CARRASCO ALONSO"/>
    <n v="12026051"/>
    <s v="ANAMARIA DE LOURDES CARRASCO ALONSO"/>
    <d v="2025-03-01T00:00:00"/>
    <s v="DUPLICADO"/>
    <n v="917362948"/>
    <n v="65383985"/>
    <n v="22657"/>
    <n v="0"/>
    <n v="22657"/>
    <n v="0"/>
    <n v="22657"/>
    <n v="917362948"/>
    <n v="285123"/>
    <s v="CORP DE BIENESTAR DEL PERSONAL DE A F P"/>
    <d v="2025-03-01T00:00:00"/>
    <d v="2025-03-26T00:00:00"/>
    <d v="2025-01-22T00:00:00"/>
    <d v="2025-01-22T00:00:00"/>
    <s v="AMBULATORIOS"/>
    <n v="22770408"/>
    <n v="3311105"/>
    <n v="69250873"/>
    <s v="TRASSA"/>
    <n v="93009178"/>
    <n v="78070"/>
    <s v="SAL"/>
    <s v="AM04"/>
    <s v="EXAMENES DE LABORATORIO"/>
    <s v="EXAMENES DE LABORATORIO"/>
    <s v="EXAMENES DE LABORATORIO"/>
    <n v="0"/>
    <n v="0"/>
    <n v="96617350"/>
    <n v="5"/>
    <s v="SIN ISAPRE"/>
    <s v="ANAMARIA.CARRASCO@AFPHABITAT.CL"/>
    <s v="12026051|96617350|917362948|65383985"/>
    <s v="GASTO FISICO"/>
    <b v="0"/>
    <s v="DEPOSITADO EN CUENTA"/>
  </r>
  <r>
    <s v="12 DE SEPTIEMBRE DE 2025"/>
    <x v="178"/>
    <s v="ANAMARIA DE LOURDES CARRASCO ALONSO"/>
    <n v="12026051"/>
    <s v="ANAMARIA DE LOURDES CARRASCO ALONSO"/>
    <d v="2025-01-01T00:00:00"/>
    <s v="INICIAL"/>
    <n v="917362949"/>
    <n v="917362949"/>
    <n v="44480"/>
    <n v="13920"/>
    <n v="30560"/>
    <n v="0"/>
    <n v="30560"/>
    <n v="917362949"/>
    <n v="285123"/>
    <s v="CORP DE BIENESTAR DEL PERSONAL DE A F P"/>
    <d v="2025-01-22T00:00:00"/>
    <d v="2025-01-22T00:00:00"/>
    <d v="2025-01-22T00:00:00"/>
    <d v="2025-01-22T00:00:00"/>
    <s v="AMBULATORIOS"/>
    <n v="22524694"/>
    <n v="1271320"/>
    <n v="68707524"/>
    <s v="TRASSA"/>
    <n v="26012025"/>
    <n v="77442"/>
    <s v="SAL"/>
    <s v="AM04"/>
    <s v="EXAMENES DE LABORATORIO"/>
    <s v="EXAMENES DE LABORATORIO"/>
    <s v="EXAMENES DE LABORATORIO"/>
    <s v="IMED SALUD"/>
    <n v="0"/>
    <n v="96617350"/>
    <n v="5"/>
    <s v="FONASA"/>
    <s v="ANAMARIA.CARRASCO@AFPHABITAT.CL"/>
    <s v="12026051|96617350|917362949|917362949"/>
    <s v="IMED SALUD"/>
    <b v="1"/>
    <s v="APORTE VIA IMED"/>
  </r>
  <r>
    <s v="12 DE SEPTIEMBRE DE 2025"/>
    <x v="178"/>
    <s v="ANAMARIA DE LOURDES CARRASCO ALONSO"/>
    <n v="12026051"/>
    <s v="ANAMARIA DE LOURDES CARRASCO ALONSO"/>
    <d v="2025-03-01T00:00:00"/>
    <s v="DUPLICADO"/>
    <n v="917362949"/>
    <n v="65383986"/>
    <n v="26883"/>
    <n v="0"/>
    <n v="26883"/>
    <n v="0"/>
    <n v="26883"/>
    <n v="917362949"/>
    <n v="285123"/>
    <s v="CORP DE BIENESTAR DEL PERSONAL DE A F P"/>
    <d v="2025-03-01T00:00:00"/>
    <d v="2025-03-26T00:00:00"/>
    <d v="2025-01-22T00:00:00"/>
    <d v="2025-01-22T00:00:00"/>
    <s v="AMBULATORIOS"/>
    <n v="22770408"/>
    <n v="3311105"/>
    <n v="69250874"/>
    <s v="TRASSA"/>
    <n v="93009178"/>
    <n v="78070"/>
    <s v="SAL"/>
    <s v="AM04"/>
    <s v="EXAMENES DE LABORATORIO"/>
    <s v="EXAMENES DE LABORATORIO"/>
    <s v="EXAMENES DE LABORATORIO"/>
    <n v="0"/>
    <n v="0"/>
    <n v="96617350"/>
    <n v="5"/>
    <s v="SIN ISAPRE"/>
    <s v="ANAMARIA.CARRASCO@AFPHABITAT.CL"/>
    <s v="12026051|96617350|917362949|65383986"/>
    <s v="GASTO FISICO"/>
    <b v="0"/>
    <s v="DEPOSITADO EN CUENTA"/>
  </r>
  <r>
    <s v="12 DE SEPTIEMBRE DE 2025"/>
    <x v="179"/>
    <s v="MARIO OROZCO CABRERA"/>
    <n v="9004627"/>
    <s v="MARIO OROZCO CABRERA"/>
    <d v="2025-01-01T00:00:00"/>
    <s v="INICIAL"/>
    <n v="917405017"/>
    <n v="917405017"/>
    <n v="28990"/>
    <n v="9060"/>
    <n v="19930"/>
    <n v="0"/>
    <n v="19930"/>
    <n v="917405017"/>
    <n v="285123"/>
    <s v="CORP DE BIENESTAR DEL PERSONAL DE A F P"/>
    <d v="2025-01-22T00:00:00"/>
    <d v="2025-01-22T00:00:00"/>
    <d v="2025-01-22T00:00:00"/>
    <d v="2025-01-22T00:00:00"/>
    <s v="AMBULATORIOS"/>
    <n v="22524685"/>
    <n v="1271320"/>
    <n v="68707696"/>
    <s v="TRASSA"/>
    <n v="26012025"/>
    <n v="77442"/>
    <s v="SAL"/>
    <s v="AM05"/>
    <s v="EXAMENES RADIOLOGICOS"/>
    <s v="EXAMENES RADIOLOGICOS"/>
    <s v="EXAMENES RADIOLOGICOS"/>
    <s v="IMED SALUD"/>
    <n v="0"/>
    <n v="96942400"/>
    <n v="2"/>
    <s v="FONASA"/>
    <s v="MOROZCOC@AFPHABITAT.CL"/>
    <s v="9004627|96942400|917405017|917405017"/>
    <s v="IMED SALUD"/>
    <b v="1"/>
    <s v="APORTE VIA IMED"/>
  </r>
  <r>
    <s v="12 DE SEPTIEMBRE DE 2025"/>
    <x v="179"/>
    <s v="MARIO OROZCO CABRERA"/>
    <n v="9004627"/>
    <s v="MARIO OROZCO CABRERA"/>
    <d v="2025-03-01T00:00:00"/>
    <s v="DUPLICADO"/>
    <n v="917405017"/>
    <n v="65383698"/>
    <n v="17283"/>
    <n v="0"/>
    <n v="17283"/>
    <n v="0"/>
    <n v="17283"/>
    <n v="917405017"/>
    <n v="285123"/>
    <s v="CORP DE BIENESTAR DEL PERSONAL DE A F P"/>
    <d v="2025-03-01T00:00:00"/>
    <d v="2025-03-26T00:00:00"/>
    <d v="2025-01-22T00:00:00"/>
    <d v="2025-01-22T00:00:00"/>
    <s v="AMBULATORIOS"/>
    <n v="22770403"/>
    <n v="3311105"/>
    <n v="69250589"/>
    <s v="TRASSA"/>
    <n v="14076980"/>
    <n v="78070"/>
    <s v="SAL"/>
    <s v="AM05"/>
    <s v="EXAMENES RADIOLOGICOS"/>
    <s v="EXAMENES RADIOLOGICOS"/>
    <s v="EXAMENES RADIOLOGICOS"/>
    <n v="0"/>
    <n v="0"/>
    <n v="96942400"/>
    <n v="2"/>
    <s v="SIN ISAPRE"/>
    <s v="MOROZCOC@AFPHABITAT.CL"/>
    <s v="9004627|96942400|917405017|65383698"/>
    <s v="GASTO FISICO"/>
    <b v="0"/>
    <s v="DEPOSITADO EN CUENTA"/>
  </r>
  <r>
    <s v="12 DE SEPTIEMBRE DE 2025"/>
    <x v="180"/>
    <s v="SUSANA RAMOS ALVAREZ"/>
    <n v="11635877"/>
    <s v="SUSANA RAMOS ALVAREZ"/>
    <d v="2025-01-01T00:00:00"/>
    <s v="INICIAL"/>
    <n v="917444124"/>
    <n v="917444124"/>
    <n v="11500"/>
    <n v="3600"/>
    <n v="7900"/>
    <n v="0"/>
    <n v="7900"/>
    <n v="917444124"/>
    <n v="285123"/>
    <s v="CORP DE BIENESTAR DEL PERSONAL DE A F P"/>
    <d v="2025-01-22T00:00:00"/>
    <d v="2025-01-22T00:00:00"/>
    <d v="2025-01-22T00:00:00"/>
    <d v="2025-01-22T00:00:00"/>
    <s v="AMBULATORIOS"/>
    <n v="22524691"/>
    <n v="1271320"/>
    <n v="68707902"/>
    <s v="TRASSA"/>
    <n v="26012025"/>
    <n v="77442"/>
    <s v="SAL"/>
    <s v="AM07"/>
    <s v="PROCEDIMIENTOS TERAPEUTICOS"/>
    <s v="PROCEDIMIENTOS TERAPEUTICOS"/>
    <s v="PROCEDIMIENTOS TERAPEUTICOS"/>
    <s v="IMED SALUD"/>
    <n v="0"/>
    <n v="96942400"/>
    <n v="2"/>
    <s v="FONASA"/>
    <s v="SRAMOSA@AFPHABITAT.CL"/>
    <s v="11635877|96942400|917444124|917444124"/>
    <s v="IMED SALUD"/>
    <b v="1"/>
    <s v="APORTE VIA IMED"/>
  </r>
  <r>
    <s v="12 DE SEPTIEMBRE DE 2025"/>
    <x v="180"/>
    <s v="SUSANA RAMOS ALVAREZ"/>
    <n v="11635877"/>
    <s v="SUSANA RAMOS ALVAREZ"/>
    <d v="2025-03-01T00:00:00"/>
    <s v="DUPLICADO"/>
    <n v="917444124"/>
    <n v="65383947"/>
    <n v="6913"/>
    <n v="0"/>
    <n v="6913"/>
    <n v="0"/>
    <n v="6913"/>
    <n v="917444124"/>
    <n v="285123"/>
    <s v="CORP DE BIENESTAR DEL PERSONAL DE A F P"/>
    <d v="2025-03-01T00:00:00"/>
    <d v="2025-03-26T00:00:00"/>
    <d v="2025-01-22T00:00:00"/>
    <d v="2025-01-22T00:00:00"/>
    <s v="AMBULATORIOS"/>
    <n v="22770405"/>
    <n v="3311105"/>
    <n v="69250835"/>
    <s v="TRASSA"/>
    <n v="88189299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SRAMOSA@AFPHABITAT.CL"/>
    <s v="11635877|96942400|917444124|65383947"/>
    <s v="GASTO FISICO"/>
    <b v="0"/>
    <s v="DEPOSITADO EN CUENTA"/>
  </r>
  <r>
    <s v="12 DE SEPTIEMBRE DE 2025"/>
    <x v="181"/>
    <s v="JEANNETTE CAROLINA KLEIN ALPES"/>
    <n v="8586053"/>
    <s v="JEANNETTE CAROLINA KLEIN ALPES"/>
    <d v="2025-01-01T00:00:00"/>
    <s v="INICIAL"/>
    <n v="917614541"/>
    <n v="917614541"/>
    <n v="28990"/>
    <n v="9060"/>
    <n v="19930"/>
    <n v="0"/>
    <n v="19930"/>
    <n v="917614541"/>
    <n v="285123"/>
    <s v="CORP DE BIENESTAR DEL PERSONAL DE A F P"/>
    <d v="2025-01-24T00:00:00"/>
    <d v="2025-01-24T00:00:00"/>
    <d v="2025-01-24T00:00:00"/>
    <d v="2025-01-24T00:00:00"/>
    <s v="AMBULATORIOS"/>
    <n v="22524781"/>
    <n v="1271320"/>
    <n v="68708963"/>
    <s v="TRASSA"/>
    <n v="26012025"/>
    <n v="77442"/>
    <s v="SAL"/>
    <s v="AM05"/>
    <s v="EXAMENES RADIOLOGICOS"/>
    <s v="EXAMENES RADIOLOGICOS"/>
    <s v="EXAMENES RADIOLOGICOS"/>
    <s v="IMED SALUD"/>
    <n v="0"/>
    <n v="96942400"/>
    <n v="2"/>
    <s v="FONASA"/>
    <s v="JEANNETTE.KLEIN@AFPHABITAT.CL"/>
    <s v="8586053|96942400|917614541|917614541"/>
    <s v="IMED SALUD"/>
    <b v="1"/>
    <s v="APORTE VIA IMED"/>
  </r>
  <r>
    <s v="12 DE SEPTIEMBRE DE 2025"/>
    <x v="181"/>
    <s v="JEANNETTE CAROLINA KLEIN ALPES"/>
    <n v="8586053"/>
    <s v="JEANNETTE CAROLINA KLEIN ALPES"/>
    <d v="2025-03-01T00:00:00"/>
    <s v="DUPLICADO"/>
    <n v="917614541"/>
    <n v="65383684"/>
    <n v="17280"/>
    <n v="0"/>
    <n v="17280"/>
    <n v="0"/>
    <n v="17280"/>
    <n v="917614541"/>
    <n v="285123"/>
    <s v="CORP DE BIENESTAR DEL PERSONAL DE A F P"/>
    <d v="2025-03-01T00:00:00"/>
    <d v="2025-03-26T00:00:00"/>
    <d v="2025-01-24T00:00:00"/>
    <d v="2025-01-24T00:00:00"/>
    <s v="AMBULATORIOS"/>
    <n v="22770425"/>
    <n v="3311105"/>
    <n v="69250575"/>
    <s v="TRASSA"/>
    <n v="94056544"/>
    <n v="78070"/>
    <s v="SAL"/>
    <s v="AM05"/>
    <s v="EXAMENES RADIOLOGICOS"/>
    <s v="EXAMENES RADIOLOGICOS"/>
    <s v="EXAMENES RADIOLOGICOS"/>
    <n v="0"/>
    <n v="0"/>
    <n v="96942400"/>
    <n v="2"/>
    <s v="SIN ISAPRE"/>
    <s v="JEANNETTE.KLEIN@AFPHABITAT.CL"/>
    <s v="8586053|96942400|917614541|65383684"/>
    <s v="GASTO FISICO"/>
    <b v="0"/>
    <s v="DEPOSITADO EN CUENTA"/>
  </r>
  <r>
    <s v="12 DE SEPTIEMBRE DE 2025"/>
    <x v="28"/>
    <s v="SHELIA RIVEROS SILVA"/>
    <n v="10438932"/>
    <s v="SHELIA RIVEROS SILVA"/>
    <d v="2025-01-01T00:00:00"/>
    <s v="INICIAL"/>
    <n v="917688749"/>
    <n v="917688749"/>
    <n v="41600"/>
    <n v="21580"/>
    <n v="20020"/>
    <n v="0"/>
    <n v="20020"/>
    <n v="917688749"/>
    <n v="285123"/>
    <s v="CORP DE BIENESTAR DEL PERSONAL DE A F P"/>
    <d v="2025-01-24T00:00:00"/>
    <d v="2025-01-24T00:00:00"/>
    <d v="2025-01-24T00:00:00"/>
    <d v="2025-01-24T00:00:00"/>
    <s v="AMBULATORIOS"/>
    <n v="22524785"/>
    <n v="1271320"/>
    <n v="68709353"/>
    <s v="TRASSA"/>
    <n v="26012025"/>
    <n v="77442"/>
    <s v="SAL"/>
    <s v="AM05"/>
    <s v="EXAMENES RADIOLOGICOS"/>
    <s v="EXAMENES RADIOLOGICOS"/>
    <s v="EXAMENES RADIOLOGICOS"/>
    <s v="IMED SALUD"/>
    <n v="0"/>
    <n v="76098454"/>
    <s v="K"/>
    <s v="FONASA"/>
    <s v="SRIVEROS@AFPHABITAT.CL"/>
    <s v="10438932|76098454|917688749|917688749"/>
    <s v="IMED SALUD"/>
    <b v="1"/>
    <s v="APORTE VIA IMED"/>
  </r>
  <r>
    <s v="12 DE SEPTIEMBRE DE 2025"/>
    <x v="28"/>
    <s v="SHELIA RIVEROS SILVA"/>
    <n v="10438932"/>
    <s v="SHELIA RIVEROS SILVA"/>
    <d v="2025-03-01T00:00:00"/>
    <s v="DUPLICADO"/>
    <n v="917688749"/>
    <n v="65383847"/>
    <n v="24577"/>
    <n v="0"/>
    <n v="24577"/>
    <n v="0"/>
    <n v="24577"/>
    <n v="917688749"/>
    <n v="285123"/>
    <s v="CORP DE BIENESTAR DEL PERSONAL DE A F P"/>
    <d v="2025-03-01T00:00:00"/>
    <d v="2025-03-26T00:00:00"/>
    <d v="2025-01-24T00:00:00"/>
    <d v="2025-01-24T00:00:00"/>
    <s v="AMBULATORIOS"/>
    <n v="22770427"/>
    <n v="3311105"/>
    <n v="69250736"/>
    <s v="TRASSA"/>
    <n v="19996901851"/>
    <n v="78070"/>
    <s v="SAL"/>
    <s v="AM05"/>
    <s v="EXAMENES RADIOLOGICOS"/>
    <s v="EXAMENES RADIOLOGICOS"/>
    <s v="EXAMENES RADIOLOGICOS"/>
    <n v="0"/>
    <n v="0"/>
    <n v="76098454"/>
    <s v="K"/>
    <s v="SIN ISAPRE"/>
    <s v="SRIVEROS@AFPHABITAT.CL"/>
    <s v="10438932|76098454|917688749|65383847"/>
    <s v="GASTO FISICO"/>
    <b v="0"/>
    <s v="DEPOSITADO EN CUENTA"/>
  </r>
  <r>
    <s v="12 DE SEPTIEMBRE DE 2025"/>
    <x v="182"/>
    <s v="IVAN CARREÑO GUTIERREZ"/>
    <n v="12462191"/>
    <s v="IVAN CARREÑO GUTIERREZ"/>
    <d v="2025-01-01T00:00:00"/>
    <s v="INICIAL"/>
    <n v="917728603"/>
    <n v="917728603"/>
    <n v="45620"/>
    <n v="14270"/>
    <n v="31350"/>
    <n v="0"/>
    <n v="31350"/>
    <n v="917728603"/>
    <n v="285123"/>
    <s v="CORP DE BIENESTAR DEL PERSONAL DE A F P"/>
    <d v="2025-01-25T00:00:00"/>
    <d v="2025-01-25T00:00:00"/>
    <d v="2025-01-25T00:00:00"/>
    <d v="2025-01-25T00:00:00"/>
    <s v="AMBULATORIOS"/>
    <n v="22560775"/>
    <n v="2040929"/>
    <n v="68807135"/>
    <s v="TRASSA"/>
    <n v="2022025"/>
    <n v="77562"/>
    <s v="SAL"/>
    <s v="AM04"/>
    <s v="EXAMENES DE LABORATORIO"/>
    <s v="EXAMENES DE LABORATORIO"/>
    <s v="EXAMENES DE LABORATORIO"/>
    <s v="IMED SALUD"/>
    <n v="0"/>
    <n v="96986050"/>
    <n v="3"/>
    <s v="FONASA"/>
    <s v="ICARRENG@AFPHABITAT.CL"/>
    <s v="12462191|96986050|917728603|917728603"/>
    <s v="IMED SALUD"/>
    <b v="1"/>
    <s v="APORTE VIA IMED"/>
  </r>
  <r>
    <s v="12 DE SEPTIEMBRE DE 2025"/>
    <x v="182"/>
    <s v="IVAN CARREÑO GUTIERREZ"/>
    <n v="12462191"/>
    <s v="IVAN CARREÑO GUTIERREZ"/>
    <d v="2025-03-01T00:00:00"/>
    <s v="DUPLICADO"/>
    <n v="917728603"/>
    <n v="65384012"/>
    <n v="26875"/>
    <n v="0"/>
    <n v="26875"/>
    <n v="0"/>
    <n v="26875"/>
    <n v="917728603"/>
    <n v="285123"/>
    <s v="CORP DE BIENESTAR DEL PERSONAL DE A F P"/>
    <d v="2025-03-01T00:00:00"/>
    <d v="2025-03-26T00:00:00"/>
    <d v="2025-01-25T00:00:00"/>
    <d v="2025-01-25T00:00:00"/>
    <s v="AMBULATORIOS"/>
    <n v="22770432"/>
    <n v="3311105"/>
    <n v="69250900"/>
    <s v="TRASSA"/>
    <n v="668168"/>
    <n v="78070"/>
    <s v="SAL"/>
    <s v="AM04"/>
    <s v="EXAMENES DE LABORATORIO"/>
    <s v="EXAMENES DE LABORATORIO"/>
    <s v="EXAMENES DE LABORATORIO"/>
    <n v="0"/>
    <n v="0"/>
    <n v="96986050"/>
    <n v="3"/>
    <s v="SIN ISAPRE"/>
    <s v="ICARRENG@AFPHABITAT.CL"/>
    <s v="12462191|96986050|917728603|65384012"/>
    <s v="GASTO FISICO"/>
    <b v="0"/>
    <s v="DEPOSITADO EN CUENTA"/>
  </r>
  <r>
    <s v="12 DE SEPTIEMBRE DE 2025"/>
    <x v="116"/>
    <s v="PABLO CAMPOS RAVELO"/>
    <n v="24963608"/>
    <s v="MAGDALENA CAMPOS BOIN"/>
    <d v="2025-01-01T00:00:00"/>
    <s v="INICIAL"/>
    <n v="917852890"/>
    <n v="917852890"/>
    <n v="22130"/>
    <n v="6920"/>
    <n v="15210"/>
    <n v="0"/>
    <n v="15210"/>
    <n v="917852890"/>
    <n v="285123"/>
    <s v="CORP DE BIENESTAR DEL PERSONAL DE A F P"/>
    <d v="2025-01-27T00:00:00"/>
    <d v="2025-01-27T00:00:00"/>
    <d v="2025-01-27T00:00:00"/>
    <d v="2025-01-27T00:00:00"/>
    <s v="AMBULATORIOS"/>
    <n v="22560815"/>
    <n v="2040929"/>
    <n v="68807951"/>
    <s v="TRASSA"/>
    <n v="2022025"/>
    <n v="77562"/>
    <s v="SAL"/>
    <s v="AM05"/>
    <s v="EXAMENES RADIOLOGICOS"/>
    <s v="EXAMENES RADIOLOGICOS"/>
    <s v="EXAMENES RADIOLOGICOS"/>
    <s v="IMED SALUD"/>
    <n v="0"/>
    <n v="93930000"/>
    <n v="7"/>
    <s v="FONASA"/>
    <s v="PABLO.CAMPOS@AFPHABITAT.CL"/>
    <s v="13470864|93930000|917852890|917852890"/>
    <s v="IMED SALUD"/>
    <b v="1"/>
    <s v="APORTE VIA IMED"/>
  </r>
  <r>
    <s v="12 DE SEPTIEMBRE DE 2025"/>
    <x v="116"/>
    <s v="PABLO CAMPOS RAVELO"/>
    <n v="24963608"/>
    <s v="MAGDALENA CAMPOS BOIN"/>
    <d v="2025-03-01T00:00:00"/>
    <s v="DUPLICADO"/>
    <n v="917852890"/>
    <n v="65384122"/>
    <n v="13054"/>
    <n v="0"/>
    <n v="13054"/>
    <n v="0"/>
    <n v="13054"/>
    <n v="917852890"/>
    <n v="285123"/>
    <s v="CORP DE BIENESTAR DEL PERSONAL DE A F P"/>
    <d v="2025-03-01T00:00:00"/>
    <d v="2025-03-26T00:00:00"/>
    <d v="2025-01-27T00:00:00"/>
    <d v="2025-01-27T00:00:00"/>
    <s v="AMBULATORIOS"/>
    <n v="22770439"/>
    <n v="3311105"/>
    <n v="69251003"/>
    <s v="TRASSA"/>
    <n v="2516410"/>
    <n v="78070"/>
    <s v="SAL"/>
    <s v="AM05"/>
    <s v="EXAMENES RADIOLOGICOS"/>
    <s v="EXAMENES RADIOLOGICOS"/>
    <s v="EXAMENES RADIOLOGICOS"/>
    <n v="0"/>
    <n v="0"/>
    <n v="93930000"/>
    <n v="7"/>
    <s v="SIN ISAPRE"/>
    <s v="PABLO.CAMPOS@AFPHABITAT.CL"/>
    <s v="13470864|93930000|917852890|65384122"/>
    <s v="GASTO FISICO"/>
    <b v="0"/>
    <s v="DEPOSITADO EN CUENTA"/>
  </r>
  <r>
    <s v="12 DE SEPTIEMBRE DE 2025"/>
    <x v="159"/>
    <s v="ROCIO POZO ANTONIN"/>
    <n v="15549922"/>
    <s v="ROCIO POZO ANTONIN"/>
    <d v="2025-01-01T00:00:00"/>
    <s v="INICIAL"/>
    <n v="917872730"/>
    <n v="917872730"/>
    <n v="14190"/>
    <n v="7988"/>
    <n v="6202"/>
    <n v="0"/>
    <n v="6202"/>
    <n v="917872730"/>
    <n v="285123"/>
    <s v="CORP DE BIENESTAR DEL PERSONAL DE A F P"/>
    <d v="2025-01-27T00:00:00"/>
    <d v="2025-01-27T00:00:00"/>
    <d v="2025-01-27T00:00:00"/>
    <d v="2025-01-27T00:00:00"/>
    <s v="AMBULATORIOS"/>
    <n v="22560825"/>
    <n v="2040929"/>
    <n v="68808046"/>
    <s v="TRASSA"/>
    <n v="2022025"/>
    <n v="77562"/>
    <s v="SAL"/>
    <s v="AM04"/>
    <s v="EXAMENES DE LABORATORIO"/>
    <s v="EXAMENES DE LABORATORIO"/>
    <s v="EXAMENES DE LABORATORIO"/>
    <s v="IMED SALUD"/>
    <n v="0"/>
    <n v="96942400"/>
    <n v="2"/>
    <s v="FONASA"/>
    <s v="ROCIO.POZO@AFPHABITAT.CL"/>
    <s v="15549922|96942400|917872730|917872730"/>
    <s v="IMED SALUD"/>
    <b v="1"/>
    <s v="APORTE VIA IMED"/>
  </r>
  <r>
    <s v="12 DE SEPTIEMBRE DE 2025"/>
    <x v="159"/>
    <s v="ROCIO POZO ANTONIN"/>
    <n v="15549922"/>
    <s v="ROCIO POZO ANTONIN"/>
    <d v="2025-03-01T00:00:00"/>
    <s v="DUPLICADO"/>
    <n v="917872730"/>
    <n v="65384322"/>
    <n v="4989"/>
    <n v="0"/>
    <n v="4989"/>
    <n v="0"/>
    <n v="4989"/>
    <n v="917872730"/>
    <n v="285123"/>
    <s v="CORP DE BIENESTAR DEL PERSONAL DE A F P"/>
    <d v="2025-03-01T00:00:00"/>
    <d v="2025-03-26T00:00:00"/>
    <d v="2025-01-27T00:00:00"/>
    <d v="2025-01-27T00:00:00"/>
    <s v="AMBULATORIOS"/>
    <n v="22770442"/>
    <n v="3311105"/>
    <n v="69251205"/>
    <s v="TRASSA"/>
    <n v="76696217"/>
    <n v="78070"/>
    <s v="SAL"/>
    <s v="AM04"/>
    <s v="EXAMENES DE LABORATORIO"/>
    <s v="EXAMENES DE LABORATORIO"/>
    <s v="EXAMENES DE LABORATORIO"/>
    <n v="0"/>
    <n v="0"/>
    <n v="96942400"/>
    <n v="2"/>
    <s v="SIN ISAPRE"/>
    <s v="ROCIO.POZO@AFPHABITAT.CL"/>
    <s v="15549922|96942400|917872730|65384322"/>
    <s v="GASTO FISICO"/>
    <b v="0"/>
    <s v="DEPOSITADO EN CUENTA"/>
  </r>
  <r>
    <s v="12 DE SEPTIEMBRE DE 2025"/>
    <x v="183"/>
    <s v="MARCELO RAMOS URZUA"/>
    <n v="10924797"/>
    <s v="LORENA CEA BASCUR"/>
    <d v="2025-01-01T00:00:00"/>
    <s v="INICIAL"/>
    <n v="917935590"/>
    <n v="917935590"/>
    <n v="45820"/>
    <n v="14330"/>
    <n v="31490"/>
    <n v="0"/>
    <n v="31490"/>
    <n v="917935590"/>
    <n v="285123"/>
    <s v="CORP DE BIENESTAR DEL PERSONAL DE A F P"/>
    <d v="2025-01-28T00:00:00"/>
    <d v="2025-01-28T00:00:00"/>
    <d v="2025-01-28T00:00:00"/>
    <d v="2025-01-28T00:00:00"/>
    <s v="AMBULATORIOS"/>
    <n v="22560859"/>
    <n v="2040929"/>
    <n v="68808454"/>
    <s v="TRASSA"/>
    <n v="2022025"/>
    <n v="77562"/>
    <s v="SAL"/>
    <s v="AM04"/>
    <s v="EXAMENES DE LABORATORIO"/>
    <s v="EXAMENES DE LABORATORIO"/>
    <s v="EXAMENES DE LABORATORIO"/>
    <s v="IMED SALUD"/>
    <n v="0"/>
    <n v="78582780"/>
    <n v="5"/>
    <s v="FONASA"/>
    <s v="MRAMOS@AFPHABITAT.CL"/>
    <s v="10402393|78582780|917935590|917935590"/>
    <s v="IMED SALUD"/>
    <b v="1"/>
    <s v="APORTE VIA IMED"/>
  </r>
  <r>
    <s v="12 DE SEPTIEMBRE DE 2025"/>
    <x v="183"/>
    <s v="MARCELO RAMOS URZUA"/>
    <n v="10924797"/>
    <s v="LORENA CEA BASCUR"/>
    <d v="2025-03-01T00:00:00"/>
    <s v="DUPLICADO"/>
    <n v="917935590"/>
    <n v="65383844"/>
    <n v="26872"/>
    <n v="0"/>
    <n v="26872"/>
    <n v="0"/>
    <n v="26872"/>
    <n v="917935590"/>
    <n v="285123"/>
    <s v="CORP DE BIENESTAR DEL PERSONAL DE A F P"/>
    <d v="2025-03-01T00:00:00"/>
    <d v="2025-03-26T00:00:00"/>
    <d v="2025-01-28T00:00:00"/>
    <d v="2025-01-28T00:00:00"/>
    <s v="AMBULATORIOS"/>
    <n v="22770451"/>
    <n v="3311105"/>
    <n v="69250733"/>
    <s v="TRASSA"/>
    <n v="205381349"/>
    <n v="78070"/>
    <s v="SAL"/>
    <s v="AM04"/>
    <s v="EXAMENES DE LABORATORIO"/>
    <s v="EXAMENES DE LABORATORIO"/>
    <s v="EXAMENES DE LABORATORIO"/>
    <n v="0"/>
    <n v="0"/>
    <n v="78582780"/>
    <n v="5"/>
    <s v="SIN ISAPRE"/>
    <s v="MRAMOS@AFPHABITAT.CL"/>
    <s v="10402393|78582780|917935590|65383844"/>
    <s v="GASTO FISICO"/>
    <b v="0"/>
    <s v="DEPOSITADO EN CUENTA"/>
  </r>
  <r>
    <s v="12 DE SEPTIEMBRE DE 2025"/>
    <x v="183"/>
    <s v="MARCELO RAMOS URZUA"/>
    <n v="10924797"/>
    <s v="LORENA CEA BASCUR"/>
    <d v="2025-01-01T00:00:00"/>
    <s v="INICIAL"/>
    <n v="917935591"/>
    <n v="917935591"/>
    <n v="27440"/>
    <n v="8580"/>
    <n v="18860"/>
    <n v="0"/>
    <n v="18860"/>
    <n v="917935591"/>
    <n v="285123"/>
    <s v="CORP DE BIENESTAR DEL PERSONAL DE A F P"/>
    <d v="2025-01-28T00:00:00"/>
    <d v="2025-01-28T00:00:00"/>
    <d v="2025-01-28T00:00:00"/>
    <d v="2025-01-28T00:00:00"/>
    <s v="AMBULATORIOS"/>
    <n v="22560859"/>
    <n v="2040929"/>
    <n v="68808453"/>
    <s v="TRASSA"/>
    <n v="2022025"/>
    <n v="77562"/>
    <s v="SAL"/>
    <s v="AM04"/>
    <s v="EXAMENES DE LABORATORIO"/>
    <s v="EXAMENES DE LABORATORIO"/>
    <s v="EXAMENES DE LABORATORIO"/>
    <s v="IMED SALUD"/>
    <n v="0"/>
    <n v="78582780"/>
    <n v="5"/>
    <s v="FONASA"/>
    <s v="MRAMOS@AFPHABITAT.CL"/>
    <s v="10402393|78582780|917935591|917935591"/>
    <s v="IMED SALUD"/>
    <b v="1"/>
    <s v="APORTE VIA IMED"/>
  </r>
  <r>
    <s v="12 DE SEPTIEMBRE DE 2025"/>
    <x v="183"/>
    <s v="MARCELO RAMOS URZUA"/>
    <n v="10924797"/>
    <s v="LORENA CEA BASCUR"/>
    <d v="2025-03-01T00:00:00"/>
    <s v="DUPLICADO"/>
    <n v="917935591"/>
    <n v="65383845"/>
    <n v="16507"/>
    <n v="0"/>
    <n v="16507"/>
    <n v="0"/>
    <n v="16507"/>
    <n v="917935591"/>
    <n v="285123"/>
    <s v="CORP DE BIENESTAR DEL PERSONAL DE A F P"/>
    <d v="2025-03-01T00:00:00"/>
    <d v="2025-03-26T00:00:00"/>
    <d v="2025-01-28T00:00:00"/>
    <d v="2025-01-28T00:00:00"/>
    <s v="AMBULATORIOS"/>
    <n v="22770451"/>
    <n v="3311105"/>
    <n v="69250734"/>
    <s v="TRASSA"/>
    <n v="205381349"/>
    <n v="78070"/>
    <s v="SAL"/>
    <s v="AM04"/>
    <s v="EXAMENES DE LABORATORIO"/>
    <s v="EXAMENES DE LABORATORIO"/>
    <s v="EXAMENES DE LABORATORIO"/>
    <n v="0"/>
    <n v="0"/>
    <n v="78582780"/>
    <n v="5"/>
    <s v="SIN ISAPRE"/>
    <s v="MRAMOS@AFPHABITAT.CL"/>
    <s v="10402393|78582780|917935591|65383845"/>
    <s v="GASTO FISICO"/>
    <b v="0"/>
    <s v="DEPOSITADO EN CUENTA"/>
  </r>
  <r>
    <s v="12 DE SEPTIEMBRE DE 2025"/>
    <x v="183"/>
    <s v="MARCELO RAMOS URZUA"/>
    <n v="10924797"/>
    <s v="LORENA CEA BASCUR"/>
    <d v="2025-01-01T00:00:00"/>
    <s v="INICIAL"/>
    <n v="917935727"/>
    <n v="917935727"/>
    <n v="11730"/>
    <n v="3670"/>
    <n v="8060"/>
    <n v="0"/>
    <n v="8060"/>
    <n v="917935727"/>
    <n v="285123"/>
    <s v="CORP DE BIENESTAR DEL PERSONAL DE A F P"/>
    <d v="2025-01-28T00:00:00"/>
    <d v="2025-01-28T00:00:00"/>
    <d v="2025-01-28T00:00:00"/>
    <d v="2025-01-28T00:00:00"/>
    <s v="AMBULATORIOS"/>
    <n v="22560859"/>
    <n v="2040929"/>
    <n v="68808461"/>
    <s v="TRASSA"/>
    <n v="2022025"/>
    <n v="77562"/>
    <s v="SAL"/>
    <s v="AM04"/>
    <s v="EXAMENES DE LABORATORIO"/>
    <s v="EXAMENES DE LABORATORIO"/>
    <s v="EXAMENES DE LABORATORIO"/>
    <s v="IMED SALUD"/>
    <n v="0"/>
    <n v="78582780"/>
    <n v="5"/>
    <s v="FONASA"/>
    <s v="MRAMOS@AFPHABITAT.CL"/>
    <s v="10402393|78582780|917935727|917935727"/>
    <s v="IMED SALUD"/>
    <b v="1"/>
    <s v="APORTE VIA IMED"/>
  </r>
  <r>
    <s v="12 DE SEPTIEMBRE DE 2025"/>
    <x v="183"/>
    <s v="MARCELO RAMOS URZUA"/>
    <n v="10924797"/>
    <s v="LORENA CEA BASCUR"/>
    <d v="2025-03-01T00:00:00"/>
    <s v="DUPLICADO"/>
    <n v="917935727"/>
    <n v="65383846"/>
    <n v="7294"/>
    <n v="0"/>
    <n v="7294"/>
    <n v="0"/>
    <n v="7294"/>
    <n v="917935727"/>
    <n v="285123"/>
    <s v="CORP DE BIENESTAR DEL PERSONAL DE A F P"/>
    <d v="2025-03-01T00:00:00"/>
    <d v="2025-03-26T00:00:00"/>
    <d v="2025-01-28T00:00:00"/>
    <d v="2025-01-28T00:00:00"/>
    <s v="AMBULATORIOS"/>
    <n v="22770451"/>
    <n v="3311105"/>
    <n v="69250735"/>
    <s v="TRASSA"/>
    <n v="205381349"/>
    <n v="78070"/>
    <s v="SAL"/>
    <s v="AM04"/>
    <s v="EXAMENES DE LABORATORIO"/>
    <s v="EXAMENES DE LABORATORIO"/>
    <s v="EXAMENES DE LABORATORIO"/>
    <n v="0"/>
    <n v="0"/>
    <n v="78582780"/>
    <n v="5"/>
    <s v="SIN ISAPRE"/>
    <s v="MRAMOS@AFPHABITAT.CL"/>
    <s v="10402393|78582780|917935727|65383846"/>
    <s v="GASTO FISICO"/>
    <b v="0"/>
    <s v="DEPOSITADO EN CUENTA"/>
  </r>
  <r>
    <s v="12 DE SEPTIEMBRE DE 2025"/>
    <x v="184"/>
    <s v="HOMERO LUIS AYALA ORELLANA"/>
    <n v="7230416"/>
    <s v="HOMERO LUIS AYALA ORELLANA"/>
    <d v="2025-01-01T00:00:00"/>
    <s v="INICIAL"/>
    <n v="917970276"/>
    <n v="917970276"/>
    <n v="1360"/>
    <n v="430"/>
    <n v="930"/>
    <n v="0"/>
    <n v="930"/>
    <n v="917970276"/>
    <n v="285123"/>
    <s v="CORP DE BIENESTAR DEL PERSONAL DE A F P"/>
    <d v="2025-01-28T00:00:00"/>
    <d v="2025-01-28T00:00:00"/>
    <d v="2025-01-28T00:00:00"/>
    <d v="2025-01-28T00:00:00"/>
    <s v="AMBULATORIOS"/>
    <n v="22560848"/>
    <n v="2040929"/>
    <n v="68808658"/>
    <s v="TRASSA"/>
    <n v="2022025"/>
    <n v="77562"/>
    <s v="SAL"/>
    <s v="AM04"/>
    <s v="EXAMENES DE LABORATORIO"/>
    <s v="EXAMENES DE LABORATORIO"/>
    <s v="EXAMENES DE LABORATORIO"/>
    <s v="IMED SALUD"/>
    <n v="0"/>
    <n v="76696200"/>
    <n v="9"/>
    <s v="FONASA"/>
    <s v="HAYALAO@AFPHABITAT.CL"/>
    <s v="7230416|76696200|917970276|917970276"/>
    <s v="IMED SALUD"/>
    <b v="1"/>
    <s v="APORTE VIA IMED"/>
  </r>
  <r>
    <s v="12 DE SEPTIEMBRE DE 2025"/>
    <x v="184"/>
    <s v="HOMERO LUIS AYALA ORELLANA"/>
    <n v="7230416"/>
    <s v="HOMERO LUIS AYALA ORELLANA"/>
    <d v="2025-03-01T00:00:00"/>
    <s v="DUPLICADO"/>
    <n v="917970276"/>
    <n v="65383604"/>
    <n v="767"/>
    <n v="0"/>
    <n v="767"/>
    <n v="0"/>
    <n v="767"/>
    <n v="917970276"/>
    <n v="285123"/>
    <s v="CORP DE BIENESTAR DEL PERSONAL DE A F P"/>
    <d v="2025-03-01T00:00:00"/>
    <d v="2025-03-26T00:00:00"/>
    <d v="2025-01-28T00:00:00"/>
    <d v="2025-01-28T00:00:00"/>
    <s v="AMBULATORIOS"/>
    <n v="22770446"/>
    <n v="3311105"/>
    <n v="69250495"/>
    <s v="TRASSA"/>
    <n v="99190027763"/>
    <n v="78070"/>
    <s v="SAL"/>
    <s v="AM04"/>
    <s v="EXAMENES DE LABORATORIO"/>
    <s v="EXAMENES DE LABORATORIO"/>
    <s v="EXAMENES DE LABORATORIO"/>
    <n v="0"/>
    <n v="0"/>
    <n v="76696200"/>
    <n v="9"/>
    <s v="SIN ISAPRE"/>
    <s v="HAYALAO@AFPHABITAT.CL"/>
    <s v="7230416|76696200|917970276|65383604"/>
    <s v="GASTO FISICO"/>
    <b v="0"/>
    <s v="DEPOSITADO EN CUENTA"/>
  </r>
  <r>
    <s v="12 DE SEPTIEMBRE DE 2025"/>
    <x v="184"/>
    <s v="HOMERO LUIS AYALA ORELLANA"/>
    <n v="7230416"/>
    <s v="HOMERO LUIS AYALA ORELLANA"/>
    <d v="2025-01-01T00:00:00"/>
    <s v="INICIAL"/>
    <n v="917970305"/>
    <n v="917970305"/>
    <n v="14520"/>
    <n v="4550"/>
    <n v="9970"/>
    <n v="0"/>
    <n v="9970"/>
    <n v="917970305"/>
    <n v="285123"/>
    <s v="CORP DE BIENESTAR DEL PERSONAL DE A F P"/>
    <d v="2025-01-28T00:00:00"/>
    <d v="2025-01-28T00:00:00"/>
    <d v="2025-01-28T00:00:00"/>
    <d v="2025-01-28T00:00:00"/>
    <s v="AMBULATORIOS"/>
    <n v="22560848"/>
    <n v="2040929"/>
    <n v="68808661"/>
    <s v="TRASSA"/>
    <n v="2022025"/>
    <n v="77562"/>
    <s v="SAL"/>
    <s v="AM04"/>
    <s v="EXAMENES DE LABORATORIO"/>
    <s v="EXAMENES DE LABORATORIO"/>
    <s v="EXAMENES DE LABORATORIO"/>
    <s v="IMED SALUD"/>
    <n v="0"/>
    <n v="96898980"/>
    <n v="4"/>
    <s v="FONASA"/>
    <s v="HAYALAO@AFPHABITAT.CL"/>
    <s v="7230416|96898980|917970305|917970305"/>
    <s v="IMED SALUD"/>
    <b v="1"/>
    <s v="APORTE VIA IMED"/>
  </r>
  <r>
    <s v="12 DE SEPTIEMBRE DE 2025"/>
    <x v="184"/>
    <s v="HOMERO LUIS AYALA ORELLANA"/>
    <n v="7230416"/>
    <s v="HOMERO LUIS AYALA ORELLANA"/>
    <d v="2025-03-01T00:00:00"/>
    <s v="DUPLICADO"/>
    <n v="917970305"/>
    <n v="65383605"/>
    <n v="8059"/>
    <n v="0"/>
    <n v="8059"/>
    <n v="0"/>
    <n v="8059"/>
    <n v="917970305"/>
    <n v="285123"/>
    <s v="CORP DE BIENESTAR DEL PERSONAL DE A F P"/>
    <d v="2025-03-01T00:00:00"/>
    <d v="2025-03-26T00:00:00"/>
    <d v="2025-01-28T00:00:00"/>
    <d v="2025-01-28T00:00:00"/>
    <s v="AMBULATORIOS"/>
    <n v="22770446"/>
    <n v="3311105"/>
    <n v="69250496"/>
    <s v="TRASSA"/>
    <n v="99190027763"/>
    <n v="78070"/>
    <s v="SAL"/>
    <s v="AM04"/>
    <s v="EXAMENES DE LABORATORIO"/>
    <s v="EXAMENES DE LABORATORIO"/>
    <s v="EXAMENES DE LABORATORIO"/>
    <n v="0"/>
    <n v="0"/>
    <n v="96898980"/>
    <n v="4"/>
    <s v="SIN ISAPRE"/>
    <s v="HAYALAO@AFPHABITAT.CL"/>
    <s v="7230416|96898980|917970305|65383605"/>
    <s v="GASTO FISICO"/>
    <b v="0"/>
    <s v="DEPOSITADO EN CUENTA"/>
  </r>
  <r>
    <s v="12 DE SEPTIEMBRE DE 2025"/>
    <x v="184"/>
    <s v="HOMERO LUIS AYALA ORELLANA"/>
    <n v="7230416"/>
    <s v="HOMERO LUIS AYALA ORELLANA"/>
    <d v="2025-01-01T00:00:00"/>
    <s v="INICIAL"/>
    <n v="917970306"/>
    <n v="917970306"/>
    <n v="50540"/>
    <n v="15810"/>
    <n v="34730"/>
    <n v="0"/>
    <n v="34730"/>
    <n v="917970306"/>
    <n v="285123"/>
    <s v="CORP DE BIENESTAR DEL PERSONAL DE A F P"/>
    <d v="2025-01-28T00:00:00"/>
    <d v="2025-01-28T00:00:00"/>
    <d v="2025-01-28T00:00:00"/>
    <d v="2025-01-28T00:00:00"/>
    <s v="AMBULATORIOS"/>
    <n v="22560848"/>
    <n v="2040929"/>
    <n v="68808660"/>
    <s v="TRASSA"/>
    <n v="2022025"/>
    <n v="77562"/>
    <s v="SAL"/>
    <s v="AM04"/>
    <s v="EXAMENES DE LABORATORIO"/>
    <s v="EXAMENES DE LABORATORIO"/>
    <s v="EXAMENES DE LABORATORIO"/>
    <s v="IMED SALUD"/>
    <n v="0"/>
    <n v="96898980"/>
    <n v="4"/>
    <s v="FONASA"/>
    <s v="HAYALAO@AFPHABITAT.CL"/>
    <s v="7230416|96898980|917970306|917970306"/>
    <s v="IMED SALUD"/>
    <b v="1"/>
    <s v="APORTE VIA IMED"/>
  </r>
  <r>
    <s v="12 DE SEPTIEMBRE DE 2025"/>
    <x v="184"/>
    <s v="HOMERO LUIS AYALA ORELLANA"/>
    <n v="7230416"/>
    <s v="HOMERO LUIS AYALA ORELLANA"/>
    <d v="2025-03-01T00:00:00"/>
    <s v="DUPLICADO"/>
    <n v="917970306"/>
    <n v="65383606"/>
    <n v="30711"/>
    <n v="0"/>
    <n v="30711"/>
    <n v="0"/>
    <n v="30711"/>
    <n v="917970306"/>
    <n v="285123"/>
    <s v="CORP DE BIENESTAR DEL PERSONAL DE A F P"/>
    <d v="2025-03-01T00:00:00"/>
    <d v="2025-03-26T00:00:00"/>
    <d v="2025-01-28T00:00:00"/>
    <d v="2025-01-28T00:00:00"/>
    <s v="AMBULATORIOS"/>
    <n v="22770446"/>
    <n v="3311105"/>
    <n v="69250497"/>
    <s v="TRASSA"/>
    <n v="99190027763"/>
    <n v="78070"/>
    <s v="SAL"/>
    <s v="AM04"/>
    <s v="EXAMENES DE LABORATORIO"/>
    <s v="EXAMENES DE LABORATORIO"/>
    <s v="EXAMENES DE LABORATORIO"/>
    <n v="0"/>
    <n v="0"/>
    <n v="96898980"/>
    <n v="4"/>
    <s v="SIN ISAPRE"/>
    <s v="HAYALAO@AFPHABITAT.CL"/>
    <s v="7230416|96898980|917970306|65383606"/>
    <s v="GASTO FISICO"/>
    <b v="0"/>
    <s v="DEPOSITADO EN CUENTA"/>
  </r>
  <r>
    <s v="12 DE SEPTIEMBRE DE 2025"/>
    <x v="184"/>
    <s v="HOMERO LUIS AYALA ORELLANA"/>
    <n v="7230416"/>
    <s v="HOMERO LUIS AYALA ORELLANA"/>
    <d v="2025-01-01T00:00:00"/>
    <s v="INICIAL"/>
    <n v="917970307"/>
    <n v="917970307"/>
    <n v="8050"/>
    <n v="2530"/>
    <n v="5520"/>
    <n v="0"/>
    <n v="5520"/>
    <n v="917970307"/>
    <n v="285123"/>
    <s v="CORP DE BIENESTAR DEL PERSONAL DE A F P"/>
    <d v="2025-01-28T00:00:00"/>
    <d v="2025-01-28T00:00:00"/>
    <d v="2025-01-28T00:00:00"/>
    <d v="2025-01-28T00:00:00"/>
    <s v="AMBULATORIOS"/>
    <n v="22560848"/>
    <n v="2040929"/>
    <n v="68808659"/>
    <s v="TRASSA"/>
    <n v="2022025"/>
    <n v="77562"/>
    <s v="SAL"/>
    <s v="AM04"/>
    <s v="EXAMENES DE LABORATORIO"/>
    <s v="EXAMENES DE LABORATORIO"/>
    <s v="EXAMENES DE LABORATORIO"/>
    <s v="IMED SALUD"/>
    <n v="0"/>
    <n v="96898980"/>
    <n v="4"/>
    <s v="FONASA"/>
    <s v="HAYALAO@AFPHABITAT.CL"/>
    <s v="7230416|96898980|917970307|917970307"/>
    <s v="IMED SALUD"/>
    <b v="1"/>
    <s v="APORTE VIA IMED"/>
  </r>
  <r>
    <s v="12 DE SEPTIEMBRE DE 2025"/>
    <x v="184"/>
    <s v="HOMERO LUIS AYALA ORELLANA"/>
    <n v="7230416"/>
    <s v="HOMERO LUIS AYALA ORELLANA"/>
    <d v="2025-03-01T00:00:00"/>
    <s v="DUPLICADO"/>
    <n v="917970307"/>
    <n v="65383607"/>
    <n v="4604"/>
    <n v="0"/>
    <n v="4604"/>
    <n v="0"/>
    <n v="4604"/>
    <n v="917970307"/>
    <n v="285123"/>
    <s v="CORP DE BIENESTAR DEL PERSONAL DE A F P"/>
    <d v="2025-03-01T00:00:00"/>
    <d v="2025-03-26T00:00:00"/>
    <d v="2025-01-28T00:00:00"/>
    <d v="2025-01-28T00:00:00"/>
    <s v="AMBULATORIOS"/>
    <n v="22770446"/>
    <n v="3311105"/>
    <n v="69250498"/>
    <s v="TRASSA"/>
    <n v="99190027763"/>
    <n v="78070"/>
    <s v="SAL"/>
    <s v="AM04"/>
    <s v="EXAMENES DE LABORATORIO"/>
    <s v="EXAMENES DE LABORATORIO"/>
    <s v="EXAMENES DE LABORATORIO"/>
    <n v="0"/>
    <n v="0"/>
    <n v="96898980"/>
    <n v="4"/>
    <s v="SIN ISAPRE"/>
    <s v="HAYALAO@AFPHABITAT.CL"/>
    <s v="7230416|96898980|917970307|65383607"/>
    <s v="GASTO FISICO"/>
    <b v="0"/>
    <s v="DEPOSITADO EN CUENTA"/>
  </r>
  <r>
    <s v="12 DE SEPTIEMBRE DE 2025"/>
    <x v="184"/>
    <s v="HOMERO LUIS AYALA ORELLANA"/>
    <n v="7230416"/>
    <s v="HOMERO LUIS AYALA ORELLANA"/>
    <d v="2025-01-01T00:00:00"/>
    <s v="INICIAL"/>
    <n v="917991021"/>
    <n v="917991021"/>
    <n v="19260"/>
    <n v="6020"/>
    <n v="13240"/>
    <n v="0"/>
    <n v="13240"/>
    <n v="917991021"/>
    <n v="285123"/>
    <s v="CORP DE BIENESTAR DEL PERSONAL DE A F P"/>
    <d v="2025-01-28T00:00:00"/>
    <d v="2025-01-28T00:00:00"/>
    <d v="2025-01-28T00:00:00"/>
    <d v="2025-01-28T00:00:00"/>
    <s v="SALUD MENTAL"/>
    <n v="22560848"/>
    <n v="2040929"/>
    <n v="68808765"/>
    <s v="TRASSA"/>
    <n v="2022025"/>
    <n v="77562"/>
    <s v="SAL"/>
    <s v="SM01"/>
    <s v="CONSULTA O SESIONES PSIQUIATRICAS"/>
    <s v="CONSULTA PSIQUIATRICA"/>
    <s v="CONSULTA PSIQUIATRICA"/>
    <s v="IMED SALUD"/>
    <n v="0"/>
    <n v="76696200"/>
    <n v="9"/>
    <s v="FONASA"/>
    <s v="HAYALAO@AFPHABITAT.CL"/>
    <s v="7230416|76696200|917991021|917991021"/>
    <s v="IMED SALUD"/>
    <b v="1"/>
    <s v="APORTE VIA IMED"/>
  </r>
  <r>
    <s v="12 DE SEPTIEMBRE DE 2025"/>
    <x v="184"/>
    <s v="HOMERO LUIS AYALA ORELLANA"/>
    <n v="7230416"/>
    <s v="HOMERO LUIS AYALA ORELLANA"/>
    <d v="2025-03-01T00:00:00"/>
    <s v="DUPLICADO"/>
    <n v="917991021"/>
    <n v="65383608"/>
    <n v="13053"/>
    <n v="0"/>
    <n v="13053"/>
    <n v="0"/>
    <n v="13053"/>
    <n v="917991021"/>
    <n v="285123"/>
    <s v="CORP DE BIENESTAR DEL PERSONAL DE A F P"/>
    <d v="2025-03-01T00:00:00"/>
    <d v="2025-03-26T00:00:00"/>
    <d v="2025-01-28T00:00:00"/>
    <d v="2025-01-28T00:00:00"/>
    <s v="SALUD MENTAL"/>
    <n v="22770446"/>
    <n v="3311105"/>
    <n v="69250499"/>
    <s v="TRASSA"/>
    <n v="99190027763"/>
    <n v="78070"/>
    <s v="SAL"/>
    <s v="SM01"/>
    <s v="CONSULTA O SESIONES PSIQUIATRICAS"/>
    <s v="CONSULTA PSIQUIATRICA"/>
    <s v="CONSULTA PSIQUIATRICA"/>
    <n v="0"/>
    <n v="0"/>
    <n v="76696200"/>
    <n v="9"/>
    <s v="SIN ISAPRE"/>
    <s v="HAYALAO@AFPHABITAT.CL"/>
    <s v="7230416|76696200|917991021|65383608"/>
    <s v="GASTO FISICO"/>
    <b v="0"/>
    <s v="DEPOSITADO EN CUENTA"/>
  </r>
  <r>
    <s v="12 DE SEPTIEMBRE DE 2025"/>
    <x v="156"/>
    <s v="JORGE MADRID ORTIZ"/>
    <n v="8330037"/>
    <s v="JORGE MADRID ORTIZ"/>
    <d v="2025-01-01T00:00:00"/>
    <s v="INICIAL"/>
    <n v="918136820"/>
    <n v="918136820"/>
    <n v="66790"/>
    <n v="43266"/>
    <n v="23524"/>
    <n v="0"/>
    <n v="23524"/>
    <n v="918136820"/>
    <n v="285123"/>
    <s v="CORP DE BIENESTAR DEL PERSONAL DE A F P"/>
    <d v="2025-01-29T00:00:00"/>
    <d v="2025-01-29T00:00:00"/>
    <d v="2025-01-29T00:00:00"/>
    <d v="2025-01-29T00:00:00"/>
    <s v="AMBULATORIOS"/>
    <n v="22560893"/>
    <n v="2040929"/>
    <n v="68809532"/>
    <s v="TRASSA"/>
    <n v="2022025"/>
    <n v="77562"/>
    <s v="SAL"/>
    <s v="AM04"/>
    <s v="EXAMENES DE LABORATORIO"/>
    <s v="EXAMENES DE LABORATORIO"/>
    <s v="EXAMENES DE LABORATORIO"/>
    <s v="IMED SALUD"/>
    <n v="0"/>
    <n v="96986050"/>
    <n v="3"/>
    <s v="FONASA"/>
    <s v="JMADRID@AFPHABITAT.CL"/>
    <s v="8330037|96986050|918136820|918136820"/>
    <s v="IMED SALUD"/>
    <b v="1"/>
    <s v="APORTE VIA IMED"/>
  </r>
  <r>
    <s v="12 DE SEPTIEMBRE DE 2025"/>
    <x v="156"/>
    <s v="JORGE MADRID ORTIZ"/>
    <n v="8330037"/>
    <s v="JORGE MADRID ORTIZ"/>
    <d v="2025-03-01T00:00:00"/>
    <s v="DUPLICADO"/>
    <n v="918136820"/>
    <n v="65383649"/>
    <n v="21112"/>
    <n v="0"/>
    <n v="21112"/>
    <n v="0"/>
    <n v="21112"/>
    <n v="918136820"/>
    <n v="285123"/>
    <s v="CORP DE BIENESTAR DEL PERSONAL DE A F P"/>
    <d v="2025-03-01T00:00:00"/>
    <d v="2025-03-26T00:00:00"/>
    <d v="2025-01-29T00:00:00"/>
    <d v="2025-01-29T00:00:00"/>
    <s v="AMBULATORIOS"/>
    <n v="22770461"/>
    <n v="3311105"/>
    <n v="69250540"/>
    <s v="TRASSA"/>
    <n v="21874964"/>
    <n v="78070"/>
    <s v="SAL"/>
    <s v="AM04"/>
    <s v="EXAMENES DE LABORATORIO"/>
    <s v="EXAMENES DE LABORATORIO"/>
    <s v="EXAMENES DE LABORATORIO"/>
    <n v="0"/>
    <n v="0"/>
    <n v="96986050"/>
    <n v="3"/>
    <s v="SIN ISAPRE"/>
    <s v="JMADRID@AFPHABITAT.CL"/>
    <s v="8330037|96986050|918136820|65383649"/>
    <s v="GASTO FISICO"/>
    <b v="0"/>
    <s v="DEPOSITADO EN CUENTA"/>
  </r>
  <r>
    <s v="12 DE SEPTIEMBRE DE 2025"/>
    <x v="156"/>
    <s v="JORGE MADRID ORTIZ"/>
    <n v="8330037"/>
    <s v="JORGE MADRID ORTIZ"/>
    <d v="2025-01-01T00:00:00"/>
    <s v="INICIAL"/>
    <n v="918136821"/>
    <n v="918136821"/>
    <n v="2960"/>
    <n v="2554"/>
    <n v="406"/>
    <n v="0"/>
    <n v="406"/>
    <n v="918136821"/>
    <n v="285123"/>
    <s v="CORP DE BIENESTAR DEL PERSONAL DE A F P"/>
    <d v="2025-01-29T00:00:00"/>
    <d v="2025-01-29T00:00:00"/>
    <d v="2025-01-29T00:00:00"/>
    <d v="2025-01-29T00:00:00"/>
    <s v="AMBULATORIOS"/>
    <n v="22560893"/>
    <n v="2040929"/>
    <n v="68809531"/>
    <s v="TRASSA"/>
    <n v="2022025"/>
    <n v="77562"/>
    <s v="SAL"/>
    <s v="AM04"/>
    <s v="EXAMENES DE LABORATORIO"/>
    <s v="EXAMENES DE LABORATORIO"/>
    <s v="EXAMENES DE LABORATORIO"/>
    <s v="IMED SALUD"/>
    <n v="0"/>
    <n v="96986050"/>
    <n v="3"/>
    <s v="FONASA"/>
    <s v="JMADRID@AFPHABITAT.CL"/>
    <s v="8330037|96986050|918136821|918136821"/>
    <s v="IMED SALUD"/>
    <b v="1"/>
    <s v="APORTE VIA IMED"/>
  </r>
  <r>
    <s v="12 DE SEPTIEMBRE DE 2025"/>
    <x v="156"/>
    <s v="JORGE MADRID ORTIZ"/>
    <n v="8330037"/>
    <s v="JORGE MADRID ORTIZ"/>
    <d v="2025-03-01T00:00:00"/>
    <s v="DUPLICADO"/>
    <n v="918136821"/>
    <n v="65383650"/>
    <n v="383"/>
    <n v="0"/>
    <n v="383"/>
    <n v="0"/>
    <n v="383"/>
    <n v="918136821"/>
    <n v="285123"/>
    <s v="CORP DE BIENESTAR DEL PERSONAL DE A F P"/>
    <d v="2025-03-01T00:00:00"/>
    <d v="2025-03-26T00:00:00"/>
    <d v="2025-01-29T00:00:00"/>
    <d v="2025-01-29T00:00:00"/>
    <s v="AMBULATORIOS"/>
    <n v="22770461"/>
    <n v="3311105"/>
    <n v="69250541"/>
    <s v="TRASSA"/>
    <n v="21874964"/>
    <n v="78070"/>
    <s v="SAL"/>
    <s v="AM04"/>
    <s v="EXAMENES DE LABORATORIO"/>
    <s v="EXAMENES DE LABORATORIO"/>
    <s v="EXAMENES DE LABORATORIO"/>
    <n v="0"/>
    <n v="0"/>
    <n v="96986050"/>
    <n v="3"/>
    <s v="SIN ISAPRE"/>
    <s v="JMADRID@AFPHABITAT.CL"/>
    <s v="8330037|96986050|918136821|65383650"/>
    <s v="GASTO FISICO"/>
    <b v="0"/>
    <s v="DEPOSITADO EN CUENTA"/>
  </r>
  <r>
    <s v="12 DE SEPTIEMBRE DE 2025"/>
    <x v="156"/>
    <s v="JORGE MADRID ORTIZ"/>
    <n v="8330037"/>
    <s v="JORGE MADRID ORTIZ"/>
    <d v="2025-01-01T00:00:00"/>
    <s v="INICIAL"/>
    <n v="918145278"/>
    <n v="918145278"/>
    <n v="12770"/>
    <n v="11014"/>
    <n v="1756"/>
    <n v="0"/>
    <n v="1756"/>
    <n v="918145278"/>
    <n v="285123"/>
    <s v="CORP DE BIENESTAR DEL PERSONAL DE A F P"/>
    <d v="2025-01-29T00:00:00"/>
    <d v="2025-01-29T00:00:00"/>
    <d v="2025-01-29T00:00:00"/>
    <d v="2025-01-29T00:00:00"/>
    <s v="AMBULATORIOS"/>
    <n v="22560893"/>
    <n v="2040929"/>
    <n v="68809571"/>
    <s v="TRASSA"/>
    <n v="2022025"/>
    <n v="77562"/>
    <s v="SAL"/>
    <s v="AM05"/>
    <s v="EXAMENES RADIOLOGICOS"/>
    <s v="EXAMENES RADIOLOGICOS"/>
    <s v="EXAMENES RADIOLOGICOS"/>
    <s v="IMED SALUD"/>
    <n v="0"/>
    <n v="76098454"/>
    <s v="K"/>
    <s v="FONASA"/>
    <s v="JMADRID@AFPHABITAT.CL"/>
    <s v="8330037|76098454|918145278|918145278"/>
    <s v="IMED SALUD"/>
    <b v="1"/>
    <s v="APORTE VIA IMED"/>
  </r>
  <r>
    <s v="12 DE SEPTIEMBRE DE 2025"/>
    <x v="156"/>
    <s v="JORGE MADRID ORTIZ"/>
    <n v="8330037"/>
    <s v="JORGE MADRID ORTIZ"/>
    <d v="2025-03-01T00:00:00"/>
    <s v="DUPLICADO"/>
    <n v="918145278"/>
    <n v="65383651"/>
    <n v="1919"/>
    <n v="0"/>
    <n v="1919"/>
    <n v="0"/>
    <n v="1919"/>
    <n v="918145278"/>
    <n v="285123"/>
    <s v="CORP DE BIENESTAR DEL PERSONAL DE A F P"/>
    <d v="2025-03-01T00:00:00"/>
    <d v="2025-03-26T00:00:00"/>
    <d v="2025-01-29T00:00:00"/>
    <d v="2025-01-29T00:00:00"/>
    <s v="AMBULATORIOS"/>
    <n v="22770461"/>
    <n v="3311105"/>
    <n v="69250542"/>
    <s v="TRASSA"/>
    <n v="21874964"/>
    <n v="78070"/>
    <s v="SAL"/>
    <s v="AM05"/>
    <s v="EXAMENES RADIOLOGICOS"/>
    <s v="EXAMENES RADIOLOGICOS"/>
    <s v="EXAMENES RADIOLOGICOS"/>
    <n v="0"/>
    <n v="0"/>
    <n v="76098454"/>
    <s v="K"/>
    <s v="SIN ISAPRE"/>
    <s v="JMADRID@AFPHABITAT.CL"/>
    <s v="8330037|76098454|918145278|65383651"/>
    <s v="GASTO FISICO"/>
    <b v="0"/>
    <s v="DEPOSITADO EN CUENTA"/>
  </r>
  <r>
    <s v="12 DE SEPTIEMBRE DE 2025"/>
    <x v="176"/>
    <s v="BERNARDA JOSEFINA FONSECA GONZALEZ"/>
    <n v="26464544"/>
    <s v="BERNARDA JOSEFINA FONSECA GONZALEZ"/>
    <d v="2025-01-01T00:00:00"/>
    <s v="INICIAL"/>
    <n v="918207792"/>
    <n v="918207792"/>
    <n v="34790"/>
    <n v="25226"/>
    <n v="9564"/>
    <n v="0"/>
    <n v="9564"/>
    <n v="918207792"/>
    <n v="285123"/>
    <s v="CORP DE BIENESTAR DEL PERSONAL DE A F P"/>
    <d v="2025-01-30T00:00:00"/>
    <d v="2025-01-30T00:00:00"/>
    <d v="2025-01-30T00:00:00"/>
    <d v="2025-01-30T00:00:00"/>
    <s v="AMBULATORIOS"/>
    <n v="22560989"/>
    <n v="2040929"/>
    <n v="68809990"/>
    <s v="TRASSA"/>
    <n v="2022025"/>
    <n v="77562"/>
    <s v="SAL"/>
    <s v="AM04"/>
    <s v="EXAMENES DE LABORATORIO"/>
    <s v="EXAMENES DE LABORATORIO"/>
    <s v="EXAMENES DE LABORATORIO"/>
    <s v="IMED SALUD"/>
    <n v="0"/>
    <n v="96986050"/>
    <n v="3"/>
    <s v="FONASA"/>
    <s v="BERNALDA.FONSECA@AFPHABITAT.CL"/>
    <s v="26464544|96986050|918207792|918207792"/>
    <s v="IMED SALUD"/>
    <b v="1"/>
    <s v="APORTE VIA IMED"/>
  </r>
  <r>
    <s v="12 DE SEPTIEMBRE DE 2025"/>
    <x v="176"/>
    <s v="BERNARDA JOSEFINA FONSECA GONZALEZ"/>
    <n v="26464544"/>
    <s v="BERNARDA JOSEFINA FONSECA GONZALEZ"/>
    <d v="2025-03-01T00:00:00"/>
    <s v="DUPLICADO"/>
    <n v="918207792"/>
    <n v="65384546"/>
    <n v="9595"/>
    <n v="0"/>
    <n v="9595"/>
    <n v="0"/>
    <n v="9595"/>
    <n v="918207792"/>
    <n v="285123"/>
    <s v="CORP DE BIENESTAR DEL PERSONAL DE A F P"/>
    <d v="2025-03-01T00:00:00"/>
    <d v="2025-03-26T00:00:00"/>
    <d v="2025-01-30T00:00:00"/>
    <d v="2025-01-30T00:00:00"/>
    <s v="AMBULATORIOS"/>
    <n v="22770478"/>
    <n v="3311105"/>
    <n v="69251409"/>
    <s v="TRASSA"/>
    <n v="64880648"/>
    <n v="78070"/>
    <s v="SAL"/>
    <s v="AM04"/>
    <s v="EXAMENES DE LABORATORIO"/>
    <s v="EXAMENES DE LABORATORIO"/>
    <s v="EXAMENES DE LABORATORIO"/>
    <n v="0"/>
    <n v="0"/>
    <n v="96986050"/>
    <n v="3"/>
    <s v="SIN ISAPRE"/>
    <s v="BERNALDA.FONSECA@AFPHABITAT.CL"/>
    <s v="26464544|96986050|918207792|65384546"/>
    <s v="GASTO FISICO"/>
    <b v="0"/>
    <s v="DEPOSITADO EN CUENTA"/>
  </r>
  <r>
    <s v="12 DE SEPTIEMBRE DE 2025"/>
    <x v="176"/>
    <s v="BERNARDA JOSEFINA FONSECA GONZALEZ"/>
    <n v="26464544"/>
    <s v="BERNARDA JOSEFINA FONSECA GONZALEZ"/>
    <d v="2025-01-01T00:00:00"/>
    <s v="INICIAL"/>
    <n v="918207793"/>
    <n v="918207793"/>
    <n v="26080"/>
    <n v="18908"/>
    <n v="7172"/>
    <n v="0"/>
    <n v="7172"/>
    <n v="918207793"/>
    <n v="285123"/>
    <s v="CORP DE BIENESTAR DEL PERSONAL DE A F P"/>
    <d v="2025-01-30T00:00:00"/>
    <d v="2025-01-30T00:00:00"/>
    <d v="2025-01-30T00:00:00"/>
    <d v="2025-01-30T00:00:00"/>
    <s v="AMBULATORIOS"/>
    <n v="22560989"/>
    <n v="2040929"/>
    <n v="68809989"/>
    <s v="TRASSA"/>
    <n v="2022025"/>
    <n v="77562"/>
    <s v="SAL"/>
    <s v="AM04"/>
    <s v="EXAMENES DE LABORATORIO"/>
    <s v="EXAMENES DE LABORATORIO"/>
    <s v="EXAMENES DE LABORATORIO"/>
    <s v="IMED SALUD"/>
    <n v="0"/>
    <n v="96986050"/>
    <n v="3"/>
    <s v="FONASA"/>
    <s v="BERNALDA.FONSECA@AFPHABITAT.CL"/>
    <s v="26464544|96986050|918207793|918207793"/>
    <s v="IMED SALUD"/>
    <b v="1"/>
    <s v="APORTE VIA IMED"/>
  </r>
  <r>
    <s v="12 DE SEPTIEMBRE DE 2025"/>
    <x v="176"/>
    <s v="BERNARDA JOSEFINA FONSECA GONZALEZ"/>
    <n v="26464544"/>
    <s v="BERNARDA JOSEFINA FONSECA GONZALEZ"/>
    <d v="2025-03-01T00:00:00"/>
    <s v="DUPLICADO"/>
    <n v="918207793"/>
    <n v="65384547"/>
    <n v="7293"/>
    <n v="0"/>
    <n v="7293"/>
    <n v="0"/>
    <n v="7293"/>
    <n v="918207793"/>
    <n v="285123"/>
    <s v="CORP DE BIENESTAR DEL PERSONAL DE A F P"/>
    <d v="2025-03-01T00:00:00"/>
    <d v="2025-03-26T00:00:00"/>
    <d v="2025-01-30T00:00:00"/>
    <d v="2025-01-30T00:00:00"/>
    <s v="AMBULATORIOS"/>
    <n v="22770478"/>
    <n v="3311105"/>
    <n v="69251410"/>
    <s v="TRASSA"/>
    <n v="64880648"/>
    <n v="78070"/>
    <s v="SAL"/>
    <s v="AM04"/>
    <s v="EXAMENES DE LABORATORIO"/>
    <s v="EXAMENES DE LABORATORIO"/>
    <s v="EXAMENES DE LABORATORIO"/>
    <n v="0"/>
    <n v="0"/>
    <n v="96986050"/>
    <n v="3"/>
    <s v="SIN ISAPRE"/>
    <s v="BERNALDA.FONSECA@AFPHABITAT.CL"/>
    <s v="26464544|96986050|918207793|65384547"/>
    <s v="GASTO FISICO"/>
    <b v="0"/>
    <s v="DEPOSITADO EN CUENTA"/>
  </r>
  <r>
    <s v="12 DE SEPTIEMBRE DE 2025"/>
    <x v="185"/>
    <s v="JESSICA ZAMBRA MEDINA"/>
    <n v="10586495"/>
    <s v="JESSICA ZAMBRA MEDINA"/>
    <d v="2025-01-01T00:00:00"/>
    <s v="INICIAL"/>
    <n v="918209723"/>
    <n v="918209723"/>
    <n v="123300"/>
    <n v="58320"/>
    <n v="64980"/>
    <n v="0"/>
    <n v="12240"/>
    <n v="918209723"/>
    <n v="285123"/>
    <s v="CORP DE BIENESTAR DEL PERSONAL DE A F P"/>
    <d v="2025-01-30T00:00:00"/>
    <d v="2025-01-30T00:00:00"/>
    <d v="2025-01-30T00:00:00"/>
    <d v="2025-01-30T00:00:00"/>
    <s v="AMBULATORIOS"/>
    <n v="22560957"/>
    <n v="2040929"/>
    <n v="68810012"/>
    <s v="TRASSA"/>
    <n v="2022025"/>
    <n v="77562"/>
    <s v="SAL"/>
    <s v="AM07"/>
    <s v="PROCEDIMIENTOS TERAPEUTICOS"/>
    <s v="PROCEDIMIENTOS TERAPEUTICOS"/>
    <s v="PROCEDIMIENTOS TERAPEUTICOS"/>
    <s v="IMED SALUD"/>
    <n v="0"/>
    <n v="78739580"/>
    <n v="5"/>
    <s v="FONASA"/>
    <s v="JZAMBRA@AFPHABITAT.CL"/>
    <s v="10586495|78739580|918209723|918209723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18209723"/>
    <n v="65383870"/>
    <n v="36851"/>
    <n v="0"/>
    <n v="36851"/>
    <n v="0"/>
    <n v="36851"/>
    <n v="918209723"/>
    <n v="285123"/>
    <s v="CORP DE BIENESTAR DEL PERSONAL DE A F P"/>
    <d v="2025-03-01T00:00:00"/>
    <d v="2025-03-26T00:00:00"/>
    <d v="2025-01-30T00:00:00"/>
    <d v="2025-01-30T00:00:00"/>
    <s v="AMBULATORIOS"/>
    <n v="22770468"/>
    <n v="3311105"/>
    <n v="69250759"/>
    <s v="TRASSA"/>
    <n v="50964119"/>
    <n v="78070"/>
    <s v="SAL"/>
    <s v="AM07"/>
    <s v="PROCEDIMIENTOS TERAPEUTICOS"/>
    <s v="PROCEDIMIENTOS TERAPEUTICOS"/>
    <s v="PROCEDIMIENTOS TERAPEUTICOS"/>
    <n v="0"/>
    <n v="0"/>
    <n v="78739580"/>
    <n v="5"/>
    <s v="SIN ISAPRE"/>
    <s v="JZAMBRA@AFPHABITAT.CL"/>
    <s v="10586495|78739580|918209723|65383870"/>
    <s v="GASTO FISICO"/>
    <b v="0"/>
    <s v="DEPOSITADO EN CUENTA"/>
  </r>
  <r>
    <s v="12 DE SEPTIEMBRE DE 2025"/>
    <x v="155"/>
    <s v="SOLANGE ANDREA QUIROZ CAMPOS"/>
    <n v="17884354"/>
    <s v="SOLANGE ANDREA QUIROZ CAMPOS"/>
    <d v="2025-01-01T00:00:00"/>
    <s v="INICIAL"/>
    <n v="918217648"/>
    <n v="918217648"/>
    <n v="28490"/>
    <n v="8910"/>
    <n v="19580"/>
    <n v="0"/>
    <n v="19580"/>
    <n v="918217648"/>
    <n v="285123"/>
    <s v="CORP DE BIENESTAR DEL PERSONAL DE A F P"/>
    <d v="2025-01-30T00:00:00"/>
    <d v="2025-01-30T00:00:00"/>
    <d v="2025-01-30T00:00:00"/>
    <d v="2025-01-30T00:00:00"/>
    <s v="AMBULATORIOS"/>
    <n v="22560983"/>
    <n v="2040929"/>
    <n v="68810075"/>
    <s v="TRASSA"/>
    <n v="2022025"/>
    <n v="77562"/>
    <s v="SAL"/>
    <s v="AM04"/>
    <s v="EXAMENES DE LABORATORIO"/>
    <s v="EXAMENES DE LABORATORIO"/>
    <s v="EXAMENES DE LABORATORIO"/>
    <s v="IMED SALUD"/>
    <n v="0"/>
    <n v="9461401"/>
    <n v="5"/>
    <s v="FONASA"/>
    <s v="SOLANGE.QUIROZ@AFPHABITAT.CL"/>
    <s v="17884354|9461401|918217648|918217648"/>
    <s v="IMED SALUD"/>
    <b v="1"/>
    <s v="APORTE VIA IMED"/>
  </r>
  <r>
    <s v="12 DE SEPTIEMBRE DE 2025"/>
    <x v="155"/>
    <s v="SOLANGE ANDREA QUIROZ CAMPOS"/>
    <n v="17884354"/>
    <s v="SOLANGE ANDREA QUIROZ CAMPOS"/>
    <d v="2025-03-01T00:00:00"/>
    <s v="DUPLICADO"/>
    <n v="918217648"/>
    <n v="65384447"/>
    <n v="18039"/>
    <n v="0"/>
    <n v="18039"/>
    <n v="0"/>
    <n v="18039"/>
    <n v="918217648"/>
    <n v="285123"/>
    <s v="CORP DE BIENESTAR DEL PERSONAL DE A F P"/>
    <d v="2025-03-01T00:00:00"/>
    <d v="2025-03-26T00:00:00"/>
    <d v="2025-01-30T00:00:00"/>
    <d v="2025-01-30T00:00:00"/>
    <s v="AMBULATORIOS"/>
    <n v="22770477"/>
    <n v="3311105"/>
    <n v="69251315"/>
    <s v="TRASSA"/>
    <n v="17884354"/>
    <n v="78070"/>
    <s v="SAL"/>
    <s v="AM04"/>
    <s v="EXAMENES DE LABORATORIO"/>
    <s v="EXAMENES DE LABORATORIO"/>
    <s v="EXAMENES DE LABORATORIO"/>
    <n v="0"/>
    <n v="0"/>
    <n v="9461401"/>
    <n v="5"/>
    <s v="SIN ISAPRE"/>
    <s v="SOLANGE.QUIROZ@AFPHABITAT.CL"/>
    <s v="17884354|9461401|918217648|65384447"/>
    <s v="GASTO FISICO"/>
    <b v="0"/>
    <s v="DEPOSITADO EN CUENTA"/>
  </r>
  <r>
    <s v="12 DE SEPTIEMBRE DE 2025"/>
    <x v="155"/>
    <s v="SOLANGE ANDREA QUIROZ CAMPOS"/>
    <n v="17884354"/>
    <s v="SOLANGE ANDREA QUIROZ CAMPOS"/>
    <d v="2025-01-01T00:00:00"/>
    <s v="INICIAL"/>
    <n v="918217650"/>
    <n v="918217650"/>
    <n v="7090"/>
    <n v="2220"/>
    <n v="4870"/>
    <n v="0"/>
    <n v="4870"/>
    <n v="918217650"/>
    <n v="285123"/>
    <s v="CORP DE BIENESTAR DEL PERSONAL DE A F P"/>
    <d v="2025-01-30T00:00:00"/>
    <d v="2025-01-30T00:00:00"/>
    <d v="2025-01-30T00:00:00"/>
    <d v="2025-01-30T00:00:00"/>
    <s v="AMBULATORIOS"/>
    <n v="22560983"/>
    <n v="2040929"/>
    <n v="68810074"/>
    <s v="TRASSA"/>
    <n v="2022025"/>
    <n v="77562"/>
    <s v="SAL"/>
    <s v="AM04"/>
    <s v="EXAMENES DE LABORATORIO"/>
    <s v="EXAMENES DE LABORATORIO"/>
    <s v="EXAMENES DE LABORATORIO"/>
    <s v="IMED SALUD"/>
    <n v="0"/>
    <n v="9461401"/>
    <n v="5"/>
    <s v="FONASA"/>
    <s v="SOLANGE.QUIROZ@AFPHABITAT.CL"/>
    <s v="17884354|9461401|918217650|918217650"/>
    <s v="IMED SALUD"/>
    <b v="1"/>
    <s v="APORTE VIA IMED"/>
  </r>
  <r>
    <s v="12 DE SEPTIEMBRE DE 2025"/>
    <x v="155"/>
    <s v="SOLANGE ANDREA QUIROZ CAMPOS"/>
    <n v="17884354"/>
    <s v="SOLANGE ANDREA QUIROZ CAMPOS"/>
    <d v="2025-03-01T00:00:00"/>
    <s v="DUPLICADO"/>
    <n v="918217650"/>
    <n v="65384448"/>
    <n v="4221"/>
    <n v="0"/>
    <n v="4221"/>
    <n v="0"/>
    <n v="4221"/>
    <n v="918217650"/>
    <n v="285123"/>
    <s v="CORP DE BIENESTAR DEL PERSONAL DE A F P"/>
    <d v="2025-03-01T00:00:00"/>
    <d v="2025-03-26T00:00:00"/>
    <d v="2025-01-30T00:00:00"/>
    <d v="2025-01-30T00:00:00"/>
    <s v="AMBULATORIOS"/>
    <n v="22770477"/>
    <n v="3311105"/>
    <n v="69251316"/>
    <s v="TRASSA"/>
    <n v="17884354"/>
    <n v="78070"/>
    <s v="SAL"/>
    <s v="AM04"/>
    <s v="EXAMENES DE LABORATORIO"/>
    <s v="EXAMENES DE LABORATORIO"/>
    <s v="EXAMENES DE LABORATORIO"/>
    <n v="0"/>
    <n v="0"/>
    <n v="9461401"/>
    <n v="5"/>
    <s v="SIN ISAPRE"/>
    <s v="SOLANGE.QUIROZ@AFPHABITAT.CL"/>
    <s v="17884354|9461401|918217650|65384448"/>
    <s v="GASTO FISICO"/>
    <b v="0"/>
    <s v="DEPOSITADO EN CUENTA"/>
  </r>
  <r>
    <s v="12 DE SEPTIEMBRE DE 2025"/>
    <x v="155"/>
    <s v="SOLANGE ANDREA QUIROZ CAMPOS"/>
    <n v="17884354"/>
    <s v="SOLANGE ANDREA QUIROZ CAMPOS"/>
    <d v="2025-01-01T00:00:00"/>
    <s v="INICIAL"/>
    <n v="918218640"/>
    <n v="918218640"/>
    <n v="21960"/>
    <n v="6880"/>
    <n v="15080"/>
    <n v="0"/>
    <n v="15080"/>
    <n v="918218640"/>
    <n v="285123"/>
    <s v="CORP DE BIENESTAR DEL PERSONAL DE A F P"/>
    <d v="2025-01-30T00:00:00"/>
    <d v="2025-01-30T00:00:00"/>
    <d v="2025-01-30T00:00:00"/>
    <d v="2025-01-30T00:00:00"/>
    <s v="AMBULATORIOS"/>
    <n v="22560983"/>
    <n v="2040929"/>
    <n v="68810081"/>
    <s v="TRASSA"/>
    <n v="2022025"/>
    <n v="77562"/>
    <s v="SAL"/>
    <s v="AM04"/>
    <s v="EXAMENES DE LABORATORIO"/>
    <s v="EXAMENES DE LABORATORIO"/>
    <s v="EXAMENES DE LABORATORIO"/>
    <s v="IMED SALUD"/>
    <n v="0"/>
    <n v="9461401"/>
    <n v="5"/>
    <s v="FONASA"/>
    <s v="SOLANGE.QUIROZ@AFPHABITAT.CL"/>
    <s v="17884354|9461401|918218640|918218640"/>
    <s v="IMED SALUD"/>
    <b v="1"/>
    <s v="APORTE VIA IMED"/>
  </r>
  <r>
    <s v="12 DE SEPTIEMBRE DE 2025"/>
    <x v="155"/>
    <s v="SOLANGE ANDREA QUIROZ CAMPOS"/>
    <n v="17884354"/>
    <s v="SOLANGE ANDREA QUIROZ CAMPOS"/>
    <d v="2025-03-01T00:00:00"/>
    <s v="DUPLICADO"/>
    <n v="918218640"/>
    <n v="65384449"/>
    <n v="12666"/>
    <n v="0"/>
    <n v="12666"/>
    <n v="0"/>
    <n v="12666"/>
    <n v="918218640"/>
    <n v="285123"/>
    <s v="CORP DE BIENESTAR DEL PERSONAL DE A F P"/>
    <d v="2025-03-01T00:00:00"/>
    <d v="2025-03-26T00:00:00"/>
    <d v="2025-01-30T00:00:00"/>
    <d v="2025-01-30T00:00:00"/>
    <s v="AMBULATORIOS"/>
    <n v="22770477"/>
    <n v="3311105"/>
    <n v="69251317"/>
    <s v="TRASSA"/>
    <n v="17884354"/>
    <n v="78070"/>
    <s v="SAL"/>
    <s v="AM04"/>
    <s v="EXAMENES DE LABORATORIO"/>
    <s v="EXAMENES DE LABORATORIO"/>
    <s v="EXAMENES DE LABORATORIO"/>
    <n v="0"/>
    <n v="0"/>
    <n v="9461401"/>
    <n v="5"/>
    <s v="SIN ISAPRE"/>
    <s v="SOLANGE.QUIROZ@AFPHABITAT.CL"/>
    <s v="17884354|9461401|918218640|65384449"/>
    <s v="GASTO FISICO"/>
    <b v="0"/>
    <s v="DEPOSITADO EN CUENTA"/>
  </r>
  <r>
    <s v="12 DE SEPTIEMBRE DE 2025"/>
    <x v="129"/>
    <s v="TATIANA LAVIN SANCHEZ"/>
    <n v="11883982"/>
    <s v="TATIANA LAVIN SANCHEZ"/>
    <d v="2025-01-01T00:00:00"/>
    <s v="INICIAL"/>
    <n v="918294084"/>
    <n v="918294084"/>
    <n v="9920"/>
    <n v="5580"/>
    <n v="4340"/>
    <n v="0"/>
    <n v="4340"/>
    <n v="918294084"/>
    <n v="285123"/>
    <s v="CORP DE BIENESTAR DEL PERSONAL DE A F P"/>
    <d v="2025-01-30T00:00:00"/>
    <d v="2025-01-30T00:00:00"/>
    <d v="2025-01-30T00:00:00"/>
    <d v="2025-01-30T00:00:00"/>
    <s v="AMBULATORIOS"/>
    <n v="22560959"/>
    <n v="2040929"/>
    <n v="68810475"/>
    <s v="TRASSA"/>
    <n v="2022025"/>
    <n v="77562"/>
    <s v="SAL"/>
    <s v="AM07"/>
    <s v="PROCEDIMIENTOS TERAPEUTICOS"/>
    <s v="PROCEDIMIENTOS TERAPEUTICOS"/>
    <s v="PROCEDIMIENTOS TERAPEUTICOS"/>
    <s v="IMED SALUD"/>
    <n v="0"/>
    <n v="76696200"/>
    <n v="9"/>
    <s v="FONASA"/>
    <s v="TLAVINS@AFPHABITAT.CL"/>
    <s v="11883982|76696200|918294084|918294084"/>
    <s v="IMED SALUD"/>
    <b v="1"/>
    <s v="APORTE VIA IMED"/>
  </r>
  <r>
    <s v="12 DE SEPTIEMBRE DE 2025"/>
    <x v="129"/>
    <s v="TATIANA LAVIN SANCHEZ"/>
    <n v="11883982"/>
    <s v="TATIANA LAVIN SANCHEZ"/>
    <d v="2025-03-01T00:00:00"/>
    <s v="DUPLICADO"/>
    <n v="918294084"/>
    <n v="65383974"/>
    <n v="3454"/>
    <n v="0"/>
    <n v="3454"/>
    <n v="0"/>
    <n v="3454"/>
    <n v="918294084"/>
    <n v="285123"/>
    <s v="CORP DE BIENESTAR DEL PERSONAL DE A F P"/>
    <d v="2025-03-01T00:00:00"/>
    <d v="2025-03-26T00:00:00"/>
    <d v="2025-01-30T00:00:00"/>
    <d v="2025-01-30T00:00:00"/>
    <s v="AMBULATORIOS"/>
    <n v="22770469"/>
    <n v="3311105"/>
    <n v="69250862"/>
    <s v="TRASSA"/>
    <n v="13915402"/>
    <n v="78070"/>
    <s v="SAL"/>
    <s v="AM07"/>
    <s v="PROCEDIMIENTOS TERAPEUTICOS"/>
    <s v="PROCEDIMIENTOS TERAPEUTICOS"/>
    <s v="PROCEDIMIENTOS TERAPEUTICOS"/>
    <n v="0"/>
    <n v="0"/>
    <n v="76696200"/>
    <n v="9"/>
    <s v="SIN ISAPRE"/>
    <s v="TLAVINS@AFPHABITAT.CL"/>
    <s v="11883982|76696200|918294084|65383974"/>
    <s v="GASTO FISICO"/>
    <b v="0"/>
    <s v="DEPOSITADO EN CUENTA"/>
  </r>
  <r>
    <s v="12 DE SEPTIEMBRE DE 2025"/>
    <x v="164"/>
    <s v="MARTA DEL PILAR FARIAS SALDAÑA"/>
    <n v="10242781"/>
    <s v="MARTA DEL PILAR FARIAS SALDAÑA"/>
    <d v="2025-01-01T00:00:00"/>
    <s v="INICIAL"/>
    <n v="918373501"/>
    <n v="918373501"/>
    <n v="38520"/>
    <n v="20123"/>
    <n v="18397"/>
    <n v="0"/>
    <n v="18397"/>
    <n v="918373501"/>
    <n v="285123"/>
    <s v="CORP DE BIENESTAR DEL PERSONAL DE A F P"/>
    <d v="2025-01-31T00:00:00"/>
    <d v="2025-01-31T00:00:00"/>
    <d v="2025-01-31T00:00:00"/>
    <d v="2025-01-31T00:00:00"/>
    <s v="SALUD MENTAL"/>
    <n v="22560994"/>
    <n v="2040929"/>
    <n v="68810927"/>
    <s v="TRASSA"/>
    <n v="2022025"/>
    <n v="77562"/>
    <s v="SAL"/>
    <s v="SM01"/>
    <s v="CONSULTA O SESIONES PSIQUIATRICAS"/>
    <s v="CONSULTA PSIQUIATRICA"/>
    <s v="CONSULTA PSIQUIATRICA"/>
    <s v="IMED SALUD"/>
    <n v="0"/>
    <n v="76416482"/>
    <n v="2"/>
    <s v="FONASA"/>
    <s v="MFARIAS@AFPHABITAT.CL"/>
    <s v="10242781|76416482|918373501|918373501"/>
    <s v="IMED SALUD"/>
    <b v="1"/>
    <s v="APORTE VIA IMED"/>
  </r>
  <r>
    <s v="12 DE SEPTIEMBRE DE 2025"/>
    <x v="164"/>
    <s v="MARTA DEL PILAR FARIAS SALDAÑA"/>
    <n v="10242781"/>
    <s v="MARTA DEL PILAR FARIAS SALDAÑA"/>
    <d v="2025-03-01T00:00:00"/>
    <s v="DUPLICADO"/>
    <n v="918373501"/>
    <n v="65383823"/>
    <n v="18424"/>
    <n v="0"/>
    <n v="18424"/>
    <n v="0"/>
    <n v="18424"/>
    <n v="918373501"/>
    <n v="285123"/>
    <s v="CORP DE BIENESTAR DEL PERSONAL DE A F P"/>
    <d v="2025-03-01T00:00:00"/>
    <d v="2025-03-26T00:00:00"/>
    <d v="2025-01-31T00:00:00"/>
    <d v="2025-01-31T00:00:00"/>
    <s v="SALUD MENTAL"/>
    <n v="22770481"/>
    <n v="3311105"/>
    <n v="69250712"/>
    <s v="TRASSA"/>
    <n v="45066906"/>
    <n v="78070"/>
    <s v="SAL"/>
    <s v="SM01"/>
    <s v="CONSULTA O SESIONES PSIQUIATRICAS"/>
    <s v="CONSULTA PSIQUIATRICA"/>
    <s v="CONSULTA PSIQUIATRICA"/>
    <n v="0"/>
    <n v="0"/>
    <n v="76416482"/>
    <n v="2"/>
    <s v="SIN ISAPRE"/>
    <s v="MFARIAS@AFPHABITAT.CL"/>
    <s v="10242781|76416482|918373501|65383823"/>
    <s v="GASTO FISICO"/>
    <b v="0"/>
    <s v="DEPOSITADO EN CUENTA"/>
  </r>
  <r>
    <s v="12 DE SEPTIEMBRE DE 2025"/>
    <x v="186"/>
    <s v="DEBORAH VALESKA CATALAN FERREIRA"/>
    <n v="18438475"/>
    <s v="DEBORAH VALESKA CATALAN FERREIRA"/>
    <d v="2025-01-01T00:00:00"/>
    <s v="INICIAL"/>
    <n v="918388791"/>
    <n v="918388791"/>
    <n v="115960"/>
    <n v="36240"/>
    <n v="79720"/>
    <n v="0"/>
    <n v="79720"/>
    <n v="918388791"/>
    <n v="285123"/>
    <s v="CORP DE BIENESTAR DEL PERSONAL DE A F P"/>
    <d v="2025-01-31T00:00:00"/>
    <d v="2025-01-31T00:00:00"/>
    <d v="2025-01-31T00:00:00"/>
    <d v="2025-01-31T00:00:00"/>
    <s v="AMBULATORIOS"/>
    <n v="22561028"/>
    <n v="2040929"/>
    <n v="68810997"/>
    <s v="TRASSA"/>
    <n v="2022025"/>
    <n v="77562"/>
    <s v="SAL"/>
    <s v="AM05"/>
    <s v="EXAMENES RADIOLOGICOS"/>
    <s v="EXAMENES RADIOLOGICOS"/>
    <s v="EXAMENES RADIOLOGICOS"/>
    <s v="IMED SALUD"/>
    <n v="0"/>
    <n v="96942400"/>
    <n v="2"/>
    <s v="FONASA"/>
    <s v="DEBORAH.CATALAN@AFPHABITAT.CL"/>
    <s v="18438475|96942400|918388791|918388791"/>
    <s v="IMED SALUD"/>
    <b v="1"/>
    <s v="APORTE VIA IMED"/>
  </r>
  <r>
    <s v="12 DE SEPTIEMBRE DE 2025"/>
    <x v="186"/>
    <s v="DEBORAH VALESKA CATALAN FERREIRA"/>
    <n v="18438475"/>
    <s v="DEBORAH VALESKA CATALAN FERREIRA"/>
    <d v="2025-03-01T00:00:00"/>
    <s v="DUPLICADO"/>
    <n v="918388791"/>
    <n v="65384458"/>
    <n v="69091"/>
    <n v="0"/>
    <n v="69091"/>
    <n v="0"/>
    <n v="69091"/>
    <n v="918388791"/>
    <n v="285123"/>
    <s v="CORP DE BIENESTAR DEL PERSONAL DE A F P"/>
    <d v="2025-03-01T00:00:00"/>
    <d v="2025-03-26T00:00:00"/>
    <d v="2025-01-31T00:00:00"/>
    <d v="2025-01-31T00:00:00"/>
    <s v="AMBULATORIOS"/>
    <n v="22770490"/>
    <n v="3311105"/>
    <n v="69251324"/>
    <s v="TRASSA"/>
    <n v="118720288"/>
    <n v="78070"/>
    <s v="SAL"/>
    <s v="AM05"/>
    <s v="EXAMENES RADIOLOGICOS"/>
    <s v="EXAMENES RADIOLOGICOS"/>
    <s v="EXAMENES RADIOLOGICOS"/>
    <n v="0"/>
    <n v="0"/>
    <n v="96942400"/>
    <n v="2"/>
    <s v="SIN ISAPRE"/>
    <s v="DEBORAH.CATALAN@AFPHABITAT.CL"/>
    <s v="18438475|96942400|918388791|65384458"/>
    <s v="GASTO FISICO"/>
    <b v="0"/>
    <s v="DEPOSITADO EN CUENTA"/>
  </r>
  <r>
    <s v="12 DE SEPTIEMBRE DE 2025"/>
    <x v="187"/>
    <s v="ELISA ARAYA PIZARRO"/>
    <n v="11507708"/>
    <s v="ELISA ARAYA PIZARRO"/>
    <d v="2025-01-01T00:00:00"/>
    <s v="INICIAL"/>
    <n v="918400161"/>
    <n v="918400161"/>
    <n v="14820"/>
    <n v="7420"/>
    <n v="7400"/>
    <n v="0"/>
    <n v="7400"/>
    <n v="918400161"/>
    <n v="285123"/>
    <s v="CORP DE BIENESTAR DEL PERSONAL DE A F P"/>
    <d v="2025-01-31T00:00:00"/>
    <d v="2025-01-31T00:00:00"/>
    <d v="2025-01-31T00:00:00"/>
    <d v="2025-01-31T00:00:00"/>
    <s v="AMBULATORIOS"/>
    <n v="22561000"/>
    <n v="2040929"/>
    <n v="68811055"/>
    <s v="TRASSA"/>
    <n v="2022025"/>
    <n v="77562"/>
    <s v="SAL"/>
    <s v="AM04"/>
    <s v="EXAMENES DE LABORATORIO"/>
    <s v="EXAMENES DE LABORATORIO"/>
    <s v="EXAMENES DE LABORATORIO"/>
    <s v="IMED SALUD"/>
    <n v="0"/>
    <n v="76506844"/>
    <n v="4"/>
    <s v="FONASA"/>
    <s v="EARAYAP@AFPHABITAT.CL"/>
    <s v="11507708|76506844|918400161|918400161"/>
    <s v="IMED SALUD"/>
    <b v="1"/>
    <s v="APORTE VIA IMED"/>
  </r>
  <r>
    <s v="12 DE SEPTIEMBRE DE 2025"/>
    <x v="187"/>
    <s v="ELISA ARAYA PIZARRO"/>
    <n v="11507708"/>
    <s v="ELISA ARAYA PIZARRO"/>
    <d v="2025-03-01T00:00:00"/>
    <s v="DUPLICADO"/>
    <n v="918400161"/>
    <n v="65383935"/>
    <n v="7675"/>
    <n v="0"/>
    <n v="7675"/>
    <n v="0"/>
    <n v="7675"/>
    <n v="918400161"/>
    <n v="285123"/>
    <s v="CORP DE BIENESTAR DEL PERSONAL DE A F P"/>
    <d v="2025-03-01T00:00:00"/>
    <d v="2025-03-26T00:00:00"/>
    <d v="2025-01-31T00:00:00"/>
    <d v="2025-01-31T00:00:00"/>
    <s v="AMBULATORIOS"/>
    <n v="22770483"/>
    <n v="3311105"/>
    <n v="69250824"/>
    <s v="TRASSA"/>
    <n v="70534533"/>
    <n v="78070"/>
    <s v="SAL"/>
    <s v="AM04"/>
    <s v="EXAMENES DE LABORATORIO"/>
    <s v="EXAMENES DE LABORATORIO"/>
    <s v="EXAMENES DE LABORATORIO"/>
    <n v="0"/>
    <n v="0"/>
    <n v="76506844"/>
    <n v="4"/>
    <s v="SIN ISAPRE"/>
    <s v="EARAYAP@AFPHABITAT.CL"/>
    <s v="11507708|76506844|918400161|65383935"/>
    <s v="GASTO FISICO"/>
    <b v="0"/>
    <s v="DEPOSITADO EN CUENTA"/>
  </r>
  <r>
    <s v="12 DE SEPTIEMBRE DE 2025"/>
    <x v="188"/>
    <s v="PAMELA VIE ALARCON"/>
    <n v="21304178"/>
    <s v="GABRIEL DROUILLAS VIE"/>
    <d v="2025-01-01T00:00:00"/>
    <s v="INICIAL"/>
    <n v="918406296"/>
    <n v="918406296"/>
    <n v="11500"/>
    <n v="3600"/>
    <n v="7900"/>
    <n v="0"/>
    <n v="7900"/>
    <n v="918406296"/>
    <n v="285123"/>
    <s v="CORP DE BIENESTAR DEL PERSONAL DE A F P"/>
    <d v="2025-01-31T00:00:00"/>
    <d v="2025-01-31T00:00:00"/>
    <d v="2025-01-31T00:00:00"/>
    <d v="2025-01-31T00:00:00"/>
    <s v="AMBULATORIOS"/>
    <n v="22560996"/>
    <n v="2040929"/>
    <n v="68811087"/>
    <s v="TRASSA"/>
    <n v="2022025"/>
    <n v="77562"/>
    <s v="SAL"/>
    <s v="AM07"/>
    <s v="PROCEDIMIENTOS TERAPEUTICOS"/>
    <s v="PROCEDIMIENTOS TERAPEUTICOS"/>
    <s v="PROCEDIMIENTOS TERAPEUTICOS"/>
    <s v="IMED SALUD"/>
    <n v="0"/>
    <n v="96942400"/>
    <n v="2"/>
    <s v="FONASA"/>
    <s v="PVIEAL@AFPHABITAT.CL"/>
    <s v="10792213|96942400|918406296|918406296"/>
    <s v="IMED SALUD"/>
    <b v="1"/>
    <s v="APORTE VIA IMED"/>
  </r>
  <r>
    <s v="12 DE SEPTIEMBRE DE 2025"/>
    <x v="188"/>
    <s v="PAMELA VIE ALARCON"/>
    <n v="21304178"/>
    <s v="GABRIEL DROUILLAS VIE"/>
    <d v="2025-03-01T00:00:00"/>
    <s v="DUPLICADO"/>
    <n v="918406296"/>
    <n v="65383901"/>
    <n v="6909"/>
    <n v="0"/>
    <n v="6909"/>
    <n v="0"/>
    <n v="6909"/>
    <n v="918406296"/>
    <n v="285123"/>
    <s v="CORP DE BIENESTAR DEL PERSONAL DE A F P"/>
    <d v="2025-03-01T00:00:00"/>
    <d v="2025-03-26T00:00:00"/>
    <d v="2025-01-31T00:00:00"/>
    <d v="2025-01-31T00:00:00"/>
    <s v="AMBULATORIOS"/>
    <n v="22770482"/>
    <n v="3311105"/>
    <n v="69250790"/>
    <s v="TRASSA"/>
    <n v="10792213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PVIEAL@AFPHABITAT.CL"/>
    <s v="10792213|96942400|918406296|65383901"/>
    <s v="GASTO FISICO"/>
    <b v="0"/>
    <s v="DEPOSITADO EN CUENTA"/>
  </r>
  <r>
    <s v="12 DE SEPTIEMBRE DE 2025"/>
    <x v="32"/>
    <s v="XAIRYS ADRIANA FALCON MARQUEZ"/>
    <n v="26246811"/>
    <s v="XAIRYS ADRIANA FALCON MARQUEZ"/>
    <d v="2025-01-01T00:00:00"/>
    <s v="INICIAL"/>
    <n v="918429475"/>
    <n v="918429475"/>
    <n v="10740"/>
    <n v="3360"/>
    <n v="7380"/>
    <n v="0"/>
    <n v="7380"/>
    <n v="918429475"/>
    <n v="285123"/>
    <s v="CORP DE BIENESTAR DEL PERSONAL DE A F P"/>
    <d v="2025-01-31T00:00:00"/>
    <d v="2025-01-31T00:00:00"/>
    <d v="2025-01-31T00:00:00"/>
    <d v="2025-01-31T00:00:00"/>
    <s v="AMBULATORIOS"/>
    <n v="22561038"/>
    <n v="2040929"/>
    <n v="68811219"/>
    <s v="TRASSA"/>
    <n v="2022025"/>
    <n v="77562"/>
    <s v="SAL"/>
    <s v="AM07"/>
    <s v="PROCEDIMIENTOS TERAPEUTICOS"/>
    <s v="PROCEDIMIENTOS TERAPEUTICOS"/>
    <s v="PROCEDIMIENTOS TERAPEUTICOS"/>
    <s v="IMED SALUD"/>
    <n v="0"/>
    <n v="96530470"/>
    <n v="3"/>
    <s v="FONASA"/>
    <s v="XAIRYS.FALCON@AFPHABITAT.CL"/>
    <s v="26246811|96530470|918429475|918429475"/>
    <s v="IMED SALUD"/>
    <b v="1"/>
    <s v="APORTE VIA IMED"/>
  </r>
  <r>
    <s v="12 DE SEPTIEMBRE DE 2025"/>
    <x v="32"/>
    <s v="XAIRYS ADRIANA FALCON MARQUEZ"/>
    <n v="26246811"/>
    <s v="XAIRYS ADRIANA FALCON MARQUEZ"/>
    <d v="2025-03-01T00:00:00"/>
    <s v="DUPLICADO"/>
    <n v="918429475"/>
    <n v="65384535"/>
    <n v="6141"/>
    <n v="0"/>
    <n v="6141"/>
    <n v="0"/>
    <n v="6141"/>
    <n v="918429475"/>
    <n v="285123"/>
    <s v="CORP DE BIENESTAR DEL PERSONAL DE A F P"/>
    <d v="2025-03-01T00:00:00"/>
    <d v="2025-03-26T00:00:00"/>
    <d v="2025-01-31T00:00:00"/>
    <d v="2025-01-31T00:00:00"/>
    <s v="AMBULATORIOS"/>
    <n v="22770493"/>
    <n v="3311105"/>
    <n v="69251398"/>
    <s v="TRASSA"/>
    <n v="83503556"/>
    <n v="78070"/>
    <s v="SAL"/>
    <s v="AM07"/>
    <s v="PROCEDIMIENTOS TERAPEUTICOS"/>
    <s v="PROCEDIMIENTOS TERAPEUTICOS"/>
    <s v="PROCEDIMIENTOS TERAPEUTICOS"/>
    <n v="0"/>
    <n v="0"/>
    <n v="96530470"/>
    <n v="3"/>
    <s v="SIN ISAPRE"/>
    <s v="XAIRYS.FALCON@AFPHABITAT.CL"/>
    <s v="26246811|96530470|918429475|65384535"/>
    <s v="GASTO FISICO"/>
    <b v="0"/>
    <s v="DEPOSITADO EN CUENTA"/>
  </r>
  <r>
    <s v="12 DE SEPTIEMBRE DE 2025"/>
    <x v="174"/>
    <s v="GRACIELA RUBILAR CHIHUAICURA"/>
    <n v="15552230"/>
    <s v="GRACIELA RUBILAR CHIHUAICURA"/>
    <d v="2025-01-01T00:00:00"/>
    <s v="INICIAL"/>
    <n v="918432271"/>
    <n v="918432271"/>
    <n v="35460"/>
    <n v="11080"/>
    <n v="24380"/>
    <n v="0"/>
    <n v="24380"/>
    <n v="918432271"/>
    <n v="285123"/>
    <s v="CORP DE BIENESTAR DEL PERSONAL DE A F P"/>
    <d v="2025-01-31T00:00:00"/>
    <d v="2025-01-31T00:00:00"/>
    <d v="2025-01-31T00:00:00"/>
    <d v="2025-01-31T00:00:00"/>
    <s v="AMBULATORIOS"/>
    <n v="22561019"/>
    <n v="2040929"/>
    <n v="68811235"/>
    <s v="TRASSA"/>
    <n v="2022025"/>
    <n v="77562"/>
    <s v="SAL"/>
    <s v="AM05"/>
    <s v="EXAMENES RADIOLOGICOS"/>
    <s v="EXAMENES RADIOLOGICOS"/>
    <s v="EXAMENES RADIOLOGICOS"/>
    <s v="IMED SALUD"/>
    <n v="0"/>
    <n v="96942400"/>
    <n v="2"/>
    <s v="FONASA"/>
    <s v="GRUBILAR@AFPHABITAT.CL"/>
    <s v="15552230|96942400|918432271|918432271"/>
    <s v="IMED SALUD"/>
    <b v="1"/>
    <s v="APORTE VIA IMED"/>
  </r>
  <r>
    <s v="12 DE SEPTIEMBRE DE 2025"/>
    <x v="174"/>
    <s v="GRACIELA RUBILAR CHIHUAICURA"/>
    <n v="15552230"/>
    <s v="GRACIELA RUBILAR CHIHUAICURA"/>
    <d v="2025-03-01T00:00:00"/>
    <s v="DUPLICADO"/>
    <n v="918432271"/>
    <n v="65384324"/>
    <n v="21111"/>
    <n v="0"/>
    <n v="21111"/>
    <n v="0"/>
    <n v="21111"/>
    <n v="918432271"/>
    <n v="285123"/>
    <s v="CORP DE BIENESTAR DEL PERSONAL DE A F P"/>
    <d v="2025-03-01T00:00:00"/>
    <d v="2025-03-26T00:00:00"/>
    <d v="2025-01-31T00:00:00"/>
    <d v="2025-01-31T00:00:00"/>
    <s v="AMBULATORIOS"/>
    <n v="22770487"/>
    <n v="3311105"/>
    <n v="69251207"/>
    <s v="TRASSA"/>
    <n v="169190419929"/>
    <n v="78070"/>
    <s v="SAL"/>
    <s v="AM05"/>
    <s v="EXAMENES RADIOLOGICOS"/>
    <s v="EXAMENES RADIOLOGICOS"/>
    <s v="EXAMENES RADIOLOGICOS"/>
    <n v="0"/>
    <n v="0"/>
    <n v="96942400"/>
    <n v="2"/>
    <s v="SIN ISAPRE"/>
    <s v="GRUBILAR@AFPHABITAT.CL"/>
    <s v="15552230|96942400|918432271|65384324"/>
    <s v="GASTO FISICO"/>
    <b v="0"/>
    <s v="DEPOSITADO EN CUENTA"/>
  </r>
  <r>
    <s v="12 DE SEPTIEMBRE DE 2025"/>
    <x v="166"/>
    <s v="XIMENA DEL PILAR CALDERA CARCAMO"/>
    <n v="14157190"/>
    <s v="XIMENA DEL PILAR CALDERA CARCAMO"/>
    <d v="2025-02-01T00:00:00"/>
    <s v="INICIAL"/>
    <n v="918557671"/>
    <n v="918557671"/>
    <n v="28990"/>
    <n v="16308"/>
    <n v="12682"/>
    <n v="0"/>
    <n v="12682"/>
    <n v="918557671"/>
    <n v="285123"/>
    <s v="CORP DE BIENESTAR DEL PERSONAL DE A F P"/>
    <d v="2025-02-03T00:00:00"/>
    <d v="2025-02-03T00:00:00"/>
    <d v="2025-02-03T00:00:00"/>
    <d v="2025-02-03T00:00:00"/>
    <s v="AMBULATORIOS"/>
    <n v="22566136"/>
    <n v="2101551"/>
    <n v="68820162"/>
    <s v="TRASSA"/>
    <n v="9022025"/>
    <n v="77586"/>
    <s v="SAL"/>
    <s v="AM05"/>
    <s v="EXAMENES RADIOLOGICOS"/>
    <s v="EXAMENES RADIOLOGICOS"/>
    <s v="EXAMENES RADIOLOGICOS"/>
    <s v="IMED SALUD"/>
    <n v="0"/>
    <n v="96942400"/>
    <n v="2"/>
    <s v="FONASA"/>
    <s v="XCALDERA@AFPHABITAT.CL"/>
    <s v="14157190|96942400|918557671|918557671"/>
    <s v="IMED SALUD"/>
    <b v="1"/>
    <s v="APORTE VIA IMED"/>
  </r>
  <r>
    <s v="12 DE SEPTIEMBRE DE 2025"/>
    <x v="166"/>
    <s v="XIMENA DEL PILAR CALDERA CARCAMO"/>
    <n v="14157190"/>
    <s v="XIMENA DEL PILAR CALDERA CARCAMO"/>
    <d v="2025-03-01T00:00:00"/>
    <s v="DUPLICADO"/>
    <n v="918557671"/>
    <n v="65384210"/>
    <n v="9978"/>
    <n v="0"/>
    <n v="9978"/>
    <n v="0"/>
    <n v="9978"/>
    <n v="918557671"/>
    <n v="285123"/>
    <s v="CORP DE BIENESTAR DEL PERSONAL DE A F P"/>
    <d v="2025-03-01T00:00:00"/>
    <d v="2025-03-26T00:00:00"/>
    <d v="2025-02-03T00:00:00"/>
    <d v="2025-02-03T00:00:00"/>
    <s v="AMBULATORIOS"/>
    <n v="22770515"/>
    <n v="3311105"/>
    <n v="69251085"/>
    <s v="TRASSA"/>
    <n v="15060102662"/>
    <n v="78070"/>
    <s v="SAL"/>
    <s v="AM05"/>
    <s v="EXAMENES RADIOLOGICOS"/>
    <s v="EXAMENES RADIOLOGICOS"/>
    <s v="EXAMENES RADIOLOGICOS"/>
    <n v="0"/>
    <n v="0"/>
    <n v="96942400"/>
    <n v="2"/>
    <s v="SIN ISAPRE"/>
    <s v="XCALDERA@AFPHABITAT.CL"/>
    <s v="14157190|96942400|918557671|65384210"/>
    <s v="GASTO FISICO"/>
    <b v="0"/>
    <s v="DEPOSITADO EN CUENTA"/>
  </r>
  <r>
    <s v="12 DE SEPTIEMBRE DE 2025"/>
    <x v="189"/>
    <s v="RAYEN VILLALOBOS ESPINOZA"/>
    <n v="17897672"/>
    <s v="RAYEN VILLALOBOS ESPINOZA"/>
    <d v="2025-02-01T00:00:00"/>
    <s v="INICIAL"/>
    <n v="918602630"/>
    <n v="918602630"/>
    <n v="16990"/>
    <n v="5310"/>
    <n v="11680"/>
    <n v="0"/>
    <n v="11680"/>
    <n v="918602630"/>
    <n v="285123"/>
    <s v="CORP DE BIENESTAR DEL PERSONAL DE A F P"/>
    <d v="2025-02-03T00:00:00"/>
    <d v="2025-02-03T00:00:00"/>
    <d v="2025-02-03T00:00:00"/>
    <d v="2025-02-03T00:00:00"/>
    <s v="AMBULATORIOS"/>
    <n v="22566147"/>
    <n v="2101551"/>
    <n v="68820372"/>
    <s v="TRASSA"/>
    <n v="9022025"/>
    <n v="77586"/>
    <s v="SAL"/>
    <s v="AM07"/>
    <s v="PROCEDIMIENTOS TERAPEUTICOS"/>
    <s v="PROCEDIMIENTOS TERAPEUTICOS"/>
    <s v="PROCEDIMIENTOS TERAPEUTICOS"/>
    <s v="IMED SALUD"/>
    <n v="0"/>
    <n v="88611600"/>
    <n v="4"/>
    <s v="FONASA"/>
    <s v="RVILLALO@AFPHABITAT.CL"/>
    <s v="17897672|88611600|918602630|918602630"/>
    <s v="IMED SALUD"/>
    <b v="1"/>
    <s v="APORTE VIA IMED"/>
  </r>
  <r>
    <s v="12 DE SEPTIEMBRE DE 2025"/>
    <x v="189"/>
    <s v="RAYEN VILLALOBOS ESPINOZA"/>
    <n v="17897672"/>
    <s v="RAYEN VILLALOBOS ESPINOZA"/>
    <d v="2025-03-01T00:00:00"/>
    <s v="DUPLICADO"/>
    <n v="918602630"/>
    <n v="65384451"/>
    <n v="9978"/>
    <n v="0"/>
    <n v="9978"/>
    <n v="0"/>
    <n v="9978"/>
    <n v="918602630"/>
    <n v="285123"/>
    <s v="CORP DE BIENESTAR DEL PERSONAL DE A F P"/>
    <d v="2025-03-01T00:00:00"/>
    <d v="2025-03-26T00:00:00"/>
    <d v="2025-02-03T00:00:00"/>
    <d v="2025-02-03T00:00:00"/>
    <s v="AMBULATORIOS"/>
    <n v="22770520"/>
    <n v="3311105"/>
    <n v="69251319"/>
    <s v="TRASSA"/>
    <n v="3280691607"/>
    <n v="78070"/>
    <s v="SAL"/>
    <s v="AM07"/>
    <s v="PROCEDIMIENTOS TERAPEUTICOS"/>
    <s v="PROCEDIMIENTOS TERAPEUTICOS"/>
    <s v="PROCEDIMIENTOS TERAPEUTICOS"/>
    <n v="0"/>
    <n v="0"/>
    <n v="88611600"/>
    <n v="4"/>
    <s v="SIN ISAPRE"/>
    <s v="RVILLALO@AFPHABITAT.CL"/>
    <s v="17897672|88611600|918602630|65384451"/>
    <s v="GASTO FISICO"/>
    <b v="0"/>
    <s v="DEPOSITADO EN CUENTA"/>
  </r>
  <r>
    <s v="12 DE SEPTIEMBRE DE 2025"/>
    <x v="32"/>
    <s v="XAIRYS ADRIANA FALCON MARQUEZ"/>
    <n v="26246811"/>
    <s v="XAIRYS ADRIANA FALCON MARQUEZ"/>
    <d v="2025-02-01T00:00:00"/>
    <s v="INICIAL"/>
    <n v="918617889"/>
    <n v="918617889"/>
    <n v="14400"/>
    <n v="4500"/>
    <n v="9900"/>
    <n v="0"/>
    <n v="9900"/>
    <n v="918617889"/>
    <n v="285123"/>
    <s v="CORP DE BIENESTAR DEL PERSONAL DE A F P"/>
    <d v="2025-02-03T00:00:00"/>
    <d v="2025-02-03T00:00:00"/>
    <d v="2025-02-03T00:00:00"/>
    <d v="2025-02-03T00:00:00"/>
    <s v="AMBULATORIOS"/>
    <n v="22566150"/>
    <n v="2101551"/>
    <n v="68820441"/>
    <s v="TRASSA"/>
    <n v="9022025"/>
    <n v="77586"/>
    <s v="SAL"/>
    <s v="AM07"/>
    <s v="PROCEDIMIENTOS TERAPEUTICOS"/>
    <s v="PROCEDIMIENTOS TERAPEUTICOS"/>
    <s v="PROCEDIMIENTOS TERAPEUTICOS"/>
    <s v="IMED SALUD"/>
    <n v="0"/>
    <n v="79980070"/>
    <n v="5"/>
    <s v="FONASA"/>
    <s v="XAIRYS.FALCON@AFPHABITAT.CL"/>
    <s v="26246811|79980070|918617889|918617889"/>
    <s v="IMED SALUD"/>
    <b v="1"/>
    <s v="APORTE VIA IMED"/>
  </r>
  <r>
    <s v="12 DE SEPTIEMBRE DE 2025"/>
    <x v="32"/>
    <s v="XAIRYS ADRIANA FALCON MARQUEZ"/>
    <n v="26246811"/>
    <s v="XAIRYS ADRIANA FALCON MARQUEZ"/>
    <d v="2025-03-01T00:00:00"/>
    <s v="DUPLICADO"/>
    <n v="918617889"/>
    <n v="65384536"/>
    <n v="8442"/>
    <n v="0"/>
    <n v="8442"/>
    <n v="0"/>
    <n v="8442"/>
    <n v="918617889"/>
    <n v="285123"/>
    <s v="CORP DE BIENESTAR DEL PERSONAL DE A F P"/>
    <d v="2025-03-01T00:00:00"/>
    <d v="2025-03-26T00:00:00"/>
    <d v="2025-02-03T00:00:00"/>
    <d v="2025-02-03T00:00:00"/>
    <s v="AMBULATORIOS"/>
    <n v="22770521"/>
    <n v="3311105"/>
    <n v="69251399"/>
    <s v="TRASSA"/>
    <n v="83503556"/>
    <n v="78070"/>
    <s v="SAL"/>
    <s v="AM07"/>
    <s v="PROCEDIMIENTOS TERAPEUTICOS"/>
    <s v="PROCEDIMIENTOS TERAPEUTICOS"/>
    <s v="PROCEDIMIENTOS TERAPEUTICOS"/>
    <n v="0"/>
    <n v="0"/>
    <n v="79980070"/>
    <n v="5"/>
    <s v="SIN ISAPRE"/>
    <s v="XAIRYS.FALCON@AFPHABITAT.CL"/>
    <s v="26246811|79980070|918617889|65384536"/>
    <s v="GASTO FISICO"/>
    <b v="0"/>
    <s v="DEPOSITADO EN CUENTA"/>
  </r>
  <r>
    <s v="12 DE SEPTIEMBRE DE 2025"/>
    <x v="32"/>
    <s v="XAIRYS ADRIANA FALCON MARQUEZ"/>
    <n v="26246811"/>
    <s v="XAIRYS ADRIANA FALCON MARQUEZ"/>
    <d v="2025-02-01T00:00:00"/>
    <s v="INICIAL"/>
    <n v="918633302"/>
    <n v="918633302"/>
    <n v="57360"/>
    <n v="17930"/>
    <n v="39430"/>
    <n v="0"/>
    <n v="39430"/>
    <n v="918633302"/>
    <n v="285123"/>
    <s v="CORP DE BIENESTAR DEL PERSONAL DE A F P"/>
    <d v="2025-02-03T00:00:00"/>
    <d v="2025-02-03T00:00:00"/>
    <d v="2025-02-03T00:00:00"/>
    <d v="2025-02-03T00:00:00"/>
    <s v="AMBULATORIOS"/>
    <n v="22566150"/>
    <n v="2101551"/>
    <n v="68820515"/>
    <s v="TRASSA"/>
    <n v="9022025"/>
    <n v="77586"/>
    <s v="SAL"/>
    <s v="AM07"/>
    <s v="PROCEDIMIENTOS TERAPEUTICOS"/>
    <s v="PROCEDIMIENTOS TERAPEUTICOS"/>
    <s v="PROCEDIMIENTOS TERAPEUTICOS"/>
    <s v="IMED SALUD"/>
    <n v="0"/>
    <n v="96530470"/>
    <n v="3"/>
    <s v="FONASA"/>
    <s v="XAIRYS.FALCON@AFPHABITAT.CL"/>
    <s v="26246811|96530470|918633302|918633302"/>
    <s v="IMED SALUD"/>
    <b v="1"/>
    <s v="APORTE VIA IMED"/>
  </r>
  <r>
    <s v="12 DE SEPTIEMBRE DE 2025"/>
    <x v="32"/>
    <s v="XAIRYS ADRIANA FALCON MARQUEZ"/>
    <n v="26246811"/>
    <s v="XAIRYS ADRIANA FALCON MARQUEZ"/>
    <d v="2025-03-01T00:00:00"/>
    <s v="DUPLICADO"/>
    <n v="918633302"/>
    <n v="65384537"/>
    <n v="34154"/>
    <n v="0"/>
    <n v="34154"/>
    <n v="0"/>
    <n v="34154"/>
    <n v="918633302"/>
    <n v="285123"/>
    <s v="CORP DE BIENESTAR DEL PERSONAL DE A F P"/>
    <d v="2025-03-01T00:00:00"/>
    <d v="2025-03-26T00:00:00"/>
    <d v="2025-02-03T00:00:00"/>
    <d v="2025-02-03T00:00:00"/>
    <s v="AMBULATORIOS"/>
    <n v="22770521"/>
    <n v="3311105"/>
    <n v="69251400"/>
    <s v="TRASSA"/>
    <n v="83503556"/>
    <n v="78070"/>
    <s v="SAL"/>
    <s v="AM07"/>
    <s v="PROCEDIMIENTOS TERAPEUTICOS"/>
    <s v="PROCEDIMIENTOS TERAPEUTICOS"/>
    <s v="PROCEDIMIENTOS TERAPEUTICOS"/>
    <n v="0"/>
    <n v="0"/>
    <n v="96530470"/>
    <n v="3"/>
    <s v="SIN ISAPRE"/>
    <s v="XAIRYS.FALCON@AFPHABITAT.CL"/>
    <s v="26246811|96530470|918633302|65384537"/>
    <s v="GASTO FISICO"/>
    <b v="0"/>
    <s v="DEPOSITADO EN CUENTA"/>
  </r>
  <r>
    <s v="12 DE SEPTIEMBRE DE 2025"/>
    <x v="32"/>
    <s v="XAIRYS ADRIANA FALCON MARQUEZ"/>
    <n v="26246811"/>
    <s v="XAIRYS ADRIANA FALCON MARQUEZ"/>
    <d v="2025-02-01T00:00:00"/>
    <s v="INICIAL"/>
    <n v="918633934"/>
    <n v="918633934"/>
    <n v="27020"/>
    <n v="8440"/>
    <n v="18580"/>
    <n v="0"/>
    <n v="18580"/>
    <n v="918633934"/>
    <n v="285123"/>
    <s v="CORP DE BIENESTAR DEL PERSONAL DE A F P"/>
    <d v="2025-02-03T00:00:00"/>
    <d v="2025-02-03T00:00:00"/>
    <d v="2025-02-03T00:00:00"/>
    <d v="2025-02-03T00:00:00"/>
    <s v="AMBULATORIOS"/>
    <n v="22566150"/>
    <n v="2101551"/>
    <n v="68820733"/>
    <s v="TRASSA"/>
    <n v="9022025"/>
    <n v="77586"/>
    <s v="SAL"/>
    <s v="AM07"/>
    <s v="PROCEDIMIENTOS TERAPEUTICOS"/>
    <s v="PROCEDIMIENTOS TERAPEUTICOS"/>
    <s v="PROCEDIMIENTOS TERAPEUTICOS"/>
    <s v="IMED SALUD"/>
    <n v="0"/>
    <n v="79980070"/>
    <n v="5"/>
    <s v="FONASA"/>
    <s v="XAIRYS.FALCON@AFPHABITAT.CL"/>
    <s v="26246811|79980070|918633934|918633934"/>
    <s v="IMED SALUD"/>
    <b v="1"/>
    <s v="APORTE VIA IMED"/>
  </r>
  <r>
    <s v="12 DE SEPTIEMBRE DE 2025"/>
    <x v="32"/>
    <s v="XAIRYS ADRIANA FALCON MARQUEZ"/>
    <n v="26246811"/>
    <s v="XAIRYS ADRIANA FALCON MARQUEZ"/>
    <d v="2025-03-01T00:00:00"/>
    <s v="DUPLICADO"/>
    <n v="918633934"/>
    <n v="65384538"/>
    <n v="16118"/>
    <n v="0"/>
    <n v="16118"/>
    <n v="0"/>
    <n v="16118"/>
    <n v="918633934"/>
    <n v="285123"/>
    <s v="CORP DE BIENESTAR DEL PERSONAL DE A F P"/>
    <d v="2025-03-01T00:00:00"/>
    <d v="2025-03-26T00:00:00"/>
    <d v="2025-02-03T00:00:00"/>
    <d v="2025-02-03T00:00:00"/>
    <s v="AMBULATORIOS"/>
    <n v="22770521"/>
    <n v="3311105"/>
    <n v="69251401"/>
    <s v="TRASSA"/>
    <n v="83503556"/>
    <n v="78070"/>
    <s v="SAL"/>
    <s v="AM07"/>
    <s v="PROCEDIMIENTOS TERAPEUTICOS"/>
    <s v="PROCEDIMIENTOS TERAPEUTICOS"/>
    <s v="PROCEDIMIENTOS TERAPEUTICOS"/>
    <n v="0"/>
    <n v="0"/>
    <n v="79980070"/>
    <n v="5"/>
    <s v="SIN ISAPRE"/>
    <s v="XAIRYS.FALCON@AFPHABITAT.CL"/>
    <s v="26246811|79980070|918633934|65384538"/>
    <s v="GASTO FISICO"/>
    <b v="0"/>
    <s v="DEPOSITADO EN CUENTA"/>
  </r>
  <r>
    <s v="12 DE SEPTIEMBRE DE 2025"/>
    <x v="190"/>
    <s v="JENIFER DEL PILAR ULLOA JARA"/>
    <n v="16566260"/>
    <s v="JENIFER DEL PILAR ULLOA JARA"/>
    <d v="2025-02-01T00:00:00"/>
    <s v="INICIAL"/>
    <n v="918656750"/>
    <n v="918656750"/>
    <n v="166500"/>
    <n v="83250"/>
    <n v="83250"/>
    <n v="0"/>
    <n v="83250"/>
    <n v="918656750"/>
    <n v="285123"/>
    <s v="CORP DE BIENESTAR DEL PERSONAL DE A F P"/>
    <d v="2025-02-03T00:00:00"/>
    <d v="2025-02-03T00:00:00"/>
    <d v="2025-02-03T00:00:00"/>
    <d v="2025-02-03T00:00:00"/>
    <s v="AMBULATORIOS"/>
    <n v="22566143"/>
    <n v="2101551"/>
    <n v="68820651"/>
    <s v="TRASSA"/>
    <n v="9022025"/>
    <n v="77586"/>
    <s v="SAL"/>
    <s v="AM05"/>
    <s v="EXAMENES RADIOLOGICOS"/>
    <s v="EXAMENES RADIOLOGICOS"/>
    <s v="EXAMENES RADIOLOGICOS"/>
    <s v="IMED SALUD"/>
    <n v="0"/>
    <n v="77026140"/>
    <n v="6"/>
    <s v="FONASA"/>
    <s v="JULLOAJ@AFPHABITAT.CL"/>
    <s v="16566260|77026140|918656750|918656750"/>
    <s v="IMED SALUD"/>
    <b v="1"/>
    <s v="APORTE VIA IMED"/>
  </r>
  <r>
    <s v="12 DE SEPTIEMBRE DE 2025"/>
    <x v="190"/>
    <s v="JENIFER DEL PILAR ULLOA JARA"/>
    <n v="16566260"/>
    <s v="JENIFER DEL PILAR ULLOA JARA"/>
    <d v="2025-03-01T00:00:00"/>
    <s v="DUPLICADO"/>
    <n v="918656750"/>
    <n v="65384370"/>
    <n v="83278"/>
    <n v="0"/>
    <n v="83278"/>
    <n v="0"/>
    <n v="83278"/>
    <n v="918656750"/>
    <n v="285123"/>
    <s v="CORP DE BIENESTAR DEL PERSONAL DE A F P"/>
    <d v="2025-03-01T00:00:00"/>
    <d v="2025-03-26T00:00:00"/>
    <d v="2025-02-03T00:00:00"/>
    <d v="2025-02-03T00:00:00"/>
    <s v="AMBULATORIOS"/>
    <n v="22770518"/>
    <n v="3311105"/>
    <n v="69251253"/>
    <s v="TRASSA"/>
    <n v="210978449"/>
    <n v="78070"/>
    <s v="SAL"/>
    <s v="AM05"/>
    <s v="EXAMENES RADIOLOGICOS"/>
    <s v="EXAMENES RADIOLOGICOS"/>
    <s v="EXAMENES RADIOLOGICOS"/>
    <n v="0"/>
    <n v="0"/>
    <n v="77026140"/>
    <n v="6"/>
    <s v="SIN ISAPRE"/>
    <s v="JULLOAJ@AFPHABITAT.CL"/>
    <s v="16566260|77026140|918656750|65384370"/>
    <s v="GASTO FISICO"/>
    <b v="0"/>
    <s v="DEPOSITADO EN CUENTA"/>
  </r>
  <r>
    <s v="12 DE SEPTIEMBRE DE 2025"/>
    <x v="191"/>
    <s v="ERIKA PEDRAZA PORTUGUEZ"/>
    <n v="9120124"/>
    <s v="ERIKA PEDRAZA PORTUGUEZ"/>
    <d v="2025-02-01T00:00:00"/>
    <s v="INICIAL"/>
    <n v="918761161"/>
    <n v="918761161"/>
    <n v="57360"/>
    <n v="17930"/>
    <n v="39430"/>
    <n v="0"/>
    <n v="39430"/>
    <n v="918761161"/>
    <n v="285123"/>
    <s v="CORP DE BIENESTAR DEL PERSONAL DE A F P"/>
    <d v="2025-02-04T00:00:00"/>
    <d v="2025-02-04T00:00:00"/>
    <d v="2025-02-04T00:00:00"/>
    <d v="2025-02-04T00:00:00"/>
    <s v="AMBULATORIOS"/>
    <n v="22566154"/>
    <n v="2101551"/>
    <n v="68821210"/>
    <s v="TRASSA"/>
    <n v="9022025"/>
    <n v="77586"/>
    <s v="SAL"/>
    <s v="AM07"/>
    <s v="PROCEDIMIENTOS TERAPEUTICOS"/>
    <s v="PROCEDIMIENTOS TERAPEUTICOS"/>
    <s v="PROCEDIMIENTOS TERAPEUTICOS"/>
    <s v="IMED SALUD"/>
    <n v="0"/>
    <n v="76110809"/>
    <n v="3"/>
    <s v="FONASA"/>
    <s v="EPEDRAZA@AFPHABITAT.CL"/>
    <s v="9120124|76110809|918761161|918761161"/>
    <s v="IMED SALUD"/>
    <b v="1"/>
    <s v="APORTE VIA IMED"/>
  </r>
  <r>
    <s v="12 DE SEPTIEMBRE DE 2025"/>
    <x v="191"/>
    <s v="ERIKA PEDRAZA PORTUGUEZ"/>
    <n v="9120124"/>
    <s v="ERIKA PEDRAZA PORTUGUEZ"/>
    <d v="2025-03-01T00:00:00"/>
    <s v="DUPLICADO"/>
    <n v="918761161"/>
    <n v="65383713"/>
    <n v="34152"/>
    <n v="0"/>
    <n v="34152"/>
    <n v="0"/>
    <n v="34152"/>
    <n v="918761161"/>
    <n v="285123"/>
    <s v="CORP DE BIENESTAR DEL PERSONAL DE A F P"/>
    <d v="2025-03-01T00:00:00"/>
    <d v="2025-03-26T00:00:00"/>
    <d v="2025-02-04T00:00:00"/>
    <d v="2025-02-04T00:00:00"/>
    <s v="AMBULATORIOS"/>
    <n v="22770525"/>
    <n v="3311105"/>
    <n v="69250604"/>
    <s v="TRASSA"/>
    <n v="57200004561"/>
    <n v="78070"/>
    <s v="SAL"/>
    <s v="AM07"/>
    <s v="PROCEDIMIENTOS TERAPEUTICOS"/>
    <s v="PROCEDIMIENTOS TERAPEUTICOS"/>
    <s v="PROCEDIMIENTOS TERAPEUTICOS"/>
    <n v="0"/>
    <n v="0"/>
    <n v="76110809"/>
    <n v="3"/>
    <s v="SIN ISAPRE"/>
    <s v="EPEDRAZA@AFPHABITAT.CL"/>
    <s v="9120124|76110809|918761161|65383713"/>
    <s v="GASTO FISICO"/>
    <b v="0"/>
    <s v="DEPOSITADO EN CUENTA"/>
  </r>
  <r>
    <s v="12 DE SEPTIEMBRE DE 2025"/>
    <x v="181"/>
    <s v="JEANNETTE CAROLINA KLEIN ALPES"/>
    <n v="8586053"/>
    <s v="JEANNETTE CAROLINA KLEIN ALPES"/>
    <d v="2025-02-01T00:00:00"/>
    <s v="INICIAL"/>
    <n v="918783008"/>
    <n v="918783008"/>
    <n v="11790"/>
    <n v="3690"/>
    <n v="8100"/>
    <n v="0"/>
    <n v="8100"/>
    <n v="918783008"/>
    <n v="285123"/>
    <s v="CORP DE BIENESTAR DEL PERSONAL DE A F P"/>
    <d v="2025-02-04T00:00:00"/>
    <d v="2025-02-04T00:00:00"/>
    <d v="2025-02-04T00:00:00"/>
    <d v="2025-02-04T00:00:00"/>
    <s v="AMBULATORIOS"/>
    <n v="22566153"/>
    <n v="2101551"/>
    <n v="68821316"/>
    <s v="TRASSA"/>
    <n v="9022025"/>
    <n v="77586"/>
    <s v="SAL"/>
    <s v="AM07"/>
    <s v="PROCEDIMIENTOS TERAPEUTICOS"/>
    <s v="PROCEDIMIENTOS TERAPEUTICOS"/>
    <s v="PROCEDIMIENTOS TERAPEUTICOS"/>
    <s v="IMED SALUD"/>
    <n v="0"/>
    <n v="96942400"/>
    <n v="2"/>
    <s v="FONASA"/>
    <s v="JEANNETTE.KLEIN@AFPHABITAT.CL"/>
    <s v="8586053|96942400|918783008|918783008"/>
    <s v="IMED SALUD"/>
    <b v="1"/>
    <s v="APORTE VIA IMED"/>
  </r>
  <r>
    <s v="12 DE SEPTIEMBRE DE 2025"/>
    <x v="181"/>
    <s v="JEANNETTE CAROLINA KLEIN ALPES"/>
    <n v="8586053"/>
    <s v="JEANNETTE CAROLINA KLEIN ALPES"/>
    <d v="2025-03-01T00:00:00"/>
    <s v="DUPLICADO"/>
    <n v="918783008"/>
    <n v="65383685"/>
    <n v="6907"/>
    <n v="0"/>
    <n v="6907"/>
    <n v="0"/>
    <n v="6907"/>
    <n v="918783008"/>
    <n v="285123"/>
    <s v="CORP DE BIENESTAR DEL PERSONAL DE A F P"/>
    <d v="2025-03-01T00:00:00"/>
    <d v="2025-03-26T00:00:00"/>
    <d v="2025-02-04T00:00:00"/>
    <d v="2025-02-04T00:00:00"/>
    <s v="AMBULATORIOS"/>
    <n v="22770524"/>
    <n v="3311105"/>
    <n v="69250576"/>
    <s v="TRASSA"/>
    <n v="94056544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JEANNETTE.KLEIN@AFPHABITAT.CL"/>
    <s v="8586053|96942400|918783008|65383685"/>
    <s v="GASTO FISICO"/>
    <b v="0"/>
    <s v="DEPOSITADO EN CUENTA"/>
  </r>
  <r>
    <s v="12 DE SEPTIEMBRE DE 2025"/>
    <x v="192"/>
    <s v="ALEJANDRA  A CARTES  PEREZ"/>
    <n v="13240926"/>
    <s v="ALEJANDRA  A CARTES  PEREZ"/>
    <d v="2025-02-01T00:00:00"/>
    <s v="INICIAL"/>
    <n v="918805895"/>
    <n v="918805895"/>
    <n v="10560"/>
    <n v="3310"/>
    <n v="7250"/>
    <n v="0"/>
    <n v="7250"/>
    <n v="918805895"/>
    <n v="285123"/>
    <s v="CORP DE BIENESTAR DEL PERSONAL DE A F P"/>
    <d v="2025-02-05T00:00:00"/>
    <d v="2025-02-05T00:00:00"/>
    <d v="2025-02-05T00:00:00"/>
    <d v="2025-02-05T00:00:00"/>
    <s v="AMBULATORIOS"/>
    <n v="22566213"/>
    <n v="2101551"/>
    <n v="68821488"/>
    <s v="TRASSA"/>
    <n v="9022025"/>
    <n v="77586"/>
    <s v="SAL"/>
    <s v="AM04"/>
    <s v="EXAMENES DE LABORATORIO"/>
    <s v="EXAMENES DE LABORATORIO"/>
    <s v="EXAMENES DE LABORATORIO"/>
    <s v="IMED SALUD"/>
    <n v="0"/>
    <n v="60910000"/>
    <n v="1"/>
    <s v="FONASA"/>
    <s v="ALEJANDRA.CARTES@AFPHABITAT.CL"/>
    <s v="13240926|60910000|918805895|918805895"/>
    <s v="IMED SALUD"/>
    <b v="1"/>
    <s v="APORTE VIA IMED"/>
  </r>
  <r>
    <s v="12 DE SEPTIEMBRE DE 2025"/>
    <x v="192"/>
    <s v="ALEJANDRA  A CARTES  PEREZ"/>
    <n v="13240926"/>
    <s v="ALEJANDRA  A CARTES  PEREZ"/>
    <d v="2025-03-01T00:00:00"/>
    <s v="DUPLICADO"/>
    <n v="918805895"/>
    <n v="65384088"/>
    <n v="7290"/>
    <n v="0"/>
    <n v="7290"/>
    <n v="0"/>
    <n v="7290"/>
    <n v="918805895"/>
    <n v="285123"/>
    <s v="CORP DE BIENESTAR DEL PERSONAL DE A F P"/>
    <d v="2025-03-01T00:00:00"/>
    <d v="2025-03-26T00:00:00"/>
    <d v="2025-02-05T00:00:00"/>
    <d v="2025-02-05T00:00:00"/>
    <s v="AMBULATORIOS"/>
    <n v="22770542"/>
    <n v="3311105"/>
    <n v="69250975"/>
    <s v="TRASSA"/>
    <n v="105921314"/>
    <n v="78070"/>
    <s v="SAL"/>
    <s v="AM04"/>
    <s v="EXAMENES DE LABORATORIO"/>
    <s v="EXAMENES DE LABORATORIO"/>
    <s v="EXAMENES DE LABORATORIO"/>
    <n v="0"/>
    <n v="0"/>
    <n v="60910000"/>
    <n v="1"/>
    <s v="SIN ISAPRE"/>
    <s v="ALEJANDRA.CARTES@AFPHABITAT.CL"/>
    <s v="13240926|60910000|918805895|65384088"/>
    <s v="GASTO FISICO"/>
    <b v="0"/>
    <s v="DEPOSITADO EN CUENTA"/>
  </r>
  <r>
    <s v="12 DE SEPTIEMBRE DE 2025"/>
    <x v="193"/>
    <s v="ANGELA JACQUELINE MEZA AVILA"/>
    <n v="15154446"/>
    <s v="ANGELA JACQUELINE MEZA AVILA"/>
    <d v="2025-02-01T00:00:00"/>
    <s v="INICIAL"/>
    <n v="918831887"/>
    <n v="918831887"/>
    <n v="28990"/>
    <n v="9060"/>
    <n v="19930"/>
    <n v="0"/>
    <n v="19930"/>
    <n v="918831887"/>
    <n v="285123"/>
    <s v="CORP DE BIENESTAR DEL PERSONAL DE A F P"/>
    <d v="2025-02-05T00:00:00"/>
    <d v="2025-02-05T00:00:00"/>
    <d v="2025-02-05T00:00:00"/>
    <d v="2025-02-05T00:00:00"/>
    <s v="AMBULATORIOS"/>
    <n v="22566223"/>
    <n v="2101551"/>
    <n v="68821637"/>
    <s v="TRASSA"/>
    <n v="9022025"/>
    <n v="77586"/>
    <s v="SAL"/>
    <s v="AM05"/>
    <s v="EXAMENES RADIOLOGICOS"/>
    <s v="EXAMENES RADIOLOGICOS"/>
    <s v="EXAMENES RADIOLOGICOS"/>
    <s v="IMED SALUD"/>
    <n v="0"/>
    <n v="76098454"/>
    <s v="K"/>
    <s v="FONASA"/>
    <s v="ANGELA.MEZA@AFPHABITAT.CL"/>
    <s v="15154446|76098454|918831887|918831887"/>
    <s v="IMED SALUD"/>
    <b v="1"/>
    <s v="APORTE VIA IMED"/>
  </r>
  <r>
    <s v="12 DE SEPTIEMBRE DE 2025"/>
    <x v="193"/>
    <s v="ANGELA JACQUELINE MEZA AVILA"/>
    <n v="15154446"/>
    <s v="ANGELA JACQUELINE MEZA AVILA"/>
    <d v="2025-03-01T00:00:00"/>
    <s v="DUPLICADO"/>
    <n v="918831887"/>
    <n v="65384255"/>
    <n v="17267"/>
    <n v="0"/>
    <n v="17267"/>
    <n v="0"/>
    <n v="17267"/>
    <n v="918831887"/>
    <n v="285123"/>
    <s v="CORP DE BIENESTAR DEL PERSONAL DE A F P"/>
    <d v="2025-03-01T00:00:00"/>
    <d v="2025-03-26T00:00:00"/>
    <d v="2025-02-05T00:00:00"/>
    <d v="2025-02-05T00:00:00"/>
    <s v="AMBULATORIOS"/>
    <n v="22770545"/>
    <n v="3311105"/>
    <n v="69251128"/>
    <s v="TRASSA"/>
    <n v="48421357"/>
    <n v="78070"/>
    <s v="SAL"/>
    <s v="AM05"/>
    <s v="EXAMENES RADIOLOGICOS"/>
    <s v="EXAMENES RADIOLOGICOS"/>
    <s v="EXAMENES RADIOLOGICOS"/>
    <n v="0"/>
    <n v="0"/>
    <n v="76098454"/>
    <s v="K"/>
    <s v="SIN ISAPRE"/>
    <s v="ANGELA.MEZA@AFPHABITAT.CL"/>
    <s v="15154446|76098454|918831887|65384255"/>
    <s v="GASTO FISICO"/>
    <b v="0"/>
    <s v="DEPOSITADO EN CUENTA"/>
  </r>
  <r>
    <s v="12 DE SEPTIEMBRE DE 2025"/>
    <x v="155"/>
    <s v="SOLANGE ANDREA QUIROZ CAMPOS"/>
    <n v="17884354"/>
    <s v="SOLANGE ANDREA QUIROZ CAMPOS"/>
    <d v="2025-02-01T00:00:00"/>
    <s v="INICIAL"/>
    <n v="918856387"/>
    <n v="918856387"/>
    <n v="95100"/>
    <n v="29720"/>
    <n v="65380"/>
    <n v="0"/>
    <n v="65380"/>
    <n v="918856387"/>
    <n v="285123"/>
    <s v="CORP DE BIENESTAR DEL PERSONAL DE A F P"/>
    <d v="2025-02-05T00:00:00"/>
    <d v="2025-02-05T00:00:00"/>
    <d v="2025-02-05T00:00:00"/>
    <d v="2025-02-05T00:00:00"/>
    <s v="AMBULATORIOS"/>
    <n v="22566240"/>
    <n v="2101551"/>
    <n v="68821766"/>
    <s v="TRASSA"/>
    <n v="9022025"/>
    <n v="77586"/>
    <s v="SAL"/>
    <s v="AM05"/>
    <s v="EXAMENES RADIOLOGICOS"/>
    <s v="EXAMENES RADIOLOGICOS"/>
    <s v="EXAMENES RADIOLOGICOS"/>
    <s v="IMED SALUD"/>
    <n v="0"/>
    <n v="10048316"/>
    <n v="5"/>
    <s v="FONASA"/>
    <s v="SOLANGE.QUIROZ@AFPHABITAT.CL"/>
    <s v="17884354|10048316|918856387|918856387"/>
    <s v="IMED SALUD"/>
    <b v="1"/>
    <s v="APORTE VIA IMED"/>
  </r>
  <r>
    <s v="12 DE SEPTIEMBRE DE 2025"/>
    <x v="155"/>
    <s v="SOLANGE ANDREA QUIROZ CAMPOS"/>
    <n v="17884354"/>
    <s v="SOLANGE ANDREA QUIROZ CAMPOS"/>
    <d v="2025-03-01T00:00:00"/>
    <s v="DUPLICADO"/>
    <n v="918856387"/>
    <n v="65384450"/>
    <n v="56406"/>
    <n v="0"/>
    <n v="56406"/>
    <n v="0"/>
    <n v="56406"/>
    <n v="918856387"/>
    <n v="285123"/>
    <s v="CORP DE BIENESTAR DEL PERSONAL DE A F P"/>
    <d v="2025-03-01T00:00:00"/>
    <d v="2025-03-26T00:00:00"/>
    <d v="2025-02-05T00:00:00"/>
    <d v="2025-02-05T00:00:00"/>
    <s v="AMBULATORIOS"/>
    <n v="22770549"/>
    <n v="3311105"/>
    <n v="69251318"/>
    <s v="TRASSA"/>
    <n v="17884354"/>
    <n v="78070"/>
    <s v="SAL"/>
    <s v="AM05"/>
    <s v="EXAMENES RADIOLOGICOS"/>
    <s v="EXAMENES RADIOLOGICOS"/>
    <s v="EXAMENES RADIOLOGICOS"/>
    <n v="0"/>
    <n v="0"/>
    <n v="10048316"/>
    <n v="5"/>
    <s v="SIN ISAPRE"/>
    <s v="SOLANGE.QUIROZ@AFPHABITAT.CL"/>
    <s v="17884354|10048316|918856387|65384450"/>
    <s v="GASTO FISICO"/>
    <b v="0"/>
    <s v="DEPOSITADO EN CUENTA"/>
  </r>
  <r>
    <s v="12 DE SEPTIEMBRE DE 2025"/>
    <x v="194"/>
    <s v="CLAUDIA CECILIA ASTUDILLO TOLEDO"/>
    <n v="22482255"/>
    <s v="MARIA PAZ CARVAJAL ASTUDILLO"/>
    <d v="2025-02-01T00:00:00"/>
    <s v="INICIAL"/>
    <n v="918857677"/>
    <n v="918857677"/>
    <n v="40050"/>
    <n v="12520"/>
    <n v="27530"/>
    <n v="0"/>
    <n v="27530"/>
    <n v="918857677"/>
    <n v="285123"/>
    <s v="CORP DE BIENESTAR DEL PERSONAL DE A F P"/>
    <d v="2025-02-05T00:00:00"/>
    <d v="2025-02-05T00:00:00"/>
    <d v="2025-02-05T00:00:00"/>
    <d v="2025-02-05T00:00:00"/>
    <s v="AMBULATORIOS"/>
    <n v="22566205"/>
    <n v="2101551"/>
    <n v="68821772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FONASA"/>
    <s v="CLAUDIA.ASTUDILLO.TOLEDO@AFPHABITAT.CL"/>
    <s v="11513719|96986050|918857677|918857677"/>
    <s v="IMED SALUD"/>
    <b v="1"/>
    <s v="APORTE VIA IMED"/>
  </r>
  <r>
    <s v="12 DE SEPTIEMBRE DE 2025"/>
    <x v="194"/>
    <s v="CLAUDIA CECILIA ASTUDILLO TOLEDO"/>
    <n v="22482255"/>
    <s v="MARIA PAZ CARVAJAL ASTUDILLO"/>
    <d v="2025-03-01T00:00:00"/>
    <s v="DUPLICADO"/>
    <n v="918857677"/>
    <n v="65383938"/>
    <n v="23788"/>
    <n v="0"/>
    <n v="23788"/>
    <n v="0"/>
    <n v="23788"/>
    <n v="918857677"/>
    <n v="285123"/>
    <s v="CORP DE BIENESTAR DEL PERSONAL DE A F P"/>
    <d v="2025-03-01T00:00:00"/>
    <d v="2025-03-26T00:00:00"/>
    <d v="2025-02-05T00:00:00"/>
    <d v="2025-02-05T00:00:00"/>
    <s v="AMBULATORIOS"/>
    <n v="22770539"/>
    <n v="3311105"/>
    <n v="69250826"/>
    <s v="TRASSA"/>
    <n v="11513719"/>
    <n v="78070"/>
    <s v="SAL"/>
    <s v="AM04"/>
    <s v="EXAMENES DE LABORATORIO"/>
    <s v="EXAMENES DE LABORATORIO"/>
    <s v="EXAMENES DE LABORATORIO"/>
    <n v="0"/>
    <n v="0"/>
    <n v="96986050"/>
    <n v="3"/>
    <s v="SIN ISAPRE"/>
    <s v="CLAUDIA.ASTUDILLO.TOLEDO@AFPHABITAT.CL"/>
    <s v="11513719|96986050|918857677|65383938"/>
    <s v="GASTO FISICO"/>
    <b v="0"/>
    <s v="DEPOSITADO EN CUENTA"/>
  </r>
  <r>
    <s v="12 DE SEPTIEMBRE DE 2025"/>
    <x v="194"/>
    <s v="CLAUDIA CECILIA ASTUDILLO TOLEDO"/>
    <n v="22482255"/>
    <s v="MARIA PAZ CARVAJAL ASTUDILLO"/>
    <d v="2025-02-01T00:00:00"/>
    <s v="INICIAL"/>
    <n v="918857678"/>
    <n v="918857678"/>
    <n v="49670"/>
    <n v="15530"/>
    <n v="34140"/>
    <n v="0"/>
    <n v="34140"/>
    <n v="918857678"/>
    <n v="285123"/>
    <s v="CORP DE BIENESTAR DEL PERSONAL DE A F P"/>
    <d v="2025-02-05T00:00:00"/>
    <d v="2025-02-05T00:00:00"/>
    <d v="2025-02-05T00:00:00"/>
    <d v="2025-02-05T00:00:00"/>
    <s v="AMBULATORIOS"/>
    <n v="22566205"/>
    <n v="2101551"/>
    <n v="68821771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FONASA"/>
    <s v="CLAUDIA.ASTUDILLO.TOLEDO@AFPHABITAT.CL"/>
    <s v="11513719|96986050|918857678|918857678"/>
    <s v="IMED SALUD"/>
    <b v="1"/>
    <s v="APORTE VIA IMED"/>
  </r>
  <r>
    <s v="12 DE SEPTIEMBRE DE 2025"/>
    <x v="194"/>
    <s v="CLAUDIA CECILIA ASTUDILLO TOLEDO"/>
    <n v="22482255"/>
    <s v="MARIA PAZ CARVAJAL ASTUDILLO"/>
    <d v="2025-03-01T00:00:00"/>
    <s v="DUPLICADO"/>
    <n v="918857678"/>
    <n v="65383939"/>
    <n v="30694"/>
    <n v="0"/>
    <n v="30694"/>
    <n v="0"/>
    <n v="30694"/>
    <n v="918857678"/>
    <n v="285123"/>
    <s v="CORP DE BIENESTAR DEL PERSONAL DE A F P"/>
    <d v="2025-03-01T00:00:00"/>
    <d v="2025-03-26T00:00:00"/>
    <d v="2025-02-05T00:00:00"/>
    <d v="2025-02-05T00:00:00"/>
    <s v="AMBULATORIOS"/>
    <n v="22770539"/>
    <n v="3311105"/>
    <n v="69250827"/>
    <s v="TRASSA"/>
    <n v="11513719"/>
    <n v="78070"/>
    <s v="SAL"/>
    <s v="AM04"/>
    <s v="EXAMENES DE LABORATORIO"/>
    <s v="EXAMENES DE LABORATORIO"/>
    <s v="EXAMENES DE LABORATORIO"/>
    <n v="0"/>
    <n v="0"/>
    <n v="96986050"/>
    <n v="3"/>
    <s v="SIN ISAPRE"/>
    <s v="CLAUDIA.ASTUDILLO.TOLEDO@AFPHABITAT.CL"/>
    <s v="11513719|96986050|918857678|65383939"/>
    <s v="GASTO FISICO"/>
    <b v="0"/>
    <s v="DEPOSITADO EN CUENTA"/>
  </r>
  <r>
    <s v="12 DE SEPTIEMBRE DE 2025"/>
    <x v="194"/>
    <s v="CLAUDIA CECILIA ASTUDILLO TOLEDO"/>
    <n v="22482255"/>
    <s v="MARIA PAZ CARVAJAL ASTUDILLO"/>
    <d v="2025-02-01T00:00:00"/>
    <s v="INICIAL"/>
    <n v="918857679"/>
    <n v="918857679"/>
    <n v="17420"/>
    <n v="5450"/>
    <n v="11970"/>
    <n v="0"/>
    <n v="11970"/>
    <n v="918857679"/>
    <n v="285123"/>
    <s v="CORP DE BIENESTAR DEL PERSONAL DE A F P"/>
    <d v="2025-02-05T00:00:00"/>
    <d v="2025-02-05T00:00:00"/>
    <d v="2025-02-05T00:00:00"/>
    <d v="2025-02-05T00:00:00"/>
    <s v="AMBULATORIOS"/>
    <n v="22566205"/>
    <n v="2101551"/>
    <n v="68821770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FONASA"/>
    <s v="CLAUDIA.ASTUDILLO.TOLEDO@AFPHABITAT.CL"/>
    <s v="11513719|96986050|918857679|918857679"/>
    <s v="IMED SALUD"/>
    <b v="1"/>
    <s v="APORTE VIA IMED"/>
  </r>
  <r>
    <s v="12 DE SEPTIEMBRE DE 2025"/>
    <x v="194"/>
    <s v="CLAUDIA CECILIA ASTUDILLO TOLEDO"/>
    <n v="22482255"/>
    <s v="MARIA PAZ CARVAJAL ASTUDILLO"/>
    <d v="2025-03-01T00:00:00"/>
    <s v="DUPLICADO"/>
    <n v="918857679"/>
    <n v="65383940"/>
    <n v="10359"/>
    <n v="0"/>
    <n v="10359"/>
    <n v="0"/>
    <n v="10359"/>
    <n v="918857679"/>
    <n v="285123"/>
    <s v="CORP DE BIENESTAR DEL PERSONAL DE A F P"/>
    <d v="2025-03-01T00:00:00"/>
    <d v="2025-03-26T00:00:00"/>
    <d v="2025-02-05T00:00:00"/>
    <d v="2025-02-05T00:00:00"/>
    <s v="AMBULATORIOS"/>
    <n v="22770539"/>
    <n v="3311105"/>
    <n v="69250828"/>
    <s v="TRASSA"/>
    <n v="11513719"/>
    <n v="78070"/>
    <s v="SAL"/>
    <s v="AM04"/>
    <s v="EXAMENES DE LABORATORIO"/>
    <s v="EXAMENES DE LABORATORIO"/>
    <s v="EXAMENES DE LABORATORIO"/>
    <n v="0"/>
    <n v="0"/>
    <n v="96986050"/>
    <n v="3"/>
    <s v="SIN ISAPRE"/>
    <s v="CLAUDIA.ASTUDILLO.TOLEDO@AFPHABITAT.CL"/>
    <s v="11513719|96986050|918857679|65383940"/>
    <s v="GASTO FISICO"/>
    <b v="0"/>
    <s v="DEPOSITADO EN CUENTA"/>
  </r>
  <r>
    <s v="12 DE SEPTIEMBRE DE 2025"/>
    <x v="156"/>
    <s v="JORGE MADRID ORTIZ"/>
    <n v="8330037"/>
    <s v="JORGE MADRID ORTIZ"/>
    <d v="2025-02-01T00:00:00"/>
    <s v="INICIAL"/>
    <n v="918881699"/>
    <n v="918881699"/>
    <n v="23120"/>
    <n v="19942"/>
    <n v="3178"/>
    <n v="0"/>
    <n v="3178"/>
    <n v="918881699"/>
    <n v="285123"/>
    <s v="CORP DE BIENESTAR DEL PERSONAL DE A F P"/>
    <d v="2025-02-05T00:00:00"/>
    <d v="2025-02-05T00:00:00"/>
    <d v="2025-02-05T00:00:00"/>
    <d v="2025-02-05T00:00:00"/>
    <s v="AMBULATORIOS"/>
    <n v="22566197"/>
    <n v="2101551"/>
    <n v="68821866"/>
    <s v="TRASSA"/>
    <n v="9022025"/>
    <n v="77586"/>
    <s v="SAL"/>
    <s v="AM05"/>
    <s v="EXAMENES RADIOLOGICOS"/>
    <s v="EXAMENES RADIOLOGICOS"/>
    <s v="EXAMENES RADIOLOGICOS"/>
    <s v="IMED SALUD"/>
    <n v="0"/>
    <n v="76098454"/>
    <s v="K"/>
    <s v="FONASA"/>
    <s v="JMADRID@AFPHABITAT.CL"/>
    <s v="8330037|76098454|918881699|918881699"/>
    <s v="IMED SALUD"/>
    <b v="1"/>
    <s v="APORTE VIA IMED"/>
  </r>
  <r>
    <s v="12 DE SEPTIEMBRE DE 2025"/>
    <x v="156"/>
    <s v="JORGE MADRID ORTIZ"/>
    <n v="8330037"/>
    <s v="JORGE MADRID ORTIZ"/>
    <d v="2025-03-01T00:00:00"/>
    <s v="DUPLICADO"/>
    <n v="918881699"/>
    <n v="65383652"/>
    <n v="13430"/>
    <n v="0"/>
    <n v="13430"/>
    <n v="0"/>
    <n v="13430"/>
    <n v="918881699"/>
    <n v="285123"/>
    <s v="CORP DE BIENESTAR DEL PERSONAL DE A F P"/>
    <d v="2025-03-01T00:00:00"/>
    <d v="2025-03-26T00:00:00"/>
    <d v="2025-02-05T00:00:00"/>
    <d v="2025-02-05T00:00:00"/>
    <s v="AMBULATORIOS"/>
    <n v="22770537"/>
    <n v="3311105"/>
    <n v="69250543"/>
    <s v="TRASSA"/>
    <n v="21874964"/>
    <n v="78070"/>
    <s v="SAL"/>
    <s v="AM05"/>
    <s v="EXAMENES RADIOLOGICOS"/>
    <s v="EXAMENES RADIOLOGICOS"/>
    <s v="EXAMENES RADIOLOGICOS"/>
    <n v="0"/>
    <n v="0"/>
    <n v="76098454"/>
    <s v="K"/>
    <s v="SIN ISAPRE"/>
    <s v="JMADRID@AFPHABITAT.CL"/>
    <s v="8330037|76098454|918881699|65383652"/>
    <s v="GASTO FISICO"/>
    <b v="0"/>
    <s v="DEPOSITADO EN CUENTA"/>
  </r>
  <r>
    <s v="12 DE SEPTIEMBRE DE 2025"/>
    <x v="171"/>
    <s v="INDIRA JACQUELINE MONSALVES ZUÑIGA"/>
    <n v="10295620"/>
    <s v="INDIRA JACQUELINE MONSALVES ZUÑIGA"/>
    <d v="2025-02-01T00:00:00"/>
    <s v="INICIAL"/>
    <n v="919072281"/>
    <n v="919072281"/>
    <n v="25750"/>
    <n v="8060"/>
    <n v="17690"/>
    <n v="0"/>
    <n v="17690"/>
    <n v="919072281"/>
    <n v="285123"/>
    <s v="CORP DE BIENESTAR DEL PERSONAL DE A F P"/>
    <d v="2025-02-07T00:00:00"/>
    <d v="2025-02-07T00:00:00"/>
    <d v="2025-02-07T00:00:00"/>
    <d v="2025-02-07T00:00:00"/>
    <s v="AMBULATORIOS"/>
    <n v="22566283"/>
    <n v="2101551"/>
    <n v="68822876"/>
    <s v="TRASSA"/>
    <n v="9022025"/>
    <n v="77586"/>
    <s v="SAL"/>
    <s v="AM04"/>
    <s v="EXAMENES DE LABORATORIO"/>
    <s v="EXAMENES DE LABORATORIO"/>
    <s v="EXAMENES DE LABORATORIO"/>
    <s v="IMED SALUD"/>
    <n v="0"/>
    <n v="78258910"/>
    <n v="5"/>
    <s v="FONASA"/>
    <s v="IMONSALV@AFPHABITAT.CL"/>
    <s v="10295620|78258910|919072281|919072281"/>
    <s v="IMED SALUD"/>
    <b v="1"/>
    <s v="APORTE VIA IMED"/>
  </r>
  <r>
    <s v="12 DE SEPTIEMBRE DE 2025"/>
    <x v="171"/>
    <s v="INDIRA JACQUELINE MONSALVES ZUÑIGA"/>
    <n v="10295620"/>
    <s v="INDIRA JACQUELINE MONSALVES ZUÑIGA"/>
    <d v="2025-03-01T00:00:00"/>
    <s v="DUPLICADO"/>
    <n v="919072281"/>
    <n v="65383834"/>
    <n v="15729"/>
    <n v="0"/>
    <n v="15729"/>
    <n v="0"/>
    <n v="15729"/>
    <n v="919072281"/>
    <n v="285123"/>
    <s v="CORP DE BIENESTAR DEL PERSONAL DE A F P"/>
    <d v="2025-03-01T00:00:00"/>
    <d v="2025-03-26T00:00:00"/>
    <d v="2025-02-07T00:00:00"/>
    <d v="2025-02-07T00:00:00"/>
    <s v="AMBULATORIOS"/>
    <n v="22770556"/>
    <n v="3311105"/>
    <n v="69250723"/>
    <s v="TRASSA"/>
    <n v="32190072443"/>
    <n v="78070"/>
    <s v="SAL"/>
    <s v="AM04"/>
    <s v="EXAMENES DE LABORATORIO"/>
    <s v="EXAMENES DE LABORATORIO"/>
    <s v="EXAMENES DE LABORATORIO"/>
    <n v="0"/>
    <n v="0"/>
    <n v="78258910"/>
    <n v="5"/>
    <s v="SIN ISAPRE"/>
    <s v="IMONSALV@AFPHABITAT.CL"/>
    <s v="10295620|78258910|919072281|65383834"/>
    <s v="GASTO FISICO"/>
    <b v="0"/>
    <s v="DEPOSITADO EN CUENTA"/>
  </r>
  <r>
    <s v="12 DE SEPTIEMBRE DE 2025"/>
    <x v="171"/>
    <s v="INDIRA JACQUELINE MONSALVES ZUÑIGA"/>
    <n v="20872324"/>
    <s v="ABIGAIL TORRES MONSALVES"/>
    <d v="2025-02-01T00:00:00"/>
    <s v="INICIAL"/>
    <n v="919077775"/>
    <n v="919077775"/>
    <n v="39310"/>
    <n v="12300"/>
    <n v="27010"/>
    <n v="0"/>
    <n v="27010"/>
    <n v="919077775"/>
    <n v="285123"/>
    <s v="CORP DE BIENESTAR DEL PERSONAL DE A F P"/>
    <d v="2025-02-07T00:00:00"/>
    <d v="2025-02-07T00:00:00"/>
    <d v="2025-02-07T00:00:00"/>
    <d v="2025-02-07T00:00:00"/>
    <s v="AMBULATORIOS"/>
    <n v="22566283"/>
    <n v="2101551"/>
    <n v="68822906"/>
    <s v="TRASSA"/>
    <n v="9022025"/>
    <n v="77586"/>
    <s v="SAL"/>
    <s v="AM04"/>
    <s v="EXAMENES DE LABORATORIO"/>
    <s v="EXAMENES DE LABORATORIO"/>
    <s v="EXAMENES DE LABORATORIO"/>
    <s v="IMED SALUD"/>
    <n v="0"/>
    <n v="78258910"/>
    <n v="5"/>
    <s v="FONASA"/>
    <s v="IMONSALV@AFPHABITAT.CL"/>
    <s v="10295620|78258910|919077775|919077775"/>
    <s v="IMED SALUD"/>
    <b v="1"/>
    <s v="APORTE VIA IMED"/>
  </r>
  <r>
    <s v="12 DE SEPTIEMBRE DE 2025"/>
    <x v="171"/>
    <s v="INDIRA JACQUELINE MONSALVES ZUÑIGA"/>
    <n v="20872324"/>
    <s v="ABIGAIL TORRES MONSALVES"/>
    <d v="2025-03-01T00:00:00"/>
    <s v="DUPLICADO"/>
    <n v="919077775"/>
    <n v="65383836"/>
    <n v="23787"/>
    <n v="0"/>
    <n v="23787"/>
    <n v="0"/>
    <n v="23787"/>
    <n v="919077775"/>
    <n v="285123"/>
    <s v="CORP DE BIENESTAR DEL PERSONAL DE A F P"/>
    <d v="2025-03-01T00:00:00"/>
    <d v="2025-03-26T00:00:00"/>
    <d v="2025-02-07T00:00:00"/>
    <d v="2025-02-07T00:00:00"/>
    <s v="AMBULATORIOS"/>
    <n v="22770556"/>
    <n v="3311105"/>
    <n v="69250725"/>
    <s v="TRASSA"/>
    <n v="32190072443"/>
    <n v="78070"/>
    <s v="SAL"/>
    <s v="AM04"/>
    <s v="EXAMENES DE LABORATORIO"/>
    <s v="EXAMENES DE LABORATORIO"/>
    <s v="EXAMENES DE LABORATORIO"/>
    <n v="0"/>
    <n v="0"/>
    <n v="78258910"/>
    <n v="5"/>
    <s v="SIN ISAPRE"/>
    <s v="IMONSALV@AFPHABITAT.CL"/>
    <s v="10295620|78258910|919077775|65383836"/>
    <s v="GASTO FISICO"/>
    <b v="0"/>
    <s v="DEPOSITADO EN CUENTA"/>
  </r>
  <r>
    <s v="12 DE SEPTIEMBRE DE 2025"/>
    <x v="171"/>
    <s v="INDIRA JACQUELINE MONSALVES ZUÑIGA"/>
    <n v="20872324"/>
    <s v="ABIGAIL TORRES MONSALVES"/>
    <d v="2025-02-01T00:00:00"/>
    <s v="INICIAL"/>
    <n v="919077776"/>
    <n v="919077776"/>
    <n v="11910"/>
    <n v="3730"/>
    <n v="8180"/>
    <n v="0"/>
    <n v="8180"/>
    <n v="919077776"/>
    <n v="285123"/>
    <s v="CORP DE BIENESTAR DEL PERSONAL DE A F P"/>
    <d v="2025-02-07T00:00:00"/>
    <d v="2025-02-07T00:00:00"/>
    <d v="2025-02-07T00:00:00"/>
    <d v="2025-02-07T00:00:00"/>
    <s v="AMBULATORIOS"/>
    <n v="22566283"/>
    <n v="2101551"/>
    <n v="68822905"/>
    <s v="TRASSA"/>
    <n v="9022025"/>
    <n v="77586"/>
    <s v="SAL"/>
    <s v="AM04"/>
    <s v="EXAMENES DE LABORATORIO"/>
    <s v="EXAMENES DE LABORATORIO"/>
    <s v="EXAMENES DE LABORATORIO"/>
    <s v="IMED SALUD"/>
    <n v="0"/>
    <n v="78258910"/>
    <n v="5"/>
    <s v="FONASA"/>
    <s v="IMONSALV@AFPHABITAT.CL"/>
    <s v="10295620|78258910|919077776|919077776"/>
    <s v="IMED SALUD"/>
    <b v="1"/>
    <s v="APORTE VIA IMED"/>
  </r>
  <r>
    <s v="12 DE SEPTIEMBRE DE 2025"/>
    <x v="171"/>
    <s v="INDIRA JACQUELINE MONSALVES ZUÑIGA"/>
    <n v="20872324"/>
    <s v="ABIGAIL TORRES MONSALVES"/>
    <d v="2025-03-01T00:00:00"/>
    <s v="DUPLICADO"/>
    <n v="919077776"/>
    <n v="65383837"/>
    <n v="6905"/>
    <n v="0"/>
    <n v="6905"/>
    <n v="0"/>
    <n v="6905"/>
    <n v="919077776"/>
    <n v="285123"/>
    <s v="CORP DE BIENESTAR DEL PERSONAL DE A F P"/>
    <d v="2025-03-01T00:00:00"/>
    <d v="2025-03-26T00:00:00"/>
    <d v="2025-02-07T00:00:00"/>
    <d v="2025-02-07T00:00:00"/>
    <s v="AMBULATORIOS"/>
    <n v="22770556"/>
    <n v="3311105"/>
    <n v="69250726"/>
    <s v="TRASSA"/>
    <n v="32190072443"/>
    <n v="78070"/>
    <s v="SAL"/>
    <s v="AM04"/>
    <s v="EXAMENES DE LABORATORIO"/>
    <s v="EXAMENES DE LABORATORIO"/>
    <s v="EXAMENES DE LABORATORIO"/>
    <n v="0"/>
    <n v="0"/>
    <n v="78258910"/>
    <n v="5"/>
    <s v="SIN ISAPRE"/>
    <s v="IMONSALV@AFPHABITAT.CL"/>
    <s v="10295620|78258910|919077776|65383837"/>
    <s v="GASTO FISICO"/>
    <b v="0"/>
    <s v="DEPOSITADO EN CUENTA"/>
  </r>
  <r>
    <s v="12 DE SEPTIEMBRE DE 2025"/>
    <x v="171"/>
    <s v="INDIRA JACQUELINE MONSALVES ZUÑIGA"/>
    <n v="20872324"/>
    <s v="ABIGAIL TORRES MONSALVES"/>
    <d v="2025-02-01T00:00:00"/>
    <s v="INICIAL"/>
    <n v="919078469"/>
    <n v="919078469"/>
    <n v="8370"/>
    <n v="2620"/>
    <n v="5750"/>
    <n v="0"/>
    <n v="5750"/>
    <n v="919078469"/>
    <n v="285123"/>
    <s v="CORP DE BIENESTAR DEL PERSONAL DE A F P"/>
    <d v="2025-02-07T00:00:00"/>
    <d v="2025-02-07T00:00:00"/>
    <d v="2025-02-07T00:00:00"/>
    <d v="2025-02-07T00:00:00"/>
    <s v="AMBULATORIOS"/>
    <n v="22566283"/>
    <n v="2101551"/>
    <n v="68822911"/>
    <s v="TRASSA"/>
    <n v="9022025"/>
    <n v="77586"/>
    <s v="SAL"/>
    <s v="AM04"/>
    <s v="EXAMENES DE LABORATORIO"/>
    <s v="EXAMENES DE LABORATORIO"/>
    <s v="EXAMENES DE LABORATORIO"/>
    <s v="IMED SALUD"/>
    <n v="0"/>
    <n v="78258910"/>
    <n v="5"/>
    <s v="FONASA"/>
    <s v="IMONSALV@AFPHABITAT.CL"/>
    <s v="10295620|78258910|919078469|919078469"/>
    <s v="IMED SALUD"/>
    <b v="1"/>
    <s v="APORTE VIA IMED"/>
  </r>
  <r>
    <s v="12 DE SEPTIEMBRE DE 2025"/>
    <x v="171"/>
    <s v="INDIRA JACQUELINE MONSALVES ZUÑIGA"/>
    <n v="20872324"/>
    <s v="ABIGAIL TORRES MONSALVES"/>
    <d v="2025-03-01T00:00:00"/>
    <s v="DUPLICADO"/>
    <n v="919078469"/>
    <n v="65383838"/>
    <n v="4987"/>
    <n v="0"/>
    <n v="4987"/>
    <n v="0"/>
    <n v="4987"/>
    <n v="919078469"/>
    <n v="285123"/>
    <s v="CORP DE BIENESTAR DEL PERSONAL DE A F P"/>
    <d v="2025-03-01T00:00:00"/>
    <d v="2025-03-26T00:00:00"/>
    <d v="2025-02-07T00:00:00"/>
    <d v="2025-02-07T00:00:00"/>
    <s v="AMBULATORIOS"/>
    <n v="22770556"/>
    <n v="3311105"/>
    <n v="69250727"/>
    <s v="TRASSA"/>
    <n v="32190072443"/>
    <n v="78070"/>
    <s v="SAL"/>
    <s v="AM04"/>
    <s v="EXAMENES DE LABORATORIO"/>
    <s v="EXAMENES DE LABORATORIO"/>
    <s v="EXAMENES DE LABORATORIO"/>
    <n v="0"/>
    <n v="0"/>
    <n v="78258910"/>
    <n v="5"/>
    <s v="SIN ISAPRE"/>
    <s v="IMONSALV@AFPHABITAT.CL"/>
    <s v="10295620|78258910|919078469|65383838"/>
    <s v="GASTO FISICO"/>
    <b v="0"/>
    <s v="DEPOSITADO EN CUENTA"/>
  </r>
  <r>
    <s v="12 DE SEPTIEMBRE DE 2025"/>
    <x v="172"/>
    <s v="JESSICA FUENTES OSORIO"/>
    <n v="13937515"/>
    <s v="JESSICA FUENTES OSORIO"/>
    <d v="2025-02-01T00:00:00"/>
    <s v="INICIAL"/>
    <n v="919078976"/>
    <n v="919078976"/>
    <n v="203070"/>
    <n v="130110"/>
    <n v="72960"/>
    <n v="0"/>
    <n v="72960"/>
    <n v="919078976"/>
    <n v="285123"/>
    <s v="CORP DE BIENESTAR DEL PERSONAL DE A F P"/>
    <d v="2025-02-07T00:00:00"/>
    <d v="2025-02-07T00:00:00"/>
    <d v="2025-02-07T00:00:00"/>
    <d v="2025-02-07T00:00:00"/>
    <s v="AMBULATORIOS"/>
    <n v="22566295"/>
    <n v="2101551"/>
    <n v="68822924"/>
    <s v="TRASSA"/>
    <n v="9022025"/>
    <n v="77586"/>
    <s v="SAL"/>
    <s v="AM05"/>
    <s v="EXAMENES RADIOLOGICOS"/>
    <s v="EXAMENES RADIOLOGICOS"/>
    <s v="EXAMENES RADIOLOGICOS"/>
    <s v="IMED SALUD"/>
    <n v="0"/>
    <n v="99540210"/>
    <n v="6"/>
    <s v="FONASA"/>
    <s v="JESSICA.FUENTES@AFPHABITAT.CL"/>
    <s v="13937515|99540210|919078976|919078976"/>
    <s v="IMED SALUD"/>
    <b v="1"/>
    <s v="APORTE VIA IMED"/>
  </r>
  <r>
    <s v="12 DE SEPTIEMBRE DE 2025"/>
    <x v="172"/>
    <s v="JESSICA FUENTES OSORIO"/>
    <n v="13937515"/>
    <s v="JESSICA FUENTES OSORIO"/>
    <d v="2025-03-01T00:00:00"/>
    <s v="DUPLICADO"/>
    <n v="919078976"/>
    <n v="65384163"/>
    <n v="73281"/>
    <n v="0"/>
    <n v="73281"/>
    <n v="0"/>
    <n v="73281"/>
    <n v="919078976"/>
    <n v="285123"/>
    <s v="CORP DE BIENESTAR DEL PERSONAL DE A F P"/>
    <d v="2025-03-01T00:00:00"/>
    <d v="2025-03-26T00:00:00"/>
    <d v="2025-02-07T00:00:00"/>
    <d v="2025-02-07T00:00:00"/>
    <s v="AMBULATORIOS"/>
    <n v="22770560"/>
    <n v="3311105"/>
    <n v="69251043"/>
    <s v="TRASSA"/>
    <n v="61167282"/>
    <n v="78070"/>
    <s v="SAL"/>
    <s v="AM05"/>
    <s v="EXAMENES RADIOLOGICOS"/>
    <s v="EXAMENES RADIOLOGICOS"/>
    <s v="EXAMENES RADIOLOGICOS"/>
    <n v="0"/>
    <n v="0"/>
    <n v="99540210"/>
    <n v="6"/>
    <s v="SIN ISAPRE"/>
    <s v="JESSICA.FUENTES@AFPHABITAT.CL"/>
    <s v="13937515|99540210|919078976|65384163"/>
    <s v="GASTO FISICO"/>
    <b v="0"/>
    <s v="DEPOSITADO EN CUENTA"/>
  </r>
  <r>
    <s v="12 DE SEPTIEMBRE DE 2025"/>
    <x v="195"/>
    <s v="CARMEN CALFUAN TRAIPI"/>
    <n v="18196635"/>
    <s v="CARMEN CALFUAN TRAIPI"/>
    <d v="2025-02-01T00:00:00"/>
    <s v="INICIAL"/>
    <n v="919175701"/>
    <n v="919175701"/>
    <n v="10740"/>
    <n v="3360"/>
    <n v="7380"/>
    <n v="0"/>
    <n v="7380"/>
    <n v="919175701"/>
    <n v="285123"/>
    <s v="CORP DE BIENESTAR DEL PERSONAL DE A F P"/>
    <d v="2025-02-07T00:00:00"/>
    <d v="2025-02-07T00:00:00"/>
    <d v="2025-02-07T00:00:00"/>
    <d v="2025-02-07T00:00:00"/>
    <s v="AMBULATORIOS"/>
    <n v="22566308"/>
    <n v="2101551"/>
    <n v="68823478"/>
    <s v="TRASSA"/>
    <n v="9022025"/>
    <n v="77586"/>
    <s v="SAL"/>
    <s v="AM07"/>
    <s v="PROCEDIMIENTOS TERAPEUTICOS"/>
    <s v="PROCEDIMIENTOS TERAPEUTICOS"/>
    <s v="PROCEDIMIENTOS TERAPEUTICOS"/>
    <s v="IMED SALUD"/>
    <n v="0"/>
    <n v="96942400"/>
    <n v="2"/>
    <s v="FONASA"/>
    <s v="CCALFUAN@AFPHABITAT.CL"/>
    <s v="18196635|96942400|919175701|919175701"/>
    <s v="IMED SALUD"/>
    <b v="1"/>
    <s v="APORTE VIA IMED"/>
  </r>
  <r>
    <s v="12 DE SEPTIEMBRE DE 2025"/>
    <x v="195"/>
    <s v="CARMEN CALFUAN TRAIPI"/>
    <n v="18196635"/>
    <s v="CARMEN CALFUAN TRAIPI"/>
    <d v="2025-03-01T00:00:00"/>
    <s v="DUPLICADO"/>
    <n v="919175701"/>
    <n v="65384453"/>
    <n v="6138"/>
    <n v="0"/>
    <n v="6138"/>
    <n v="0"/>
    <n v="6138"/>
    <n v="919175701"/>
    <n v="285123"/>
    <s v="CORP DE BIENESTAR DEL PERSONAL DE A F P"/>
    <d v="2025-03-01T00:00:00"/>
    <d v="2025-03-26T00:00:00"/>
    <d v="2025-02-07T00:00:00"/>
    <d v="2025-02-07T00:00:00"/>
    <s v="AMBULATORIOS"/>
    <n v="22770563"/>
    <n v="3311105"/>
    <n v="69251320"/>
    <s v="TRASSA"/>
    <n v="10013561232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CCALFUAN@AFPHABITAT.CL"/>
    <s v="18196635|96942400|919175701|65384453"/>
    <s v="GASTO FISICO"/>
    <b v="0"/>
    <s v="DEPOSITADO EN CUENTA"/>
  </r>
  <r>
    <s v="12 DE SEPTIEMBRE DE 2025"/>
    <x v="172"/>
    <s v="JESSICA FUENTES OSORIO"/>
    <n v="13937515"/>
    <s v="JESSICA FUENTES OSORIO"/>
    <d v="2025-02-01T00:00:00"/>
    <s v="INICIAL"/>
    <n v="919194831"/>
    <n v="919194831"/>
    <n v="49200"/>
    <n v="27680"/>
    <n v="21520"/>
    <n v="0"/>
    <n v="21520"/>
    <n v="919194831"/>
    <n v="285123"/>
    <s v="CORP DE BIENESTAR DEL PERSONAL DE A F P"/>
    <d v="2025-02-08T00:00:00"/>
    <d v="2025-02-08T00:00:00"/>
    <d v="2025-02-08T00:00:00"/>
    <d v="2025-02-08T00:00:00"/>
    <s v="AMBULATORIOS"/>
    <n v="22598302"/>
    <n v="2171709"/>
    <n v="68875264"/>
    <s v="TRASSA"/>
    <n v="16022025"/>
    <n v="77646"/>
    <s v="SAL"/>
    <s v="AM07"/>
    <s v="PROCEDIMIENTOS TERAPEUTICOS"/>
    <s v="PROCEDIMIENTOS TERAPEUTICOS"/>
    <s v="PROCEDIMIENTOS TERAPEUTICOS"/>
    <s v="IMED SALUD"/>
    <n v="0"/>
    <n v="76696200"/>
    <n v="9"/>
    <s v="FONASA"/>
    <s v="JESSICA.FUENTES@AFPHABITAT.CL"/>
    <s v="13937515|76696200|919194831|919194831"/>
    <s v="IMED SALUD"/>
    <b v="1"/>
    <s v="APORTE VIA IMED"/>
  </r>
  <r>
    <s v="12 DE SEPTIEMBRE DE 2025"/>
    <x v="172"/>
    <s v="JESSICA FUENTES OSORIO"/>
    <n v="13937515"/>
    <s v="JESSICA FUENTES OSORIO"/>
    <d v="2025-03-01T00:00:00"/>
    <s v="DUPLICADO"/>
    <n v="919194831"/>
    <n v="65384164"/>
    <n v="17263"/>
    <n v="0"/>
    <n v="17263"/>
    <n v="0"/>
    <n v="17263"/>
    <n v="919194831"/>
    <n v="285123"/>
    <s v="CORP DE BIENESTAR DEL PERSONAL DE A F P"/>
    <d v="2025-03-01T00:00:00"/>
    <d v="2025-03-26T00:00:00"/>
    <d v="2025-02-08T00:00:00"/>
    <d v="2025-02-08T00:00:00"/>
    <s v="AMBULATORIOS"/>
    <n v="22770568"/>
    <n v="3311105"/>
    <n v="69251044"/>
    <s v="TRASSA"/>
    <n v="61167282"/>
    <n v="78070"/>
    <s v="SAL"/>
    <s v="AM07"/>
    <s v="PROCEDIMIENTOS TERAPEUTICOS"/>
    <s v="PROCEDIMIENTOS TERAPEUTICOS"/>
    <s v="PROCEDIMIENTOS TERAPEUTICOS"/>
    <n v="0"/>
    <n v="0"/>
    <n v="76696200"/>
    <n v="9"/>
    <s v="SIN ISAPRE"/>
    <s v="JESSICA.FUENTES@AFPHABITAT.CL"/>
    <s v="13937515|76696200|919194831|65384164"/>
    <s v="GASTO FISICO"/>
    <b v="0"/>
    <s v="DEPOSITADO EN CUENTA"/>
  </r>
  <r>
    <s v="12 DE SEPTIEMBRE DE 2025"/>
    <x v="188"/>
    <s v="PAMELA VIE ALARCON"/>
    <n v="10792213"/>
    <s v="PAMELA VIE ALARCON"/>
    <d v="2025-02-01T00:00:00"/>
    <s v="INICIAL"/>
    <n v="919203796"/>
    <n v="919203796"/>
    <n v="89000"/>
    <n v="27820"/>
    <n v="61180"/>
    <n v="0"/>
    <n v="61180"/>
    <n v="919203796"/>
    <n v="285123"/>
    <s v="CORP DE BIENESTAR DEL PERSONAL DE A F P"/>
    <d v="2025-02-08T00:00:00"/>
    <d v="2025-02-08T00:00:00"/>
    <d v="2025-02-08T00:00:00"/>
    <d v="2025-02-08T00:00:00"/>
    <s v="AMBULATORIOS"/>
    <n v="22598293"/>
    <n v="2171709"/>
    <n v="68875345"/>
    <s v="TRASSA"/>
    <n v="16022025"/>
    <n v="77646"/>
    <s v="SAL"/>
    <s v="AM07"/>
    <s v="PROCEDIMIENTOS TERAPEUTICOS"/>
    <s v="PROCEDIMIENTOS TERAPEUTICOS"/>
    <s v="PROCEDIMIENTOS TERAPEUTICOS"/>
    <s v="IMED SALUD"/>
    <n v="0"/>
    <n v="77774340"/>
    <n v="6"/>
    <s v="FONASA"/>
    <s v="PVIEAL@AFPHABITAT.CL"/>
    <s v="10792213|77774340|919203796|919203796"/>
    <s v="IMED SALUD"/>
    <b v="1"/>
    <s v="APORTE VIA IMED"/>
  </r>
  <r>
    <s v="12 DE SEPTIEMBRE DE 2025"/>
    <x v="188"/>
    <s v="PAMELA VIE ALARCON"/>
    <n v="10792213"/>
    <s v="PAMELA VIE ALARCON"/>
    <d v="2025-03-01T00:00:00"/>
    <s v="DUPLICADO"/>
    <n v="919203796"/>
    <n v="65383900"/>
    <n v="52559"/>
    <n v="0"/>
    <n v="52559"/>
    <n v="0"/>
    <n v="52559"/>
    <n v="919203796"/>
    <n v="285123"/>
    <s v="CORP DE BIENESTAR DEL PERSONAL DE A F P"/>
    <d v="2025-03-01T00:00:00"/>
    <d v="2025-03-26T00:00:00"/>
    <d v="2025-02-08T00:00:00"/>
    <d v="2025-02-08T00:00:00"/>
    <s v="AMBULATORIOS"/>
    <n v="22770566"/>
    <n v="3311105"/>
    <n v="69250789"/>
    <s v="TRASSA"/>
    <n v="10792213"/>
    <n v="78070"/>
    <s v="SAL"/>
    <s v="AM07"/>
    <s v="PROCEDIMIENTOS TERAPEUTICOS"/>
    <s v="PROCEDIMIENTOS TERAPEUTICOS"/>
    <s v="PROCEDIMIENTOS TERAPEUTICOS"/>
    <n v="0"/>
    <n v="0"/>
    <n v="77774340"/>
    <n v="6"/>
    <s v="SIN ISAPRE"/>
    <s v="PVIEAL@AFPHABITAT.CL"/>
    <s v="10792213|77774340|919203796|65383900"/>
    <s v="GASTO FISICO"/>
    <b v="0"/>
    <s v="DEPOSITADO EN CUENTA"/>
  </r>
  <r>
    <s v="12 DE SEPTIEMBRE DE 2025"/>
    <x v="32"/>
    <s v="XAIRYS ADRIANA FALCON MARQUEZ"/>
    <n v="26246811"/>
    <s v="XAIRYS ADRIANA FALCON MARQUEZ"/>
    <d v="2025-02-01T00:00:00"/>
    <s v="INICIAL"/>
    <n v="919209701"/>
    <n v="919209701"/>
    <n v="36320"/>
    <n v="11360"/>
    <n v="24960"/>
    <n v="0"/>
    <n v="24960"/>
    <n v="919209701"/>
    <n v="285123"/>
    <s v="CORP DE BIENESTAR DEL PERSONAL DE A F P"/>
    <d v="2025-02-08T00:00:00"/>
    <d v="2025-02-08T00:00:00"/>
    <d v="2025-02-08T00:00:00"/>
    <d v="2025-02-08T00:00:00"/>
    <s v="AMBULATORIOS"/>
    <n v="22598309"/>
    <n v="2171709"/>
    <n v="68875408"/>
    <s v="TRASSA"/>
    <n v="16022025"/>
    <n v="77646"/>
    <s v="SAL"/>
    <s v="AM04"/>
    <s v="EXAMENES DE LABORATORIO"/>
    <s v="EXAMENES DE LABORATORIO"/>
    <s v="EXAMENES DE LABORATORIO"/>
    <s v="IMED SALUD"/>
    <n v="0"/>
    <n v="96617350"/>
    <n v="5"/>
    <s v="FONASA"/>
    <s v="XAIRYS.FALCON@AFPHABITAT.CL"/>
    <s v="26246811|96617350|919209701|919209701"/>
    <s v="IMED SALUD"/>
    <b v="1"/>
    <s v="APORTE VIA IMED"/>
  </r>
  <r>
    <s v="12 DE SEPTIEMBRE DE 2025"/>
    <x v="32"/>
    <s v="XAIRYS ADRIANA FALCON MARQUEZ"/>
    <n v="26246811"/>
    <s v="XAIRYS ADRIANA FALCON MARQUEZ"/>
    <d v="2025-03-01T00:00:00"/>
    <s v="DUPLICADO"/>
    <n v="919209701"/>
    <n v="65384539"/>
    <n v="21865"/>
    <n v="0"/>
    <n v="21865"/>
    <n v="0"/>
    <n v="21865"/>
    <n v="919209701"/>
    <n v="285123"/>
    <s v="CORP DE BIENESTAR DEL PERSONAL DE A F P"/>
    <d v="2025-03-01T00:00:00"/>
    <d v="2025-03-26T00:00:00"/>
    <d v="2025-02-08T00:00:00"/>
    <d v="2025-02-08T00:00:00"/>
    <s v="AMBULATORIOS"/>
    <n v="22770570"/>
    <n v="3311105"/>
    <n v="69251402"/>
    <s v="TRASSA"/>
    <n v="83503556"/>
    <n v="78070"/>
    <s v="SAL"/>
    <s v="AM04"/>
    <s v="EXAMENES DE LABORATORIO"/>
    <s v="EXAMENES DE LABORATORIO"/>
    <s v="EXAMENES DE LABORATORIO"/>
    <n v="0"/>
    <n v="0"/>
    <n v="96617350"/>
    <n v="5"/>
    <s v="SIN ISAPRE"/>
    <s v="XAIRYS.FALCON@AFPHABITAT.CL"/>
    <s v="26246811|96617350|919209701|65384539"/>
    <s v="GASTO FISICO"/>
    <b v="0"/>
    <s v="DEPOSITADO EN CUENTA"/>
  </r>
  <r>
    <s v="12 DE SEPTIEMBRE DE 2025"/>
    <x v="32"/>
    <s v="XAIRYS ADRIANA FALCON MARQUEZ"/>
    <n v="26246811"/>
    <s v="XAIRYS ADRIANA FALCON MARQUEZ"/>
    <d v="2025-02-01T00:00:00"/>
    <s v="INICIAL"/>
    <n v="919209702"/>
    <n v="919209702"/>
    <n v="20200"/>
    <n v="6320"/>
    <n v="13880"/>
    <n v="0"/>
    <n v="13880"/>
    <n v="919209702"/>
    <n v="285123"/>
    <s v="CORP DE BIENESTAR DEL PERSONAL DE A F P"/>
    <d v="2025-02-08T00:00:00"/>
    <d v="2025-02-08T00:00:00"/>
    <d v="2025-02-08T00:00:00"/>
    <d v="2025-02-08T00:00:00"/>
    <s v="AMBULATORIOS"/>
    <n v="22598309"/>
    <n v="2171709"/>
    <n v="68875407"/>
    <s v="TRASSA"/>
    <n v="16022025"/>
    <n v="77646"/>
    <s v="SAL"/>
    <s v="AM04"/>
    <s v="EXAMENES DE LABORATORIO"/>
    <s v="EXAMENES DE LABORATORIO"/>
    <s v="EXAMENES DE LABORATORIO"/>
    <s v="IMED SALUD"/>
    <n v="0"/>
    <n v="96617350"/>
    <n v="5"/>
    <s v="FONASA"/>
    <s v="XAIRYS.FALCON@AFPHABITAT.CL"/>
    <s v="26246811|96617350|919209702|919209702"/>
    <s v="IMED SALUD"/>
    <b v="1"/>
    <s v="APORTE VIA IMED"/>
  </r>
  <r>
    <s v="12 DE SEPTIEMBRE DE 2025"/>
    <x v="32"/>
    <s v="XAIRYS ADRIANA FALCON MARQUEZ"/>
    <n v="26246811"/>
    <s v="XAIRYS ADRIANA FALCON MARQUEZ"/>
    <d v="2025-03-01T00:00:00"/>
    <s v="DUPLICADO"/>
    <n v="919209702"/>
    <n v="65384540"/>
    <n v="12657"/>
    <n v="0"/>
    <n v="12657"/>
    <n v="0"/>
    <n v="12657"/>
    <n v="919209702"/>
    <n v="285123"/>
    <s v="CORP DE BIENESTAR DEL PERSONAL DE A F P"/>
    <d v="2025-03-01T00:00:00"/>
    <d v="2025-03-26T00:00:00"/>
    <d v="2025-02-08T00:00:00"/>
    <d v="2025-02-08T00:00:00"/>
    <s v="AMBULATORIOS"/>
    <n v="22770570"/>
    <n v="3311105"/>
    <n v="69251403"/>
    <s v="TRASSA"/>
    <n v="83503556"/>
    <n v="78070"/>
    <s v="SAL"/>
    <s v="AM04"/>
    <s v="EXAMENES DE LABORATORIO"/>
    <s v="EXAMENES DE LABORATORIO"/>
    <s v="EXAMENES DE LABORATORIO"/>
    <n v="0"/>
    <n v="0"/>
    <n v="96617350"/>
    <n v="5"/>
    <s v="SIN ISAPRE"/>
    <s v="XAIRYS.FALCON@AFPHABITAT.CL"/>
    <s v="26246811|96617350|919209702|65384540"/>
    <s v="GASTO FISICO"/>
    <b v="0"/>
    <s v="DEPOSITADO EN CUENTA"/>
  </r>
  <r>
    <s v="12 DE SEPTIEMBRE DE 2025"/>
    <x v="172"/>
    <s v="JESSICA FUENTES OSORIO"/>
    <n v="13937515"/>
    <s v="JESSICA FUENTES OSORIO"/>
    <d v="2025-02-01T00:00:00"/>
    <s v="INICIAL"/>
    <n v="919253655"/>
    <n v="919253655"/>
    <n v="95100"/>
    <n v="53495"/>
    <n v="41605"/>
    <n v="0"/>
    <n v="41605"/>
    <n v="919253655"/>
    <n v="285123"/>
    <s v="CORP DE BIENESTAR DEL PERSONAL DE A F P"/>
    <d v="2025-02-09T00:00:00"/>
    <d v="2025-02-09T00:00:00"/>
    <d v="2025-02-09T00:00:00"/>
    <d v="2025-02-09T00:00:00"/>
    <s v="AMBULATORIOS"/>
    <n v="22598310"/>
    <n v="2171709"/>
    <n v="68875722"/>
    <s v="TRASSA"/>
    <n v="16022025"/>
    <n v="77646"/>
    <s v="SAL"/>
    <s v="AM05"/>
    <s v="EXAMENES RADIOLOGICOS"/>
    <s v="EXAMENES RADIOLOGICOS"/>
    <s v="EXAMENES RADIOLOGICOS"/>
    <s v="IMED SALUD"/>
    <n v="0"/>
    <n v="76696200"/>
    <n v="9"/>
    <s v="FONASA"/>
    <s v="JESSICA.FUENTES@AFPHABITAT.CL"/>
    <s v="13937515|76696200|919253655|919253655"/>
    <s v="IMED SALUD"/>
    <b v="1"/>
    <s v="APORTE VIA IMED"/>
  </r>
  <r>
    <s v="12 DE SEPTIEMBRE DE 2025"/>
    <x v="172"/>
    <s v="JESSICA FUENTES OSORIO"/>
    <n v="13937515"/>
    <s v="JESSICA FUENTES OSORIO"/>
    <d v="2025-03-01T00:00:00"/>
    <s v="DUPLICADO"/>
    <n v="919253655"/>
    <n v="65384165"/>
    <n v="32607"/>
    <n v="0"/>
    <n v="32607"/>
    <n v="0"/>
    <n v="32607"/>
    <n v="919253655"/>
    <n v="285123"/>
    <s v="CORP DE BIENESTAR DEL PERSONAL DE A F P"/>
    <d v="2025-03-01T00:00:00"/>
    <d v="2025-03-26T00:00:00"/>
    <d v="2025-02-09T00:00:00"/>
    <d v="2025-02-09T00:00:00"/>
    <s v="AMBULATORIOS"/>
    <n v="22770571"/>
    <n v="3311105"/>
    <n v="69251045"/>
    <s v="TRASSA"/>
    <n v="61167282"/>
    <n v="78070"/>
    <s v="SAL"/>
    <s v="AM05"/>
    <s v="EXAMENES RADIOLOGICOS"/>
    <s v="EXAMENES RADIOLOGICOS"/>
    <s v="EXAMENES RADIOLOGICOS"/>
    <n v="0"/>
    <n v="0"/>
    <n v="76696200"/>
    <n v="9"/>
    <s v="SIN ISAPRE"/>
    <s v="JESSICA.FUENTES@AFPHABITAT.CL"/>
    <s v="13937515|76696200|919253655|65384165"/>
    <s v="GASTO FISICO"/>
    <b v="0"/>
    <s v="DEPOSITADO EN CUENTA"/>
  </r>
  <r>
    <s v="12 DE SEPTIEMBRE DE 2025"/>
    <x v="196"/>
    <s v="CESAR ESTEBAN ARANCIBIA CASTRO"/>
    <n v="11029567"/>
    <s v="LUCIA MIRANDA MARTINEZ"/>
    <d v="2025-02-01T00:00:00"/>
    <s v="INICIAL"/>
    <n v="919354077"/>
    <n v="919354077"/>
    <n v="3440"/>
    <n v="1080"/>
    <n v="2360"/>
    <n v="0"/>
    <n v="2360"/>
    <n v="919354077"/>
    <n v="285123"/>
    <s v="CORP DE BIENESTAR DEL PERSONAL DE A F P"/>
    <d v="2025-02-10T00:00:00"/>
    <d v="2025-02-10T00:00:00"/>
    <d v="2025-02-10T00:00:00"/>
    <d v="2025-02-10T00:00:00"/>
    <s v="AMBULATORIOS"/>
    <n v="22598320"/>
    <n v="2171709"/>
    <n v="68876166"/>
    <s v="TRASSA"/>
    <n v="16022025"/>
    <n v="77646"/>
    <s v="SAL"/>
    <s v="AM04"/>
    <s v="EXAMENES DE LABORATORIO"/>
    <s v="EXAMENES DE LABORATORIO"/>
    <s v="EXAMENES DE LABORATORIO"/>
    <s v="IMED SALUD"/>
    <n v="0"/>
    <n v="70377400"/>
    <n v="8"/>
    <s v="FONASA"/>
    <s v="CARANCIB@AFPHABITAT.CL"/>
    <s v="10131449|70377400|919354077|919354077"/>
    <s v="IMED SALUD"/>
    <b v="1"/>
    <s v="APORTE VIA IMED"/>
  </r>
  <r>
    <s v="12 DE SEPTIEMBRE DE 2025"/>
    <x v="196"/>
    <s v="CESAR ESTEBAN ARANCIBIA CASTRO"/>
    <n v="11029567"/>
    <s v="LUCIA MIRANDA MARTINEZ"/>
    <d v="2025-03-01T00:00:00"/>
    <s v="DUPLICADO"/>
    <n v="919354077"/>
    <n v="65383802"/>
    <n v="1917"/>
    <n v="0"/>
    <n v="1917"/>
    <n v="0"/>
    <n v="1917"/>
    <n v="919354077"/>
    <n v="285123"/>
    <s v="CORP DE BIENESTAR DEL PERSONAL DE A F P"/>
    <d v="2025-03-01T00:00:00"/>
    <d v="2025-03-26T00:00:00"/>
    <d v="2025-02-10T00:00:00"/>
    <d v="2025-02-10T00:00:00"/>
    <s v="AMBULATORIOS"/>
    <n v="22770576"/>
    <n v="3311105"/>
    <n v="69250691"/>
    <s v="TRASSA"/>
    <n v="3350003908"/>
    <n v="78070"/>
    <s v="SAL"/>
    <s v="AM04"/>
    <s v="EXAMENES DE LABORATORIO"/>
    <s v="EXAMENES DE LABORATORIO"/>
    <s v="EXAMENES DE LABORATORIO"/>
    <n v="0"/>
    <n v="0"/>
    <n v="70377400"/>
    <n v="8"/>
    <s v="SIN ISAPRE"/>
    <s v="CARANCIB@AFPHABITAT.CL"/>
    <s v="10131449|70377400|919354077|65383802"/>
    <s v="GASTO FISICO"/>
    <b v="0"/>
    <s v="DEPOSITADO EN CUENTA"/>
  </r>
  <r>
    <s v="12 DE SEPTIEMBRE DE 2025"/>
    <x v="171"/>
    <s v="INDIRA JACQUELINE MONSALVES ZUÑIGA"/>
    <n v="10295620"/>
    <s v="INDIRA JACQUELINE MONSALVES ZUÑIGA"/>
    <d v="2025-02-01T00:00:00"/>
    <s v="INICIAL"/>
    <n v="919378936"/>
    <n v="919378936"/>
    <n v="11500"/>
    <n v="3600"/>
    <n v="7900"/>
    <n v="0"/>
    <n v="7900"/>
    <n v="919378936"/>
    <n v="285123"/>
    <s v="CORP DE BIENESTAR DEL PERSONAL DE A F P"/>
    <d v="2025-02-10T00:00:00"/>
    <d v="2025-02-10T00:00:00"/>
    <d v="2025-02-10T00:00:00"/>
    <d v="2025-02-10T00:00:00"/>
    <s v="AMBULATORIOS"/>
    <n v="22598323"/>
    <n v="2171709"/>
    <n v="68876274"/>
    <s v="TRASSA"/>
    <n v="16022025"/>
    <n v="77646"/>
    <s v="SAL"/>
    <s v="AM07"/>
    <s v="PROCEDIMIENTOS TERAPEUTICOS"/>
    <s v="PROCEDIMIENTOS TERAPEUTICOS"/>
    <s v="PROCEDIMIENTOS TERAPEUTICOS"/>
    <s v="IMED SALUD"/>
    <n v="0"/>
    <n v="96942400"/>
    <n v="2"/>
    <s v="FONASA"/>
    <s v="IMONSALV@AFPHABITAT.CL"/>
    <s v="10295620|96942400|919378936|919378936"/>
    <s v="IMED SALUD"/>
    <b v="1"/>
    <s v="APORTE VIA IMED"/>
  </r>
  <r>
    <s v="12 DE SEPTIEMBRE DE 2025"/>
    <x v="171"/>
    <s v="INDIRA JACQUELINE MONSALVES ZUÑIGA"/>
    <n v="10295620"/>
    <s v="INDIRA JACQUELINE MONSALVES ZUÑIGA"/>
    <d v="2025-03-01T00:00:00"/>
    <s v="DUPLICADO"/>
    <n v="919378936"/>
    <n v="65383835"/>
    <n v="6905"/>
    <n v="0"/>
    <n v="6905"/>
    <n v="0"/>
    <n v="6905"/>
    <n v="919378936"/>
    <n v="285123"/>
    <s v="CORP DE BIENESTAR DEL PERSONAL DE A F P"/>
    <d v="2025-03-01T00:00:00"/>
    <d v="2025-03-26T00:00:00"/>
    <d v="2025-02-10T00:00:00"/>
    <d v="2025-02-10T00:00:00"/>
    <s v="AMBULATORIOS"/>
    <n v="22770578"/>
    <n v="3311105"/>
    <n v="69250724"/>
    <s v="TRASSA"/>
    <n v="32190072443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IMONSALV@AFPHABITAT.CL"/>
    <s v="10295620|96942400|919378936|65383835"/>
    <s v="GASTO FISICO"/>
    <b v="0"/>
    <s v="DEPOSITADO EN CUENTA"/>
  </r>
  <r>
    <s v="12 DE SEPTIEMBRE DE 2025"/>
    <x v="68"/>
    <s v="PATRICIA PELAITAY PALMA"/>
    <n v="21442073"/>
    <s v="PATRICIA PELAITAY PALMA"/>
    <d v="2025-02-01T00:00:00"/>
    <s v="INICIAL"/>
    <n v="919394889"/>
    <n v="919394889"/>
    <n v="37700"/>
    <n v="17864"/>
    <n v="19836"/>
    <n v="0"/>
    <n v="19836"/>
    <n v="919394889"/>
    <n v="285123"/>
    <s v="CORP DE BIENESTAR DEL PERSONAL DE A F P"/>
    <d v="2025-02-11T00:00:00"/>
    <d v="2025-02-11T00:00:00"/>
    <d v="2025-02-11T00:00:00"/>
    <d v="2025-02-11T00:00:00"/>
    <s v="AMBULATORIOS"/>
    <n v="22598380"/>
    <n v="2171709"/>
    <n v="68876390"/>
    <s v="TRASSA"/>
    <n v="16022025"/>
    <n v="77646"/>
    <s v="SAL"/>
    <s v="AM07"/>
    <s v="PROCEDIMIENTOS TERAPEUTICOS"/>
    <s v="PROCEDIMIENTOS TERAPEUTICOS"/>
    <s v="PROCEDIMIENTOS TERAPEUTICOS"/>
    <s v="IMED SALUD"/>
    <n v="0"/>
    <n v="76098454"/>
    <s v="K"/>
    <s v="FONASA"/>
    <s v="PPELAITA@AFPHABITAT.CL"/>
    <s v="21442073|76098454|919394889|919394889"/>
    <s v="IMED SALUD"/>
    <b v="1"/>
    <s v="APORTE VIA IMED"/>
  </r>
  <r>
    <s v="12 DE SEPTIEMBRE DE 2025"/>
    <x v="68"/>
    <s v="PATRICIA PELAITAY PALMA"/>
    <n v="21442073"/>
    <s v="PATRICIA PELAITAY PALMA"/>
    <d v="2025-03-01T00:00:00"/>
    <s v="DUPLICADO"/>
    <n v="919394889"/>
    <n v="65384502"/>
    <n v="16508"/>
    <n v="0"/>
    <n v="16508"/>
    <n v="0"/>
    <n v="16508"/>
    <n v="919394889"/>
    <n v="285123"/>
    <s v="CORP DE BIENESTAR DEL PERSONAL DE A F P"/>
    <d v="2025-03-01T00:00:00"/>
    <d v="2025-03-26T00:00:00"/>
    <d v="2025-02-11T00:00:00"/>
    <d v="2025-02-11T00:00:00"/>
    <s v="AMBULATORIOS"/>
    <n v="22770595"/>
    <n v="3311105"/>
    <n v="69251366"/>
    <s v="TRASSA"/>
    <n v="1713549343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PPELAITA@AFPHABITAT.CL"/>
    <s v="21442073|76098454|919394889|65384502"/>
    <s v="GASTO FISICO"/>
    <b v="0"/>
    <s v="DEPOSITADO EN CUENTA"/>
  </r>
  <r>
    <s v="12 DE SEPTIEMBRE DE 2025"/>
    <x v="185"/>
    <s v="JESSICA ZAMBRA MEDINA"/>
    <n v="10586495"/>
    <s v="JESSICA ZAMBRA MEDINA"/>
    <d v="2025-02-01T00:00:00"/>
    <s v="INICIAL"/>
    <n v="919427185"/>
    <n v="919427185"/>
    <n v="51590"/>
    <n v="29029"/>
    <n v="22561"/>
    <n v="0"/>
    <n v="22561"/>
    <n v="919427185"/>
    <n v="285123"/>
    <s v="CORP DE BIENESTAR DEL PERSONAL DE A F P"/>
    <d v="2025-02-11T00:00:00"/>
    <d v="2025-02-11T00:00:00"/>
    <d v="2025-02-11T00:00:00"/>
    <d v="2025-02-11T00:00:00"/>
    <s v="AMBULATORIOS"/>
    <n v="22598354"/>
    <n v="2171709"/>
    <n v="68876580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JZAMBRA@AFPHABITAT.CL"/>
    <s v="10586495|96942400|919427185|919427185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19427185"/>
    <n v="65383871"/>
    <n v="18810"/>
    <n v="0"/>
    <n v="18810"/>
    <n v="0"/>
    <n v="18810"/>
    <n v="919427185"/>
    <n v="285123"/>
    <s v="CORP DE BIENESTAR DEL PERSONAL DE A F P"/>
    <d v="2025-03-01T00:00:00"/>
    <d v="2025-03-26T00:00:00"/>
    <d v="2025-02-11T00:00:00"/>
    <d v="2025-02-11T00:00:00"/>
    <s v="AMBULATORIOS"/>
    <n v="22770587"/>
    <n v="3311105"/>
    <n v="69250760"/>
    <s v="TRASSA"/>
    <n v="50964119"/>
    <n v="78070"/>
    <s v="SAL"/>
    <s v="AM04"/>
    <s v="EXAMENES DE LABORATORIO"/>
    <s v="EXAMENES DE LABORATORIO"/>
    <s v="EXAMENES DE LABORATORIO"/>
    <n v="0"/>
    <n v="0"/>
    <n v="96942400"/>
    <n v="2"/>
    <s v="SIN ISAPRE"/>
    <s v="JZAMBRA@AFPHABITAT.CL"/>
    <s v="10586495|96942400|919427185|65383871"/>
    <s v="GASTO FISICO"/>
    <b v="0"/>
    <s v="DEPOSITADO EN CUENTA"/>
  </r>
  <r>
    <s v="12 DE SEPTIEMBRE DE 2025"/>
    <x v="185"/>
    <s v="JESSICA ZAMBRA MEDINA"/>
    <n v="10586495"/>
    <s v="JESSICA ZAMBRA MEDINA"/>
    <d v="2025-02-01T00:00:00"/>
    <s v="INICIAL"/>
    <n v="919427186"/>
    <n v="919427186"/>
    <n v="26470"/>
    <n v="14908"/>
    <n v="11562"/>
    <n v="0"/>
    <n v="11562"/>
    <n v="919427186"/>
    <n v="285123"/>
    <s v="CORP DE BIENESTAR DEL PERSONAL DE A F P"/>
    <d v="2025-02-11T00:00:00"/>
    <d v="2025-02-11T00:00:00"/>
    <d v="2025-02-11T00:00:00"/>
    <d v="2025-02-11T00:00:00"/>
    <s v="AMBULATORIOS"/>
    <n v="22598354"/>
    <n v="2171709"/>
    <n v="68876579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JZAMBRA@AFPHABITAT.CL"/>
    <s v="10586495|96942400|919427186|919427186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19427186"/>
    <n v="65383872"/>
    <n v="9211"/>
    <n v="0"/>
    <n v="9211"/>
    <n v="0"/>
    <n v="9211"/>
    <n v="919427186"/>
    <n v="285123"/>
    <s v="CORP DE BIENESTAR DEL PERSONAL DE A F P"/>
    <d v="2025-03-01T00:00:00"/>
    <d v="2025-03-26T00:00:00"/>
    <d v="2025-02-11T00:00:00"/>
    <d v="2025-02-11T00:00:00"/>
    <s v="AMBULATORIOS"/>
    <n v="22770587"/>
    <n v="3311105"/>
    <n v="69250761"/>
    <s v="TRASSA"/>
    <n v="50964119"/>
    <n v="78070"/>
    <s v="SAL"/>
    <s v="AM04"/>
    <s v="EXAMENES DE LABORATORIO"/>
    <s v="EXAMENES DE LABORATORIO"/>
    <s v="EXAMENES DE LABORATORIO"/>
    <n v="0"/>
    <n v="0"/>
    <n v="96942400"/>
    <n v="2"/>
    <s v="SIN ISAPRE"/>
    <s v="JZAMBRA@AFPHABITAT.CL"/>
    <s v="10586495|96942400|919427186|65383872"/>
    <s v="GASTO FISICO"/>
    <b v="0"/>
    <s v="DEPOSITADO EN CUENTA"/>
  </r>
  <r>
    <s v="12 DE SEPTIEMBRE DE 2025"/>
    <x v="185"/>
    <s v="JESSICA ZAMBRA MEDINA"/>
    <n v="10586495"/>
    <s v="JESSICA ZAMBRA MEDINA"/>
    <d v="2025-02-01T00:00:00"/>
    <s v="INICIAL"/>
    <n v="919427187"/>
    <n v="919427187"/>
    <n v="20530"/>
    <n v="11553"/>
    <n v="8977"/>
    <n v="0"/>
    <n v="8977"/>
    <n v="919427187"/>
    <n v="285123"/>
    <s v="CORP DE BIENESTAR DEL PERSONAL DE A F P"/>
    <d v="2025-02-11T00:00:00"/>
    <d v="2025-02-11T00:00:00"/>
    <d v="2025-02-11T00:00:00"/>
    <d v="2025-02-11T00:00:00"/>
    <s v="AMBULATORIOS"/>
    <n v="22598354"/>
    <n v="2171709"/>
    <n v="68876578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JZAMBRA@AFPHABITAT.CL"/>
    <s v="10586495|96942400|919427187|919427187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19427187"/>
    <n v="65383873"/>
    <n v="7293"/>
    <n v="0"/>
    <n v="7293"/>
    <n v="0"/>
    <n v="7293"/>
    <n v="919427187"/>
    <n v="285123"/>
    <s v="CORP DE BIENESTAR DEL PERSONAL DE A F P"/>
    <d v="2025-03-01T00:00:00"/>
    <d v="2025-03-26T00:00:00"/>
    <d v="2025-02-11T00:00:00"/>
    <d v="2025-02-11T00:00:00"/>
    <s v="AMBULATORIOS"/>
    <n v="22770587"/>
    <n v="3311105"/>
    <n v="69250762"/>
    <s v="TRASSA"/>
    <n v="50964119"/>
    <n v="78070"/>
    <s v="SAL"/>
    <s v="AM04"/>
    <s v="EXAMENES DE LABORATORIO"/>
    <s v="EXAMENES DE LABORATORIO"/>
    <s v="EXAMENES DE LABORATORIO"/>
    <n v="0"/>
    <n v="0"/>
    <n v="96942400"/>
    <n v="2"/>
    <s v="SIN ISAPRE"/>
    <s v="JZAMBRA@AFPHABITAT.CL"/>
    <s v="10586495|96942400|919427187|65383873"/>
    <s v="GASTO FISICO"/>
    <b v="0"/>
    <s v="DEPOSITADO EN CUENTA"/>
  </r>
  <r>
    <s v="12 DE SEPTIEMBRE DE 2025"/>
    <x v="185"/>
    <s v="JESSICA ZAMBRA MEDINA"/>
    <n v="10586495"/>
    <s v="JESSICA ZAMBRA MEDINA"/>
    <d v="2025-02-01T00:00:00"/>
    <s v="INICIAL"/>
    <n v="919428118"/>
    <n v="919428118"/>
    <n v="7010"/>
    <n v="5260"/>
    <n v="1750"/>
    <n v="0"/>
    <n v="1750"/>
    <n v="919428118"/>
    <n v="285123"/>
    <s v="CORP DE BIENESTAR DEL PERSONAL DE A F P"/>
    <d v="2025-02-11T00:00:00"/>
    <d v="2025-02-11T00:00:00"/>
    <d v="2025-02-11T00:00:00"/>
    <d v="2025-02-11T00:00:00"/>
    <s v="AMBULATORIOS"/>
    <n v="22598354"/>
    <n v="2171709"/>
    <n v="68876589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JZAMBRA@AFPHABITAT.CL"/>
    <s v="10586495|96942400|919428118|919428118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19428118"/>
    <n v="65383874"/>
    <n v="1535"/>
    <n v="0"/>
    <n v="1535"/>
    <n v="0"/>
    <n v="1535"/>
    <n v="919428118"/>
    <n v="285123"/>
    <s v="CORP DE BIENESTAR DEL PERSONAL DE A F P"/>
    <d v="2025-03-01T00:00:00"/>
    <d v="2025-03-26T00:00:00"/>
    <d v="2025-02-11T00:00:00"/>
    <d v="2025-02-11T00:00:00"/>
    <s v="AMBULATORIOS"/>
    <n v="22770587"/>
    <n v="3311105"/>
    <n v="69250763"/>
    <s v="TRASSA"/>
    <n v="50964119"/>
    <n v="78070"/>
    <s v="SAL"/>
    <s v="AM04"/>
    <s v="EXAMENES DE LABORATORIO"/>
    <s v="EXAMENES DE LABORATORIO"/>
    <s v="EXAMENES DE LABORATORIO"/>
    <n v="0"/>
    <n v="0"/>
    <n v="96942400"/>
    <n v="2"/>
    <s v="SIN ISAPRE"/>
    <s v="JZAMBRA@AFPHABITAT.CL"/>
    <s v="10586495|96942400|919428118|65383874"/>
    <s v="GASTO FISICO"/>
    <b v="0"/>
    <s v="DEPOSITADO EN CUENTA"/>
  </r>
  <r>
    <s v="12 DE SEPTIEMBRE DE 2025"/>
    <x v="197"/>
    <s v="MARGARITA EVELYN REYES TILLERIA"/>
    <n v="10490905"/>
    <s v="MARGARITA EVELYN REYES TILLERIA"/>
    <d v="2025-02-01T00:00:00"/>
    <s v="INICIAL"/>
    <n v="919478590"/>
    <n v="919478590"/>
    <n v="46030"/>
    <n v="14910"/>
    <n v="31120"/>
    <n v="0"/>
    <n v="31120"/>
    <n v="919478590"/>
    <n v="285123"/>
    <s v="CORP DE BIENESTAR DEL PERSONAL DE A F P"/>
    <d v="2025-02-11T00:00:00"/>
    <d v="2025-02-11T00:00:00"/>
    <d v="2025-02-11T00:00:00"/>
    <d v="2025-02-11T00:00:00"/>
    <s v="AMBULATORIOS"/>
    <n v="22598352"/>
    <n v="2171709"/>
    <n v="68876795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MARGARITA.REYES@AFPHABITAT.CL"/>
    <s v="10490905|96942400|919478590|919478590"/>
    <s v="IMED SALUD"/>
    <b v="1"/>
    <s v="APORTE VIA IMED"/>
  </r>
  <r>
    <s v="12 DE SEPTIEMBRE DE 2025"/>
    <x v="197"/>
    <s v="MARGARITA EVELYN REYES TILLERIA"/>
    <n v="10490905"/>
    <s v="MARGARITA EVELYN REYES TILLERIA"/>
    <d v="2025-03-01T00:00:00"/>
    <s v="DUPLICADO"/>
    <n v="919478590"/>
    <n v="65383856"/>
    <n v="26872"/>
    <n v="0"/>
    <n v="26872"/>
    <n v="0"/>
    <n v="26872"/>
    <n v="919478590"/>
    <n v="285123"/>
    <s v="CORP DE BIENESTAR DEL PERSONAL DE A F P"/>
    <d v="2025-03-01T00:00:00"/>
    <d v="2025-03-26T00:00:00"/>
    <d v="2025-02-11T00:00:00"/>
    <d v="2025-02-11T00:00:00"/>
    <s v="AMBULATORIOS"/>
    <n v="22770585"/>
    <n v="3311105"/>
    <n v="69250745"/>
    <s v="TRASSA"/>
    <n v="10490905"/>
    <n v="78070"/>
    <s v="SAL"/>
    <s v="AM04"/>
    <s v="EXAMENES DE LABORATORIO"/>
    <s v="EXAMENES DE LABORATORIO"/>
    <s v="EXAMENES DE LABORATORIO"/>
    <n v="0"/>
    <n v="0"/>
    <n v="96942400"/>
    <n v="2"/>
    <s v="SIN ISAPRE"/>
    <s v="MARGARITA.REYES@AFPHABITAT.CL"/>
    <s v="10490905|96942400|919478590|65383856"/>
    <s v="GASTO FISICO"/>
    <b v="0"/>
    <s v="DEPOSITADO EN CUENTA"/>
  </r>
  <r>
    <s v="12 DE SEPTIEMBRE DE 2025"/>
    <x v="197"/>
    <s v="MARGARITA EVELYN REYES TILLERIA"/>
    <n v="10490905"/>
    <s v="MARGARITA EVELYN REYES TILLERIA"/>
    <d v="2025-02-01T00:00:00"/>
    <s v="INICIAL"/>
    <n v="919478591"/>
    <n v="919478591"/>
    <n v="32430"/>
    <n v="10140"/>
    <n v="22290"/>
    <n v="0"/>
    <n v="22290"/>
    <n v="919478591"/>
    <n v="285123"/>
    <s v="CORP DE BIENESTAR DEL PERSONAL DE A F P"/>
    <d v="2025-02-11T00:00:00"/>
    <d v="2025-02-11T00:00:00"/>
    <d v="2025-02-11T00:00:00"/>
    <d v="2025-02-11T00:00:00"/>
    <s v="AMBULATORIOS"/>
    <n v="22598352"/>
    <n v="2171709"/>
    <n v="68876794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MARGARITA.REYES@AFPHABITAT.CL"/>
    <s v="10490905|96942400|919478591|919478591"/>
    <s v="IMED SALUD"/>
    <b v="1"/>
    <s v="APORTE VIA IMED"/>
  </r>
  <r>
    <s v="12 DE SEPTIEMBRE DE 2025"/>
    <x v="197"/>
    <s v="MARGARITA EVELYN REYES TILLERIA"/>
    <n v="10490905"/>
    <s v="MARGARITA EVELYN REYES TILLERIA"/>
    <d v="2025-03-01T00:00:00"/>
    <s v="DUPLICADO"/>
    <n v="919478591"/>
    <n v="65383857"/>
    <n v="19194"/>
    <n v="0"/>
    <n v="19194"/>
    <n v="0"/>
    <n v="19194"/>
    <n v="919478591"/>
    <n v="285123"/>
    <s v="CORP DE BIENESTAR DEL PERSONAL DE A F P"/>
    <d v="2025-03-01T00:00:00"/>
    <d v="2025-03-26T00:00:00"/>
    <d v="2025-02-11T00:00:00"/>
    <d v="2025-02-11T00:00:00"/>
    <s v="AMBULATORIOS"/>
    <n v="22770585"/>
    <n v="3311105"/>
    <n v="69250746"/>
    <s v="TRASSA"/>
    <n v="10490905"/>
    <n v="78070"/>
    <s v="SAL"/>
    <s v="AM04"/>
    <s v="EXAMENES DE LABORATORIO"/>
    <s v="EXAMENES DE LABORATORIO"/>
    <s v="EXAMENES DE LABORATORIO"/>
    <n v="0"/>
    <n v="0"/>
    <n v="96942400"/>
    <n v="2"/>
    <s v="SIN ISAPRE"/>
    <s v="MARGARITA.REYES@AFPHABITAT.CL"/>
    <s v="10490905|96942400|919478591|65383857"/>
    <s v="GASTO FISICO"/>
    <b v="0"/>
    <s v="DEPOSITADO EN CUENTA"/>
  </r>
  <r>
    <s v="12 DE SEPTIEMBRE DE 2025"/>
    <x v="197"/>
    <s v="MARGARITA EVELYN REYES TILLERIA"/>
    <n v="10490905"/>
    <s v="MARGARITA EVELYN REYES TILLERIA"/>
    <d v="2025-02-01T00:00:00"/>
    <s v="INICIAL"/>
    <n v="919478592"/>
    <n v="919478592"/>
    <n v="18260"/>
    <n v="7022"/>
    <n v="11238"/>
    <n v="0"/>
    <n v="11238"/>
    <n v="919478592"/>
    <n v="285123"/>
    <s v="CORP DE BIENESTAR DEL PERSONAL DE A F P"/>
    <d v="2025-02-11T00:00:00"/>
    <d v="2025-02-11T00:00:00"/>
    <d v="2025-02-11T00:00:00"/>
    <d v="2025-02-11T00:00:00"/>
    <s v="AMBULATORIOS"/>
    <n v="22598352"/>
    <n v="2171709"/>
    <n v="68876793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MARGARITA.REYES@AFPHABITAT.CL"/>
    <s v="10490905|96942400|919478592|919478592"/>
    <s v="IMED SALUD"/>
    <b v="1"/>
    <s v="APORTE VIA IMED"/>
  </r>
  <r>
    <s v="12 DE SEPTIEMBRE DE 2025"/>
    <x v="197"/>
    <s v="MARGARITA EVELYN REYES TILLERIA"/>
    <n v="10490905"/>
    <s v="MARGARITA EVELYN REYES TILLERIA"/>
    <d v="2025-03-01T00:00:00"/>
    <s v="DUPLICADO"/>
    <n v="919478592"/>
    <n v="65383858"/>
    <n v="9595"/>
    <n v="0"/>
    <n v="9595"/>
    <n v="0"/>
    <n v="9595"/>
    <n v="919478592"/>
    <n v="285123"/>
    <s v="CORP DE BIENESTAR DEL PERSONAL DE A F P"/>
    <d v="2025-03-01T00:00:00"/>
    <d v="2025-03-26T00:00:00"/>
    <d v="2025-02-11T00:00:00"/>
    <d v="2025-02-11T00:00:00"/>
    <s v="AMBULATORIOS"/>
    <n v="22770585"/>
    <n v="3311105"/>
    <n v="69250747"/>
    <s v="TRASSA"/>
    <n v="10490905"/>
    <n v="78070"/>
    <s v="SAL"/>
    <s v="AM04"/>
    <s v="EXAMENES DE LABORATORIO"/>
    <s v="EXAMENES DE LABORATORIO"/>
    <s v="EXAMENES DE LABORATORIO"/>
    <n v="0"/>
    <n v="0"/>
    <n v="96942400"/>
    <n v="2"/>
    <s v="SIN ISAPRE"/>
    <s v="MARGARITA.REYES@AFPHABITAT.CL"/>
    <s v="10490905|96942400|919478592|65383858"/>
    <s v="GASTO FISICO"/>
    <b v="0"/>
    <s v="DEPOSITADO EN CUENTA"/>
  </r>
  <r>
    <s v="12 DE SEPTIEMBRE DE 2025"/>
    <x v="198"/>
    <s v="ALEJANDRA ANDREA BUSTOS FLORES"/>
    <n v="25061160"/>
    <s v="AMANDA VIANA BUSTOS"/>
    <d v="2025-02-01T00:00:00"/>
    <s v="INICIAL"/>
    <n v="919484279"/>
    <n v="919484279"/>
    <n v="8990"/>
    <n v="2820"/>
    <n v="6170"/>
    <n v="0"/>
    <n v="6170"/>
    <n v="919484279"/>
    <n v="285123"/>
    <s v="CORP DE BIENESTAR DEL PERSONAL DE A F P"/>
    <d v="2025-02-11T00:00:00"/>
    <d v="2025-02-11T00:00:00"/>
    <d v="2025-02-11T00:00:00"/>
    <d v="2025-02-11T00:00:00"/>
    <s v="AMBULATORIOS"/>
    <n v="22598363"/>
    <n v="2171709"/>
    <n v="68876832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ALEJANDRA.BUSTOS@AFPHABITAT.CL"/>
    <s v="13924168|96942400|919484279|919484279"/>
    <s v="IMED SALUD"/>
    <b v="1"/>
    <s v="APORTE VIA IMED"/>
  </r>
  <r>
    <s v="12 DE SEPTIEMBRE DE 2025"/>
    <x v="198"/>
    <s v="ALEJANDRA ANDREA BUSTOS FLORES"/>
    <n v="25061160"/>
    <s v="AMANDA VIANA BUSTOS"/>
    <d v="2025-03-01T00:00:00"/>
    <s v="DUPLICADO"/>
    <n v="919484279"/>
    <n v="65384154"/>
    <n v="5373"/>
    <n v="0"/>
    <n v="5373"/>
    <n v="0"/>
    <n v="5373"/>
    <n v="919484279"/>
    <n v="285123"/>
    <s v="CORP DE BIENESTAR DEL PERSONAL DE A F P"/>
    <d v="2025-03-01T00:00:00"/>
    <d v="2025-03-26T00:00:00"/>
    <d v="2025-02-11T00:00:00"/>
    <d v="2025-02-11T00:00:00"/>
    <s v="AMBULATORIOS"/>
    <n v="22770589"/>
    <n v="3311105"/>
    <n v="69251034"/>
    <s v="TRASSA"/>
    <n v="13924168"/>
    <n v="78070"/>
    <s v="SAL"/>
    <s v="AM04"/>
    <s v="EXAMENES DE LABORATORIO"/>
    <s v="EXAMENES DE LABORATORIO"/>
    <s v="EXAMENES DE LABORATORIO"/>
    <n v="0"/>
    <n v="0"/>
    <n v="96942400"/>
    <n v="2"/>
    <s v="SIN ISAPRE"/>
    <s v="ALEJANDRA.BUSTOS@AFPHABITAT.CL"/>
    <s v="13924168|96942400|919484279|65384154"/>
    <s v="GASTO FISICO"/>
    <b v="0"/>
    <s v="DEPOSITADO EN CUENTA"/>
  </r>
  <r>
    <s v="12 DE SEPTIEMBRE DE 2025"/>
    <x v="198"/>
    <s v="ALEJANDRA ANDREA BUSTOS FLORES"/>
    <n v="25061160"/>
    <s v="AMANDA VIANA BUSTOS"/>
    <d v="2025-02-01T00:00:00"/>
    <s v="INICIAL"/>
    <n v="919493119"/>
    <n v="919493119"/>
    <n v="105180"/>
    <n v="32870"/>
    <n v="72310"/>
    <n v="0"/>
    <n v="72310"/>
    <n v="919493119"/>
    <n v="285123"/>
    <s v="CORP DE BIENESTAR DEL PERSONAL DE A F P"/>
    <d v="2025-02-11T00:00:00"/>
    <d v="2025-02-11T00:00:00"/>
    <d v="2025-02-11T00:00:00"/>
    <d v="2025-02-11T00:00:00"/>
    <s v="AMBULATORIOS"/>
    <n v="22598363"/>
    <n v="2171709"/>
    <n v="68876889"/>
    <s v="TRASSA"/>
    <n v="16022025"/>
    <n v="77646"/>
    <s v="SAL"/>
    <s v="AM05"/>
    <s v="EXAMENES RADIOLOGICOS"/>
    <s v="EXAMENES RADIOLOGICOS"/>
    <s v="EXAMENES RADIOLOGICOS"/>
    <s v="IMED SALUD"/>
    <n v="0"/>
    <n v="96942400"/>
    <n v="2"/>
    <s v="FONASA"/>
    <s v="ALEJANDRA.BUSTOS@AFPHABITAT.CL"/>
    <s v="13924168|96942400|919493119|919493119"/>
    <s v="IMED SALUD"/>
    <b v="1"/>
    <s v="APORTE VIA IMED"/>
  </r>
  <r>
    <s v="12 DE SEPTIEMBRE DE 2025"/>
    <x v="198"/>
    <s v="ALEJANDRA ANDREA BUSTOS FLORES"/>
    <n v="25061160"/>
    <s v="AMANDA VIANA BUSTOS"/>
    <d v="2025-03-01T00:00:00"/>
    <s v="DUPLICADO"/>
    <n v="919493119"/>
    <n v="65384155"/>
    <n v="62195"/>
    <n v="0"/>
    <n v="62195"/>
    <n v="0"/>
    <n v="62195"/>
    <n v="919493119"/>
    <n v="285123"/>
    <s v="CORP DE BIENESTAR DEL PERSONAL DE A F P"/>
    <d v="2025-03-01T00:00:00"/>
    <d v="2025-03-26T00:00:00"/>
    <d v="2025-02-11T00:00:00"/>
    <d v="2025-02-11T00:00:00"/>
    <s v="AMBULATORIOS"/>
    <n v="22770589"/>
    <n v="3311105"/>
    <n v="69251035"/>
    <s v="TRASSA"/>
    <n v="13924168"/>
    <n v="78070"/>
    <s v="SAL"/>
    <s v="AM05"/>
    <s v="EXAMENES RADIOLOGICOS"/>
    <s v="EXAMENES RADIOLOGICOS"/>
    <s v="EXAMENES RADIOLOGICOS"/>
    <n v="0"/>
    <n v="0"/>
    <n v="96942400"/>
    <n v="2"/>
    <s v="SIN ISAPRE"/>
    <s v="ALEJANDRA.BUSTOS@AFPHABITAT.CL"/>
    <s v="13924168|96942400|919493119|65384155"/>
    <s v="GASTO FISICO"/>
    <b v="0"/>
    <s v="DEPOSITADO EN CUENTA"/>
  </r>
  <r>
    <s v="12 DE SEPTIEMBRE DE 2025"/>
    <x v="199"/>
    <s v="DANIELA GRANDI GARCIA"/>
    <n v="15308884"/>
    <s v="DANIELA GRANDI GARCIA"/>
    <d v="2025-02-01T00:00:00"/>
    <s v="INICIAL"/>
    <n v="919558912"/>
    <n v="919558912"/>
    <n v="59370"/>
    <n v="33393"/>
    <n v="25977"/>
    <n v="0"/>
    <n v="25977"/>
    <n v="919558912"/>
    <n v="285123"/>
    <s v="CORP DE BIENESTAR DEL PERSONAL DE A F P"/>
    <d v="2025-02-12T00:00:00"/>
    <d v="2025-02-12T00:00:00"/>
    <d v="2025-02-12T00:00:00"/>
    <d v="2025-02-12T00:00:00"/>
    <s v="AMBULATORIOS"/>
    <n v="22598419"/>
    <n v="2171709"/>
    <n v="68877290"/>
    <s v="TRASSA"/>
    <n v="16022025"/>
    <n v="77646"/>
    <s v="SAL"/>
    <s v="AM05"/>
    <s v="EXAMENES RADIOLOGICOS"/>
    <s v="EXAMENES RADIOLOGICOS"/>
    <s v="EXAMENES RADIOLOGICOS"/>
    <s v="IMED SALUD"/>
    <n v="0"/>
    <n v="78040520"/>
    <n v="1"/>
    <s v="FONASA"/>
    <s v="DGRANDI@AFPHABITAT.CL"/>
    <s v="15308884|78040520|919558912|919558912"/>
    <s v="IMED SALUD"/>
    <b v="1"/>
    <s v="APORTE VIA IMED"/>
  </r>
  <r>
    <s v="12 DE SEPTIEMBRE DE 2025"/>
    <x v="199"/>
    <s v="DANIELA GRANDI GARCIA"/>
    <n v="15308884"/>
    <s v="DANIELA GRANDI GARCIA"/>
    <d v="2025-03-01T00:00:00"/>
    <s v="DUPLICADO"/>
    <n v="919558912"/>
    <n v="65384265"/>
    <n v="20354"/>
    <n v="0"/>
    <n v="20354"/>
    <n v="0"/>
    <n v="20354"/>
    <n v="919558912"/>
    <n v="285123"/>
    <s v="CORP DE BIENESTAR DEL PERSONAL DE A F P"/>
    <d v="2025-03-01T00:00:00"/>
    <d v="2025-03-26T00:00:00"/>
    <d v="2025-02-12T00:00:00"/>
    <d v="2025-02-12T00:00:00"/>
    <s v="AMBULATORIOS"/>
    <n v="22770606"/>
    <n v="3311105"/>
    <n v="69251138"/>
    <s v="TRASSA"/>
    <n v="19997455443"/>
    <n v="78070"/>
    <s v="SAL"/>
    <s v="AM05"/>
    <s v="EXAMENES RADIOLOGICOS"/>
    <s v="EXAMENES RADIOLOGICOS"/>
    <s v="EXAMENES RADIOLOGICOS"/>
    <n v="0"/>
    <n v="0"/>
    <n v="78040520"/>
    <n v="1"/>
    <s v="SIN ISAPRE"/>
    <s v="DGRANDI@AFPHABITAT.CL"/>
    <s v="15308884|78040520|919558912|65384265"/>
    <s v="GASTO FISICO"/>
    <b v="0"/>
    <s v="DEPOSITADO EN CUENTA"/>
  </r>
  <r>
    <s v="12 DE SEPTIEMBRE DE 2025"/>
    <x v="200"/>
    <s v="LEONEL GABRIEL GUERRA CALDERON"/>
    <n v="15094943"/>
    <s v="YASNA QUIROGA SALINAS"/>
    <d v="2025-02-01T00:00:00"/>
    <s v="INICIAL"/>
    <n v="919689342"/>
    <n v="919689342"/>
    <n v="17200"/>
    <n v="5380"/>
    <n v="11820"/>
    <n v="0"/>
    <n v="11820"/>
    <n v="919689342"/>
    <n v="285123"/>
    <s v="CORP DE BIENESTAR DEL PERSONAL DE A F P"/>
    <d v="2025-02-13T00:00:00"/>
    <d v="2025-02-13T00:00:00"/>
    <d v="2025-02-13T00:00:00"/>
    <d v="2025-02-13T00:00:00"/>
    <s v="AMBULATORIOS"/>
    <n v="22598465"/>
    <n v="2171709"/>
    <n v="68878110"/>
    <s v="TRASSA"/>
    <n v="16022025"/>
    <n v="77646"/>
    <s v="SAL"/>
    <s v="AM05"/>
    <s v="EXAMENES RADIOLOGICOS"/>
    <s v="EXAMENES RADIOLOGICOS"/>
    <s v="EXAMENES RADIOLOGICOS"/>
    <s v="IMED SALUD"/>
    <n v="0"/>
    <n v="70015580"/>
    <n v="3"/>
    <s v="FONASA"/>
    <s v="LGUERRA@AFPHABITAT.CL"/>
    <s v="16143227|70015580|919689342|919689342"/>
    <s v="IMED SALUD"/>
    <b v="1"/>
    <s v="APORTE VIA IMED"/>
  </r>
  <r>
    <s v="12 DE SEPTIEMBRE DE 2025"/>
    <x v="200"/>
    <s v="LEONEL GABRIEL GUERRA CALDERON"/>
    <n v="15094943"/>
    <s v="YASNA QUIROGA SALINAS"/>
    <d v="2025-03-01T00:00:00"/>
    <s v="DUPLICADO"/>
    <n v="919689342"/>
    <n v="65384356"/>
    <n v="10373"/>
    <n v="0"/>
    <n v="10373"/>
    <n v="0"/>
    <n v="10373"/>
    <n v="919689342"/>
    <n v="285123"/>
    <s v="CORP DE BIENESTAR DEL PERSONAL DE A F P"/>
    <d v="2025-03-01T00:00:00"/>
    <d v="2025-03-26T00:00:00"/>
    <d v="2025-02-13T00:00:00"/>
    <d v="2025-02-13T00:00:00"/>
    <s v="AMBULATORIOS"/>
    <n v="22770619"/>
    <n v="3311105"/>
    <n v="69251239"/>
    <s v="TRASSA"/>
    <n v="213202007"/>
    <n v="78070"/>
    <s v="SAL"/>
    <s v="AM05"/>
    <s v="EXAMENES RADIOLOGICOS"/>
    <s v="EXAMENES RADIOLOGICOS"/>
    <s v="EXAMENES RADIOLOGICOS"/>
    <n v="0"/>
    <n v="0"/>
    <n v="70015580"/>
    <n v="3"/>
    <s v="SIN ISAPRE"/>
    <s v="LGUERRA@AFPHABITAT.CL"/>
    <s v="16143227|70015580|919689342|65384356"/>
    <s v="GASTO FISICO"/>
    <b v="0"/>
    <s v="DEPOSITADO EN CUENTA"/>
  </r>
  <r>
    <s v="12 DE SEPTIEMBRE DE 2025"/>
    <x v="197"/>
    <s v="MARGARITA EVELYN REYES TILLERIA"/>
    <n v="10490905"/>
    <s v="MARGARITA EVELYN REYES TILLERIA"/>
    <d v="2025-02-01T00:00:00"/>
    <s v="INICIAL"/>
    <n v="919722828"/>
    <n v="919722828"/>
    <n v="10740"/>
    <n v="6045"/>
    <n v="4695"/>
    <n v="0"/>
    <n v="4695"/>
    <n v="919722828"/>
    <n v="285123"/>
    <s v="CORP DE BIENESTAR DEL PERSONAL DE A F P"/>
    <d v="2025-02-13T00:00:00"/>
    <d v="2025-02-13T00:00:00"/>
    <d v="2025-02-13T00:00:00"/>
    <d v="2025-02-13T00:00:00"/>
    <s v="AMBULATORIOS"/>
    <n v="22598444"/>
    <n v="2171709"/>
    <n v="68878301"/>
    <s v="TRASSA"/>
    <n v="16022025"/>
    <n v="77646"/>
    <s v="SAL"/>
    <s v="AM07"/>
    <s v="PROCEDIMIENTOS TERAPEUTICOS"/>
    <s v="PROCEDIMIENTOS TERAPEUTICOS"/>
    <s v="PROCEDIMIENTOS TERAPEUTICOS"/>
    <s v="IMED SALUD"/>
    <n v="0"/>
    <n v="96942400"/>
    <n v="2"/>
    <s v="FONASA"/>
    <s v="MARGARITA.REYES@AFPHABITAT.CL"/>
    <s v="10490905|96942400|919722828|919722828"/>
    <s v="IMED SALUD"/>
    <b v="1"/>
    <s v="APORTE VIA IMED"/>
  </r>
  <r>
    <s v="12 DE SEPTIEMBRE DE 2025"/>
    <x v="197"/>
    <s v="MARGARITA EVELYN REYES TILLERIA"/>
    <n v="10490905"/>
    <s v="MARGARITA EVELYN REYES TILLERIA"/>
    <d v="2025-03-01T00:00:00"/>
    <s v="DUPLICADO"/>
    <n v="919722828"/>
    <n v="65383859"/>
    <n v="3457"/>
    <n v="0"/>
    <n v="3457"/>
    <n v="0"/>
    <n v="3457"/>
    <n v="919722828"/>
    <n v="285123"/>
    <s v="CORP DE BIENESTAR DEL PERSONAL DE A F P"/>
    <d v="2025-03-01T00:00:00"/>
    <d v="2025-03-26T00:00:00"/>
    <d v="2025-02-13T00:00:00"/>
    <d v="2025-02-13T00:00:00"/>
    <s v="AMBULATORIOS"/>
    <n v="22770610"/>
    <n v="3311105"/>
    <n v="69250748"/>
    <s v="TRASSA"/>
    <n v="10490905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MARGARITA.REYES@AFPHABITAT.CL"/>
    <s v="10490905|96942400|919722828|65383859"/>
    <s v="GASTO FISICO"/>
    <b v="0"/>
    <s v="DEPOSITADO EN CUENTA"/>
  </r>
  <r>
    <s v="12 DE SEPTIEMBRE DE 2025"/>
    <x v="3"/>
    <s v="ISABEL MARGARITA LARRAIN LARRAIN"/>
    <n v="15276164"/>
    <s v="ISABEL MARGARITA LARRAIN LARRAIN"/>
    <d v="2025-02-01T00:00:00"/>
    <s v="INICIAL"/>
    <n v="919726400"/>
    <n v="919726400"/>
    <n v="8690"/>
    <n v="2720"/>
    <n v="5970"/>
    <n v="0"/>
    <n v="5970"/>
    <n v="919726400"/>
    <n v="285123"/>
    <s v="CORP DE BIENESTAR DEL PERSONAL DE A F P"/>
    <d v="2025-02-13T00:00:00"/>
    <d v="2025-02-13T00:00:00"/>
    <d v="2025-02-13T00:00:00"/>
    <d v="2025-02-13T00:00:00"/>
    <s v="AMBULATORIOS"/>
    <n v="22598462"/>
    <n v="2171709"/>
    <n v="68878322"/>
    <s v="TRASSA"/>
    <n v="16022025"/>
    <n v="77646"/>
    <s v="SAL"/>
    <s v="AM04"/>
    <s v="EXAMENES DE LABORATORIO"/>
    <s v="EXAMENES DE LABORATORIO"/>
    <s v="EXAMENES DE LABORATORIO"/>
    <s v="IMED SALUD"/>
    <n v="0"/>
    <n v="88611600"/>
    <n v="4"/>
    <s v="FONASA"/>
    <s v="ISABEL.LARRAIN@AFPHABITAT.CL"/>
    <s v="15276164|88611600|919726400|919726400"/>
    <s v="IMED SALUD"/>
    <b v="1"/>
    <s v="APORTE VIA IMED"/>
  </r>
  <r>
    <s v="12 DE SEPTIEMBRE DE 2025"/>
    <x v="3"/>
    <s v="ISABEL MARGARITA LARRAIN LARRAIN"/>
    <n v="15276164"/>
    <s v="ISABEL MARGARITA LARRAIN LARRAIN"/>
    <d v="2025-03-01T00:00:00"/>
    <s v="DUPLICADO"/>
    <n v="919726400"/>
    <n v="65384262"/>
    <n v="4993"/>
    <n v="0"/>
    <n v="4993"/>
    <n v="0"/>
    <n v="4993"/>
    <n v="919726400"/>
    <n v="285123"/>
    <s v="CORP DE BIENESTAR DEL PERSONAL DE A F P"/>
    <d v="2025-03-01T00:00:00"/>
    <d v="2025-03-26T00:00:00"/>
    <d v="2025-02-13T00:00:00"/>
    <d v="2025-02-13T00:00:00"/>
    <s v="AMBULATORIOS"/>
    <n v="22770618"/>
    <n v="3311105"/>
    <n v="69251135"/>
    <s v="TRASSA"/>
    <n v="45919038"/>
    <n v="78070"/>
    <s v="SAL"/>
    <s v="AM04"/>
    <s v="EXAMENES DE LABORATORIO"/>
    <s v="EXAMENES DE LABORATORIO"/>
    <s v="EXAMENES DE LABORATORIO"/>
    <n v="0"/>
    <n v="0"/>
    <n v="88611600"/>
    <n v="4"/>
    <s v="SIN ISAPRE"/>
    <s v="ISABEL.LARRAIN@AFPHABITAT.CL"/>
    <s v="15276164|88611600|919726400|65384262"/>
    <s v="GASTO FISICO"/>
    <b v="0"/>
    <s v="DEPOSITADO EN CUENTA"/>
  </r>
  <r>
    <s v="12 DE SEPTIEMBRE DE 2025"/>
    <x v="201"/>
    <s v="JESSICA FLORES GANA"/>
    <n v="13831839"/>
    <s v="JESSICA FLORES GANA"/>
    <d v="2025-02-01T00:00:00"/>
    <s v="INICIAL"/>
    <n v="919780309"/>
    <n v="919780309"/>
    <n v="22760"/>
    <n v="7130"/>
    <n v="15630"/>
    <n v="0"/>
    <n v="15630"/>
    <n v="919780309"/>
    <n v="285123"/>
    <s v="CORP DE BIENESTAR DEL PERSONAL DE A F P"/>
    <d v="2025-02-14T00:00:00"/>
    <d v="2025-02-14T00:00:00"/>
    <d v="2025-02-14T00:00:00"/>
    <d v="2025-02-14T00:00:00"/>
    <s v="AMBULATORIOS"/>
    <n v="22598499"/>
    <n v="2171709"/>
    <n v="68878632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JFLORESG@AFPHABITAT.CL"/>
    <s v="13831839|96942400|919780309|919780309"/>
    <s v="IMED SALUD"/>
    <b v="1"/>
    <s v="APORTE VIA IMED"/>
  </r>
  <r>
    <s v="12 DE SEPTIEMBRE DE 2025"/>
    <x v="201"/>
    <s v="JESSICA FLORES GANA"/>
    <n v="13831839"/>
    <s v="JESSICA FLORES GANA"/>
    <d v="2025-03-01T00:00:00"/>
    <s v="DUPLICADO"/>
    <n v="919780309"/>
    <n v="65384142"/>
    <n v="13067"/>
    <n v="0"/>
    <n v="13067"/>
    <n v="0"/>
    <n v="13067"/>
    <n v="919780309"/>
    <n v="285123"/>
    <s v="CORP DE BIENESTAR DEL PERSONAL DE A F P"/>
    <d v="2025-03-01T00:00:00"/>
    <d v="2025-03-26T00:00:00"/>
    <d v="2025-02-14T00:00:00"/>
    <d v="2025-02-14T00:00:00"/>
    <s v="AMBULATORIOS"/>
    <n v="22770629"/>
    <n v="3311105"/>
    <n v="69251022"/>
    <s v="TRASSA"/>
    <n v="1702839250"/>
    <n v="78070"/>
    <s v="SAL"/>
    <s v="AM04"/>
    <s v="EXAMENES DE LABORATORIO"/>
    <s v="EXAMENES DE LABORATORIO"/>
    <s v="EXAMENES DE LABORATORIO"/>
    <n v="0"/>
    <n v="0"/>
    <n v="96942400"/>
    <n v="2"/>
    <s v="SIN ISAPRE"/>
    <s v="JFLORESG@AFPHABITAT.CL"/>
    <s v="13831839|96942400|919780309|65384142"/>
    <s v="GASTO FISICO"/>
    <b v="0"/>
    <s v="DEPOSITADO EN CUENTA"/>
  </r>
  <r>
    <s v="12 DE SEPTIEMBRE DE 2025"/>
    <x v="201"/>
    <s v="JESSICA FLORES GANA"/>
    <n v="13831839"/>
    <s v="JESSICA FLORES GANA"/>
    <d v="2025-02-01T00:00:00"/>
    <s v="INICIAL"/>
    <n v="919780310"/>
    <n v="919780310"/>
    <n v="32610"/>
    <n v="10210"/>
    <n v="22400"/>
    <n v="0"/>
    <n v="22400"/>
    <n v="919780310"/>
    <n v="285123"/>
    <s v="CORP DE BIENESTAR DEL PERSONAL DE A F P"/>
    <d v="2025-02-14T00:00:00"/>
    <d v="2025-02-14T00:00:00"/>
    <d v="2025-02-14T00:00:00"/>
    <d v="2025-02-14T00:00:00"/>
    <s v="AMBULATORIOS"/>
    <n v="22598499"/>
    <n v="2171709"/>
    <n v="68878631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JFLORESG@AFPHABITAT.CL"/>
    <s v="13831839|96942400|919780310|919780310"/>
    <s v="IMED SALUD"/>
    <b v="1"/>
    <s v="APORTE VIA IMED"/>
  </r>
  <r>
    <s v="12 DE SEPTIEMBRE DE 2025"/>
    <x v="201"/>
    <s v="JESSICA FLORES GANA"/>
    <n v="13831839"/>
    <s v="JESSICA FLORES GANA"/>
    <d v="2025-03-01T00:00:00"/>
    <s v="DUPLICADO"/>
    <n v="919780310"/>
    <n v="65384143"/>
    <n v="19985"/>
    <n v="0"/>
    <n v="19985"/>
    <n v="0"/>
    <n v="19985"/>
    <n v="919780310"/>
    <n v="285123"/>
    <s v="CORP DE BIENESTAR DEL PERSONAL DE A F P"/>
    <d v="2025-03-01T00:00:00"/>
    <d v="2025-03-26T00:00:00"/>
    <d v="2025-02-14T00:00:00"/>
    <d v="2025-02-14T00:00:00"/>
    <s v="AMBULATORIOS"/>
    <n v="22770629"/>
    <n v="3311105"/>
    <n v="69251023"/>
    <s v="TRASSA"/>
    <n v="1702839250"/>
    <n v="78070"/>
    <s v="SAL"/>
    <s v="AM04"/>
    <s v="EXAMENES DE LABORATORIO"/>
    <s v="EXAMENES DE LABORATORIO"/>
    <s v="EXAMENES DE LABORATORIO"/>
    <n v="0"/>
    <n v="0"/>
    <n v="96942400"/>
    <n v="2"/>
    <s v="SIN ISAPRE"/>
    <s v="JFLORESG@AFPHABITAT.CL"/>
    <s v="13831839|96942400|919780310|65384143"/>
    <s v="GASTO FISICO"/>
    <b v="0"/>
    <s v="DEPOSITADO EN CUENTA"/>
  </r>
  <r>
    <s v="12 DE SEPTIEMBRE DE 2025"/>
    <x v="201"/>
    <s v="JESSICA FLORES GANA"/>
    <n v="13831839"/>
    <s v="JESSICA FLORES GANA"/>
    <d v="2025-02-01T00:00:00"/>
    <s v="INICIAL"/>
    <n v="919780311"/>
    <n v="919780311"/>
    <n v="34290"/>
    <n v="10720"/>
    <n v="23570"/>
    <n v="0"/>
    <n v="23570"/>
    <n v="919780311"/>
    <n v="285123"/>
    <s v="CORP DE BIENESTAR DEL PERSONAL DE A F P"/>
    <d v="2025-02-14T00:00:00"/>
    <d v="2025-02-14T00:00:00"/>
    <d v="2025-02-14T00:00:00"/>
    <d v="2025-02-14T00:00:00"/>
    <s v="AMBULATORIOS"/>
    <n v="22598499"/>
    <n v="2171709"/>
    <n v="68878630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JFLORESG@AFPHABITAT.CL"/>
    <s v="13831839|96942400|919780311|919780311"/>
    <s v="IMED SALUD"/>
    <b v="1"/>
    <s v="APORTE VIA IMED"/>
  </r>
  <r>
    <s v="12 DE SEPTIEMBRE DE 2025"/>
    <x v="201"/>
    <s v="JESSICA FLORES GANA"/>
    <n v="13831839"/>
    <s v="JESSICA FLORES GANA"/>
    <d v="2025-03-01T00:00:00"/>
    <s v="DUPLICADO"/>
    <n v="919780311"/>
    <n v="65384144"/>
    <n v="20369"/>
    <n v="0"/>
    <n v="20369"/>
    <n v="0"/>
    <n v="20369"/>
    <n v="919780311"/>
    <n v="285123"/>
    <s v="CORP DE BIENESTAR DEL PERSONAL DE A F P"/>
    <d v="2025-03-01T00:00:00"/>
    <d v="2025-03-26T00:00:00"/>
    <d v="2025-02-14T00:00:00"/>
    <d v="2025-02-14T00:00:00"/>
    <s v="AMBULATORIOS"/>
    <n v="22770629"/>
    <n v="3311105"/>
    <n v="69251024"/>
    <s v="TRASSA"/>
    <n v="1702839250"/>
    <n v="78070"/>
    <s v="SAL"/>
    <s v="AM04"/>
    <s v="EXAMENES DE LABORATORIO"/>
    <s v="EXAMENES DE LABORATORIO"/>
    <s v="EXAMENES DE LABORATORIO"/>
    <n v="0"/>
    <n v="0"/>
    <n v="96942400"/>
    <n v="2"/>
    <s v="SIN ISAPRE"/>
    <s v="JFLORESG@AFPHABITAT.CL"/>
    <s v="13831839|96942400|919780311|65384144"/>
    <s v="GASTO FISICO"/>
    <b v="0"/>
    <s v="DEPOSITADO EN CUENTA"/>
  </r>
  <r>
    <s v="12 DE SEPTIEMBRE DE 2025"/>
    <x v="201"/>
    <s v="JESSICA FLORES GANA"/>
    <n v="13831839"/>
    <s v="JESSICA FLORES GANA"/>
    <d v="2025-02-01T00:00:00"/>
    <s v="INICIAL"/>
    <n v="919780312"/>
    <n v="919780312"/>
    <n v="33760"/>
    <n v="10560"/>
    <n v="23200"/>
    <n v="0"/>
    <n v="23200"/>
    <n v="919780312"/>
    <n v="285123"/>
    <s v="CORP DE BIENESTAR DEL PERSONAL DE A F P"/>
    <d v="2025-02-14T00:00:00"/>
    <d v="2025-02-14T00:00:00"/>
    <d v="2025-02-14T00:00:00"/>
    <d v="2025-02-14T00:00:00"/>
    <s v="AMBULATORIOS"/>
    <n v="22598499"/>
    <n v="2171709"/>
    <n v="68878629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JFLORESG@AFPHABITAT.CL"/>
    <s v="13831839|96942400|919780312|919780312"/>
    <s v="IMED SALUD"/>
    <b v="1"/>
    <s v="APORTE VIA IMED"/>
  </r>
  <r>
    <s v="12 DE SEPTIEMBRE DE 2025"/>
    <x v="201"/>
    <s v="JESSICA FLORES GANA"/>
    <n v="13831839"/>
    <s v="JESSICA FLORES GANA"/>
    <d v="2025-03-01T00:00:00"/>
    <s v="DUPLICADO"/>
    <n v="919780312"/>
    <n v="65384145"/>
    <n v="20369"/>
    <n v="0"/>
    <n v="20369"/>
    <n v="0"/>
    <n v="20369"/>
    <n v="919780312"/>
    <n v="285123"/>
    <s v="CORP DE BIENESTAR DEL PERSONAL DE A F P"/>
    <d v="2025-03-01T00:00:00"/>
    <d v="2025-03-26T00:00:00"/>
    <d v="2025-02-14T00:00:00"/>
    <d v="2025-02-14T00:00:00"/>
    <s v="AMBULATORIOS"/>
    <n v="22770629"/>
    <n v="3311105"/>
    <n v="69251025"/>
    <s v="TRASSA"/>
    <n v="1702839250"/>
    <n v="78070"/>
    <s v="SAL"/>
    <s v="AM04"/>
    <s v="EXAMENES DE LABORATORIO"/>
    <s v="EXAMENES DE LABORATORIO"/>
    <s v="EXAMENES DE LABORATORIO"/>
    <n v="0"/>
    <n v="0"/>
    <n v="96942400"/>
    <n v="2"/>
    <s v="SIN ISAPRE"/>
    <s v="JFLORESG@AFPHABITAT.CL"/>
    <s v="13831839|96942400|919780312|65384145"/>
    <s v="GASTO FISICO"/>
    <b v="0"/>
    <s v="DEPOSITADO EN CUENTA"/>
  </r>
  <r>
    <s v="12 DE SEPTIEMBRE DE 2025"/>
    <x v="201"/>
    <s v="JESSICA FLORES GANA"/>
    <n v="13831839"/>
    <s v="JESSICA FLORES GANA"/>
    <d v="2025-02-01T00:00:00"/>
    <s v="INICIAL"/>
    <n v="919780313"/>
    <n v="919780313"/>
    <n v="20600"/>
    <n v="6450"/>
    <n v="14150"/>
    <n v="0"/>
    <n v="14150"/>
    <n v="919780313"/>
    <n v="285123"/>
    <s v="CORP DE BIENESTAR DEL PERSONAL DE A F P"/>
    <d v="2025-02-14T00:00:00"/>
    <d v="2025-02-14T00:00:00"/>
    <d v="2025-02-14T00:00:00"/>
    <d v="2025-02-14T00:00:00"/>
    <s v="AMBULATORIOS"/>
    <n v="22598499"/>
    <n v="2171709"/>
    <n v="68878628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JFLORESG@AFPHABITAT.CL"/>
    <s v="13831839|96942400|919780313|919780313"/>
    <s v="IMED SALUD"/>
    <b v="1"/>
    <s v="APORTE VIA IMED"/>
  </r>
  <r>
    <s v="12 DE SEPTIEMBRE DE 2025"/>
    <x v="201"/>
    <s v="JESSICA FLORES GANA"/>
    <n v="13831839"/>
    <s v="JESSICA FLORES GANA"/>
    <d v="2025-03-01T00:00:00"/>
    <s v="DUPLICADO"/>
    <n v="919780313"/>
    <n v="65384146"/>
    <n v="12298"/>
    <n v="0"/>
    <n v="12298"/>
    <n v="0"/>
    <n v="12298"/>
    <n v="919780313"/>
    <n v="285123"/>
    <s v="CORP DE BIENESTAR DEL PERSONAL DE A F P"/>
    <d v="2025-03-01T00:00:00"/>
    <d v="2025-03-26T00:00:00"/>
    <d v="2025-02-14T00:00:00"/>
    <d v="2025-02-14T00:00:00"/>
    <s v="AMBULATORIOS"/>
    <n v="22770629"/>
    <n v="3311105"/>
    <n v="69251026"/>
    <s v="TRASSA"/>
    <n v="1702839250"/>
    <n v="78070"/>
    <s v="SAL"/>
    <s v="AM04"/>
    <s v="EXAMENES DE LABORATORIO"/>
    <s v="EXAMENES DE LABORATORIO"/>
    <s v="EXAMENES DE LABORATORIO"/>
    <n v="0"/>
    <n v="0"/>
    <n v="96942400"/>
    <n v="2"/>
    <s v="SIN ISAPRE"/>
    <s v="JFLORESG@AFPHABITAT.CL"/>
    <s v="13831839|96942400|919780313|65384146"/>
    <s v="GASTO FISICO"/>
    <b v="0"/>
    <s v="DEPOSITADO EN CUENTA"/>
  </r>
  <r>
    <s v="12 DE SEPTIEMBRE DE 2025"/>
    <x v="201"/>
    <s v="JESSICA FLORES GANA"/>
    <n v="13831839"/>
    <s v="JESSICA FLORES GANA"/>
    <d v="2025-02-01T00:00:00"/>
    <s v="INICIAL"/>
    <n v="919784792"/>
    <n v="919784792"/>
    <n v="11500"/>
    <n v="3600"/>
    <n v="7900"/>
    <n v="0"/>
    <n v="7900"/>
    <n v="919784792"/>
    <n v="285123"/>
    <s v="CORP DE BIENESTAR DEL PERSONAL DE A F P"/>
    <d v="2025-02-14T00:00:00"/>
    <d v="2025-02-14T00:00:00"/>
    <d v="2025-02-14T00:00:00"/>
    <d v="2025-02-14T00:00:00"/>
    <s v="AMBULATORIOS"/>
    <n v="22598499"/>
    <n v="2171709"/>
    <n v="68878668"/>
    <s v="TRASSA"/>
    <n v="16022025"/>
    <n v="77646"/>
    <s v="SAL"/>
    <s v="AM07"/>
    <s v="PROCEDIMIENTOS TERAPEUTICOS"/>
    <s v="PROCEDIMIENTOS TERAPEUTICOS"/>
    <s v="PROCEDIMIENTOS TERAPEUTICOS"/>
    <s v="IMED SALUD"/>
    <n v="0"/>
    <n v="96942400"/>
    <n v="2"/>
    <s v="FONASA"/>
    <s v="JFLORESG@AFPHABITAT.CL"/>
    <s v="13831839|96942400|919784792|919784792"/>
    <s v="IMED SALUD"/>
    <b v="1"/>
    <s v="APORTE VIA IMED"/>
  </r>
  <r>
    <s v="12 DE SEPTIEMBRE DE 2025"/>
    <x v="201"/>
    <s v="JESSICA FLORES GANA"/>
    <n v="13831839"/>
    <s v="JESSICA FLORES GANA"/>
    <d v="2025-03-01T00:00:00"/>
    <s v="DUPLICADO"/>
    <n v="919784792"/>
    <n v="65384147"/>
    <n v="6918"/>
    <n v="0"/>
    <n v="6918"/>
    <n v="0"/>
    <n v="6918"/>
    <n v="919784792"/>
    <n v="285123"/>
    <s v="CORP DE BIENESTAR DEL PERSONAL DE A F P"/>
    <d v="2025-03-01T00:00:00"/>
    <d v="2025-03-26T00:00:00"/>
    <d v="2025-02-14T00:00:00"/>
    <d v="2025-02-14T00:00:00"/>
    <s v="AMBULATORIOS"/>
    <n v="22770629"/>
    <n v="3311105"/>
    <n v="69251027"/>
    <s v="TRASSA"/>
    <n v="1702839250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JFLORESG@AFPHABITAT.CL"/>
    <s v="13831839|96942400|919784792|65384147"/>
    <s v="GASTO FISICO"/>
    <b v="0"/>
    <s v="DEPOSITADO EN CUENTA"/>
  </r>
  <r>
    <s v="12 DE SEPTIEMBRE DE 2025"/>
    <x v="156"/>
    <s v="JORGE MADRID ORTIZ"/>
    <n v="8330037"/>
    <s v="JORGE MADRID ORTIZ"/>
    <d v="2025-02-01T00:00:00"/>
    <s v="INICIAL"/>
    <n v="919791704"/>
    <n v="919791704"/>
    <n v="39470"/>
    <n v="36758"/>
    <n v="2712"/>
    <n v="0"/>
    <n v="2712"/>
    <n v="919791704"/>
    <n v="285123"/>
    <s v="CORP DE BIENESTAR DEL PERSONAL DE A F P"/>
    <d v="2025-02-14T00:00:00"/>
    <d v="2025-02-14T00:00:00"/>
    <d v="2025-02-14T00:00:00"/>
    <d v="2025-02-14T00:00:00"/>
    <s v="AMBULATORIOS"/>
    <n v="22598478"/>
    <n v="2171709"/>
    <n v="68878715"/>
    <s v="TRASSA"/>
    <n v="16022025"/>
    <n v="77646"/>
    <s v="SAL"/>
    <s v="AM04"/>
    <s v="EXAMENES DE LABORATORIO"/>
    <s v="EXAMENES DE LABORATORIO"/>
    <s v="EXAMENES DE LABORATORIO"/>
    <s v="IMED SALUD"/>
    <n v="0"/>
    <n v="96986050"/>
    <n v="3"/>
    <s v="FONASA"/>
    <s v="JMADRID@AFPHABITAT.CL"/>
    <s v="8330037|96986050|919791704|919791704"/>
    <s v="IMED SALUD"/>
    <b v="1"/>
    <s v="APORTE VIA IMED"/>
  </r>
  <r>
    <s v="12 DE SEPTIEMBRE DE 2025"/>
    <x v="156"/>
    <s v="JORGE MADRID ORTIZ"/>
    <n v="8330037"/>
    <s v="JORGE MADRID ORTIZ"/>
    <d v="2025-03-01T00:00:00"/>
    <s v="DUPLICADO"/>
    <n v="919791704"/>
    <n v="65383653"/>
    <n v="3073"/>
    <n v="0"/>
    <n v="3073"/>
    <n v="0"/>
    <n v="3073"/>
    <n v="919791704"/>
    <n v="285123"/>
    <s v="CORP DE BIENESTAR DEL PERSONAL DE A F P"/>
    <d v="2025-03-01T00:00:00"/>
    <d v="2025-03-26T00:00:00"/>
    <d v="2025-02-14T00:00:00"/>
    <d v="2025-02-14T00:00:00"/>
    <s v="AMBULATORIOS"/>
    <n v="22770622"/>
    <n v="3311105"/>
    <n v="69250544"/>
    <s v="TRASSA"/>
    <n v="21874964"/>
    <n v="78070"/>
    <s v="SAL"/>
    <s v="AM04"/>
    <s v="EXAMENES DE LABORATORIO"/>
    <s v="EXAMENES DE LABORATORIO"/>
    <s v="EXAMENES DE LABORATORIO"/>
    <n v="0"/>
    <n v="0"/>
    <n v="96986050"/>
    <n v="3"/>
    <s v="SIN ISAPRE"/>
    <s v="JMADRID@AFPHABITAT.CL"/>
    <s v="8330037|96986050|919791704|65383653"/>
    <s v="GASTO FISICO"/>
    <b v="0"/>
    <s v="DEPOSITADO EN CUENTA"/>
  </r>
  <r>
    <s v="12 DE SEPTIEMBRE DE 2025"/>
    <x v="156"/>
    <s v="JORGE MADRID ORTIZ"/>
    <n v="8330037"/>
    <s v="JORGE MADRID ORTIZ"/>
    <d v="2025-02-01T00:00:00"/>
    <s v="INICIAL"/>
    <n v="919791705"/>
    <n v="919791705"/>
    <n v="26240"/>
    <n v="24873"/>
    <n v="1367"/>
    <n v="0"/>
    <n v="1367"/>
    <n v="919791705"/>
    <n v="285123"/>
    <s v="CORP DE BIENESTAR DEL PERSONAL DE A F P"/>
    <d v="2025-02-14T00:00:00"/>
    <d v="2025-02-14T00:00:00"/>
    <d v="2025-02-14T00:00:00"/>
    <d v="2025-02-14T00:00:00"/>
    <s v="AMBULATORIOS"/>
    <n v="22598478"/>
    <n v="2171709"/>
    <n v="68878714"/>
    <s v="TRASSA"/>
    <n v="16022025"/>
    <n v="77646"/>
    <s v="SAL"/>
    <s v="AM04"/>
    <s v="EXAMENES DE LABORATORIO"/>
    <s v="EXAMENES DE LABORATORIO"/>
    <s v="EXAMENES DE LABORATORIO"/>
    <s v="IMED SALUD"/>
    <n v="0"/>
    <n v="96986050"/>
    <n v="3"/>
    <s v="FONASA"/>
    <s v="JMADRID@AFPHABITAT.CL"/>
    <s v="8330037|96986050|919791705|919791705"/>
    <s v="IMED SALUD"/>
    <b v="1"/>
    <s v="APORTE VIA IMED"/>
  </r>
  <r>
    <s v="12 DE SEPTIEMBRE DE 2025"/>
    <x v="156"/>
    <s v="JORGE MADRID ORTIZ"/>
    <n v="8330037"/>
    <s v="JORGE MADRID ORTIZ"/>
    <d v="2025-03-01T00:00:00"/>
    <s v="DUPLICADO"/>
    <n v="919791705"/>
    <n v="65383654"/>
    <n v="1153"/>
    <n v="0"/>
    <n v="1153"/>
    <n v="0"/>
    <n v="1153"/>
    <n v="919791705"/>
    <n v="285123"/>
    <s v="CORP DE BIENESTAR DEL PERSONAL DE A F P"/>
    <d v="2025-03-01T00:00:00"/>
    <d v="2025-03-26T00:00:00"/>
    <d v="2025-02-14T00:00:00"/>
    <d v="2025-02-14T00:00:00"/>
    <s v="AMBULATORIOS"/>
    <n v="22770622"/>
    <n v="3311105"/>
    <n v="69250545"/>
    <s v="TRASSA"/>
    <n v="21874964"/>
    <n v="78070"/>
    <s v="SAL"/>
    <s v="AM04"/>
    <s v="EXAMENES DE LABORATORIO"/>
    <s v="EXAMENES DE LABORATORIO"/>
    <s v="EXAMENES DE LABORATORIO"/>
    <n v="0"/>
    <n v="0"/>
    <n v="96986050"/>
    <n v="3"/>
    <s v="SIN ISAPRE"/>
    <s v="JMADRID@AFPHABITAT.CL"/>
    <s v="8330037|96986050|919791705|65383654"/>
    <s v="GASTO FISICO"/>
    <b v="0"/>
    <s v="DEPOSITADO EN CUENTA"/>
  </r>
  <r>
    <s v="12 DE SEPTIEMBRE DE 2025"/>
    <x v="156"/>
    <s v="JORGE MADRID ORTIZ"/>
    <n v="8330037"/>
    <s v="JORGE MADRID ORTIZ"/>
    <d v="2025-02-01T00:00:00"/>
    <s v="INICIAL"/>
    <n v="919800343"/>
    <n v="919800343"/>
    <n v="23120"/>
    <n v="21531"/>
    <n v="1589"/>
    <n v="0"/>
    <n v="1589"/>
    <n v="919800343"/>
    <n v="285123"/>
    <s v="CORP DE BIENESTAR DEL PERSONAL DE A F P"/>
    <d v="2025-02-14T00:00:00"/>
    <d v="2025-02-14T00:00:00"/>
    <d v="2025-02-14T00:00:00"/>
    <d v="2025-02-14T00:00:00"/>
    <s v="AMBULATORIOS"/>
    <n v="22598478"/>
    <n v="2171709"/>
    <n v="68878762"/>
    <s v="TRASSA"/>
    <n v="16022025"/>
    <n v="77646"/>
    <s v="SAL"/>
    <s v="AM05"/>
    <s v="EXAMENES RADIOLOGICOS"/>
    <s v="EXAMENES RADIOLOGICOS"/>
    <s v="EXAMENES RADIOLOGICOS"/>
    <s v="IMED SALUD"/>
    <n v="0"/>
    <n v="76098454"/>
    <s v="K"/>
    <s v="FONASA"/>
    <s v="JMADRID@AFPHABITAT.CL"/>
    <s v="8330037|76098454|919800343|919800343"/>
    <s v="IMED SALUD"/>
    <b v="1"/>
    <s v="APORTE VIA IMED"/>
  </r>
  <r>
    <s v="12 DE SEPTIEMBRE DE 2025"/>
    <x v="156"/>
    <s v="JORGE MADRID ORTIZ"/>
    <n v="8330037"/>
    <s v="JORGE MADRID ORTIZ"/>
    <d v="2025-03-01T00:00:00"/>
    <s v="DUPLICADO"/>
    <n v="919800343"/>
    <n v="65383655"/>
    <n v="1537"/>
    <n v="0"/>
    <n v="1537"/>
    <n v="0"/>
    <n v="1537"/>
    <n v="919800343"/>
    <n v="285123"/>
    <s v="CORP DE BIENESTAR DEL PERSONAL DE A F P"/>
    <d v="2025-03-01T00:00:00"/>
    <d v="2025-03-26T00:00:00"/>
    <d v="2025-02-14T00:00:00"/>
    <d v="2025-02-14T00:00:00"/>
    <s v="AMBULATORIOS"/>
    <n v="22770622"/>
    <n v="3311105"/>
    <n v="69250546"/>
    <s v="TRASSA"/>
    <n v="21874964"/>
    <n v="78070"/>
    <s v="SAL"/>
    <s v="AM05"/>
    <s v="EXAMENES RADIOLOGICOS"/>
    <s v="EXAMENES RADIOLOGICOS"/>
    <s v="EXAMENES RADIOLOGICOS"/>
    <n v="0"/>
    <n v="0"/>
    <n v="76098454"/>
    <s v="K"/>
    <s v="SIN ISAPRE"/>
    <s v="JMADRID@AFPHABITAT.CL"/>
    <s v="8330037|76098454|919800343|65383655"/>
    <s v="GASTO FISICO"/>
    <b v="0"/>
    <s v="DEPOSITADO EN CUENTA"/>
  </r>
  <r>
    <s v="12 DE SEPTIEMBRE DE 2025"/>
    <x v="179"/>
    <s v="MARIO OROZCO CABRERA"/>
    <n v="20245250"/>
    <s v="CLAUDIA OROZCO VELIZ"/>
    <d v="2025-02-01T00:00:00"/>
    <s v="INICIAL"/>
    <n v="919800905"/>
    <n v="919800905"/>
    <n v="23200"/>
    <n v="7270"/>
    <n v="15930"/>
    <n v="0"/>
    <n v="15930"/>
    <n v="919800905"/>
    <n v="285123"/>
    <s v="CORP DE BIENESTAR DEL PERSONAL DE A F P"/>
    <d v="2025-02-14T00:00:00"/>
    <d v="2025-02-14T00:00:00"/>
    <d v="2025-02-14T00:00:00"/>
    <d v="2025-02-14T00:00:00"/>
    <s v="AMBULATORIOS"/>
    <n v="22598480"/>
    <n v="2171709"/>
    <n v="68878765"/>
    <s v="TRASSA"/>
    <n v="16022025"/>
    <n v="77646"/>
    <s v="SAL"/>
    <s v="AM04"/>
    <s v="EXAMENES DE LABORATORIO"/>
    <s v="EXAMENES DE LABORATORIO"/>
    <s v="EXAMENES DE LABORATORIO"/>
    <s v="IMED SALUD"/>
    <n v="0"/>
    <n v="96530470"/>
    <n v="3"/>
    <s v="FONASA"/>
    <s v="MOROZCOC@AFPHABITAT.CL"/>
    <s v="9004627|96530470|919800905|919800905"/>
    <s v="IMED SALUD"/>
    <b v="1"/>
    <s v="APORTE VIA IMED"/>
  </r>
  <r>
    <s v="12 DE SEPTIEMBRE DE 2025"/>
    <x v="179"/>
    <s v="MARIO OROZCO CABRERA"/>
    <n v="20245250"/>
    <s v="CLAUDIA OROZCO VELIZ"/>
    <d v="2025-03-01T00:00:00"/>
    <s v="DUPLICADO"/>
    <n v="919800905"/>
    <n v="65383703"/>
    <n v="13066"/>
    <n v="0"/>
    <n v="13066"/>
    <n v="0"/>
    <n v="13066"/>
    <n v="919800905"/>
    <n v="285123"/>
    <s v="CORP DE BIENESTAR DEL PERSONAL DE A F P"/>
    <d v="2025-03-01T00:00:00"/>
    <d v="2025-03-26T00:00:00"/>
    <d v="2025-02-14T00:00:00"/>
    <d v="2025-02-14T00:00:00"/>
    <s v="AMBULATORIOS"/>
    <n v="22770624"/>
    <n v="3311105"/>
    <n v="69250594"/>
    <s v="TRASSA"/>
    <n v="14076980"/>
    <n v="78070"/>
    <s v="SAL"/>
    <s v="AM04"/>
    <s v="EXAMENES DE LABORATORIO"/>
    <s v="EXAMENES DE LABORATORIO"/>
    <s v="EXAMENES DE LABORATORIO"/>
    <n v="0"/>
    <n v="0"/>
    <n v="96530470"/>
    <n v="3"/>
    <s v="SIN ISAPRE"/>
    <s v="MOROZCOC@AFPHABITAT.CL"/>
    <s v="9004627|96530470|919800905|65383703"/>
    <s v="GASTO FISICO"/>
    <b v="0"/>
    <s v="DEPOSITADO EN CUENTA"/>
  </r>
  <r>
    <s v="12 DE SEPTIEMBRE DE 2025"/>
    <x v="179"/>
    <s v="MARIO OROZCO CABRERA"/>
    <n v="20245250"/>
    <s v="CLAUDIA OROZCO VELIZ"/>
    <d v="2025-02-01T00:00:00"/>
    <s v="INICIAL"/>
    <n v="919807200"/>
    <n v="919807200"/>
    <n v="41600"/>
    <n v="13000"/>
    <n v="28600"/>
    <n v="0"/>
    <n v="28600"/>
    <n v="919807200"/>
    <n v="285123"/>
    <s v="CORP DE BIENESTAR DEL PERSONAL DE A F P"/>
    <d v="2025-02-14T00:00:00"/>
    <d v="2025-02-14T00:00:00"/>
    <d v="2025-02-14T00:00:00"/>
    <d v="2025-02-14T00:00:00"/>
    <s v="AMBULATORIOS"/>
    <n v="22598480"/>
    <n v="2171709"/>
    <n v="68878794"/>
    <s v="TRASSA"/>
    <n v="16022025"/>
    <n v="77646"/>
    <s v="SAL"/>
    <s v="AM05"/>
    <s v="EXAMENES RADIOLOGICOS"/>
    <s v="EXAMENES RADIOLOGICOS"/>
    <s v="EXAMENES RADIOLOGICOS"/>
    <s v="IMED SALUD"/>
    <n v="0"/>
    <n v="79980070"/>
    <n v="5"/>
    <s v="FONASA"/>
    <s v="MOROZCOC@AFPHABITAT.CL"/>
    <s v="9004627|79980070|919807200|919807200"/>
    <s v="IMED SALUD"/>
    <b v="1"/>
    <s v="APORTE VIA IMED"/>
  </r>
  <r>
    <s v="12 DE SEPTIEMBRE DE 2025"/>
    <x v="179"/>
    <s v="MARIO OROZCO CABRERA"/>
    <n v="20245250"/>
    <s v="CLAUDIA OROZCO VELIZ"/>
    <d v="2025-03-01T00:00:00"/>
    <s v="DUPLICADO"/>
    <n v="919807200"/>
    <n v="65383704"/>
    <n v="24599"/>
    <n v="0"/>
    <n v="24599"/>
    <n v="0"/>
    <n v="24599"/>
    <n v="919807200"/>
    <n v="285123"/>
    <s v="CORP DE BIENESTAR DEL PERSONAL DE A F P"/>
    <d v="2025-03-01T00:00:00"/>
    <d v="2025-03-26T00:00:00"/>
    <d v="2025-02-14T00:00:00"/>
    <d v="2025-02-14T00:00:00"/>
    <s v="AMBULATORIOS"/>
    <n v="22770624"/>
    <n v="3311105"/>
    <n v="69250595"/>
    <s v="TRASSA"/>
    <n v="14076980"/>
    <n v="78070"/>
    <s v="SAL"/>
    <s v="AM05"/>
    <s v="EXAMENES RADIOLOGICOS"/>
    <s v="EXAMENES RADIOLOGICOS"/>
    <s v="EXAMENES RADIOLOGICOS"/>
    <n v="0"/>
    <n v="0"/>
    <n v="79980070"/>
    <n v="5"/>
    <s v="SIN ISAPRE"/>
    <s v="MOROZCOC@AFPHABITAT.CL"/>
    <s v="9004627|79980070|919807200|65383704"/>
    <s v="GASTO FISICO"/>
    <b v="0"/>
    <s v="DEPOSITADO EN CUENTA"/>
  </r>
  <r>
    <s v="12 DE SEPTIEMBRE DE 2025"/>
    <x v="202"/>
    <s v="GLADYS GALAZ REYES"/>
    <n v="8622610"/>
    <s v="GLADYS GALAZ REYES"/>
    <d v="2025-02-01T00:00:00"/>
    <s v="INICIAL"/>
    <n v="919842619"/>
    <n v="919842619"/>
    <n v="96370"/>
    <n v="63245"/>
    <n v="33125"/>
    <n v="0"/>
    <n v="33125"/>
    <n v="919842619"/>
    <n v="285123"/>
    <s v="CORP DE BIENESTAR DEL PERSONAL DE A F P"/>
    <d v="2025-02-14T00:00:00"/>
    <d v="2025-02-14T00:00:00"/>
    <d v="2025-02-14T00:00:00"/>
    <d v="2025-02-14T00:00:00"/>
    <s v="AMBULATORIOS"/>
    <n v="22598479"/>
    <n v="2171709"/>
    <n v="68878971"/>
    <s v="TRASSA"/>
    <n v="16022025"/>
    <n v="77646"/>
    <s v="SAL"/>
    <s v="AM05"/>
    <s v="EXAMENES RADIOLOGICOS"/>
    <s v="EXAMENES RADIOLOGICOS"/>
    <s v="EXAMENES RADIOLOGICOS"/>
    <s v="IMED SALUD"/>
    <n v="0"/>
    <n v="76098454"/>
    <s v="K"/>
    <s v="FONASA"/>
    <s v="GGALAZR@AFPHABITAT.CL"/>
    <s v="8622610|76098454|919842619|919842619"/>
    <s v="IMED SALUD"/>
    <b v="1"/>
    <s v="APORTE VIA IMED"/>
  </r>
  <r>
    <s v="12 DE SEPTIEMBRE DE 2025"/>
    <x v="202"/>
    <s v="GLADYS GALAZ REYES"/>
    <n v="8622610"/>
    <s v="GLADYS GALAZ REYES"/>
    <d v="2025-03-01T00:00:00"/>
    <s v="DUPLICADO"/>
    <n v="919842619"/>
    <n v="65383688"/>
    <n v="57271"/>
    <n v="0"/>
    <n v="57271"/>
    <n v="0"/>
    <n v="57271"/>
    <n v="919842619"/>
    <n v="285123"/>
    <s v="CORP DE BIENESTAR DEL PERSONAL DE A F P"/>
    <d v="2025-03-01T00:00:00"/>
    <d v="2025-03-26T00:00:00"/>
    <d v="2025-02-14T00:00:00"/>
    <d v="2025-02-14T00:00:00"/>
    <s v="AMBULATORIOS"/>
    <n v="22770623"/>
    <n v="3311105"/>
    <n v="69250579"/>
    <s v="TRASSA"/>
    <n v="260100228841"/>
    <n v="78070"/>
    <s v="SAL"/>
    <s v="AM05"/>
    <s v="EXAMENES RADIOLOGICOS"/>
    <s v="EXAMENES RADIOLOGICOS"/>
    <s v="EXAMENES RADIOLOGICOS"/>
    <n v="0"/>
    <n v="0"/>
    <n v="76098454"/>
    <s v="K"/>
    <s v="SIN ISAPRE"/>
    <s v="GGALAZR@AFPHABITAT.CL"/>
    <s v="8622610|76098454|919842619|65383688"/>
    <s v="GASTO FISICO"/>
    <b v="0"/>
    <s v="DEPOSITADO EN CUENTA"/>
  </r>
  <r>
    <s v="12 DE SEPTIEMBRE DE 2025"/>
    <x v="199"/>
    <s v="DANIELA GRANDI GARCIA"/>
    <n v="15308884"/>
    <s v="DANIELA GRANDI GARCIA"/>
    <d v="2025-02-01T00:00:00"/>
    <s v="INICIAL"/>
    <n v="919860206"/>
    <n v="919860206"/>
    <n v="173370"/>
    <n v="130030"/>
    <n v="43340"/>
    <n v="0"/>
    <n v="43340"/>
    <n v="919860206"/>
    <n v="285123"/>
    <s v="CORP DE BIENESTAR DEL PERSONAL DE A F P"/>
    <d v="2025-02-14T00:00:00"/>
    <d v="2025-02-14T00:00:00"/>
    <d v="2025-02-14T00:00:00"/>
    <d v="2025-02-14T00:00:00"/>
    <s v="AMBULATORIOS"/>
    <n v="22598501"/>
    <n v="2171709"/>
    <n v="68879090"/>
    <s v="TRASSA"/>
    <n v="16022025"/>
    <n v="77646"/>
    <s v="SAL"/>
    <s v="AM05"/>
    <s v="EXAMENES RADIOLOGICOS"/>
    <s v="EXAMENES RADIOLOGICOS"/>
    <s v="EXAMENES RADIOLOGICOS"/>
    <s v="IMED SALUD"/>
    <n v="0"/>
    <n v="76853020"/>
    <n v="3"/>
    <s v="FONASA"/>
    <s v="DGRANDI@AFPHABITAT.CL"/>
    <s v="15308884|76853020|919860206|919860206"/>
    <s v="IMED SALUD"/>
    <b v="1"/>
    <s v="APORTE VIA IMED"/>
  </r>
  <r>
    <s v="12 DE SEPTIEMBRE DE 2025"/>
    <x v="199"/>
    <s v="DANIELA GRANDI GARCIA"/>
    <n v="15308884"/>
    <s v="DANIELA GRANDI GARCIA"/>
    <d v="2025-03-01T00:00:00"/>
    <s v="DUPLICADO"/>
    <n v="919860206"/>
    <n v="65384266"/>
    <n v="43433"/>
    <n v="0"/>
    <n v="43433"/>
    <n v="0"/>
    <n v="43433"/>
    <n v="919860206"/>
    <n v="285123"/>
    <s v="CORP DE BIENESTAR DEL PERSONAL DE A F P"/>
    <d v="2025-03-01T00:00:00"/>
    <d v="2025-03-26T00:00:00"/>
    <d v="2025-02-14T00:00:00"/>
    <d v="2025-02-14T00:00:00"/>
    <s v="AMBULATORIOS"/>
    <n v="22770631"/>
    <n v="3311105"/>
    <n v="69251139"/>
    <s v="TRASSA"/>
    <n v="19997455443"/>
    <n v="78070"/>
    <s v="SAL"/>
    <s v="AM05"/>
    <s v="EXAMENES RADIOLOGICOS"/>
    <s v="EXAMENES RADIOLOGICOS"/>
    <s v="EXAMENES RADIOLOGICOS"/>
    <n v="0"/>
    <n v="0"/>
    <n v="76853020"/>
    <n v="3"/>
    <s v="SIN ISAPRE"/>
    <s v="DGRANDI@AFPHABITAT.CL"/>
    <s v="15308884|76853020|919860206|65384266"/>
    <s v="GASTO FISICO"/>
    <b v="0"/>
    <s v="DEPOSITADO EN CUENTA"/>
  </r>
  <r>
    <s v="12 DE SEPTIEMBRE DE 2025"/>
    <x v="32"/>
    <s v="XAIRYS ADRIANA FALCON MARQUEZ"/>
    <n v="26246811"/>
    <s v="XAIRYS ADRIANA FALCON MARQUEZ"/>
    <d v="2025-02-01T00:00:00"/>
    <s v="INICIAL"/>
    <n v="919863136"/>
    <n v="919863136"/>
    <n v="13660"/>
    <n v="4280"/>
    <n v="9380"/>
    <n v="0"/>
    <n v="9380"/>
    <n v="919863136"/>
    <n v="285123"/>
    <s v="CORP DE BIENESTAR DEL PERSONAL DE A F P"/>
    <d v="2025-02-14T00:00:00"/>
    <d v="2025-02-14T00:00:00"/>
    <d v="2025-02-14T00:00:00"/>
    <d v="2025-02-14T00:00:00"/>
    <s v="AMBULATORIOS"/>
    <n v="22598515"/>
    <n v="2171709"/>
    <n v="68879109"/>
    <s v="TRASSA"/>
    <n v="16022025"/>
    <n v="77646"/>
    <s v="SAL"/>
    <s v="AM07"/>
    <s v="PROCEDIMIENTOS TERAPEUTICOS"/>
    <s v="PROCEDIMIENTOS TERAPEUTICOS"/>
    <s v="PROCEDIMIENTOS TERAPEUTICOS"/>
    <s v="IMED SALUD"/>
    <n v="0"/>
    <n v="96923250"/>
    <n v="2"/>
    <s v="FONASA"/>
    <s v="XAIRYS.FALCON@AFPHABITAT.CL"/>
    <s v="26246811|96923250|919863136|919863136"/>
    <s v="IMED SALUD"/>
    <b v="1"/>
    <s v="APORTE VIA IMED"/>
  </r>
  <r>
    <s v="12 DE SEPTIEMBRE DE 2025"/>
    <x v="32"/>
    <s v="XAIRYS ADRIANA FALCON MARQUEZ"/>
    <n v="26246811"/>
    <s v="XAIRYS ADRIANA FALCON MARQUEZ"/>
    <d v="2025-03-01T00:00:00"/>
    <s v="DUPLICADO"/>
    <n v="919863136"/>
    <n v="65384541"/>
    <n v="7686"/>
    <n v="0"/>
    <n v="7686"/>
    <n v="0"/>
    <n v="7686"/>
    <n v="919863136"/>
    <n v="285123"/>
    <s v="CORP DE BIENESTAR DEL PERSONAL DE A F P"/>
    <d v="2025-03-01T00:00:00"/>
    <d v="2025-03-26T00:00:00"/>
    <d v="2025-02-14T00:00:00"/>
    <d v="2025-02-14T00:00:00"/>
    <s v="AMBULATORIOS"/>
    <n v="22770632"/>
    <n v="3311105"/>
    <n v="69251404"/>
    <s v="TRASSA"/>
    <n v="83503556"/>
    <n v="78070"/>
    <s v="SAL"/>
    <s v="AM07"/>
    <s v="PROCEDIMIENTOS TERAPEUTICOS"/>
    <s v="PROCEDIMIENTOS TERAPEUTICOS"/>
    <s v="PROCEDIMIENTOS TERAPEUTICOS"/>
    <n v="0"/>
    <n v="0"/>
    <n v="96923250"/>
    <n v="2"/>
    <s v="SIN ISAPRE"/>
    <s v="XAIRYS.FALCON@AFPHABITAT.CL"/>
    <s v="26246811|96923250|919863136|65384541"/>
    <s v="GASTO FISICO"/>
    <b v="0"/>
    <s v="DEPOSITADO EN CUENTA"/>
  </r>
  <r>
    <s v="12 DE SEPTIEMBRE DE 2025"/>
    <x v="32"/>
    <s v="XAIRYS ADRIANA FALCON MARQUEZ"/>
    <n v="25986222"/>
    <s v="GABRIEL EDUARDO TOVAR FALCON"/>
    <d v="2025-02-01T00:00:00"/>
    <s v="INICIAL"/>
    <n v="919863482"/>
    <n v="919863482"/>
    <n v="2960"/>
    <n v="1966"/>
    <n v="994"/>
    <n v="0"/>
    <n v="994"/>
    <n v="919863482"/>
    <n v="285123"/>
    <s v="CORP DE BIENESTAR DEL PERSONAL DE A F P"/>
    <d v="2025-02-14T00:00:00"/>
    <d v="2025-02-14T00:00:00"/>
    <d v="2025-02-14T00:00:00"/>
    <d v="2025-02-14T00:00:00"/>
    <s v="AMBULATORIOS"/>
    <n v="22598515"/>
    <n v="2171709"/>
    <n v="68879115"/>
    <s v="TRASSA"/>
    <n v="16022025"/>
    <n v="77646"/>
    <s v="SAL"/>
    <s v="AM07"/>
    <s v="PROCEDIMIENTOS TERAPEUTICOS"/>
    <s v="PROCEDIMIENTOS TERAPEUTICOS"/>
    <s v="PROCEDIMIENTOS TERAPEUTICOS"/>
    <s v="IMED SALUD"/>
    <n v="0"/>
    <n v="96923250"/>
    <n v="2"/>
    <s v="FONASA"/>
    <s v="XAIRYS.FALCON@AFPHABITAT.CL"/>
    <s v="26246811|96923250|919863482|919863482"/>
    <s v="IMED SALUD"/>
    <b v="1"/>
    <s v="APORTE VIA IMED"/>
  </r>
  <r>
    <s v="12 DE SEPTIEMBRE DE 2025"/>
    <x v="32"/>
    <s v="XAIRYS ADRIANA FALCON MARQUEZ"/>
    <n v="25986222"/>
    <s v="GABRIEL EDUARDO TOVAR FALCON"/>
    <d v="2025-03-01T00:00:00"/>
    <s v="DUPLICADO"/>
    <n v="919863482"/>
    <n v="65384534"/>
    <n v="1153"/>
    <n v="0"/>
    <n v="1153"/>
    <n v="0"/>
    <n v="1153"/>
    <n v="919863482"/>
    <n v="285123"/>
    <s v="CORP DE BIENESTAR DEL PERSONAL DE A F P"/>
    <d v="2025-03-01T00:00:00"/>
    <d v="2025-03-26T00:00:00"/>
    <d v="2025-02-14T00:00:00"/>
    <d v="2025-02-14T00:00:00"/>
    <s v="AMBULATORIOS"/>
    <n v="22770632"/>
    <n v="3311105"/>
    <n v="69251397"/>
    <s v="TRASSA"/>
    <n v="83503556"/>
    <n v="78070"/>
    <s v="SAL"/>
    <s v="AM07"/>
    <s v="PROCEDIMIENTOS TERAPEUTICOS"/>
    <s v="PROCEDIMIENTOS TERAPEUTICOS"/>
    <s v="PROCEDIMIENTOS TERAPEUTICOS"/>
    <n v="0"/>
    <n v="0"/>
    <n v="96923250"/>
    <n v="2"/>
    <s v="SIN ISAPRE"/>
    <s v="XAIRYS.FALCON@AFPHABITAT.CL"/>
    <s v="26246811|96923250|919863482|65384534"/>
    <s v="GASTO FISICO"/>
    <b v="0"/>
    <s v="DEPOSITADO EN CUENTA"/>
  </r>
  <r>
    <s v="12 DE SEPTIEMBRE DE 2025"/>
    <x v="32"/>
    <s v="XAIRYS ADRIANA FALCON MARQUEZ"/>
    <n v="25986192"/>
    <s v="ALBANY GABRIELA TOVAR FALCON"/>
    <d v="2025-02-01T00:00:00"/>
    <s v="INICIAL"/>
    <n v="919864074"/>
    <n v="919864074"/>
    <n v="2960"/>
    <n v="1966"/>
    <n v="994"/>
    <n v="0"/>
    <n v="994"/>
    <n v="919864074"/>
    <n v="285123"/>
    <s v="CORP DE BIENESTAR DEL PERSONAL DE A F P"/>
    <d v="2025-02-14T00:00:00"/>
    <d v="2025-02-14T00:00:00"/>
    <d v="2025-02-14T00:00:00"/>
    <d v="2025-02-14T00:00:00"/>
    <s v="AMBULATORIOS"/>
    <n v="22598515"/>
    <n v="2171709"/>
    <n v="68879122"/>
    <s v="TRASSA"/>
    <n v="16022025"/>
    <n v="77646"/>
    <s v="SAL"/>
    <s v="AM07"/>
    <s v="PROCEDIMIENTOS TERAPEUTICOS"/>
    <s v="PROCEDIMIENTOS TERAPEUTICOS"/>
    <s v="PROCEDIMIENTOS TERAPEUTICOS"/>
    <s v="IMED SALUD"/>
    <n v="0"/>
    <n v="96923250"/>
    <n v="2"/>
    <s v="FONASA"/>
    <s v="XAIRYS.FALCON@AFPHABITAT.CL"/>
    <s v="26246811|96923250|919864074|919864074"/>
    <s v="IMED SALUD"/>
    <b v="1"/>
    <s v="APORTE VIA IMED"/>
  </r>
  <r>
    <s v="12 DE SEPTIEMBRE DE 2025"/>
    <x v="32"/>
    <s v="XAIRYS ADRIANA FALCON MARQUEZ"/>
    <n v="25986192"/>
    <s v="ALBANY GABRIELA TOVAR FALCON"/>
    <d v="2025-03-01T00:00:00"/>
    <s v="DUPLICADO"/>
    <n v="919864074"/>
    <n v="65384529"/>
    <n v="1153"/>
    <n v="0"/>
    <n v="1153"/>
    <n v="0"/>
    <n v="1153"/>
    <n v="919864074"/>
    <n v="285123"/>
    <s v="CORP DE BIENESTAR DEL PERSONAL DE A F P"/>
    <d v="2025-03-01T00:00:00"/>
    <d v="2025-03-26T00:00:00"/>
    <d v="2025-02-14T00:00:00"/>
    <d v="2025-02-14T00:00:00"/>
    <s v="AMBULATORIOS"/>
    <n v="22770632"/>
    <n v="3311105"/>
    <n v="69251392"/>
    <s v="TRASSA"/>
    <n v="83503556"/>
    <n v="78070"/>
    <s v="SAL"/>
    <s v="AM07"/>
    <s v="PROCEDIMIENTOS TERAPEUTICOS"/>
    <s v="PROCEDIMIENTOS TERAPEUTICOS"/>
    <s v="PROCEDIMIENTOS TERAPEUTICOS"/>
    <n v="0"/>
    <n v="0"/>
    <n v="96923250"/>
    <n v="2"/>
    <s v="SIN ISAPRE"/>
    <s v="XAIRYS.FALCON@AFPHABITAT.CL"/>
    <s v="26246811|96923250|919864074|65384529"/>
    <s v="GASTO FISICO"/>
    <b v="0"/>
    <s v="DEPOSITADO EN CUENTA"/>
  </r>
  <r>
    <s v="12 DE SEPTIEMBRE DE 2025"/>
    <x v="32"/>
    <s v="XAIRYS ADRIANA FALCON MARQUEZ"/>
    <n v="25986198"/>
    <s v="ADRIAN EDUARDO TOVAR FALCON"/>
    <d v="2025-02-01T00:00:00"/>
    <s v="INICIAL"/>
    <n v="919864212"/>
    <n v="919864212"/>
    <n v="10700"/>
    <n v="7095"/>
    <n v="3605"/>
    <n v="0"/>
    <n v="3605"/>
    <n v="919864212"/>
    <n v="285123"/>
    <s v="CORP DE BIENESTAR DEL PERSONAL DE A F P"/>
    <d v="2025-02-14T00:00:00"/>
    <d v="2025-02-14T00:00:00"/>
    <d v="2025-02-14T00:00:00"/>
    <d v="2025-02-14T00:00:00"/>
    <s v="AMBULATORIOS"/>
    <n v="22598515"/>
    <n v="2171709"/>
    <n v="68879127"/>
    <s v="TRASSA"/>
    <n v="16022025"/>
    <n v="77646"/>
    <s v="SAL"/>
    <s v="AM07"/>
    <s v="PROCEDIMIENTOS TERAPEUTICOS"/>
    <s v="PROCEDIMIENTOS TERAPEUTICOS"/>
    <s v="PROCEDIMIENTOS TERAPEUTICOS"/>
    <s v="IMED SALUD"/>
    <n v="0"/>
    <n v="96923250"/>
    <n v="2"/>
    <s v="FONASA"/>
    <s v="XAIRYS.FALCON@AFPHABITAT.CL"/>
    <s v="26246811|96923250|919864212|919864212"/>
    <s v="IMED SALUD"/>
    <b v="1"/>
    <s v="APORTE VIA IMED"/>
  </r>
  <r>
    <s v="12 DE SEPTIEMBRE DE 2025"/>
    <x v="32"/>
    <s v="XAIRYS ADRIANA FALCON MARQUEZ"/>
    <n v="25986198"/>
    <s v="ADRIAN EDUARDO TOVAR FALCON"/>
    <d v="2025-03-01T00:00:00"/>
    <s v="DUPLICADO"/>
    <n v="919864212"/>
    <n v="65384532"/>
    <n v="3459"/>
    <n v="0"/>
    <n v="3459"/>
    <n v="0"/>
    <n v="3459"/>
    <n v="919864212"/>
    <n v="285123"/>
    <s v="CORP DE BIENESTAR DEL PERSONAL DE A F P"/>
    <d v="2025-03-01T00:00:00"/>
    <d v="2025-03-26T00:00:00"/>
    <d v="2025-02-14T00:00:00"/>
    <d v="2025-02-14T00:00:00"/>
    <s v="AMBULATORIOS"/>
    <n v="22770632"/>
    <n v="3311105"/>
    <n v="69251395"/>
    <s v="TRASSA"/>
    <n v="83503556"/>
    <n v="78070"/>
    <s v="SAL"/>
    <s v="AM07"/>
    <s v="PROCEDIMIENTOS TERAPEUTICOS"/>
    <s v="PROCEDIMIENTOS TERAPEUTICOS"/>
    <s v="PROCEDIMIENTOS TERAPEUTICOS"/>
    <n v="0"/>
    <n v="0"/>
    <n v="96923250"/>
    <n v="2"/>
    <s v="SIN ISAPRE"/>
    <s v="XAIRYS.FALCON@AFPHABITAT.CL"/>
    <s v="26246811|96923250|919864212|65384532"/>
    <s v="GASTO FISICO"/>
    <b v="0"/>
    <s v="DEPOSITADO EN CUENTA"/>
  </r>
  <r>
    <s v="12 DE SEPTIEMBRE DE 2025"/>
    <x v="197"/>
    <s v="MARGARITA EVELYN REYES TILLERIA"/>
    <n v="10490905"/>
    <s v="MARGARITA EVELYN REYES TILLERIA"/>
    <d v="2025-02-01T00:00:00"/>
    <s v="INICIAL"/>
    <n v="919896544"/>
    <n v="919896544"/>
    <n v="35460"/>
    <n v="19945"/>
    <n v="15515"/>
    <n v="0"/>
    <n v="15515"/>
    <n v="919896544"/>
    <n v="285123"/>
    <s v="CORP DE BIENESTAR DEL PERSONAL DE A F P"/>
    <d v="2025-02-15T00:00:00"/>
    <d v="2025-02-15T00:00:00"/>
    <d v="2025-02-15T00:00:00"/>
    <d v="2025-02-15T00:00:00"/>
    <s v="AMBULATORIOS"/>
    <n v="22621708"/>
    <n v="2250942"/>
    <n v="68908817"/>
    <s v="TRASSA"/>
    <n v="23022025"/>
    <n v="77703"/>
    <s v="SAL"/>
    <s v="AM05"/>
    <s v="EXAMENES RADIOLOGICOS"/>
    <s v="EXAMENES RADIOLOGICOS"/>
    <s v="EXAMENES RADIOLOGICOS"/>
    <s v="IMED SALUD"/>
    <n v="0"/>
    <n v="96942400"/>
    <n v="2"/>
    <s v="FONASA"/>
    <s v="MARGARITA.REYES@AFPHABITAT.CL"/>
    <s v="10490905|96942400|919896544|919896544"/>
    <s v="IMED SALUD"/>
    <b v="1"/>
    <s v="APORTE VIA IMED"/>
  </r>
  <r>
    <s v="12 DE SEPTIEMBRE DE 2025"/>
    <x v="197"/>
    <s v="MARGARITA EVELYN REYES TILLERIA"/>
    <n v="10490905"/>
    <s v="MARGARITA EVELYN REYES TILLERIA"/>
    <d v="2025-03-01T00:00:00"/>
    <s v="DUPLICADO"/>
    <n v="919896544"/>
    <n v="65383860"/>
    <n v="11920"/>
    <n v="0"/>
    <n v="11920"/>
    <n v="0"/>
    <n v="11920"/>
    <n v="919896544"/>
    <n v="285123"/>
    <s v="CORP DE BIENESTAR DEL PERSONAL DE A F P"/>
    <d v="2025-03-01T00:00:00"/>
    <d v="2025-03-26T00:00:00"/>
    <d v="2025-02-15T00:00:00"/>
    <d v="2025-02-15T00:00:00"/>
    <s v="AMBULATORIOS"/>
    <n v="22770634"/>
    <n v="3311105"/>
    <n v="69250749"/>
    <s v="TRASSA"/>
    <n v="10490905"/>
    <n v="78070"/>
    <s v="SAL"/>
    <s v="AM05"/>
    <s v="EXAMENES RADIOLOGICOS"/>
    <s v="EXAMENES RADIOLOGICOS"/>
    <s v="EXAMENES RADIOLOGICOS"/>
    <n v="0"/>
    <n v="0"/>
    <n v="96942400"/>
    <n v="2"/>
    <s v="SIN ISAPRE"/>
    <s v="MARGARITA.REYES@AFPHABITAT.CL"/>
    <s v="10490905|96942400|919896544|65383860"/>
    <s v="GASTO FISICO"/>
    <b v="0"/>
    <s v="DEPOSITADO EN CUENTA"/>
  </r>
  <r>
    <s v="12 DE SEPTIEMBRE DE 2025"/>
    <x v="197"/>
    <s v="MARGARITA EVELYN REYES TILLERIA"/>
    <n v="10490905"/>
    <s v="MARGARITA EVELYN REYES TILLERIA"/>
    <d v="2025-02-01T00:00:00"/>
    <s v="INICIAL"/>
    <n v="919897637"/>
    <n v="919897637"/>
    <n v="304580"/>
    <n v="228435"/>
    <n v="76145"/>
    <n v="0"/>
    <n v="76145"/>
    <n v="919897637"/>
    <n v="285123"/>
    <s v="CORP DE BIENESTAR DEL PERSONAL DE A F P"/>
    <d v="2025-02-15T00:00:00"/>
    <d v="2025-02-15T00:00:00"/>
    <d v="2025-02-15T00:00:00"/>
    <d v="2025-02-15T00:00:00"/>
    <s v="AMBULATORIOS"/>
    <n v="22621708"/>
    <n v="2250942"/>
    <n v="68908827"/>
    <s v="TRASSA"/>
    <n v="23022025"/>
    <n v="77703"/>
    <s v="SAL"/>
    <s v="AM04"/>
    <s v="EXAMENES DE LABORATORIO"/>
    <s v="EXAMENES DE LABORATORIO"/>
    <s v="EXAMENES DE LABORATORIO"/>
    <s v="IMED SALUD"/>
    <n v="0"/>
    <n v="96942400"/>
    <n v="2"/>
    <s v="FONASA"/>
    <s v="MARGARITA.REYES@AFPHABITAT.CL"/>
    <s v="10490905|96942400|919897637|919897637"/>
    <s v="IMED SALUD"/>
    <b v="1"/>
    <s v="APORTE VIA IMED"/>
  </r>
  <r>
    <s v="12 DE SEPTIEMBRE DE 2025"/>
    <x v="197"/>
    <s v="MARGARITA EVELYN REYES TILLERIA"/>
    <n v="10490905"/>
    <s v="MARGARITA EVELYN REYES TILLERIA"/>
    <d v="2025-03-01T00:00:00"/>
    <s v="DUPLICADO"/>
    <n v="919897637"/>
    <n v="65383861"/>
    <n v="76135"/>
    <n v="0"/>
    <n v="76135"/>
    <n v="0"/>
    <n v="76135"/>
    <n v="919897637"/>
    <n v="285123"/>
    <s v="CORP DE BIENESTAR DEL PERSONAL DE A F P"/>
    <d v="2025-03-01T00:00:00"/>
    <d v="2025-03-26T00:00:00"/>
    <d v="2025-02-15T00:00:00"/>
    <d v="2025-02-15T00:00:00"/>
    <s v="AMBULATORIOS"/>
    <n v="22770634"/>
    <n v="3311105"/>
    <n v="69250750"/>
    <s v="TRASSA"/>
    <n v="10490905"/>
    <n v="78070"/>
    <s v="SAL"/>
    <s v="AM04"/>
    <s v="EXAMENES DE LABORATORIO"/>
    <s v="EXAMENES DE LABORATORIO"/>
    <s v="EXAMENES DE LABORATORIO"/>
    <n v="0"/>
    <n v="0"/>
    <n v="96942400"/>
    <n v="2"/>
    <s v="SIN ISAPRE"/>
    <s v="MARGARITA.REYES@AFPHABITAT.CL"/>
    <s v="10490905|96942400|919897637|65383861"/>
    <s v="GASTO FISICO"/>
    <b v="0"/>
    <s v="DEPOSITADO EN CUENTA"/>
  </r>
  <r>
    <s v="12 DE SEPTIEMBRE DE 2025"/>
    <x v="185"/>
    <s v="JESSICA ZAMBRA MEDINA"/>
    <n v="10586495"/>
    <s v="JESSICA ZAMBRA MEDINA"/>
    <d v="2025-02-01T00:00:00"/>
    <s v="INICIAL"/>
    <n v="919933926"/>
    <n v="919933926"/>
    <n v="10740"/>
    <n v="6045"/>
    <n v="4695"/>
    <n v="0"/>
    <n v="4695"/>
    <n v="919933926"/>
    <n v="285123"/>
    <s v="CORP DE BIENESTAR DEL PERSONAL DE A F P"/>
    <d v="2025-02-15T00:00:00"/>
    <d v="2025-02-15T00:00:00"/>
    <d v="2025-02-15T00:00:00"/>
    <d v="2025-02-15T00:00:00"/>
    <s v="AMBULATORIOS"/>
    <n v="22621709"/>
    <n v="2250942"/>
    <n v="68909095"/>
    <s v="TRASSA"/>
    <n v="23022025"/>
    <n v="77703"/>
    <s v="SAL"/>
    <s v="AM07"/>
    <s v="PROCEDIMIENTOS TERAPEUTICOS"/>
    <s v="PROCEDIMIENTOS TERAPEUTICOS"/>
    <s v="PROCEDIMIENTOS TERAPEUTICOS"/>
    <s v="IMED SALUD"/>
    <n v="0"/>
    <n v="76098454"/>
    <s v="K"/>
    <s v="FONASA"/>
    <s v="JZAMBRA@AFPHABITAT.CL"/>
    <s v="10586495|76098454|919933926|919933926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19933926"/>
    <n v="65383875"/>
    <n v="3460"/>
    <n v="0"/>
    <n v="3460"/>
    <n v="0"/>
    <n v="3460"/>
    <n v="919933926"/>
    <n v="285123"/>
    <s v="CORP DE BIENESTAR DEL PERSONAL DE A F P"/>
    <d v="2025-03-01T00:00:00"/>
    <d v="2025-03-26T00:00:00"/>
    <d v="2025-02-15T00:00:00"/>
    <d v="2025-02-15T00:00:00"/>
    <s v="AMBULATORIOS"/>
    <n v="22770635"/>
    <n v="3311105"/>
    <n v="69250764"/>
    <s v="TRASSA"/>
    <n v="50964119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JZAMBRA@AFPHABITAT.CL"/>
    <s v="10586495|76098454|919933926|65383875"/>
    <s v="GASTO FISICO"/>
    <b v="0"/>
    <s v="DEPOSITADO EN CUENTA"/>
  </r>
  <r>
    <s v="12 DE SEPTIEMBRE DE 2025"/>
    <x v="192"/>
    <s v="ALEJANDRA  A CARTES  PEREZ"/>
    <n v="13240926"/>
    <s v="ALEJANDRA  A CARTES  PEREZ"/>
    <d v="2025-02-01T00:00:00"/>
    <s v="INICIAL"/>
    <n v="920011856"/>
    <n v="920011856"/>
    <n v="10740"/>
    <n v="3360"/>
    <n v="7380"/>
    <n v="0"/>
    <n v="7380"/>
    <n v="920011856"/>
    <n v="285123"/>
    <s v="CORP DE BIENESTAR DEL PERSONAL DE A F P"/>
    <d v="2025-02-17T00:00:00"/>
    <d v="2025-02-17T00:00:00"/>
    <d v="2025-02-17T00:00:00"/>
    <d v="2025-02-17T00:00:00"/>
    <s v="AMBULATORIOS"/>
    <n v="22621743"/>
    <n v="2250942"/>
    <n v="68909498"/>
    <s v="TRASSA"/>
    <n v="23022025"/>
    <n v="77703"/>
    <s v="SAL"/>
    <s v="AM07"/>
    <s v="PROCEDIMIENTOS TERAPEUTICOS"/>
    <s v="PROCEDIMIENTOS TERAPEUTICOS"/>
    <s v="PROCEDIMIENTOS TERAPEUTICOS"/>
    <s v="IMED SALUD"/>
    <n v="0"/>
    <n v="96530470"/>
    <n v="3"/>
    <s v="FONASA"/>
    <s v="ALEJANDRA.CARTES@AFPHABITAT.CL"/>
    <s v="13240926|96530470|920011856|920011856"/>
    <s v="IMED SALUD"/>
    <b v="1"/>
    <s v="APORTE VIA IMED"/>
  </r>
  <r>
    <s v="12 DE SEPTIEMBRE DE 2025"/>
    <x v="192"/>
    <s v="ALEJANDRA  A CARTES  PEREZ"/>
    <n v="13240926"/>
    <s v="ALEJANDRA  A CARTES  PEREZ"/>
    <d v="2025-03-01T00:00:00"/>
    <s v="DUPLICADO"/>
    <n v="920011856"/>
    <n v="65384089"/>
    <n v="6157"/>
    <n v="0"/>
    <n v="6157"/>
    <n v="0"/>
    <n v="6157"/>
    <n v="920011856"/>
    <n v="285123"/>
    <s v="CORP DE BIENESTAR DEL PERSONAL DE A F P"/>
    <d v="2025-03-01T00:00:00"/>
    <d v="2025-03-26T00:00:00"/>
    <d v="2025-02-17T00:00:00"/>
    <d v="2025-02-17T00:00:00"/>
    <s v="AMBULATORIOS"/>
    <n v="22770647"/>
    <n v="3311105"/>
    <n v="69250976"/>
    <s v="TRASSA"/>
    <n v="105921314"/>
    <n v="78070"/>
    <s v="SAL"/>
    <s v="AM07"/>
    <s v="PROCEDIMIENTOS TERAPEUTICOS"/>
    <s v="PROCEDIMIENTOS TERAPEUTICOS"/>
    <s v="PROCEDIMIENTOS TERAPEUTICOS"/>
    <n v="0"/>
    <n v="0"/>
    <n v="96530470"/>
    <n v="3"/>
    <s v="SIN ISAPRE"/>
    <s v="ALEJANDRA.CARTES@AFPHABITAT.CL"/>
    <s v="13240926|96530470|920011856|65384089"/>
    <s v="GASTO FISICO"/>
    <b v="0"/>
    <s v="DEPOSITADO EN CUENTA"/>
  </r>
  <r>
    <s v="12 DE SEPTIEMBRE DE 2025"/>
    <x v="192"/>
    <s v="ALEJANDRA  A CARTES  PEREZ"/>
    <n v="13240926"/>
    <s v="ALEJANDRA  A CARTES  PEREZ"/>
    <d v="2025-02-01T00:00:00"/>
    <s v="INICIAL"/>
    <n v="920023711"/>
    <n v="920023711"/>
    <n v="23230"/>
    <n v="7260"/>
    <n v="15970"/>
    <n v="0"/>
    <n v="15970"/>
    <n v="920023711"/>
    <n v="285123"/>
    <s v="CORP DE BIENESTAR DEL PERSONAL DE A F P"/>
    <d v="2025-02-17T00:00:00"/>
    <d v="2025-02-17T00:00:00"/>
    <d v="2025-02-17T00:00:00"/>
    <d v="2025-02-17T00:00:00"/>
    <s v="AMBULATORIOS"/>
    <n v="22621743"/>
    <n v="2250942"/>
    <n v="68909555"/>
    <s v="TRASSA"/>
    <n v="23022025"/>
    <n v="77703"/>
    <s v="SAL"/>
    <s v="AM05"/>
    <s v="EXAMENES RADIOLOGICOS"/>
    <s v="EXAMENES RADIOLOGICOS"/>
    <s v="EXAMENES RADIOLOGICOS"/>
    <s v="IMED SALUD"/>
    <n v="0"/>
    <n v="79980070"/>
    <n v="5"/>
    <s v="FONASA"/>
    <s v="ALEJANDRA.CARTES@AFPHABITAT.CL"/>
    <s v="13240926|79980070|920023711|920023711"/>
    <s v="IMED SALUD"/>
    <b v="1"/>
    <s v="APORTE VIA IMED"/>
  </r>
  <r>
    <s v="12 DE SEPTIEMBRE DE 2025"/>
    <x v="192"/>
    <s v="ALEJANDRA  A CARTES  PEREZ"/>
    <n v="13240926"/>
    <s v="ALEJANDRA  A CARTES  PEREZ"/>
    <d v="2025-03-01T00:00:00"/>
    <s v="DUPLICADO"/>
    <n v="920023711"/>
    <n v="65384090"/>
    <n v="13468"/>
    <n v="0"/>
    <n v="13468"/>
    <n v="0"/>
    <n v="13468"/>
    <n v="920023711"/>
    <n v="285123"/>
    <s v="CORP DE BIENESTAR DEL PERSONAL DE A F P"/>
    <d v="2025-03-01T00:00:00"/>
    <d v="2025-03-26T00:00:00"/>
    <d v="2025-02-17T00:00:00"/>
    <d v="2025-02-17T00:00:00"/>
    <s v="AMBULATORIOS"/>
    <n v="22770647"/>
    <n v="3311105"/>
    <n v="69250977"/>
    <s v="TRASSA"/>
    <n v="105921314"/>
    <n v="78070"/>
    <s v="SAL"/>
    <s v="AM05"/>
    <s v="EXAMENES RADIOLOGICOS"/>
    <s v="EXAMENES RADIOLOGICOS"/>
    <s v="EXAMENES RADIOLOGICOS"/>
    <n v="0"/>
    <n v="0"/>
    <n v="79980070"/>
    <n v="5"/>
    <s v="SIN ISAPRE"/>
    <s v="ALEJANDRA.CARTES@AFPHABITAT.CL"/>
    <s v="13240926|79980070|920023711|65384090"/>
    <s v="GASTO FISICO"/>
    <b v="0"/>
    <s v="DEPOSITADO EN CUENTA"/>
  </r>
  <r>
    <s v="12 DE SEPTIEMBRE DE 2025"/>
    <x v="203"/>
    <s v="VERONICA DEL CARMEN ROMO CAMPOS"/>
    <n v="11227555"/>
    <s v="VERONICA DEL CARMEN ROMO CAMPOS"/>
    <d v="2025-02-01T00:00:00"/>
    <s v="INICIAL"/>
    <n v="920113883"/>
    <n v="920113883"/>
    <n v="22860"/>
    <n v="7160"/>
    <n v="15700"/>
    <n v="0"/>
    <n v="15700"/>
    <n v="920113883"/>
    <n v="285123"/>
    <s v="CORP DE BIENESTAR DEL PERSONAL DE A F P"/>
    <d v="2025-02-18T00:00:00"/>
    <d v="2025-02-18T00:00:00"/>
    <d v="2025-02-18T00:00:00"/>
    <d v="2025-02-18T00:00:00"/>
    <s v="AMBULATORIOS"/>
    <n v="22621773"/>
    <n v="2250942"/>
    <n v="68910052"/>
    <s v="TRASSA"/>
    <n v="23022025"/>
    <n v="77703"/>
    <s v="SAL"/>
    <s v="AM04"/>
    <s v="EXAMENES DE LABORATORIO"/>
    <s v="EXAMENES DE LABORATORIO"/>
    <s v="EXAMENES DE LABORATORIO"/>
    <s v="IMED SALUD"/>
    <n v="0"/>
    <n v="96530470"/>
    <n v="3"/>
    <s v="FONASA"/>
    <s v="VERONICA.ROMO@AFPHABITAT.CL"/>
    <s v="11227555|96530470|920113883|920113883"/>
    <s v="IMED SALUD"/>
    <b v="1"/>
    <s v="APORTE VIA IMED"/>
  </r>
  <r>
    <s v="12 DE SEPTIEMBRE DE 2025"/>
    <x v="203"/>
    <s v="VERONICA DEL CARMEN ROMO CAMPOS"/>
    <n v="11227555"/>
    <s v="VERONICA DEL CARMEN ROMO CAMPOS"/>
    <d v="2025-03-01T00:00:00"/>
    <s v="DUPLICADO"/>
    <n v="920113883"/>
    <n v="65383917"/>
    <n v="13470"/>
    <n v="0"/>
    <n v="13470"/>
    <n v="0"/>
    <n v="13470"/>
    <n v="920113883"/>
    <n v="285123"/>
    <s v="CORP DE BIENESTAR DEL PERSONAL DE A F P"/>
    <d v="2025-03-01T00:00:00"/>
    <d v="2025-03-26T00:00:00"/>
    <d v="2025-02-18T00:00:00"/>
    <d v="2025-02-18T00:00:00"/>
    <s v="AMBULATORIOS"/>
    <n v="22770653"/>
    <n v="3311105"/>
    <n v="69250806"/>
    <s v="TRASSA"/>
    <n v="11227555"/>
    <n v="78070"/>
    <s v="SAL"/>
    <s v="AM04"/>
    <s v="EXAMENES DE LABORATORIO"/>
    <s v="EXAMENES DE LABORATORIO"/>
    <s v="EXAMENES DE LABORATORIO"/>
    <n v="0"/>
    <n v="0"/>
    <n v="96530470"/>
    <n v="3"/>
    <s v="SIN ISAPRE"/>
    <s v="VERONICA.ROMO@AFPHABITAT.CL"/>
    <s v="11227555|96530470|920113883|65383917"/>
    <s v="GASTO FISICO"/>
    <b v="0"/>
    <s v="DEPOSITADO EN CUENTA"/>
  </r>
  <r>
    <s v="12 DE SEPTIEMBRE DE 2025"/>
    <x v="203"/>
    <s v="VERONICA DEL CARMEN ROMO CAMPOS"/>
    <n v="11227555"/>
    <s v="VERONICA DEL CARMEN ROMO CAMPOS"/>
    <d v="2025-02-01T00:00:00"/>
    <s v="INICIAL"/>
    <n v="920113884"/>
    <n v="920113884"/>
    <n v="7430"/>
    <n v="2330"/>
    <n v="5100"/>
    <n v="0"/>
    <n v="5100"/>
    <n v="920113884"/>
    <n v="285123"/>
    <s v="CORP DE BIENESTAR DEL PERSONAL DE A F P"/>
    <d v="2025-02-18T00:00:00"/>
    <d v="2025-02-18T00:00:00"/>
    <d v="2025-02-18T00:00:00"/>
    <d v="2025-02-18T00:00:00"/>
    <s v="AMBULATORIOS"/>
    <n v="22621773"/>
    <n v="2250942"/>
    <n v="68910051"/>
    <s v="TRASSA"/>
    <n v="23022025"/>
    <n v="77703"/>
    <s v="SAL"/>
    <s v="AM04"/>
    <s v="EXAMENES DE LABORATORIO"/>
    <s v="EXAMENES DE LABORATORIO"/>
    <s v="EXAMENES DE LABORATORIO"/>
    <s v="IMED SALUD"/>
    <n v="0"/>
    <n v="96530470"/>
    <n v="3"/>
    <s v="FONASA"/>
    <s v="VERONICA.ROMO@AFPHABITAT.CL"/>
    <s v="11227555|96530470|920113884|920113884"/>
    <s v="IMED SALUD"/>
    <b v="1"/>
    <s v="APORTE VIA IMED"/>
  </r>
  <r>
    <s v="12 DE SEPTIEMBRE DE 2025"/>
    <x v="203"/>
    <s v="VERONICA DEL CARMEN ROMO CAMPOS"/>
    <n v="11227555"/>
    <s v="VERONICA DEL CARMEN ROMO CAMPOS"/>
    <d v="2025-03-01T00:00:00"/>
    <s v="DUPLICADO"/>
    <n v="920113884"/>
    <n v="65383918"/>
    <n v="3846"/>
    <n v="0"/>
    <n v="3846"/>
    <n v="0"/>
    <n v="3846"/>
    <n v="920113884"/>
    <n v="285123"/>
    <s v="CORP DE BIENESTAR DEL PERSONAL DE A F P"/>
    <d v="2025-03-01T00:00:00"/>
    <d v="2025-03-26T00:00:00"/>
    <d v="2025-02-18T00:00:00"/>
    <d v="2025-02-18T00:00:00"/>
    <s v="AMBULATORIOS"/>
    <n v="22770653"/>
    <n v="3311105"/>
    <n v="69250807"/>
    <s v="TRASSA"/>
    <n v="11227555"/>
    <n v="78070"/>
    <s v="SAL"/>
    <s v="AM04"/>
    <s v="EXAMENES DE LABORATORIO"/>
    <s v="EXAMENES DE LABORATORIO"/>
    <s v="EXAMENES DE LABORATORIO"/>
    <n v="0"/>
    <n v="0"/>
    <n v="96530470"/>
    <n v="3"/>
    <s v="SIN ISAPRE"/>
    <s v="VERONICA.ROMO@AFPHABITAT.CL"/>
    <s v="11227555|96530470|920113884|65383918"/>
    <s v="GASTO FISICO"/>
    <b v="0"/>
    <s v="DEPOSITADO EN CUENTA"/>
  </r>
  <r>
    <s v="12 DE SEPTIEMBRE DE 2025"/>
    <x v="198"/>
    <s v="ALEJANDRA ANDREA BUSTOS FLORES"/>
    <n v="25061160"/>
    <s v="AMANDA VIANA BUSTOS"/>
    <d v="2025-02-01T00:00:00"/>
    <s v="INICIAL"/>
    <n v="920183933"/>
    <n v="920183933"/>
    <n v="77400"/>
    <n v="24200"/>
    <n v="53200"/>
    <n v="0"/>
    <n v="53200"/>
    <n v="920183933"/>
    <n v="285123"/>
    <s v="CORP DE BIENESTAR DEL PERSONAL DE A F P"/>
    <d v="2025-02-18T00:00:00"/>
    <d v="2025-02-18T00:00:00"/>
    <d v="2025-02-18T00:00:00"/>
    <d v="2025-02-18T00:00:00"/>
    <s v="AMBULATORIOS"/>
    <n v="22621786"/>
    <n v="2250942"/>
    <n v="68910384"/>
    <s v="TRASSA"/>
    <n v="23022025"/>
    <n v="77703"/>
    <s v="SAL"/>
    <s v="AM05"/>
    <s v="EXAMENES RADIOLOGICOS"/>
    <s v="EXAMENES RADIOLOGICOS"/>
    <s v="EXAMENES RADIOLOGICOS"/>
    <s v="IMED SALUD"/>
    <n v="0"/>
    <n v="78317440"/>
    <n v="5"/>
    <s v="FONASA"/>
    <s v="ALEJANDRA.BUSTOS@AFPHABITAT.CL"/>
    <s v="13924168|78317440|920183933|920183933"/>
    <s v="IMED SALUD"/>
    <b v="1"/>
    <s v="APORTE VIA IMED"/>
  </r>
  <r>
    <s v="12 DE SEPTIEMBRE DE 2025"/>
    <x v="198"/>
    <s v="ALEJANDRA ANDREA BUSTOS FLORES"/>
    <n v="25061160"/>
    <s v="AMANDA VIANA BUSTOS"/>
    <d v="2025-03-01T00:00:00"/>
    <s v="DUPLICADO"/>
    <n v="920183933"/>
    <n v="65384156"/>
    <n v="45811"/>
    <n v="0"/>
    <n v="45811"/>
    <n v="0"/>
    <n v="45811"/>
    <n v="920183933"/>
    <n v="285123"/>
    <s v="CORP DE BIENESTAR DEL PERSONAL DE A F P"/>
    <d v="2025-03-01T00:00:00"/>
    <d v="2025-03-26T00:00:00"/>
    <d v="2025-02-18T00:00:00"/>
    <d v="2025-02-18T00:00:00"/>
    <s v="AMBULATORIOS"/>
    <n v="22770655"/>
    <n v="3311105"/>
    <n v="69251036"/>
    <s v="TRASSA"/>
    <n v="13924168"/>
    <n v="78070"/>
    <s v="SAL"/>
    <s v="AM05"/>
    <s v="EXAMENES RADIOLOGICOS"/>
    <s v="EXAMENES RADIOLOGICOS"/>
    <s v="EXAMENES RADIOLOGICOS"/>
    <n v="0"/>
    <n v="0"/>
    <n v="78317440"/>
    <n v="5"/>
    <s v="SIN ISAPRE"/>
    <s v="ALEJANDRA.BUSTOS@AFPHABITAT.CL"/>
    <s v="13924168|78317440|920183933|65384156"/>
    <s v="GASTO FISICO"/>
    <b v="0"/>
    <s v="DEPOSITADO EN CUENTA"/>
  </r>
  <r>
    <s v="12 DE SEPTIEMBRE DE 2025"/>
    <x v="185"/>
    <s v="JESSICA ZAMBRA MEDINA"/>
    <n v="10586495"/>
    <s v="JESSICA ZAMBRA MEDINA"/>
    <d v="2025-02-01T00:00:00"/>
    <s v="INICIAL"/>
    <n v="920195239"/>
    <n v="920195239"/>
    <n v="35460"/>
    <n v="19945"/>
    <n v="15515"/>
    <n v="0"/>
    <n v="15515"/>
    <n v="920195239"/>
    <n v="285123"/>
    <s v="CORP DE BIENESTAR DEL PERSONAL DE A F P"/>
    <d v="2025-02-18T00:00:00"/>
    <d v="2025-02-18T00:00:00"/>
    <d v="2025-02-18T00:00:00"/>
    <d v="2025-02-18T00:00:00"/>
    <s v="AMBULATORIOS"/>
    <n v="22621771"/>
    <n v="2250942"/>
    <n v="68910442"/>
    <s v="TRASSA"/>
    <n v="23022025"/>
    <n v="77703"/>
    <s v="SAL"/>
    <s v="AM05"/>
    <s v="EXAMENES RADIOLOGICOS"/>
    <s v="EXAMENES RADIOLOGICOS"/>
    <s v="EXAMENES RADIOLOGICOS"/>
    <s v="IMED SALUD"/>
    <n v="0"/>
    <n v="76098454"/>
    <s v="K"/>
    <s v="FONASA"/>
    <s v="JZAMBRA@AFPHABITAT.CL"/>
    <s v="10586495|76098454|920195239|920195239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20195239"/>
    <n v="65383876"/>
    <n v="11934"/>
    <n v="0"/>
    <n v="11934"/>
    <n v="0"/>
    <n v="11934"/>
    <n v="920195239"/>
    <n v="285123"/>
    <s v="CORP DE BIENESTAR DEL PERSONAL DE A F P"/>
    <d v="2025-03-01T00:00:00"/>
    <d v="2025-03-26T00:00:00"/>
    <d v="2025-02-18T00:00:00"/>
    <d v="2025-02-18T00:00:00"/>
    <s v="AMBULATORIOS"/>
    <n v="22770652"/>
    <n v="3311105"/>
    <n v="69250765"/>
    <s v="TRASSA"/>
    <n v="50964119"/>
    <n v="78070"/>
    <s v="SAL"/>
    <s v="AM05"/>
    <s v="EXAMENES RADIOLOGICOS"/>
    <s v="EXAMENES RADIOLOGICOS"/>
    <s v="EXAMENES RADIOLOGICOS"/>
    <n v="0"/>
    <n v="0"/>
    <n v="76098454"/>
    <s v="K"/>
    <s v="SIN ISAPRE"/>
    <s v="JZAMBRA@AFPHABITAT.CL"/>
    <s v="10586495|76098454|920195239|65383876"/>
    <s v="GASTO FISICO"/>
    <b v="0"/>
    <s v="DEPOSITADO EN CUENTA"/>
  </r>
  <r>
    <s v="12 DE SEPTIEMBRE DE 2025"/>
    <x v="185"/>
    <s v="JESSICA ZAMBRA MEDINA"/>
    <n v="10586495"/>
    <s v="JESSICA ZAMBRA MEDINA"/>
    <d v="2025-02-01T00:00:00"/>
    <s v="INICIAL"/>
    <n v="920195560"/>
    <n v="920195560"/>
    <n v="57520"/>
    <n v="32360"/>
    <n v="25160"/>
    <n v="0"/>
    <n v="25160"/>
    <n v="920195560"/>
    <n v="285123"/>
    <s v="CORP DE BIENESTAR DEL PERSONAL DE A F P"/>
    <d v="2025-02-18T00:00:00"/>
    <d v="2025-02-18T00:00:00"/>
    <d v="2025-02-18T00:00:00"/>
    <d v="2025-02-18T00:00:00"/>
    <s v="AMBULATORIOS"/>
    <n v="22621771"/>
    <n v="2250942"/>
    <n v="68910444"/>
    <s v="TRASSA"/>
    <n v="23022025"/>
    <n v="77703"/>
    <s v="SAL"/>
    <s v="AM07"/>
    <s v="PROCEDIMIENTOS TERAPEUTICOS"/>
    <s v="PROCEDIMIENTOS TERAPEUTICOS"/>
    <s v="PROCEDIMIENTOS TERAPEUTICOS"/>
    <s v="IMED SALUD"/>
    <n v="0"/>
    <n v="76098454"/>
    <s v="K"/>
    <s v="FONASA"/>
    <s v="JZAMBRA@AFPHABITAT.CL"/>
    <s v="10586495|76098454|920195560|920195560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20195560"/>
    <n v="65383877"/>
    <n v="20018"/>
    <n v="0"/>
    <n v="20018"/>
    <n v="0"/>
    <n v="20018"/>
    <n v="920195560"/>
    <n v="285123"/>
    <s v="CORP DE BIENESTAR DEL PERSONAL DE A F P"/>
    <d v="2025-03-01T00:00:00"/>
    <d v="2025-03-26T00:00:00"/>
    <d v="2025-02-18T00:00:00"/>
    <d v="2025-02-18T00:00:00"/>
    <s v="AMBULATORIOS"/>
    <n v="22770652"/>
    <n v="3311105"/>
    <n v="69250766"/>
    <s v="TRASSA"/>
    <n v="50964119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JZAMBRA@AFPHABITAT.CL"/>
    <s v="10586495|76098454|920195560|65383877"/>
    <s v="GASTO FISICO"/>
    <b v="0"/>
    <s v="DEPOSITADO EN CUENTA"/>
  </r>
  <r>
    <s v="12 DE SEPTIEMBRE DE 2025"/>
    <x v="204"/>
    <s v="ANA MILENA SANCHEZ VALDES"/>
    <n v="25682071"/>
    <s v="ANA MILENA SANCHEZ VALDES"/>
    <d v="2025-02-01T00:00:00"/>
    <s v="INICIAL"/>
    <n v="920227927"/>
    <n v="920227927"/>
    <n v="38780"/>
    <n v="12120"/>
    <n v="26660"/>
    <n v="0"/>
    <n v="26660"/>
    <n v="920227927"/>
    <n v="285123"/>
    <s v="CORP DE BIENESTAR DEL PERSONAL DE A F P"/>
    <d v="2025-02-19T00:00:00"/>
    <d v="2025-02-19T00:00:00"/>
    <d v="2025-02-19T00:00:00"/>
    <d v="2025-02-19T00:00:00"/>
    <s v="AMBULATORIOS"/>
    <n v="22621854"/>
    <n v="2250942"/>
    <n v="68910655"/>
    <s v="TRASSA"/>
    <n v="23022025"/>
    <n v="77703"/>
    <s v="SAL"/>
    <s v="AM04"/>
    <s v="EXAMENES DE LABORATORIO"/>
    <s v="EXAMENES DE LABORATORIO"/>
    <s v="EXAMENES DE LABORATORIO"/>
    <s v="IMED SALUD"/>
    <n v="0"/>
    <n v="77786070"/>
    <n v="4"/>
    <s v="FONASA"/>
    <s v="ANA.SANCHEZ@AFPHABITAT.CL"/>
    <s v="25682071|77786070|920227927|920227927"/>
    <s v="IMED SALUD"/>
    <b v="1"/>
    <s v="APORTE VIA IMED"/>
  </r>
  <r>
    <s v="12 DE SEPTIEMBRE DE 2025"/>
    <x v="204"/>
    <s v="ANA MILENA SANCHEZ VALDES"/>
    <n v="25682071"/>
    <s v="ANA MILENA SANCHEZ VALDES"/>
    <d v="2025-03-01T00:00:00"/>
    <s v="DUPLICADO"/>
    <n v="920227927"/>
    <n v="65384522"/>
    <n v="23489"/>
    <n v="0"/>
    <n v="23489"/>
    <n v="0"/>
    <n v="23489"/>
    <n v="920227927"/>
    <n v="285123"/>
    <s v="CORP DE BIENESTAR DEL PERSONAL DE A F P"/>
    <d v="2025-03-01T00:00:00"/>
    <d v="2025-03-26T00:00:00"/>
    <d v="2025-02-19T00:00:00"/>
    <d v="2025-02-19T00:00:00"/>
    <s v="AMBULATORIOS"/>
    <n v="22770674"/>
    <n v="3311105"/>
    <n v="69251385"/>
    <s v="TRASSA"/>
    <n v="19992243180"/>
    <n v="78070"/>
    <s v="SAL"/>
    <s v="AM04"/>
    <s v="EXAMENES DE LABORATORIO"/>
    <s v="EXAMENES DE LABORATORIO"/>
    <s v="EXAMENES DE LABORATORIO"/>
    <n v="0"/>
    <n v="0"/>
    <n v="77786070"/>
    <n v="4"/>
    <s v="SIN ISAPRE"/>
    <s v="ANA.SANCHEZ@AFPHABITAT.CL"/>
    <s v="25682071|77786070|920227927|65384522"/>
    <s v="GASTO FISICO"/>
    <b v="0"/>
    <s v="DEPOSITADO EN CUENTA"/>
  </r>
  <r>
    <s v="12 DE SEPTIEMBRE DE 2025"/>
    <x v="204"/>
    <s v="ANA MILENA SANCHEZ VALDES"/>
    <n v="25682071"/>
    <s v="ANA MILENA SANCHEZ VALDES"/>
    <d v="2025-02-01T00:00:00"/>
    <s v="INICIAL"/>
    <n v="920227928"/>
    <n v="920227928"/>
    <n v="90610"/>
    <n v="28340"/>
    <n v="62270"/>
    <n v="0"/>
    <n v="62270"/>
    <n v="920227928"/>
    <n v="285123"/>
    <s v="CORP DE BIENESTAR DEL PERSONAL DE A F P"/>
    <d v="2025-02-19T00:00:00"/>
    <d v="2025-02-19T00:00:00"/>
    <d v="2025-02-19T00:00:00"/>
    <d v="2025-02-19T00:00:00"/>
    <s v="AMBULATORIOS"/>
    <n v="22621854"/>
    <n v="2250942"/>
    <n v="68910654"/>
    <s v="TRASSA"/>
    <n v="23022025"/>
    <n v="77703"/>
    <s v="SAL"/>
    <s v="AM04"/>
    <s v="EXAMENES DE LABORATORIO"/>
    <s v="EXAMENES DE LABORATORIO"/>
    <s v="EXAMENES DE LABORATORIO"/>
    <s v="IMED SALUD"/>
    <n v="0"/>
    <n v="77786070"/>
    <n v="4"/>
    <s v="FONASA"/>
    <s v="ANA.SANCHEZ@AFPHABITAT.CL"/>
    <s v="25682071|77786070|920227928|920227928"/>
    <s v="IMED SALUD"/>
    <b v="1"/>
    <s v="APORTE VIA IMED"/>
  </r>
  <r>
    <s v="12 DE SEPTIEMBRE DE 2025"/>
    <x v="204"/>
    <s v="ANA MILENA SANCHEZ VALDES"/>
    <n v="25682071"/>
    <s v="ANA MILENA SANCHEZ VALDES"/>
    <d v="2025-03-01T00:00:00"/>
    <s v="DUPLICADO"/>
    <n v="920227928"/>
    <n v="65384523"/>
    <n v="54300"/>
    <n v="0"/>
    <n v="54300"/>
    <n v="0"/>
    <n v="54300"/>
    <n v="920227928"/>
    <n v="285123"/>
    <s v="CORP DE BIENESTAR DEL PERSONAL DE A F P"/>
    <d v="2025-03-01T00:00:00"/>
    <d v="2025-03-26T00:00:00"/>
    <d v="2025-02-19T00:00:00"/>
    <d v="2025-02-19T00:00:00"/>
    <s v="AMBULATORIOS"/>
    <n v="22770674"/>
    <n v="3311105"/>
    <n v="69251386"/>
    <s v="TRASSA"/>
    <n v="19992243180"/>
    <n v="78070"/>
    <s v="SAL"/>
    <s v="AM04"/>
    <s v="EXAMENES DE LABORATORIO"/>
    <s v="EXAMENES DE LABORATORIO"/>
    <s v="EXAMENES DE LABORATORIO"/>
    <n v="0"/>
    <n v="0"/>
    <n v="77786070"/>
    <n v="4"/>
    <s v="SIN ISAPRE"/>
    <s v="ANA.SANCHEZ@AFPHABITAT.CL"/>
    <s v="25682071|77786070|920227928|65384523"/>
    <s v="GASTO FISICO"/>
    <b v="0"/>
    <s v="DEPOSITADO EN CUENTA"/>
  </r>
  <r>
    <s v="12 DE SEPTIEMBRE DE 2025"/>
    <x v="204"/>
    <s v="ANA MILENA SANCHEZ VALDES"/>
    <n v="25682071"/>
    <s v="ANA MILENA SANCHEZ VALDES"/>
    <d v="2025-02-01T00:00:00"/>
    <s v="INICIAL"/>
    <n v="920227929"/>
    <n v="920227929"/>
    <n v="1360"/>
    <n v="430"/>
    <n v="930"/>
    <n v="0"/>
    <n v="930"/>
    <n v="920227929"/>
    <n v="285123"/>
    <s v="CORP DE BIENESTAR DEL PERSONAL DE A F P"/>
    <d v="2025-02-19T00:00:00"/>
    <d v="2025-02-19T00:00:00"/>
    <d v="2025-02-19T00:00:00"/>
    <d v="2025-02-19T00:00:00"/>
    <s v="AMBULATORIOS"/>
    <n v="22621854"/>
    <n v="2250942"/>
    <n v="68910653"/>
    <s v="TRASSA"/>
    <n v="23022025"/>
    <n v="77703"/>
    <s v="SAL"/>
    <s v="AM04"/>
    <s v="EXAMENES DE LABORATORIO"/>
    <s v="EXAMENES DE LABORATORIO"/>
    <s v="EXAMENES DE LABORATORIO"/>
    <s v="IMED SALUD"/>
    <n v="0"/>
    <n v="77786070"/>
    <n v="4"/>
    <s v="FONASA"/>
    <s v="ANA.SANCHEZ@AFPHABITAT.CL"/>
    <s v="25682071|77786070|920227929|920227929"/>
    <s v="IMED SALUD"/>
    <b v="1"/>
    <s v="APORTE VIA IMED"/>
  </r>
  <r>
    <s v="12 DE SEPTIEMBRE DE 2025"/>
    <x v="204"/>
    <s v="ANA MILENA SANCHEZ VALDES"/>
    <n v="25682071"/>
    <s v="ANA MILENA SANCHEZ VALDES"/>
    <d v="2025-03-01T00:00:00"/>
    <s v="DUPLICADO"/>
    <n v="920227929"/>
    <n v="65384524"/>
    <n v="770"/>
    <n v="0"/>
    <n v="770"/>
    <n v="0"/>
    <n v="770"/>
    <n v="920227929"/>
    <n v="285123"/>
    <s v="CORP DE BIENESTAR DEL PERSONAL DE A F P"/>
    <d v="2025-03-01T00:00:00"/>
    <d v="2025-03-26T00:00:00"/>
    <d v="2025-02-19T00:00:00"/>
    <d v="2025-02-19T00:00:00"/>
    <s v="AMBULATORIOS"/>
    <n v="22770674"/>
    <n v="3311105"/>
    <n v="69251387"/>
    <s v="TRASSA"/>
    <n v="19992243180"/>
    <n v="78070"/>
    <s v="SAL"/>
    <s v="AM04"/>
    <s v="EXAMENES DE LABORATORIO"/>
    <s v="EXAMENES DE LABORATORIO"/>
    <s v="EXAMENES DE LABORATORIO"/>
    <n v="0"/>
    <n v="0"/>
    <n v="77786070"/>
    <n v="4"/>
    <s v="SIN ISAPRE"/>
    <s v="ANA.SANCHEZ@AFPHABITAT.CL"/>
    <s v="25682071|77786070|920227929|65384524"/>
    <s v="GASTO FISICO"/>
    <b v="0"/>
    <s v="DEPOSITADO EN CUENTA"/>
  </r>
  <r>
    <s v="12 DE SEPTIEMBRE DE 2025"/>
    <x v="205"/>
    <s v="MAURICIO ANTONIO SALINAS ASTORGA"/>
    <n v="11161648"/>
    <s v="MAURICIO ANTONIO SALINAS ASTORGA"/>
    <d v="2025-02-01T00:00:00"/>
    <s v="INICIAL"/>
    <n v="920230877"/>
    <n v="920230877"/>
    <n v="50750"/>
    <n v="15870"/>
    <n v="34880"/>
    <n v="0"/>
    <n v="34880"/>
    <n v="920230877"/>
    <n v="285123"/>
    <s v="CORP DE BIENESTAR DEL PERSONAL DE A F P"/>
    <d v="2025-02-19T00:00:00"/>
    <d v="2025-02-19T00:00:00"/>
    <d v="2025-02-19T00:00:00"/>
    <d v="2025-02-19T00:00:00"/>
    <s v="AMBULATORIOS"/>
    <n v="22621818"/>
    <n v="2250942"/>
    <n v="68910676"/>
    <s v="TRASSA"/>
    <n v="23022025"/>
    <n v="77703"/>
    <s v="SAL"/>
    <s v="AM04"/>
    <s v="EXAMENES DE LABORATORIO"/>
    <s v="EXAMENES DE LABORATORIO"/>
    <s v="EXAMENES DE LABORATORIO"/>
    <s v="IMED SALUD"/>
    <n v="0"/>
    <n v="77148750"/>
    <n v="5"/>
    <s v="FONASA"/>
    <s v="MSALINAS@AFPHABITAT.CL"/>
    <s v="11161648|77148750|920230877|920230877"/>
    <s v="IMED SALUD"/>
    <b v="1"/>
    <s v="APORTE VIA IMED"/>
  </r>
  <r>
    <s v="12 DE SEPTIEMBRE DE 2025"/>
    <x v="205"/>
    <s v="MAURICIO ANTONIO SALINAS ASTORGA"/>
    <n v="11161648"/>
    <s v="MAURICIO ANTONIO SALINAS ASTORGA"/>
    <d v="2025-03-01T00:00:00"/>
    <s v="DUPLICADO"/>
    <n v="920230877"/>
    <n v="65383912"/>
    <n v="30421"/>
    <n v="0"/>
    <n v="30421"/>
    <n v="0"/>
    <n v="30421"/>
    <n v="920230877"/>
    <n v="285123"/>
    <s v="CORP DE BIENESTAR DEL PERSONAL DE A F P"/>
    <d v="2025-03-01T00:00:00"/>
    <d v="2025-03-26T00:00:00"/>
    <d v="2025-02-19T00:00:00"/>
    <d v="2025-02-19T00:00:00"/>
    <s v="AMBULATORIOS"/>
    <n v="22770665"/>
    <n v="3311105"/>
    <n v="69250801"/>
    <s v="TRASSA"/>
    <n v="64139355"/>
    <n v="78070"/>
    <s v="SAL"/>
    <s v="AM04"/>
    <s v="EXAMENES DE LABORATORIO"/>
    <s v="EXAMENES DE LABORATORIO"/>
    <s v="EXAMENES DE LABORATORIO"/>
    <n v="0"/>
    <n v="0"/>
    <n v="77148750"/>
    <n v="5"/>
    <s v="SIN ISAPRE"/>
    <s v="MSALINAS@AFPHABITAT.CL"/>
    <s v="11161648|77148750|920230877|65383912"/>
    <s v="GASTO FISICO"/>
    <b v="0"/>
    <s v="DEPOSITADO EN CUENTA"/>
  </r>
  <r>
    <s v="12 DE SEPTIEMBRE DE 2025"/>
    <x v="205"/>
    <s v="MAURICIO ANTONIO SALINAS ASTORGA"/>
    <n v="11161648"/>
    <s v="MAURICIO ANTONIO SALINAS ASTORGA"/>
    <d v="2025-02-01T00:00:00"/>
    <s v="INICIAL"/>
    <n v="920230878"/>
    <n v="920230878"/>
    <n v="28030"/>
    <n v="8770"/>
    <n v="19260"/>
    <n v="0"/>
    <n v="19260"/>
    <n v="920230878"/>
    <n v="285123"/>
    <s v="CORP DE BIENESTAR DEL PERSONAL DE A F P"/>
    <d v="2025-02-19T00:00:00"/>
    <d v="2025-02-19T00:00:00"/>
    <d v="2025-02-19T00:00:00"/>
    <d v="2025-02-19T00:00:00"/>
    <s v="AMBULATORIOS"/>
    <n v="22621818"/>
    <n v="2250942"/>
    <n v="68910675"/>
    <s v="TRASSA"/>
    <n v="23022025"/>
    <n v="77703"/>
    <s v="SAL"/>
    <s v="AM04"/>
    <s v="EXAMENES DE LABORATORIO"/>
    <s v="EXAMENES DE LABORATORIO"/>
    <s v="EXAMENES DE LABORATORIO"/>
    <s v="IMED SALUD"/>
    <n v="0"/>
    <n v="77148750"/>
    <n v="5"/>
    <s v="FONASA"/>
    <s v="MSALINAS@AFPHABITAT.CL"/>
    <s v="11161648|77148750|920230878|920230878"/>
    <s v="IMED SALUD"/>
    <b v="1"/>
    <s v="APORTE VIA IMED"/>
  </r>
  <r>
    <s v="12 DE SEPTIEMBRE DE 2025"/>
    <x v="205"/>
    <s v="MAURICIO ANTONIO SALINAS ASTORGA"/>
    <n v="11161648"/>
    <s v="MAURICIO ANTONIO SALINAS ASTORGA"/>
    <d v="2025-03-01T00:00:00"/>
    <s v="DUPLICADO"/>
    <n v="920230878"/>
    <n v="65383913"/>
    <n v="16558"/>
    <n v="0"/>
    <n v="16558"/>
    <n v="0"/>
    <n v="16558"/>
    <n v="920230878"/>
    <n v="285123"/>
    <s v="CORP DE BIENESTAR DEL PERSONAL DE A F P"/>
    <d v="2025-03-01T00:00:00"/>
    <d v="2025-03-26T00:00:00"/>
    <d v="2025-02-19T00:00:00"/>
    <d v="2025-02-19T00:00:00"/>
    <s v="AMBULATORIOS"/>
    <n v="22770665"/>
    <n v="3311105"/>
    <n v="69250802"/>
    <s v="TRASSA"/>
    <n v="64139355"/>
    <n v="78070"/>
    <s v="SAL"/>
    <s v="AM04"/>
    <s v="EXAMENES DE LABORATORIO"/>
    <s v="EXAMENES DE LABORATORIO"/>
    <s v="EXAMENES DE LABORATORIO"/>
    <n v="0"/>
    <n v="0"/>
    <n v="77148750"/>
    <n v="5"/>
    <s v="SIN ISAPRE"/>
    <s v="MSALINAS@AFPHABITAT.CL"/>
    <s v="11161648|77148750|920230878|65383913"/>
    <s v="GASTO FISICO"/>
    <b v="0"/>
    <s v="DEPOSITADO EN CUENTA"/>
  </r>
  <r>
    <s v="12 DE SEPTIEMBRE DE 2025"/>
    <x v="205"/>
    <s v="MAURICIO ANTONIO SALINAS ASTORGA"/>
    <n v="11161648"/>
    <s v="MAURICIO ANTONIO SALINAS ASTORGA"/>
    <d v="2025-02-01T00:00:00"/>
    <s v="INICIAL"/>
    <n v="920230879"/>
    <n v="920230879"/>
    <n v="15460"/>
    <n v="4840"/>
    <n v="10620"/>
    <n v="0"/>
    <n v="10620"/>
    <n v="920230879"/>
    <n v="285123"/>
    <s v="CORP DE BIENESTAR DEL PERSONAL DE A F P"/>
    <d v="2025-02-19T00:00:00"/>
    <d v="2025-02-19T00:00:00"/>
    <d v="2025-02-19T00:00:00"/>
    <d v="2025-02-19T00:00:00"/>
    <s v="AMBULATORIOS"/>
    <n v="22621818"/>
    <n v="2250942"/>
    <n v="68910674"/>
    <s v="TRASSA"/>
    <n v="23022025"/>
    <n v="77703"/>
    <s v="SAL"/>
    <s v="AM04"/>
    <s v="EXAMENES DE LABORATORIO"/>
    <s v="EXAMENES DE LABORATORIO"/>
    <s v="EXAMENES DE LABORATORIO"/>
    <s v="IMED SALUD"/>
    <n v="0"/>
    <n v="77148750"/>
    <n v="5"/>
    <s v="FONASA"/>
    <s v="MSALINAS@AFPHABITAT.CL"/>
    <s v="11161648|77148750|920230879|920230879"/>
    <s v="IMED SALUD"/>
    <b v="1"/>
    <s v="APORTE VIA IMED"/>
  </r>
  <r>
    <s v="12 DE SEPTIEMBRE DE 2025"/>
    <x v="205"/>
    <s v="MAURICIO ANTONIO SALINAS ASTORGA"/>
    <n v="11161648"/>
    <s v="MAURICIO ANTONIO SALINAS ASTORGA"/>
    <d v="2025-03-01T00:00:00"/>
    <s v="DUPLICADO"/>
    <n v="920230879"/>
    <n v="65383914"/>
    <n v="8857"/>
    <n v="0"/>
    <n v="8857"/>
    <n v="0"/>
    <n v="8857"/>
    <n v="920230879"/>
    <n v="285123"/>
    <s v="CORP DE BIENESTAR DEL PERSONAL DE A F P"/>
    <d v="2025-03-01T00:00:00"/>
    <d v="2025-03-26T00:00:00"/>
    <d v="2025-02-19T00:00:00"/>
    <d v="2025-02-19T00:00:00"/>
    <s v="AMBULATORIOS"/>
    <n v="22770665"/>
    <n v="3311105"/>
    <n v="69250803"/>
    <s v="TRASSA"/>
    <n v="64139355"/>
    <n v="78070"/>
    <s v="SAL"/>
    <s v="AM04"/>
    <s v="EXAMENES DE LABORATORIO"/>
    <s v="EXAMENES DE LABORATORIO"/>
    <s v="EXAMENES DE LABORATORIO"/>
    <n v="0"/>
    <n v="0"/>
    <n v="77148750"/>
    <n v="5"/>
    <s v="SIN ISAPRE"/>
    <s v="MSALINAS@AFPHABITAT.CL"/>
    <s v="11161648|77148750|920230879|65383914"/>
    <s v="GASTO FISICO"/>
    <b v="0"/>
    <s v="DEPOSITADO EN CUENTA"/>
  </r>
  <r>
    <s v="12 DE SEPTIEMBRE DE 2025"/>
    <x v="206"/>
    <s v="MARIA OLGA CONTRERAS ROCO"/>
    <n v="17186397"/>
    <s v="MARIA OLGA CONTRERAS ROCO"/>
    <d v="2025-02-01T00:00:00"/>
    <s v="INICIAL"/>
    <n v="920260359"/>
    <n v="920260359"/>
    <n v="32530"/>
    <n v="10180"/>
    <n v="22350"/>
    <n v="0"/>
    <n v="22350"/>
    <n v="920260359"/>
    <n v="285123"/>
    <s v="CORP DE BIENESTAR DEL PERSONAL DE A F P"/>
    <d v="2025-02-19T00:00:00"/>
    <d v="2025-02-19T00:00:00"/>
    <d v="2025-02-19T00:00:00"/>
    <d v="2025-02-19T00:00:00"/>
    <s v="AMBULATORIOS"/>
    <n v="22621848"/>
    <n v="2250942"/>
    <n v="68910844"/>
    <s v="TRASSA"/>
    <n v="23022025"/>
    <n v="77703"/>
    <s v="SAL"/>
    <s v="AM04"/>
    <s v="EXAMENES DE LABORATORIO"/>
    <s v="EXAMENES DE LABORATORIO"/>
    <s v="EXAMENES DE LABORATORIO"/>
    <s v="IMED SALUD"/>
    <n v="0"/>
    <n v="76842600"/>
    <n v="7"/>
    <s v="FONASA"/>
    <s v="MARIA.CONTRERAS@AFPHABITAT.CL"/>
    <s v="17186397|76842600|920260359|920260359"/>
    <s v="IMED SALUD"/>
    <b v="1"/>
    <s v="APORTE VIA IMED"/>
  </r>
  <r>
    <s v="12 DE SEPTIEMBRE DE 2025"/>
    <x v="206"/>
    <s v="MARIA OLGA CONTRERAS ROCO"/>
    <n v="17186397"/>
    <s v="MARIA OLGA CONTRERAS ROCO"/>
    <d v="2025-03-01T00:00:00"/>
    <s v="DUPLICADO"/>
    <n v="920260359"/>
    <n v="65384406"/>
    <n v="18868"/>
    <n v="0"/>
    <n v="18868"/>
    <n v="0"/>
    <n v="18868"/>
    <n v="920260359"/>
    <n v="285123"/>
    <s v="CORP DE BIENESTAR DEL PERSONAL DE A F P"/>
    <d v="2025-03-01T00:00:00"/>
    <d v="2025-03-26T00:00:00"/>
    <d v="2025-02-19T00:00:00"/>
    <d v="2025-02-19T00:00:00"/>
    <s v="AMBULATORIOS"/>
    <n v="22770672"/>
    <n v="3311105"/>
    <n v="69251279"/>
    <s v="TRASSA"/>
    <n v="19840561578"/>
    <n v="78070"/>
    <s v="SAL"/>
    <s v="AM04"/>
    <s v="EXAMENES DE LABORATORIO"/>
    <s v="EXAMENES DE LABORATORIO"/>
    <s v="EXAMENES DE LABORATORIO"/>
    <n v="0"/>
    <n v="0"/>
    <n v="76842600"/>
    <n v="7"/>
    <s v="SIN ISAPRE"/>
    <s v="MARIA.CONTRERAS@AFPHABITAT.CL"/>
    <s v="17186397|76842600|920260359|65384406"/>
    <s v="GASTO FISICO"/>
    <b v="0"/>
    <s v="DEPOSITADO EN CUENTA"/>
  </r>
  <r>
    <s v="12 DE SEPTIEMBRE DE 2025"/>
    <x v="206"/>
    <s v="MARIA OLGA CONTRERAS ROCO"/>
    <n v="17186397"/>
    <s v="MARIA OLGA CONTRERAS ROCO"/>
    <d v="2025-02-01T00:00:00"/>
    <s v="INICIAL"/>
    <n v="920260360"/>
    <n v="920260360"/>
    <n v="8370"/>
    <n v="2620"/>
    <n v="5750"/>
    <n v="0"/>
    <n v="5750"/>
    <n v="920260360"/>
    <n v="285123"/>
    <s v="CORP DE BIENESTAR DEL PERSONAL DE A F P"/>
    <d v="2025-02-19T00:00:00"/>
    <d v="2025-02-19T00:00:00"/>
    <d v="2025-02-19T00:00:00"/>
    <d v="2025-02-19T00:00:00"/>
    <s v="AMBULATORIOS"/>
    <n v="22621848"/>
    <n v="2250942"/>
    <n v="68910843"/>
    <s v="TRASSA"/>
    <n v="23022025"/>
    <n v="77703"/>
    <s v="SAL"/>
    <s v="AM04"/>
    <s v="EXAMENES DE LABORATORIO"/>
    <s v="EXAMENES DE LABORATORIO"/>
    <s v="EXAMENES DE LABORATORIO"/>
    <s v="IMED SALUD"/>
    <n v="0"/>
    <n v="76842600"/>
    <n v="7"/>
    <s v="FONASA"/>
    <s v="MARIA.CONTRERAS@AFPHABITAT.CL"/>
    <s v="17186397|76842600|920260360|920260360"/>
    <s v="IMED SALUD"/>
    <b v="1"/>
    <s v="APORTE VIA IMED"/>
  </r>
  <r>
    <s v="12 DE SEPTIEMBRE DE 2025"/>
    <x v="206"/>
    <s v="MARIA OLGA CONTRERAS ROCO"/>
    <n v="17186397"/>
    <s v="MARIA OLGA CONTRERAS ROCO"/>
    <d v="2025-03-01T00:00:00"/>
    <s v="DUPLICADO"/>
    <n v="920260360"/>
    <n v="65384407"/>
    <n v="5391"/>
    <n v="0"/>
    <n v="5391"/>
    <n v="0"/>
    <n v="5391"/>
    <n v="920260360"/>
    <n v="285123"/>
    <s v="CORP DE BIENESTAR DEL PERSONAL DE A F P"/>
    <d v="2025-03-01T00:00:00"/>
    <d v="2025-03-26T00:00:00"/>
    <d v="2025-02-19T00:00:00"/>
    <d v="2025-02-19T00:00:00"/>
    <s v="AMBULATORIOS"/>
    <n v="22770672"/>
    <n v="3311105"/>
    <n v="69251280"/>
    <s v="TRASSA"/>
    <n v="19840561578"/>
    <n v="78070"/>
    <s v="SAL"/>
    <s v="AM04"/>
    <s v="EXAMENES DE LABORATORIO"/>
    <s v="EXAMENES DE LABORATORIO"/>
    <s v="EXAMENES DE LABORATORIO"/>
    <n v="0"/>
    <n v="0"/>
    <n v="76842600"/>
    <n v="7"/>
    <s v="SIN ISAPRE"/>
    <s v="MARIA.CONTRERAS@AFPHABITAT.CL"/>
    <s v="17186397|76842600|920260360|65384407"/>
    <s v="GASTO FISICO"/>
    <b v="0"/>
    <s v="DEPOSITADO EN CUENTA"/>
  </r>
  <r>
    <s v="12 DE SEPTIEMBRE DE 2025"/>
    <x v="207"/>
    <s v="MARISA JACQUELINE CARVAJAL ARAYA"/>
    <n v="10240460"/>
    <s v="MARISA JACQUELINE CARVAJAL ARAYA"/>
    <d v="2025-02-01T00:00:00"/>
    <s v="INICIAL"/>
    <n v="920276428"/>
    <n v="920276428"/>
    <n v="38590"/>
    <n v="12070"/>
    <n v="26520"/>
    <n v="0"/>
    <n v="26520"/>
    <n v="920276428"/>
    <n v="285123"/>
    <s v="CORP DE BIENESTAR DEL PERSONAL DE A F P"/>
    <d v="2025-02-19T00:00:00"/>
    <d v="2025-02-19T00:00:00"/>
    <d v="2025-02-19T00:00:00"/>
    <d v="2025-02-19T00:00:00"/>
    <s v="AMBULATORIOS"/>
    <n v="22621815"/>
    <n v="2250942"/>
    <n v="68910924"/>
    <s v="TRASSA"/>
    <n v="23022025"/>
    <n v="77703"/>
    <s v="SAL"/>
    <s v="AM04"/>
    <s v="EXAMENES DE LABORATORIO"/>
    <s v="EXAMENES DE LABORATORIO"/>
    <s v="EXAMENES DE LABORATORIO"/>
    <s v="IMED SALUD"/>
    <n v="0"/>
    <n v="96986050"/>
    <n v="3"/>
    <s v="FONASA"/>
    <s v="MARISA.CARVAJAL@AFPHABITAT.CL"/>
    <s v="10240460|96986050|920276428|920276428"/>
    <s v="IMED SALUD"/>
    <b v="1"/>
    <s v="APORTE VIA IMED"/>
  </r>
  <r>
    <s v="12 DE SEPTIEMBRE DE 2025"/>
    <x v="207"/>
    <s v="MARISA JACQUELINE CARVAJAL ARAYA"/>
    <n v="10240460"/>
    <s v="MARISA JACQUELINE CARVAJAL ARAYA"/>
    <d v="2025-03-01T00:00:00"/>
    <s v="DUPLICADO"/>
    <n v="920276428"/>
    <n v="65383814"/>
    <n v="23104"/>
    <n v="0"/>
    <n v="23104"/>
    <n v="0"/>
    <n v="23104"/>
    <n v="920276428"/>
    <n v="285123"/>
    <s v="CORP DE BIENESTAR DEL PERSONAL DE A F P"/>
    <d v="2025-03-01T00:00:00"/>
    <d v="2025-03-26T00:00:00"/>
    <d v="2025-02-19T00:00:00"/>
    <d v="2025-02-19T00:00:00"/>
    <s v="AMBULATORIOS"/>
    <n v="22770663"/>
    <n v="3311105"/>
    <n v="69250703"/>
    <s v="TRASSA"/>
    <n v="210927782"/>
    <n v="78070"/>
    <s v="SAL"/>
    <s v="AM04"/>
    <s v="EXAMENES DE LABORATORIO"/>
    <s v="EXAMENES DE LABORATORIO"/>
    <s v="EXAMENES DE LABORATORIO"/>
    <n v="0"/>
    <n v="0"/>
    <n v="96986050"/>
    <n v="3"/>
    <s v="SIN ISAPRE"/>
    <s v="MARISA.CARVAJAL@AFPHABITAT.CL"/>
    <s v="10240460|96986050|920276428|65383814"/>
    <s v="GASTO FISICO"/>
    <b v="0"/>
    <s v="DEPOSITADO EN CUENTA"/>
  </r>
  <r>
    <s v="12 DE SEPTIEMBRE DE 2025"/>
    <x v="207"/>
    <s v="MARISA JACQUELINE CARVAJAL ARAYA"/>
    <n v="10240460"/>
    <s v="MARISA JACQUELINE CARVAJAL ARAYA"/>
    <d v="2025-02-01T00:00:00"/>
    <s v="INICIAL"/>
    <n v="920276429"/>
    <n v="920276429"/>
    <n v="27010"/>
    <n v="8450"/>
    <n v="18560"/>
    <n v="0"/>
    <n v="18560"/>
    <n v="920276429"/>
    <n v="285123"/>
    <s v="CORP DE BIENESTAR DEL PERSONAL DE A F P"/>
    <d v="2025-02-19T00:00:00"/>
    <d v="2025-02-19T00:00:00"/>
    <d v="2025-02-19T00:00:00"/>
    <d v="2025-02-19T00:00:00"/>
    <s v="AMBULATORIOS"/>
    <n v="22621815"/>
    <n v="2250942"/>
    <n v="68910923"/>
    <s v="TRASSA"/>
    <n v="23022025"/>
    <n v="77703"/>
    <s v="SAL"/>
    <s v="AM04"/>
    <s v="EXAMENES DE LABORATORIO"/>
    <s v="EXAMENES DE LABORATORIO"/>
    <s v="EXAMENES DE LABORATORIO"/>
    <s v="IMED SALUD"/>
    <n v="0"/>
    <n v="96986050"/>
    <n v="3"/>
    <s v="FONASA"/>
    <s v="MARISA.CARVAJAL@AFPHABITAT.CL"/>
    <s v="10240460|96986050|920276429|920276429"/>
    <s v="IMED SALUD"/>
    <b v="1"/>
    <s v="APORTE VIA IMED"/>
  </r>
  <r>
    <s v="12 DE SEPTIEMBRE DE 2025"/>
    <x v="207"/>
    <s v="MARISA JACQUELINE CARVAJAL ARAYA"/>
    <n v="10240460"/>
    <s v="MARISA JACQUELINE CARVAJAL ARAYA"/>
    <d v="2025-03-01T00:00:00"/>
    <s v="DUPLICADO"/>
    <n v="920276429"/>
    <n v="65383815"/>
    <n v="15788"/>
    <n v="0"/>
    <n v="15788"/>
    <n v="0"/>
    <n v="15788"/>
    <n v="920276429"/>
    <n v="285123"/>
    <s v="CORP DE BIENESTAR DEL PERSONAL DE A F P"/>
    <d v="2025-03-01T00:00:00"/>
    <d v="2025-03-26T00:00:00"/>
    <d v="2025-02-19T00:00:00"/>
    <d v="2025-02-19T00:00:00"/>
    <s v="AMBULATORIOS"/>
    <n v="22770663"/>
    <n v="3311105"/>
    <n v="69250704"/>
    <s v="TRASSA"/>
    <n v="210927782"/>
    <n v="78070"/>
    <s v="SAL"/>
    <s v="AM04"/>
    <s v="EXAMENES DE LABORATORIO"/>
    <s v="EXAMENES DE LABORATORIO"/>
    <s v="EXAMENES DE LABORATORIO"/>
    <n v="0"/>
    <n v="0"/>
    <n v="96986050"/>
    <n v="3"/>
    <s v="SIN ISAPRE"/>
    <s v="MARISA.CARVAJAL@AFPHABITAT.CL"/>
    <s v="10240460|96986050|920276429|65383815"/>
    <s v="GASTO FISICO"/>
    <b v="0"/>
    <s v="DEPOSITADO EN CUENTA"/>
  </r>
  <r>
    <s v="12 DE SEPTIEMBRE DE 2025"/>
    <x v="207"/>
    <s v="MARISA JACQUELINE CARVAJAL ARAYA"/>
    <n v="10240460"/>
    <s v="MARISA JACQUELINE CARVAJAL ARAYA"/>
    <d v="2025-02-01T00:00:00"/>
    <s v="INICIAL"/>
    <n v="920276430"/>
    <n v="920276430"/>
    <n v="33400"/>
    <n v="10450"/>
    <n v="22950"/>
    <n v="0"/>
    <n v="22950"/>
    <n v="920276430"/>
    <n v="285123"/>
    <s v="CORP DE BIENESTAR DEL PERSONAL DE A F P"/>
    <d v="2025-02-19T00:00:00"/>
    <d v="2025-02-19T00:00:00"/>
    <d v="2025-02-19T00:00:00"/>
    <d v="2025-02-19T00:00:00"/>
    <s v="AMBULATORIOS"/>
    <n v="22621815"/>
    <n v="2250942"/>
    <n v="68910922"/>
    <s v="TRASSA"/>
    <n v="23022025"/>
    <n v="77703"/>
    <s v="SAL"/>
    <s v="AM04"/>
    <s v="EXAMENES DE LABORATORIO"/>
    <s v="EXAMENES DE LABORATORIO"/>
    <s v="EXAMENES DE LABORATORIO"/>
    <s v="IMED SALUD"/>
    <n v="0"/>
    <n v="96986050"/>
    <n v="3"/>
    <s v="FONASA"/>
    <s v="MARISA.CARVAJAL@AFPHABITAT.CL"/>
    <s v="10240460|96986050|920276430|920276430"/>
    <s v="IMED SALUD"/>
    <b v="1"/>
    <s v="APORTE VIA IMED"/>
  </r>
  <r>
    <s v="12 DE SEPTIEMBRE DE 2025"/>
    <x v="207"/>
    <s v="MARISA JACQUELINE CARVAJAL ARAYA"/>
    <n v="10240460"/>
    <s v="MARISA JACQUELINE CARVAJAL ARAYA"/>
    <d v="2025-03-01T00:00:00"/>
    <s v="DUPLICADO"/>
    <n v="920276430"/>
    <n v="65383816"/>
    <n v="20408"/>
    <n v="0"/>
    <n v="20408"/>
    <n v="0"/>
    <n v="20408"/>
    <n v="920276430"/>
    <n v="285123"/>
    <s v="CORP DE BIENESTAR DEL PERSONAL DE A F P"/>
    <d v="2025-03-01T00:00:00"/>
    <d v="2025-03-26T00:00:00"/>
    <d v="2025-02-19T00:00:00"/>
    <d v="2025-02-19T00:00:00"/>
    <s v="AMBULATORIOS"/>
    <n v="22770663"/>
    <n v="3311105"/>
    <n v="69250705"/>
    <s v="TRASSA"/>
    <n v="210927782"/>
    <n v="78070"/>
    <s v="SAL"/>
    <s v="AM04"/>
    <s v="EXAMENES DE LABORATORIO"/>
    <s v="EXAMENES DE LABORATORIO"/>
    <s v="EXAMENES DE LABORATORIO"/>
    <n v="0"/>
    <n v="0"/>
    <n v="96986050"/>
    <n v="3"/>
    <s v="SIN ISAPRE"/>
    <s v="MARISA.CARVAJAL@AFPHABITAT.CL"/>
    <s v="10240460|96986050|920276430|65383816"/>
    <s v="GASTO FISICO"/>
    <b v="0"/>
    <s v="DEPOSITADO EN CUENTA"/>
  </r>
  <r>
    <s v="12 DE SEPTIEMBRE DE 2025"/>
    <x v="207"/>
    <s v="MARISA JACQUELINE CARVAJAL ARAYA"/>
    <n v="10240460"/>
    <s v="MARISA JACQUELINE CARVAJAL ARAYA"/>
    <d v="2025-02-01T00:00:00"/>
    <s v="INICIAL"/>
    <n v="920276431"/>
    <n v="920276431"/>
    <n v="43620"/>
    <n v="21820"/>
    <n v="21800"/>
    <n v="0"/>
    <n v="21800"/>
    <n v="920276431"/>
    <n v="285123"/>
    <s v="CORP DE BIENESTAR DEL PERSONAL DE A F P"/>
    <d v="2025-02-19T00:00:00"/>
    <d v="2025-02-19T00:00:00"/>
    <d v="2025-02-19T00:00:00"/>
    <d v="2025-02-19T00:00:00"/>
    <s v="AMBULATORIOS"/>
    <n v="22621815"/>
    <n v="2250942"/>
    <n v="68910921"/>
    <s v="TRASSA"/>
    <n v="23022025"/>
    <n v="77703"/>
    <s v="SAL"/>
    <s v="AM04"/>
    <s v="EXAMENES DE LABORATORIO"/>
    <s v="EXAMENES DE LABORATORIO"/>
    <s v="EXAMENES DE LABORATORIO"/>
    <s v="IMED SALUD"/>
    <n v="0"/>
    <n v="96986050"/>
    <n v="3"/>
    <s v="FONASA"/>
    <s v="MARISA.CARVAJAL@AFPHABITAT.CL"/>
    <s v="10240460|96986050|920276431|920276431"/>
    <s v="IMED SALUD"/>
    <b v="1"/>
    <s v="APORTE VIA IMED"/>
  </r>
  <r>
    <s v="12 DE SEPTIEMBRE DE 2025"/>
    <x v="207"/>
    <s v="MARISA JACQUELINE CARVAJAL ARAYA"/>
    <n v="10240460"/>
    <s v="MARISA JACQUELINE CARVAJAL ARAYA"/>
    <d v="2025-03-01T00:00:00"/>
    <s v="DUPLICADO"/>
    <n v="920276431"/>
    <n v="65383817"/>
    <n v="21951"/>
    <n v="0"/>
    <n v="21951"/>
    <n v="0"/>
    <n v="21951"/>
    <n v="920276431"/>
    <n v="285123"/>
    <s v="CORP DE BIENESTAR DEL PERSONAL DE A F P"/>
    <d v="2025-03-01T00:00:00"/>
    <d v="2025-03-26T00:00:00"/>
    <d v="2025-02-19T00:00:00"/>
    <d v="2025-02-19T00:00:00"/>
    <s v="AMBULATORIOS"/>
    <n v="22770663"/>
    <n v="3311105"/>
    <n v="69250706"/>
    <s v="TRASSA"/>
    <n v="210927782"/>
    <n v="78070"/>
    <s v="SAL"/>
    <s v="AM04"/>
    <s v="EXAMENES DE LABORATORIO"/>
    <s v="EXAMENES DE LABORATORIO"/>
    <s v="EXAMENES DE LABORATORIO"/>
    <n v="0"/>
    <n v="0"/>
    <n v="96986050"/>
    <n v="3"/>
    <s v="SIN ISAPRE"/>
    <s v="MARISA.CARVAJAL@AFPHABITAT.CL"/>
    <s v="10240460|96986050|920276431|65383817"/>
    <s v="GASTO FISICO"/>
    <b v="0"/>
    <s v="DEPOSITADO EN CUENTA"/>
  </r>
  <r>
    <s v="12 DE SEPTIEMBRE DE 2025"/>
    <x v="207"/>
    <s v="MARISA JACQUELINE CARVAJAL ARAYA"/>
    <n v="10240460"/>
    <s v="MARISA JACQUELINE CARVAJAL ARAYA"/>
    <d v="2025-02-01T00:00:00"/>
    <s v="INICIAL"/>
    <n v="920278891"/>
    <n v="920278891"/>
    <n v="8690"/>
    <n v="2720"/>
    <n v="5970"/>
    <n v="0"/>
    <n v="5970"/>
    <n v="920278891"/>
    <n v="285123"/>
    <s v="CORP DE BIENESTAR DEL PERSONAL DE A F P"/>
    <d v="2025-02-19T00:00:00"/>
    <d v="2025-02-19T00:00:00"/>
    <d v="2025-02-19T00:00:00"/>
    <d v="2025-02-19T00:00:00"/>
    <s v="AMBULATORIOS"/>
    <n v="22621815"/>
    <n v="2250942"/>
    <n v="68910935"/>
    <s v="TRASSA"/>
    <n v="23022025"/>
    <n v="77703"/>
    <s v="SAL"/>
    <s v="AM04"/>
    <s v="EXAMENES DE LABORATORIO"/>
    <s v="EXAMENES DE LABORATORIO"/>
    <s v="EXAMENES DE LABORATORIO"/>
    <s v="IMED SALUD"/>
    <n v="0"/>
    <n v="96986050"/>
    <n v="3"/>
    <s v="FONASA"/>
    <s v="MARISA.CARVAJAL@AFPHABITAT.CL"/>
    <s v="10240460|96986050|920278891|920278891"/>
    <s v="IMED SALUD"/>
    <b v="1"/>
    <s v="APORTE VIA IMED"/>
  </r>
  <r>
    <s v="12 DE SEPTIEMBRE DE 2025"/>
    <x v="207"/>
    <s v="MARISA JACQUELINE CARVAJAL ARAYA"/>
    <n v="10240460"/>
    <s v="MARISA JACQUELINE CARVAJAL ARAYA"/>
    <d v="2025-03-01T00:00:00"/>
    <s v="DUPLICADO"/>
    <n v="920278891"/>
    <n v="65383818"/>
    <n v="5006"/>
    <n v="0"/>
    <n v="5006"/>
    <n v="0"/>
    <n v="5006"/>
    <n v="920278891"/>
    <n v="285123"/>
    <s v="CORP DE BIENESTAR DEL PERSONAL DE A F P"/>
    <d v="2025-03-01T00:00:00"/>
    <d v="2025-03-26T00:00:00"/>
    <d v="2025-02-19T00:00:00"/>
    <d v="2025-02-19T00:00:00"/>
    <s v="AMBULATORIOS"/>
    <n v="22770663"/>
    <n v="3311105"/>
    <n v="69250707"/>
    <s v="TRASSA"/>
    <n v="210927782"/>
    <n v="78070"/>
    <s v="SAL"/>
    <s v="AM04"/>
    <s v="EXAMENES DE LABORATORIO"/>
    <s v="EXAMENES DE LABORATORIO"/>
    <s v="EXAMENES DE LABORATORIO"/>
    <n v="0"/>
    <n v="0"/>
    <n v="96986050"/>
    <n v="3"/>
    <s v="SIN ISAPRE"/>
    <s v="MARISA.CARVAJAL@AFPHABITAT.CL"/>
    <s v="10240460|96986050|920278891|65383818"/>
    <s v="GASTO FISICO"/>
    <b v="0"/>
    <s v="DEPOSITADO EN CUENTA"/>
  </r>
  <r>
    <s v="12 DE SEPTIEMBRE DE 2025"/>
    <x v="185"/>
    <s v="JESSICA ZAMBRA MEDINA"/>
    <n v="10586495"/>
    <s v="JESSICA ZAMBRA MEDINA"/>
    <d v="2025-02-01T00:00:00"/>
    <s v="INICIAL"/>
    <n v="920332015"/>
    <n v="920332015"/>
    <n v="23230"/>
    <n v="13068"/>
    <n v="10162"/>
    <n v="0"/>
    <n v="10162"/>
    <n v="920332015"/>
    <n v="285123"/>
    <s v="CORP DE BIENESTAR DEL PERSONAL DE A F P"/>
    <d v="2025-02-19T00:00:00"/>
    <d v="2025-02-19T00:00:00"/>
    <d v="2025-02-19T00:00:00"/>
    <d v="2025-02-19T00:00:00"/>
    <s v="AMBULATORIOS"/>
    <n v="22621817"/>
    <n v="2250942"/>
    <n v="68911204"/>
    <s v="TRASSA"/>
    <n v="23022025"/>
    <n v="77703"/>
    <s v="SAL"/>
    <s v="AM05"/>
    <s v="EXAMENES RADIOLOGICOS"/>
    <s v="EXAMENES RADIOLOGICOS"/>
    <s v="EXAMENES RADIOLOGICOS"/>
    <s v="IMED SALUD"/>
    <n v="0"/>
    <n v="76098454"/>
    <s v="K"/>
    <s v="FONASA"/>
    <s v="JZAMBRA@AFPHABITAT.CL"/>
    <s v="10586495|76098454|920332015|920332015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20332015"/>
    <n v="65383878"/>
    <n v="7702"/>
    <n v="0"/>
    <n v="7702"/>
    <n v="0"/>
    <n v="7702"/>
    <n v="920332015"/>
    <n v="285123"/>
    <s v="CORP DE BIENESTAR DEL PERSONAL DE A F P"/>
    <d v="2025-03-01T00:00:00"/>
    <d v="2025-03-26T00:00:00"/>
    <d v="2025-02-19T00:00:00"/>
    <d v="2025-02-19T00:00:00"/>
    <s v="AMBULATORIOS"/>
    <n v="22770664"/>
    <n v="3311105"/>
    <n v="69250767"/>
    <s v="TRASSA"/>
    <n v="50964119"/>
    <n v="78070"/>
    <s v="SAL"/>
    <s v="AM05"/>
    <s v="EXAMENES RADIOLOGICOS"/>
    <s v="EXAMENES RADIOLOGICOS"/>
    <s v="EXAMENES RADIOLOGICOS"/>
    <n v="0"/>
    <n v="0"/>
    <n v="76098454"/>
    <s v="K"/>
    <s v="SIN ISAPRE"/>
    <s v="JZAMBRA@AFPHABITAT.CL"/>
    <s v="10586495|76098454|920332015|65383878"/>
    <s v="GASTO FISICO"/>
    <b v="0"/>
    <s v="DEPOSITADO EN CUENTA"/>
  </r>
  <r>
    <s v="12 DE SEPTIEMBRE DE 2025"/>
    <x v="192"/>
    <s v="ALEJANDRA  A CARTES  PEREZ"/>
    <n v="13240926"/>
    <s v="ALEJANDRA  A CARTES  PEREZ"/>
    <d v="2025-02-01T00:00:00"/>
    <s v="INICIAL"/>
    <n v="920392090"/>
    <n v="920392090"/>
    <n v="35460"/>
    <n v="11080"/>
    <n v="24380"/>
    <n v="0"/>
    <n v="24380"/>
    <n v="920392090"/>
    <n v="285123"/>
    <s v="CORP DE BIENESTAR DEL PERSONAL DE A F P"/>
    <d v="2025-02-20T00:00:00"/>
    <d v="2025-02-20T00:00:00"/>
    <d v="2025-02-20T00:00:00"/>
    <d v="2025-02-20T00:00:00"/>
    <s v="AMBULATORIOS"/>
    <n v="22621872"/>
    <n v="2250942"/>
    <n v="68911512"/>
    <s v="TRASSA"/>
    <n v="23022025"/>
    <n v="77703"/>
    <s v="SAL"/>
    <s v="AM05"/>
    <s v="EXAMENES RADIOLOGICOS"/>
    <s v="EXAMENES RADIOLOGICOS"/>
    <s v="EXAMENES RADIOLOGICOS"/>
    <s v="IMED SALUD"/>
    <n v="0"/>
    <n v="76098454"/>
    <s v="K"/>
    <s v="FONASA"/>
    <s v="ALEJANDRA.CARTES@AFPHABITAT.CL"/>
    <s v="13240926|76098454|920392090|920392090"/>
    <s v="IMED SALUD"/>
    <b v="1"/>
    <s v="APORTE VIA IMED"/>
  </r>
  <r>
    <s v="12 DE SEPTIEMBRE DE 2025"/>
    <x v="192"/>
    <s v="ALEJANDRA  A CARTES  PEREZ"/>
    <n v="13240926"/>
    <s v="ALEJANDRA  A CARTES  PEREZ"/>
    <d v="2025-03-01T00:00:00"/>
    <s v="DUPLICADO"/>
    <n v="920392090"/>
    <n v="65384091"/>
    <n v="20804"/>
    <n v="0"/>
    <n v="20804"/>
    <n v="0"/>
    <n v="20804"/>
    <n v="920392090"/>
    <n v="285123"/>
    <s v="CORP DE BIENESTAR DEL PERSONAL DE A F P"/>
    <d v="2025-03-01T00:00:00"/>
    <d v="2025-03-26T00:00:00"/>
    <d v="2025-02-20T00:00:00"/>
    <d v="2025-02-20T00:00:00"/>
    <s v="AMBULATORIOS"/>
    <n v="22770679"/>
    <n v="3311105"/>
    <n v="69250978"/>
    <s v="TRASSA"/>
    <n v="105921314"/>
    <n v="78070"/>
    <s v="SAL"/>
    <s v="AM05"/>
    <s v="EXAMENES RADIOLOGICOS"/>
    <s v="EXAMENES RADIOLOGICOS"/>
    <s v="EXAMENES RADIOLOGICOS"/>
    <n v="0"/>
    <n v="0"/>
    <n v="76098454"/>
    <s v="K"/>
    <s v="SIN ISAPRE"/>
    <s v="ALEJANDRA.CARTES@AFPHABITAT.CL"/>
    <s v="13240926|76098454|920392090|65384091"/>
    <s v="GASTO FISICO"/>
    <b v="0"/>
    <s v="DEPOSITADO EN CUENTA"/>
  </r>
  <r>
    <s v="12 DE SEPTIEMBRE DE 2025"/>
    <x v="192"/>
    <s v="ALEJANDRA  A CARTES  PEREZ"/>
    <n v="13240926"/>
    <s v="ALEJANDRA  A CARTES  PEREZ"/>
    <d v="2025-02-01T00:00:00"/>
    <s v="INICIAL"/>
    <n v="920392482"/>
    <n v="920392482"/>
    <n v="28990"/>
    <n v="9060"/>
    <n v="19930"/>
    <n v="0"/>
    <n v="19930"/>
    <n v="920392482"/>
    <n v="285123"/>
    <s v="CORP DE BIENESTAR DEL PERSONAL DE A F P"/>
    <d v="2025-02-20T00:00:00"/>
    <d v="2025-02-20T00:00:00"/>
    <d v="2025-02-20T00:00:00"/>
    <d v="2025-02-20T00:00:00"/>
    <s v="AMBULATORIOS"/>
    <n v="22621872"/>
    <n v="2250942"/>
    <n v="68911513"/>
    <s v="TRASSA"/>
    <n v="23022025"/>
    <n v="77703"/>
    <s v="SAL"/>
    <s v="AM05"/>
    <s v="EXAMENES RADIOLOGICOS"/>
    <s v="EXAMENES RADIOLOGICOS"/>
    <s v="EXAMENES RADIOLOGICOS"/>
    <s v="IMED SALUD"/>
    <n v="0"/>
    <n v="76098454"/>
    <s v="K"/>
    <s v="FONASA"/>
    <s v="ALEJANDRA.CARTES@AFPHABITAT.CL"/>
    <s v="13240926|76098454|920392482|920392482"/>
    <s v="IMED SALUD"/>
    <b v="1"/>
    <s v="APORTE VIA IMED"/>
  </r>
  <r>
    <s v="12 DE SEPTIEMBRE DE 2025"/>
    <x v="192"/>
    <s v="ALEJANDRA  A CARTES  PEREZ"/>
    <n v="13240926"/>
    <s v="ALEJANDRA  A CARTES  PEREZ"/>
    <d v="2025-03-01T00:00:00"/>
    <s v="DUPLICADO"/>
    <n v="920392482"/>
    <n v="65384092"/>
    <n v="17337"/>
    <n v="0"/>
    <n v="17337"/>
    <n v="0"/>
    <n v="17337"/>
    <n v="920392482"/>
    <n v="285123"/>
    <s v="CORP DE BIENESTAR DEL PERSONAL DE A F P"/>
    <d v="2025-03-01T00:00:00"/>
    <d v="2025-03-26T00:00:00"/>
    <d v="2025-02-20T00:00:00"/>
    <d v="2025-02-20T00:00:00"/>
    <s v="AMBULATORIOS"/>
    <n v="22770679"/>
    <n v="3311105"/>
    <n v="69250979"/>
    <s v="TRASSA"/>
    <n v="105921314"/>
    <n v="78070"/>
    <s v="SAL"/>
    <s v="AM05"/>
    <s v="EXAMENES RADIOLOGICOS"/>
    <s v="EXAMENES RADIOLOGICOS"/>
    <s v="EXAMENES RADIOLOGICOS"/>
    <n v="0"/>
    <n v="0"/>
    <n v="76098454"/>
    <s v="K"/>
    <s v="SIN ISAPRE"/>
    <s v="ALEJANDRA.CARTES@AFPHABITAT.CL"/>
    <s v="13240926|76098454|920392482|65384092"/>
    <s v="GASTO FISICO"/>
    <b v="0"/>
    <s v="DEPOSITADO EN CUENTA"/>
  </r>
  <r>
    <s v="12 DE SEPTIEMBRE DE 2025"/>
    <x v="185"/>
    <s v="JESSICA ZAMBRA MEDINA"/>
    <n v="10586495"/>
    <s v="JESSICA ZAMBRA MEDINA"/>
    <d v="2025-02-01T00:00:00"/>
    <s v="INICIAL"/>
    <n v="920456936"/>
    <n v="920456936"/>
    <n v="28990"/>
    <n v="16308"/>
    <n v="12682"/>
    <n v="0"/>
    <n v="12682"/>
    <n v="920456936"/>
    <n v="285123"/>
    <s v="CORP DE BIENESTAR DEL PERSONAL DE A F P"/>
    <d v="2025-02-20T00:00:00"/>
    <d v="2025-02-20T00:00:00"/>
    <d v="2025-02-20T00:00:00"/>
    <d v="2025-02-20T00:00:00"/>
    <s v="AMBULATORIOS"/>
    <n v="22621865"/>
    <n v="2250942"/>
    <n v="68911796"/>
    <s v="TRASSA"/>
    <n v="23022025"/>
    <n v="77703"/>
    <s v="SAL"/>
    <s v="AM05"/>
    <s v="EXAMENES RADIOLOGICOS"/>
    <s v="EXAMENES RADIOLOGICOS"/>
    <s v="EXAMENES RADIOLOGICOS"/>
    <s v="IMED SALUD"/>
    <n v="0"/>
    <n v="76098454"/>
    <s v="K"/>
    <s v="FONASA"/>
    <s v="JZAMBRA@AFPHABITAT.CL"/>
    <s v="10586495|76098454|920456936|920456936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20456936"/>
    <n v="65383879"/>
    <n v="10017"/>
    <n v="0"/>
    <n v="10017"/>
    <n v="0"/>
    <n v="10017"/>
    <n v="920456936"/>
    <n v="285123"/>
    <s v="CORP DE BIENESTAR DEL PERSONAL DE A F P"/>
    <d v="2025-03-01T00:00:00"/>
    <d v="2025-03-26T00:00:00"/>
    <d v="2025-02-20T00:00:00"/>
    <d v="2025-02-20T00:00:00"/>
    <s v="AMBULATORIOS"/>
    <n v="22770677"/>
    <n v="3311105"/>
    <n v="69250768"/>
    <s v="TRASSA"/>
    <n v="50964119"/>
    <n v="78070"/>
    <s v="SAL"/>
    <s v="AM05"/>
    <s v="EXAMENES RADIOLOGICOS"/>
    <s v="EXAMENES RADIOLOGICOS"/>
    <s v="EXAMENES RADIOLOGICOS"/>
    <n v="0"/>
    <n v="0"/>
    <n v="76098454"/>
    <s v="K"/>
    <s v="SIN ISAPRE"/>
    <s v="JZAMBRA@AFPHABITAT.CL"/>
    <s v="10586495|76098454|920456936|65383879"/>
    <s v="GASTO FISICO"/>
    <b v="0"/>
    <s v="DEPOSITADO EN CUENTA"/>
  </r>
  <r>
    <s v="12 DE SEPTIEMBRE DE 2025"/>
    <x v="185"/>
    <s v="JESSICA ZAMBRA MEDINA"/>
    <n v="10586495"/>
    <s v="JESSICA ZAMBRA MEDINA"/>
    <d v="2025-02-01T00:00:00"/>
    <s v="INICIAL"/>
    <n v="920579846"/>
    <n v="920579846"/>
    <n v="28990"/>
    <n v="16308"/>
    <n v="12682"/>
    <n v="0"/>
    <n v="12682"/>
    <n v="920579846"/>
    <n v="285123"/>
    <s v="CORP DE BIENESTAR DEL PERSONAL DE A F P"/>
    <d v="2025-02-21T00:00:00"/>
    <d v="2025-02-21T00:00:00"/>
    <d v="2025-02-21T00:00:00"/>
    <d v="2025-02-21T00:00:00"/>
    <s v="AMBULATORIOS"/>
    <n v="22621900"/>
    <n v="2250942"/>
    <n v="68912400"/>
    <s v="TRASSA"/>
    <n v="23022025"/>
    <n v="77703"/>
    <s v="SAL"/>
    <s v="AM05"/>
    <s v="EXAMENES RADIOLOGICOS"/>
    <s v="EXAMENES RADIOLOGICOS"/>
    <s v="EXAMENES RADIOLOGICOS"/>
    <s v="IMED SALUD"/>
    <n v="0"/>
    <n v="76098454"/>
    <s v="K"/>
    <s v="FONASA"/>
    <s v="JZAMBRA@AFPHABITAT.CL"/>
    <s v="10586495|76098454|920579846|920579846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20579846"/>
    <n v="65383880"/>
    <n v="10021"/>
    <n v="0"/>
    <n v="10021"/>
    <n v="0"/>
    <n v="10021"/>
    <n v="920579846"/>
    <n v="285123"/>
    <s v="CORP DE BIENESTAR DEL PERSONAL DE A F P"/>
    <d v="2025-03-01T00:00:00"/>
    <d v="2025-03-26T00:00:00"/>
    <d v="2025-02-21T00:00:00"/>
    <d v="2025-02-21T00:00:00"/>
    <s v="AMBULATORIOS"/>
    <n v="22770683"/>
    <n v="3311105"/>
    <n v="69250769"/>
    <s v="TRASSA"/>
    <n v="50964119"/>
    <n v="78070"/>
    <s v="SAL"/>
    <s v="AM05"/>
    <s v="EXAMENES RADIOLOGICOS"/>
    <s v="EXAMENES RADIOLOGICOS"/>
    <s v="EXAMENES RADIOLOGICOS"/>
    <n v="0"/>
    <n v="0"/>
    <n v="76098454"/>
    <s v="K"/>
    <s v="SIN ISAPRE"/>
    <s v="JZAMBRA@AFPHABITAT.CL"/>
    <s v="10586495|76098454|920579846|65383880"/>
    <s v="GASTO FISICO"/>
    <b v="0"/>
    <s v="DEPOSITADO EN CUENTA"/>
  </r>
  <r>
    <s v="12 DE SEPTIEMBRE DE 2025"/>
    <x v="185"/>
    <s v="JESSICA ZAMBRA MEDINA"/>
    <n v="10586495"/>
    <s v="JESSICA ZAMBRA MEDINA"/>
    <d v="2025-02-01T00:00:00"/>
    <s v="INICIAL"/>
    <n v="920579860"/>
    <n v="920579860"/>
    <n v="28990"/>
    <n v="16308"/>
    <n v="12682"/>
    <n v="0"/>
    <n v="12682"/>
    <n v="920579860"/>
    <n v="285123"/>
    <s v="CORP DE BIENESTAR DEL PERSONAL DE A F P"/>
    <d v="2025-02-21T00:00:00"/>
    <d v="2025-02-21T00:00:00"/>
    <d v="2025-02-21T00:00:00"/>
    <d v="2025-02-21T00:00:00"/>
    <s v="AMBULATORIOS"/>
    <n v="22621900"/>
    <n v="2250942"/>
    <n v="68912401"/>
    <s v="TRASSA"/>
    <n v="23022025"/>
    <n v="77703"/>
    <s v="SAL"/>
    <s v="AM05"/>
    <s v="EXAMENES RADIOLOGICOS"/>
    <s v="EXAMENES RADIOLOGICOS"/>
    <s v="EXAMENES RADIOLOGICOS"/>
    <s v="IMED SALUD"/>
    <n v="0"/>
    <n v="76098454"/>
    <s v="K"/>
    <s v="FONASA"/>
    <s v="JZAMBRA@AFPHABITAT.CL"/>
    <s v="10586495|76098454|920579860|920579860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20579860"/>
    <n v="65383881"/>
    <n v="10021"/>
    <n v="0"/>
    <n v="10021"/>
    <n v="0"/>
    <n v="10021"/>
    <n v="920579860"/>
    <n v="285123"/>
    <s v="CORP DE BIENESTAR DEL PERSONAL DE A F P"/>
    <d v="2025-03-01T00:00:00"/>
    <d v="2025-03-26T00:00:00"/>
    <d v="2025-02-21T00:00:00"/>
    <d v="2025-02-21T00:00:00"/>
    <s v="AMBULATORIOS"/>
    <n v="22770683"/>
    <n v="3311105"/>
    <n v="69250770"/>
    <s v="TRASSA"/>
    <n v="50964119"/>
    <n v="78070"/>
    <s v="SAL"/>
    <s v="AM05"/>
    <s v="EXAMENES RADIOLOGICOS"/>
    <s v="EXAMENES RADIOLOGICOS"/>
    <s v="EXAMENES RADIOLOGICOS"/>
    <n v="0"/>
    <n v="0"/>
    <n v="76098454"/>
    <s v="K"/>
    <s v="SIN ISAPRE"/>
    <s v="JZAMBRA@AFPHABITAT.CL"/>
    <s v="10586495|76098454|920579860|65383881"/>
    <s v="GASTO FISICO"/>
    <b v="0"/>
    <s v="DEPOSITADO EN CUENTA"/>
  </r>
  <r>
    <s v="12 DE SEPTIEMBRE DE 2025"/>
    <x v="68"/>
    <s v="PATRICIA PELAITAY PALMA"/>
    <n v="21442073"/>
    <s v="PATRICIA PELAITAY PALMA"/>
    <d v="2025-02-01T00:00:00"/>
    <s v="INICIAL"/>
    <n v="920629253"/>
    <n v="920629253"/>
    <n v="18340"/>
    <n v="10326"/>
    <n v="8014"/>
    <n v="0"/>
    <n v="8014"/>
    <n v="920629253"/>
    <n v="285123"/>
    <s v="CORP DE BIENESTAR DEL PERSONAL DE A F P"/>
    <d v="2025-02-22T00:00:00"/>
    <d v="2025-02-22T00:00:00"/>
    <d v="2025-02-22T00:00:00"/>
    <d v="2025-02-22T00:00:00"/>
    <s v="AMBULATORIOS"/>
    <n v="22646296"/>
    <n v="3041018"/>
    <n v="68950339"/>
    <s v="TRASSA"/>
    <n v="2032025"/>
    <n v="77760"/>
    <s v="SAL"/>
    <s v="AM04"/>
    <s v="EXAMENES DE LABORATORIO"/>
    <s v="EXAMENES DE LABORATORIO"/>
    <s v="EXAMENES DE LABORATORIO"/>
    <s v="IMED SALUD"/>
    <n v="0"/>
    <n v="96986050"/>
    <n v="3"/>
    <s v="FONASA"/>
    <s v="PPELAITA@AFPHABITAT.CL"/>
    <s v="21442073|96986050|920629253|920629253"/>
    <s v="IMED SALUD"/>
    <b v="1"/>
    <s v="APORTE VIA IMED"/>
  </r>
  <r>
    <s v="12 DE SEPTIEMBRE DE 2025"/>
    <x v="68"/>
    <s v="PATRICIA PELAITAY PALMA"/>
    <n v="21442073"/>
    <s v="PATRICIA PELAITAY PALMA"/>
    <d v="2025-03-01T00:00:00"/>
    <s v="DUPLICADO"/>
    <n v="920629253"/>
    <n v="65384503"/>
    <n v="6939"/>
    <n v="0"/>
    <n v="6939"/>
    <n v="0"/>
    <n v="6939"/>
    <n v="920629253"/>
    <n v="285123"/>
    <s v="CORP DE BIENESTAR DEL PERSONAL DE A F P"/>
    <d v="2025-03-01T00:00:00"/>
    <d v="2025-03-26T00:00:00"/>
    <d v="2025-02-22T00:00:00"/>
    <d v="2025-02-22T00:00:00"/>
    <s v="AMBULATORIOS"/>
    <n v="22770693"/>
    <n v="3311105"/>
    <n v="69251367"/>
    <s v="TRASSA"/>
    <n v="1713549343"/>
    <n v="78070"/>
    <s v="SAL"/>
    <s v="AM04"/>
    <s v="EXAMENES DE LABORATORIO"/>
    <s v="EXAMENES DE LABORATORIO"/>
    <s v="EXAMENES DE LABORATORIO"/>
    <n v="0"/>
    <n v="0"/>
    <n v="96986050"/>
    <n v="3"/>
    <s v="SIN ISAPRE"/>
    <s v="PPELAITA@AFPHABITAT.CL"/>
    <s v="21442073|96986050|920629253|65384503"/>
    <s v="GASTO FISICO"/>
    <b v="0"/>
    <s v="DEPOSITADO EN CUENTA"/>
  </r>
  <r>
    <s v="12 DE SEPTIEMBRE DE 2025"/>
    <x v="68"/>
    <s v="PATRICIA PELAITAY PALMA"/>
    <n v="21442073"/>
    <s v="PATRICIA PELAITAY PALMA"/>
    <d v="2025-02-01T00:00:00"/>
    <s v="INICIAL"/>
    <n v="920629254"/>
    <n v="920629254"/>
    <n v="45740"/>
    <n v="25746"/>
    <n v="19994"/>
    <n v="0"/>
    <n v="19994"/>
    <n v="920629254"/>
    <n v="285123"/>
    <s v="CORP DE BIENESTAR DEL PERSONAL DE A F P"/>
    <d v="2025-02-22T00:00:00"/>
    <d v="2025-02-22T00:00:00"/>
    <d v="2025-02-22T00:00:00"/>
    <d v="2025-02-22T00:00:00"/>
    <s v="AMBULATORIOS"/>
    <n v="22646296"/>
    <n v="3041018"/>
    <n v="68950338"/>
    <s v="TRASSA"/>
    <n v="2032025"/>
    <n v="77760"/>
    <s v="SAL"/>
    <s v="AM04"/>
    <s v="EXAMENES DE LABORATORIO"/>
    <s v="EXAMENES DE LABORATORIO"/>
    <s v="EXAMENES DE LABORATORIO"/>
    <s v="IMED SALUD"/>
    <n v="0"/>
    <n v="96986050"/>
    <n v="3"/>
    <s v="FONASA"/>
    <s v="PPELAITA@AFPHABITAT.CL"/>
    <s v="21442073|96986050|920629254|920629254"/>
    <s v="IMED SALUD"/>
    <b v="1"/>
    <s v="APORTE VIA IMED"/>
  </r>
  <r>
    <s v="12 DE SEPTIEMBRE DE 2025"/>
    <x v="68"/>
    <s v="PATRICIA PELAITAY PALMA"/>
    <n v="21442073"/>
    <s v="PATRICIA PELAITAY PALMA"/>
    <d v="2025-03-01T00:00:00"/>
    <s v="DUPLICADO"/>
    <n v="920629254"/>
    <n v="65384504"/>
    <n v="15806"/>
    <n v="0"/>
    <n v="15806"/>
    <n v="0"/>
    <n v="15806"/>
    <n v="920629254"/>
    <n v="285123"/>
    <s v="CORP DE BIENESTAR DEL PERSONAL DE A F P"/>
    <d v="2025-03-01T00:00:00"/>
    <d v="2025-03-26T00:00:00"/>
    <d v="2025-02-22T00:00:00"/>
    <d v="2025-02-22T00:00:00"/>
    <s v="AMBULATORIOS"/>
    <n v="22770693"/>
    <n v="3311105"/>
    <n v="69251368"/>
    <s v="TRASSA"/>
    <n v="1713549343"/>
    <n v="78070"/>
    <s v="SAL"/>
    <s v="AM04"/>
    <s v="EXAMENES DE LABORATORIO"/>
    <s v="EXAMENES DE LABORATORIO"/>
    <s v="EXAMENES DE LABORATORIO"/>
    <n v="0"/>
    <n v="0"/>
    <n v="96986050"/>
    <n v="3"/>
    <s v="SIN ISAPRE"/>
    <s v="PPELAITA@AFPHABITAT.CL"/>
    <s v="21442073|96986050|920629254|65384504"/>
    <s v="GASTO FISICO"/>
    <b v="0"/>
    <s v="DEPOSITADO EN CUENTA"/>
  </r>
  <r>
    <s v="12 DE SEPTIEMBRE DE 2025"/>
    <x v="68"/>
    <s v="PATRICIA PELAITAY PALMA"/>
    <n v="21442073"/>
    <s v="PATRICIA PELAITAY PALMA"/>
    <d v="2025-02-01T00:00:00"/>
    <s v="INICIAL"/>
    <n v="920629255"/>
    <n v="920629255"/>
    <n v="2960"/>
    <n v="1670"/>
    <n v="1290"/>
    <n v="0"/>
    <n v="1290"/>
    <n v="920629255"/>
    <n v="285123"/>
    <s v="CORP DE BIENESTAR DEL PERSONAL DE A F P"/>
    <d v="2025-02-22T00:00:00"/>
    <d v="2025-02-22T00:00:00"/>
    <d v="2025-02-22T00:00:00"/>
    <d v="2025-02-22T00:00:00"/>
    <s v="AMBULATORIOS"/>
    <n v="22646296"/>
    <n v="3041018"/>
    <n v="68950337"/>
    <s v="TRASSA"/>
    <n v="2032025"/>
    <n v="77760"/>
    <s v="SAL"/>
    <s v="AM04"/>
    <s v="EXAMENES DE LABORATORIO"/>
    <s v="EXAMENES DE LABORATORIO"/>
    <s v="EXAMENES DE LABORATORIO"/>
    <s v="IMED SALUD"/>
    <n v="0"/>
    <n v="96986050"/>
    <n v="3"/>
    <s v="FONASA"/>
    <s v="PPELAITA@AFPHABITAT.CL"/>
    <s v="21442073|96986050|920629255|920629255"/>
    <s v="IMED SALUD"/>
    <b v="1"/>
    <s v="APORTE VIA IMED"/>
  </r>
  <r>
    <s v="12 DE SEPTIEMBRE DE 2025"/>
    <x v="68"/>
    <s v="PATRICIA PELAITAY PALMA"/>
    <n v="21442073"/>
    <s v="PATRICIA PELAITAY PALMA"/>
    <d v="2025-03-01T00:00:00"/>
    <s v="DUPLICADO"/>
    <n v="920629255"/>
    <n v="65384505"/>
    <n v="771"/>
    <n v="0"/>
    <n v="771"/>
    <n v="0"/>
    <n v="771"/>
    <n v="920629255"/>
    <n v="285123"/>
    <s v="CORP DE BIENESTAR DEL PERSONAL DE A F P"/>
    <d v="2025-03-01T00:00:00"/>
    <d v="2025-03-26T00:00:00"/>
    <d v="2025-02-22T00:00:00"/>
    <d v="2025-02-22T00:00:00"/>
    <s v="AMBULATORIOS"/>
    <n v="22770693"/>
    <n v="3311105"/>
    <n v="69251369"/>
    <s v="TRASSA"/>
    <n v="1713549343"/>
    <n v="78070"/>
    <s v="SAL"/>
    <s v="AM04"/>
    <s v="EXAMENES DE LABORATORIO"/>
    <s v="EXAMENES DE LABORATORIO"/>
    <s v="EXAMENES DE LABORATORIO"/>
    <n v="0"/>
    <n v="0"/>
    <n v="96986050"/>
    <n v="3"/>
    <s v="SIN ISAPRE"/>
    <s v="PPELAITA@AFPHABITAT.CL"/>
    <s v="21442073|96986050|920629255|65384505"/>
    <s v="GASTO FISICO"/>
    <b v="0"/>
    <s v="DEPOSITADO EN CUENTA"/>
  </r>
  <r>
    <s v="12 DE SEPTIEMBRE DE 2025"/>
    <x v="179"/>
    <s v="MARIO OROZCO CABRERA"/>
    <n v="9004627"/>
    <s v="MARIO OROZCO CABRERA"/>
    <d v="2025-02-01T00:00:00"/>
    <s v="INICIAL"/>
    <n v="920737202"/>
    <n v="920737202"/>
    <n v="51890"/>
    <n v="16220"/>
    <n v="35670"/>
    <n v="0"/>
    <n v="35670"/>
    <n v="920737202"/>
    <n v="285123"/>
    <s v="CORP DE BIENESTAR DEL PERSONAL DE A F P"/>
    <d v="2025-02-24T00:00:00"/>
    <d v="2025-02-24T00:00:00"/>
    <d v="2025-02-24T00:00:00"/>
    <d v="2025-02-24T00:00:00"/>
    <s v="AMBULATORIOS"/>
    <n v="22646303"/>
    <n v="3041018"/>
    <n v="68950958"/>
    <s v="TRASSA"/>
    <n v="2032025"/>
    <n v="77760"/>
    <s v="SAL"/>
    <s v="AM04"/>
    <s v="EXAMENES DE LABORATORIO"/>
    <s v="EXAMENES DE LABORATORIO"/>
    <s v="EXAMENES DE LABORATORIO"/>
    <s v="IMED SALUD"/>
    <n v="0"/>
    <n v="96530470"/>
    <n v="3"/>
    <s v="FONASA"/>
    <s v="MOROZCOC@AFPHABITAT.CL"/>
    <s v="9004627|96530470|920737202|920737202"/>
    <s v="IMED SALUD"/>
    <b v="1"/>
    <s v="APORTE VIA IMED"/>
  </r>
  <r>
    <s v="12 DE SEPTIEMBRE DE 2025"/>
    <x v="179"/>
    <s v="MARIO OROZCO CABRERA"/>
    <n v="9004627"/>
    <s v="MARIO OROZCO CABRERA"/>
    <d v="2025-03-01T00:00:00"/>
    <s v="DUPLICADO"/>
    <n v="920737202"/>
    <n v="65383699"/>
    <n v="31254"/>
    <n v="0"/>
    <n v="31254"/>
    <n v="0"/>
    <n v="31254"/>
    <n v="920737202"/>
    <n v="285123"/>
    <s v="CORP DE BIENESTAR DEL PERSONAL DE A F P"/>
    <d v="2025-03-01T00:00:00"/>
    <d v="2025-03-26T00:00:00"/>
    <d v="2025-02-24T00:00:00"/>
    <d v="2025-02-24T00:00:00"/>
    <s v="AMBULATORIOS"/>
    <n v="22770695"/>
    <n v="3311105"/>
    <n v="69250590"/>
    <s v="TRASSA"/>
    <n v="14076980"/>
    <n v="78070"/>
    <s v="SAL"/>
    <s v="AM04"/>
    <s v="EXAMENES DE LABORATORIO"/>
    <s v="EXAMENES DE LABORATORIO"/>
    <s v="EXAMENES DE LABORATORIO"/>
    <n v="0"/>
    <n v="0"/>
    <n v="96530470"/>
    <n v="3"/>
    <s v="SIN ISAPRE"/>
    <s v="MOROZCOC@AFPHABITAT.CL"/>
    <s v="9004627|96530470|920737202|65383699"/>
    <s v="GASTO FISICO"/>
    <b v="0"/>
    <s v="DEPOSITADO EN CUENTA"/>
  </r>
  <r>
    <s v="12 DE SEPTIEMBRE DE 2025"/>
    <x v="179"/>
    <s v="MARIO OROZCO CABRERA"/>
    <n v="9004627"/>
    <s v="MARIO OROZCO CABRERA"/>
    <d v="2025-02-01T00:00:00"/>
    <s v="INICIAL"/>
    <n v="920737203"/>
    <n v="920737203"/>
    <n v="36200"/>
    <n v="11320"/>
    <n v="24880"/>
    <n v="0"/>
    <n v="24880"/>
    <n v="920737203"/>
    <n v="285123"/>
    <s v="CORP DE BIENESTAR DEL PERSONAL DE A F P"/>
    <d v="2025-02-24T00:00:00"/>
    <d v="2025-02-24T00:00:00"/>
    <d v="2025-02-24T00:00:00"/>
    <d v="2025-02-24T00:00:00"/>
    <s v="AMBULATORIOS"/>
    <n v="22646303"/>
    <n v="3041018"/>
    <n v="68950957"/>
    <s v="TRASSA"/>
    <n v="2032025"/>
    <n v="77760"/>
    <s v="SAL"/>
    <s v="AM04"/>
    <s v="EXAMENES DE LABORATORIO"/>
    <s v="EXAMENES DE LABORATORIO"/>
    <s v="EXAMENES DE LABORATORIO"/>
    <s v="IMED SALUD"/>
    <n v="0"/>
    <n v="96530470"/>
    <n v="3"/>
    <s v="FONASA"/>
    <s v="MOROZCOC@AFPHABITAT.CL"/>
    <s v="9004627|96530470|920737203|920737203"/>
    <s v="IMED SALUD"/>
    <b v="1"/>
    <s v="APORTE VIA IMED"/>
  </r>
  <r>
    <s v="12 DE SEPTIEMBRE DE 2025"/>
    <x v="179"/>
    <s v="MARIO OROZCO CABRERA"/>
    <n v="9004627"/>
    <s v="MARIO OROZCO CABRERA"/>
    <d v="2025-03-01T00:00:00"/>
    <s v="DUPLICADO"/>
    <n v="920737203"/>
    <n v="65383700"/>
    <n v="21607"/>
    <n v="0"/>
    <n v="21607"/>
    <n v="0"/>
    <n v="21607"/>
    <n v="920737203"/>
    <n v="285123"/>
    <s v="CORP DE BIENESTAR DEL PERSONAL DE A F P"/>
    <d v="2025-03-01T00:00:00"/>
    <d v="2025-03-26T00:00:00"/>
    <d v="2025-02-24T00:00:00"/>
    <d v="2025-02-24T00:00:00"/>
    <s v="AMBULATORIOS"/>
    <n v="22770695"/>
    <n v="3311105"/>
    <n v="69250591"/>
    <s v="TRASSA"/>
    <n v="14076980"/>
    <n v="78070"/>
    <s v="SAL"/>
    <s v="AM04"/>
    <s v="EXAMENES DE LABORATORIO"/>
    <s v="EXAMENES DE LABORATORIO"/>
    <s v="EXAMENES DE LABORATORIO"/>
    <n v="0"/>
    <n v="0"/>
    <n v="96530470"/>
    <n v="3"/>
    <s v="SIN ISAPRE"/>
    <s v="MOROZCOC@AFPHABITAT.CL"/>
    <s v="9004627|96530470|920737203|65383700"/>
    <s v="GASTO FISICO"/>
    <b v="0"/>
    <s v="DEPOSITADO EN CUENTA"/>
  </r>
  <r>
    <s v="12 DE SEPTIEMBRE DE 2025"/>
    <x v="179"/>
    <s v="MARIO OROZCO CABRERA"/>
    <n v="9004627"/>
    <s v="MARIO OROZCO CABRERA"/>
    <d v="2025-02-01T00:00:00"/>
    <s v="INICIAL"/>
    <n v="920737204"/>
    <n v="920737204"/>
    <n v="25650"/>
    <n v="8030"/>
    <n v="17620"/>
    <n v="0"/>
    <n v="17620"/>
    <n v="920737204"/>
    <n v="285123"/>
    <s v="CORP DE BIENESTAR DEL PERSONAL DE A F P"/>
    <d v="2025-02-24T00:00:00"/>
    <d v="2025-02-24T00:00:00"/>
    <d v="2025-02-24T00:00:00"/>
    <d v="2025-02-24T00:00:00"/>
    <s v="AMBULATORIOS"/>
    <n v="22646303"/>
    <n v="3041018"/>
    <n v="68950956"/>
    <s v="TRASSA"/>
    <n v="2032025"/>
    <n v="77760"/>
    <s v="SAL"/>
    <s v="AM04"/>
    <s v="EXAMENES DE LABORATORIO"/>
    <s v="EXAMENES DE LABORATORIO"/>
    <s v="EXAMENES DE LABORATORIO"/>
    <s v="IMED SALUD"/>
    <n v="0"/>
    <n v="96530470"/>
    <n v="3"/>
    <s v="FONASA"/>
    <s v="MOROZCOC@AFPHABITAT.CL"/>
    <s v="9004627|96530470|920737204|920737204"/>
    <s v="IMED SALUD"/>
    <b v="1"/>
    <s v="APORTE VIA IMED"/>
  </r>
  <r>
    <s v="12 DE SEPTIEMBRE DE 2025"/>
    <x v="179"/>
    <s v="MARIO OROZCO CABRERA"/>
    <n v="9004627"/>
    <s v="MARIO OROZCO CABRERA"/>
    <d v="2025-03-01T00:00:00"/>
    <s v="DUPLICADO"/>
    <n v="920737204"/>
    <n v="65383701"/>
    <n v="15046"/>
    <n v="0"/>
    <n v="15046"/>
    <n v="0"/>
    <n v="15046"/>
    <n v="920737204"/>
    <n v="285123"/>
    <s v="CORP DE BIENESTAR DEL PERSONAL DE A F P"/>
    <d v="2025-03-01T00:00:00"/>
    <d v="2025-03-26T00:00:00"/>
    <d v="2025-02-24T00:00:00"/>
    <d v="2025-02-24T00:00:00"/>
    <s v="AMBULATORIOS"/>
    <n v="22770695"/>
    <n v="3311105"/>
    <n v="69250592"/>
    <s v="TRASSA"/>
    <n v="14076980"/>
    <n v="78070"/>
    <s v="SAL"/>
    <s v="AM04"/>
    <s v="EXAMENES DE LABORATORIO"/>
    <s v="EXAMENES DE LABORATORIO"/>
    <s v="EXAMENES DE LABORATORIO"/>
    <n v="0"/>
    <n v="0"/>
    <n v="96530470"/>
    <n v="3"/>
    <s v="SIN ISAPRE"/>
    <s v="MOROZCOC@AFPHABITAT.CL"/>
    <s v="9004627|96530470|920737204|65383701"/>
    <s v="GASTO FISICO"/>
    <b v="0"/>
    <s v="DEPOSITADO EN CUENTA"/>
  </r>
  <r>
    <s v="12 DE SEPTIEMBRE DE 2025"/>
    <x v="208"/>
    <s v="LAURA DEL PILAR ALFARO MARTINEZ"/>
    <n v="18545062"/>
    <s v="LAURA DEL PILAR ALFARO MARTINEZ"/>
    <d v="2025-02-01T00:00:00"/>
    <s v="INICIAL"/>
    <n v="920786835"/>
    <n v="920786835"/>
    <n v="23560"/>
    <n v="11780"/>
    <n v="11780"/>
    <n v="0"/>
    <n v="11780"/>
    <n v="920786835"/>
    <n v="285123"/>
    <s v="CORP DE BIENESTAR DEL PERSONAL DE A F P"/>
    <d v="2025-02-24T00:00:00"/>
    <d v="2025-02-24T00:00:00"/>
    <d v="2025-02-24T00:00:00"/>
    <d v="2025-02-24T00:00:00"/>
    <s v="AMBULATORIOS"/>
    <n v="22646337"/>
    <n v="3041018"/>
    <n v="68951208"/>
    <s v="TRASSA"/>
    <n v="2032025"/>
    <n v="77760"/>
    <s v="SAL"/>
    <s v="AM07"/>
    <s v="PROCEDIMIENTOS TERAPEUTICOS"/>
    <s v="PROCEDIMIENTOS TERAPEUTICOS"/>
    <s v="PROCEDIMIENTOS TERAPEUTICOS"/>
    <s v="IMED SALUD"/>
    <n v="0"/>
    <n v="76089550"/>
    <n v="4"/>
    <s v="FONASA"/>
    <s v="LAURA.ALFARO@AFPHABITAT.CL"/>
    <s v="18545062|76089550|920786835|920786835"/>
    <s v="IMED SALUD"/>
    <b v="1"/>
    <s v="APORTE VIA IMED"/>
  </r>
  <r>
    <s v="12 DE SEPTIEMBRE DE 2025"/>
    <x v="208"/>
    <s v="LAURA DEL PILAR ALFARO MARTINEZ"/>
    <n v="18545062"/>
    <s v="LAURA DEL PILAR ALFARO MARTINEZ"/>
    <d v="2025-03-01T00:00:00"/>
    <s v="DUPLICADO"/>
    <n v="920786835"/>
    <n v="65384459"/>
    <n v="11962"/>
    <n v="0"/>
    <n v="11962"/>
    <n v="0"/>
    <n v="11962"/>
    <n v="920786835"/>
    <n v="285123"/>
    <s v="CORP DE BIENESTAR DEL PERSONAL DE A F P"/>
    <d v="2025-03-01T00:00:00"/>
    <d v="2025-03-26T00:00:00"/>
    <d v="2025-02-24T00:00:00"/>
    <d v="2025-02-24T00:00:00"/>
    <s v="AMBULATORIOS"/>
    <n v="22770705"/>
    <n v="3311105"/>
    <n v="69251325"/>
    <s v="TRASSA"/>
    <n v="8010801903"/>
    <n v="78070"/>
    <s v="SAL"/>
    <s v="AM07"/>
    <s v="PROCEDIMIENTOS TERAPEUTICOS"/>
    <s v="PROCEDIMIENTOS TERAPEUTICOS"/>
    <s v="PROCEDIMIENTOS TERAPEUTICOS"/>
    <n v="0"/>
    <n v="0"/>
    <n v="76089550"/>
    <n v="4"/>
    <s v="SIN ISAPRE"/>
    <s v="LAURA.ALFARO@AFPHABITAT.CL"/>
    <s v="18545062|76089550|920786835|65384459"/>
    <s v="GASTO FISICO"/>
    <b v="0"/>
    <s v="DEPOSITADO EN CUENTA"/>
  </r>
  <r>
    <s v="12 DE SEPTIEMBRE DE 2025"/>
    <x v="179"/>
    <s v="MARIO OROZCO CABRERA"/>
    <n v="9004627"/>
    <s v="MARIO OROZCO CABRERA"/>
    <d v="2025-02-01T00:00:00"/>
    <s v="INICIAL"/>
    <n v="920822944"/>
    <n v="920822944"/>
    <n v="18400"/>
    <n v="5760"/>
    <n v="12640"/>
    <n v="0"/>
    <n v="12640"/>
    <n v="920822944"/>
    <n v="285123"/>
    <s v="CORP DE BIENESTAR DEL PERSONAL DE A F P"/>
    <d v="2025-02-25T00:00:00"/>
    <d v="2025-02-25T00:00:00"/>
    <d v="2025-02-25T00:00:00"/>
    <d v="2025-02-25T00:00:00"/>
    <s v="AMBULATORIOS"/>
    <n v="22646347"/>
    <n v="3041018"/>
    <n v="68951421"/>
    <s v="TRASSA"/>
    <n v="2032025"/>
    <n v="77760"/>
    <s v="SAL"/>
    <s v="AM04"/>
    <s v="EXAMENES DE LABORATORIO"/>
    <s v="EXAMENES DE LABORATORIO"/>
    <s v="EXAMENES DE LABORATORIO"/>
    <s v="IMED SALUD"/>
    <n v="0"/>
    <n v="96530470"/>
    <n v="3"/>
    <s v="FONASA"/>
    <s v="MOROZCOC@AFPHABITAT.CL"/>
    <s v="9004627|96530470|920822944|920822944"/>
    <s v="IMED SALUD"/>
    <b v="1"/>
    <s v="APORTE VIA IMED"/>
  </r>
  <r>
    <s v="12 DE SEPTIEMBRE DE 2025"/>
    <x v="179"/>
    <s v="MARIO OROZCO CABRERA"/>
    <n v="9004627"/>
    <s v="MARIO OROZCO CABRERA"/>
    <d v="2025-03-01T00:00:00"/>
    <s v="DUPLICADO"/>
    <n v="920822944"/>
    <n v="65383702"/>
    <n v="10808"/>
    <n v="0"/>
    <n v="10808"/>
    <n v="0"/>
    <n v="10808"/>
    <n v="920822944"/>
    <n v="285123"/>
    <s v="CORP DE BIENESTAR DEL PERSONAL DE A F P"/>
    <d v="2025-03-01T00:00:00"/>
    <d v="2025-03-26T00:00:00"/>
    <d v="2025-02-25T00:00:00"/>
    <d v="2025-02-25T00:00:00"/>
    <s v="AMBULATORIOS"/>
    <n v="22770710"/>
    <n v="3311105"/>
    <n v="69250593"/>
    <s v="TRASSA"/>
    <n v="14076980"/>
    <n v="78070"/>
    <s v="SAL"/>
    <s v="AM04"/>
    <s v="EXAMENES DE LABORATORIO"/>
    <s v="EXAMENES DE LABORATORIO"/>
    <s v="EXAMENES DE LABORATORIO"/>
    <n v="0"/>
    <n v="0"/>
    <n v="96530470"/>
    <n v="3"/>
    <s v="SIN ISAPRE"/>
    <s v="MOROZCOC@AFPHABITAT.CL"/>
    <s v="9004627|96530470|920822944|65383702"/>
    <s v="GASTO FISICO"/>
    <b v="0"/>
    <s v="DEPOSITADO EN CUENTA"/>
  </r>
  <r>
    <s v="12 DE SEPTIEMBRE DE 2025"/>
    <x v="30"/>
    <s v="JORGE LOPEZ PEREZ"/>
    <n v="8090641"/>
    <s v="JORGE LOPEZ PEREZ"/>
    <d v="2025-02-01T00:00:00"/>
    <s v="INICIAL"/>
    <n v="920826914"/>
    <n v="920826914"/>
    <n v="35330"/>
    <n v="26500"/>
    <n v="8830"/>
    <n v="0"/>
    <n v="8830"/>
    <n v="920826914"/>
    <n v="285123"/>
    <s v="CORP DE BIENESTAR DEL PERSONAL DE A F P"/>
    <d v="2025-02-25T00:00:00"/>
    <d v="2025-02-25T00:00:00"/>
    <d v="2025-02-25T00:00:00"/>
    <d v="2025-02-25T00:00:00"/>
    <s v="AMBULATORIOS"/>
    <n v="22646344"/>
    <n v="3041018"/>
    <n v="68951462"/>
    <s v="TRASSA"/>
    <n v="2032025"/>
    <n v="77760"/>
    <s v="SAL"/>
    <s v="AM04"/>
    <s v="EXAMENES DE LABORATORIO"/>
    <s v="EXAMENES DE LABORATORIO"/>
    <s v="EXAMENES DE LABORATORIO"/>
    <s v="IMED SALUD"/>
    <n v="0"/>
    <n v="77687110"/>
    <n v="9"/>
    <s v="FONASA"/>
    <s v="JLOPEZ@AFPHABITAT.CL"/>
    <s v="8090641|77687110|920826914|920826914"/>
    <s v="IMED SALUD"/>
    <b v="1"/>
    <s v="APORTE VIA IMED"/>
  </r>
  <r>
    <s v="12 DE SEPTIEMBRE DE 2025"/>
    <x v="30"/>
    <s v="JORGE LOPEZ PEREZ"/>
    <n v="8090641"/>
    <s v="JORGE LOPEZ PEREZ"/>
    <d v="2025-03-01T00:00:00"/>
    <s v="DUPLICADO"/>
    <n v="920826914"/>
    <n v="65383639"/>
    <n v="8878"/>
    <n v="0"/>
    <n v="8878"/>
    <n v="0"/>
    <n v="8878"/>
    <n v="920826914"/>
    <n v="285123"/>
    <s v="CORP DE BIENESTAR DEL PERSONAL DE A F P"/>
    <d v="2025-03-01T00:00:00"/>
    <d v="2025-03-26T00:00:00"/>
    <d v="2025-02-25T00:00:00"/>
    <d v="2025-02-25T00:00:00"/>
    <s v="AMBULATORIOS"/>
    <n v="22770707"/>
    <n v="3311105"/>
    <n v="69250530"/>
    <s v="TRASSA"/>
    <n v="1850449800"/>
    <n v="78070"/>
    <s v="SAL"/>
    <s v="AM04"/>
    <s v="EXAMENES DE LABORATORIO"/>
    <s v="EXAMENES DE LABORATORIO"/>
    <s v="EXAMENES DE LABORATORIO"/>
    <n v="0"/>
    <n v="0"/>
    <n v="77687110"/>
    <n v="9"/>
    <s v="SIN ISAPRE"/>
    <s v="JLOPEZ@AFPHABITAT.CL"/>
    <s v="8090641|77687110|920826914|65383639"/>
    <s v="GASTO FISICO"/>
    <b v="0"/>
    <s v="DEPOSITADO EN CUENTA"/>
  </r>
  <r>
    <s v="12 DE SEPTIEMBRE DE 2025"/>
    <x v="14"/>
    <s v="EVELYN JARA DIAZ"/>
    <n v="15400638"/>
    <s v="EVELYN JARA DIAZ"/>
    <d v="2025-02-01T00:00:00"/>
    <s v="INICIAL"/>
    <n v="920840611"/>
    <n v="920840611"/>
    <n v="31320"/>
    <n v="9790"/>
    <n v="21530"/>
    <n v="0"/>
    <n v="21530"/>
    <n v="920840611"/>
    <n v="285123"/>
    <s v="CORP DE BIENESTAR DEL PERSONAL DE A F P"/>
    <d v="2025-02-25T00:00:00"/>
    <d v="2025-02-25T00:00:00"/>
    <d v="2025-02-25T00:00:00"/>
    <d v="2025-02-25T00:00:00"/>
    <s v="AMBULATORIOS"/>
    <n v="22646367"/>
    <n v="3041018"/>
    <n v="68951538"/>
    <s v="TRASSA"/>
    <n v="2032025"/>
    <n v="77760"/>
    <s v="SAL"/>
    <s v="AM04"/>
    <s v="EXAMENES DE LABORATORIO"/>
    <s v="EXAMENES DE LABORATORIO"/>
    <s v="EXAMENES DE LABORATORIO"/>
    <s v="IMED SALUD"/>
    <n v="0"/>
    <n v="96942400"/>
    <n v="2"/>
    <s v="FONASA"/>
    <s v="EJARAD@AFPHABITAT.CL"/>
    <s v="15400638|96942400|920840611|920840611"/>
    <s v="IMED SALUD"/>
    <b v="1"/>
    <s v="APORTE VIA IMED"/>
  </r>
  <r>
    <s v="12 DE SEPTIEMBRE DE 2025"/>
    <x v="14"/>
    <s v="EVELYN JARA DIAZ"/>
    <n v="15400638"/>
    <s v="EVELYN JARA DIAZ"/>
    <d v="2025-03-01T00:00:00"/>
    <s v="DUPLICADO"/>
    <n v="920840611"/>
    <n v="65384278"/>
    <n v="18142"/>
    <n v="0"/>
    <n v="18142"/>
    <n v="0"/>
    <n v="18142"/>
    <n v="920840611"/>
    <n v="285123"/>
    <s v="CORP DE BIENESTAR DEL PERSONAL DE A F P"/>
    <d v="2025-03-01T00:00:00"/>
    <d v="2025-03-26T00:00:00"/>
    <d v="2025-02-25T00:00:00"/>
    <d v="2025-02-25T00:00:00"/>
    <s v="AMBULATORIOS"/>
    <n v="22770718"/>
    <n v="3311105"/>
    <n v="69251161"/>
    <s v="TRASSA"/>
    <n v="1693122302"/>
    <n v="78070"/>
    <s v="SAL"/>
    <s v="AM04"/>
    <s v="EXAMENES DE LABORATORIO"/>
    <s v="EXAMENES DE LABORATORIO"/>
    <s v="EXAMENES DE LABORATORIO"/>
    <n v="0"/>
    <n v="0"/>
    <n v="96942400"/>
    <n v="2"/>
    <s v="SIN ISAPRE"/>
    <s v="EJARAD@AFPHABITAT.CL"/>
    <s v="15400638|96942400|920840611|65384278"/>
    <s v="GASTO FISICO"/>
    <b v="0"/>
    <s v="DEPOSITADO EN CUENTA"/>
  </r>
  <r>
    <s v="12 DE SEPTIEMBRE DE 2025"/>
    <x v="14"/>
    <s v="EVELYN JARA DIAZ"/>
    <n v="15400638"/>
    <s v="EVELYN JARA DIAZ"/>
    <d v="2025-02-01T00:00:00"/>
    <s v="INICIAL"/>
    <n v="920840612"/>
    <n v="920840612"/>
    <n v="35730"/>
    <n v="11180"/>
    <n v="24550"/>
    <n v="0"/>
    <n v="24550"/>
    <n v="920840612"/>
    <n v="285123"/>
    <s v="CORP DE BIENESTAR DEL PERSONAL DE A F P"/>
    <d v="2025-02-25T00:00:00"/>
    <d v="2025-02-25T00:00:00"/>
    <d v="2025-02-25T00:00:00"/>
    <d v="2025-02-25T00:00:00"/>
    <s v="AMBULATORIOS"/>
    <n v="22646367"/>
    <n v="3041018"/>
    <n v="68951537"/>
    <s v="TRASSA"/>
    <n v="2032025"/>
    <n v="77760"/>
    <s v="SAL"/>
    <s v="AM04"/>
    <s v="EXAMENES DE LABORATORIO"/>
    <s v="EXAMENES DE LABORATORIO"/>
    <s v="EXAMENES DE LABORATORIO"/>
    <s v="IMED SALUD"/>
    <n v="0"/>
    <n v="96942400"/>
    <n v="2"/>
    <s v="FONASA"/>
    <s v="EJARAD@AFPHABITAT.CL"/>
    <s v="15400638|96942400|920840612|920840612"/>
    <s v="IMED SALUD"/>
    <b v="1"/>
    <s v="APORTE VIA IMED"/>
  </r>
  <r>
    <s v="12 DE SEPTIEMBRE DE 2025"/>
    <x v="14"/>
    <s v="EVELYN JARA DIAZ"/>
    <n v="15400638"/>
    <s v="EVELYN JARA DIAZ"/>
    <d v="2025-03-01T00:00:00"/>
    <s v="DUPLICADO"/>
    <n v="920840612"/>
    <n v="65384279"/>
    <n v="21230"/>
    <n v="0"/>
    <n v="21230"/>
    <n v="0"/>
    <n v="21230"/>
    <n v="920840612"/>
    <n v="285123"/>
    <s v="CORP DE BIENESTAR DEL PERSONAL DE A F P"/>
    <d v="2025-03-01T00:00:00"/>
    <d v="2025-03-26T00:00:00"/>
    <d v="2025-02-25T00:00:00"/>
    <d v="2025-02-25T00:00:00"/>
    <s v="AMBULATORIOS"/>
    <n v="22770718"/>
    <n v="3311105"/>
    <n v="69251162"/>
    <s v="TRASSA"/>
    <n v="1693122302"/>
    <n v="78070"/>
    <s v="SAL"/>
    <s v="AM04"/>
    <s v="EXAMENES DE LABORATORIO"/>
    <s v="EXAMENES DE LABORATORIO"/>
    <s v="EXAMENES DE LABORATORIO"/>
    <n v="0"/>
    <n v="0"/>
    <n v="96942400"/>
    <n v="2"/>
    <s v="SIN ISAPRE"/>
    <s v="EJARAD@AFPHABITAT.CL"/>
    <s v="15400638|96942400|920840612|65384279"/>
    <s v="GASTO FISICO"/>
    <b v="0"/>
    <s v="DEPOSITADO EN CUENTA"/>
  </r>
  <r>
    <s v="12 DE SEPTIEMBRE DE 2025"/>
    <x v="14"/>
    <s v="EVELYN JARA DIAZ"/>
    <n v="15400638"/>
    <s v="EVELYN JARA DIAZ"/>
    <d v="2025-02-01T00:00:00"/>
    <s v="INICIAL"/>
    <n v="920840613"/>
    <n v="920840613"/>
    <n v="39180"/>
    <n v="12250"/>
    <n v="26930"/>
    <n v="0"/>
    <n v="26930"/>
    <n v="920840613"/>
    <n v="285123"/>
    <s v="CORP DE BIENESTAR DEL PERSONAL DE A F P"/>
    <d v="2025-02-25T00:00:00"/>
    <d v="2025-02-25T00:00:00"/>
    <d v="2025-02-25T00:00:00"/>
    <d v="2025-02-25T00:00:00"/>
    <s v="AMBULATORIOS"/>
    <n v="22646367"/>
    <n v="3041018"/>
    <n v="68951536"/>
    <s v="TRASSA"/>
    <n v="2032025"/>
    <n v="77760"/>
    <s v="SAL"/>
    <s v="AM04"/>
    <s v="EXAMENES DE LABORATORIO"/>
    <s v="EXAMENES DE LABORATORIO"/>
    <s v="EXAMENES DE LABORATORIO"/>
    <s v="IMED SALUD"/>
    <n v="0"/>
    <n v="96942400"/>
    <n v="2"/>
    <s v="FONASA"/>
    <s v="EJARAD@AFPHABITAT.CL"/>
    <s v="15400638|96942400|920840613|920840613"/>
    <s v="IMED SALUD"/>
    <b v="1"/>
    <s v="APORTE VIA IMED"/>
  </r>
  <r>
    <s v="12 DE SEPTIEMBRE DE 2025"/>
    <x v="14"/>
    <s v="EVELYN JARA DIAZ"/>
    <n v="15400638"/>
    <s v="EVELYN JARA DIAZ"/>
    <d v="2025-03-01T00:00:00"/>
    <s v="DUPLICADO"/>
    <n v="920840613"/>
    <n v="65384280"/>
    <n v="22775"/>
    <n v="0"/>
    <n v="22775"/>
    <n v="0"/>
    <n v="22775"/>
    <n v="920840613"/>
    <n v="285123"/>
    <s v="CORP DE BIENESTAR DEL PERSONAL DE A F P"/>
    <d v="2025-03-01T00:00:00"/>
    <d v="2025-03-26T00:00:00"/>
    <d v="2025-02-25T00:00:00"/>
    <d v="2025-02-25T00:00:00"/>
    <s v="AMBULATORIOS"/>
    <n v="22770718"/>
    <n v="3311105"/>
    <n v="69251163"/>
    <s v="TRASSA"/>
    <n v="1693122302"/>
    <n v="78070"/>
    <s v="SAL"/>
    <s v="AM04"/>
    <s v="EXAMENES DE LABORATORIO"/>
    <s v="EXAMENES DE LABORATORIO"/>
    <s v="EXAMENES DE LABORATORIO"/>
    <n v="0"/>
    <n v="0"/>
    <n v="96942400"/>
    <n v="2"/>
    <s v="SIN ISAPRE"/>
    <s v="EJARAD@AFPHABITAT.CL"/>
    <s v="15400638|96942400|920840613|65384280"/>
    <s v="GASTO FISICO"/>
    <b v="0"/>
    <s v="DEPOSITADO EN CUENTA"/>
  </r>
  <r>
    <s v="12 DE SEPTIEMBRE DE 2025"/>
    <x v="14"/>
    <s v="EVELYN JARA DIAZ"/>
    <n v="15400638"/>
    <s v="EVELYN JARA DIAZ"/>
    <d v="2025-02-01T00:00:00"/>
    <s v="INICIAL"/>
    <n v="920841344"/>
    <n v="920841344"/>
    <n v="10740"/>
    <n v="3360"/>
    <n v="7380"/>
    <n v="0"/>
    <n v="7380"/>
    <n v="920841344"/>
    <n v="285123"/>
    <s v="CORP DE BIENESTAR DEL PERSONAL DE A F P"/>
    <d v="2025-02-25T00:00:00"/>
    <d v="2025-02-25T00:00:00"/>
    <d v="2025-02-25T00:00:00"/>
    <d v="2025-02-25T00:00:00"/>
    <s v="AMBULATORIOS"/>
    <n v="22646367"/>
    <n v="3041018"/>
    <n v="68951543"/>
    <s v="TRASSA"/>
    <n v="2032025"/>
    <n v="77760"/>
    <s v="SAL"/>
    <s v="AM07"/>
    <s v="PROCEDIMIENTOS TERAPEUTICOS"/>
    <s v="PROCEDIMIENTOS TERAPEUTICOS"/>
    <s v="PROCEDIMIENTOS TERAPEUTICOS"/>
    <s v="IMED SALUD"/>
    <n v="0"/>
    <n v="96942400"/>
    <n v="2"/>
    <s v="FONASA"/>
    <s v="EJARAD@AFPHABITAT.CL"/>
    <s v="15400638|96942400|920841344|920841344"/>
    <s v="IMED SALUD"/>
    <b v="1"/>
    <s v="APORTE VIA IMED"/>
  </r>
  <r>
    <s v="12 DE SEPTIEMBRE DE 2025"/>
    <x v="14"/>
    <s v="EVELYN JARA DIAZ"/>
    <n v="15400638"/>
    <s v="EVELYN JARA DIAZ"/>
    <d v="2025-03-01T00:00:00"/>
    <s v="DUPLICADO"/>
    <n v="920841344"/>
    <n v="65384281"/>
    <n v="6176"/>
    <n v="0"/>
    <n v="6176"/>
    <n v="0"/>
    <n v="6176"/>
    <n v="920841344"/>
    <n v="285123"/>
    <s v="CORP DE BIENESTAR DEL PERSONAL DE A F P"/>
    <d v="2025-03-01T00:00:00"/>
    <d v="2025-03-26T00:00:00"/>
    <d v="2025-02-25T00:00:00"/>
    <d v="2025-02-25T00:00:00"/>
    <s v="AMBULATORIOS"/>
    <n v="22770718"/>
    <n v="3311105"/>
    <n v="69251164"/>
    <s v="TRASSA"/>
    <n v="1693122302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EJARAD@AFPHABITAT.CL"/>
    <s v="15400638|96942400|920841344|65384281"/>
    <s v="GASTO FISICO"/>
    <b v="0"/>
    <s v="DEPOSITADO EN CUENTA"/>
  </r>
  <r>
    <s v="12 DE SEPTIEMBRE DE 2025"/>
    <x v="14"/>
    <s v="EVELYN JARA DIAZ"/>
    <n v="15400638"/>
    <s v="EVELYN JARA DIAZ"/>
    <d v="2025-02-01T00:00:00"/>
    <s v="INICIAL"/>
    <n v="920853257"/>
    <n v="920853257"/>
    <n v="11500"/>
    <n v="3600"/>
    <n v="7900"/>
    <n v="0"/>
    <n v="7900"/>
    <n v="920853257"/>
    <n v="285123"/>
    <s v="CORP DE BIENESTAR DEL PERSONAL DE A F P"/>
    <d v="2025-02-25T00:00:00"/>
    <d v="2025-02-25T00:00:00"/>
    <d v="2025-02-25T00:00:00"/>
    <d v="2025-02-25T00:00:00"/>
    <s v="AMBULATORIOS"/>
    <n v="22646367"/>
    <n v="3041018"/>
    <n v="68951603"/>
    <s v="TRASSA"/>
    <n v="2032025"/>
    <n v="77760"/>
    <s v="SAL"/>
    <s v="AM07"/>
    <s v="PROCEDIMIENTOS TERAPEUTICOS"/>
    <s v="PROCEDIMIENTOS TERAPEUTICOS"/>
    <s v="PROCEDIMIENTOS TERAPEUTICOS"/>
    <s v="IMED SALUD"/>
    <n v="0"/>
    <n v="96942400"/>
    <n v="2"/>
    <s v="FONASA"/>
    <s v="EJARAD@AFPHABITAT.CL"/>
    <s v="15400638|96942400|920853257|920853257"/>
    <s v="IMED SALUD"/>
    <b v="1"/>
    <s v="APORTE VIA IMED"/>
  </r>
  <r>
    <s v="12 DE SEPTIEMBRE DE 2025"/>
    <x v="14"/>
    <s v="EVELYN JARA DIAZ"/>
    <n v="15400638"/>
    <s v="EVELYN JARA DIAZ"/>
    <d v="2025-03-01T00:00:00"/>
    <s v="DUPLICADO"/>
    <n v="920853257"/>
    <n v="65384282"/>
    <n v="6562"/>
    <n v="0"/>
    <n v="6562"/>
    <n v="0"/>
    <n v="6562"/>
    <n v="920853257"/>
    <n v="285123"/>
    <s v="CORP DE BIENESTAR DEL PERSONAL DE A F P"/>
    <d v="2025-03-01T00:00:00"/>
    <d v="2025-03-26T00:00:00"/>
    <d v="2025-02-25T00:00:00"/>
    <d v="2025-02-25T00:00:00"/>
    <s v="AMBULATORIOS"/>
    <n v="22770718"/>
    <n v="3311105"/>
    <n v="69251165"/>
    <s v="TRASSA"/>
    <n v="1693122302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EJARAD@AFPHABITAT.CL"/>
    <s v="15400638|96942400|920853257|65384282"/>
    <s v="GASTO FISICO"/>
    <b v="0"/>
    <s v="DEPOSITADO EN CUENTA"/>
  </r>
  <r>
    <s v="12 DE SEPTIEMBRE DE 2025"/>
    <x v="198"/>
    <s v="ALEJANDRA ANDREA BUSTOS FLORES"/>
    <n v="25061160"/>
    <s v="AMANDA VIANA BUSTOS"/>
    <d v="2025-02-01T00:00:00"/>
    <s v="INICIAL"/>
    <n v="920865376"/>
    <n v="920865376"/>
    <n v="29500"/>
    <n v="9220"/>
    <n v="20280"/>
    <n v="0"/>
    <n v="20280"/>
    <n v="920865376"/>
    <n v="285123"/>
    <s v="CORP DE BIENESTAR DEL PERSONAL DE A F P"/>
    <d v="2025-02-25T00:00:00"/>
    <d v="2025-02-25T00:00:00"/>
    <d v="2025-02-25T00:00:00"/>
    <d v="2025-02-25T00:00:00"/>
    <s v="AMBULATORIOS"/>
    <n v="22646363"/>
    <n v="3041018"/>
    <n v="68951656"/>
    <s v="TRASSA"/>
    <n v="2032025"/>
    <n v="77760"/>
    <s v="SAL"/>
    <s v="AM07"/>
    <s v="PROCEDIMIENTOS TERAPEUTICOS"/>
    <s v="PROCEDIMIENTOS TERAPEUTICOS"/>
    <s v="PROCEDIMIENTOS TERAPEUTICOS"/>
    <s v="IMED SALUD"/>
    <n v="0"/>
    <n v="96942400"/>
    <n v="2"/>
    <s v="FONASA"/>
    <s v="ALEJANDRA.BUSTOS@AFPHABITAT.CL"/>
    <s v="13924168|96942400|920865376|920865376"/>
    <s v="IMED SALUD"/>
    <b v="1"/>
    <s v="APORTE VIA IMED"/>
  </r>
  <r>
    <s v="12 DE SEPTIEMBRE DE 2025"/>
    <x v="198"/>
    <s v="ALEJANDRA ANDREA BUSTOS FLORES"/>
    <n v="25061160"/>
    <s v="AMANDA VIANA BUSTOS"/>
    <d v="2025-03-01T00:00:00"/>
    <s v="DUPLICADO"/>
    <n v="920865376"/>
    <n v="65384157"/>
    <n v="17757"/>
    <n v="0"/>
    <n v="17757"/>
    <n v="0"/>
    <n v="17757"/>
    <n v="920865376"/>
    <n v="285123"/>
    <s v="CORP DE BIENESTAR DEL PERSONAL DE A F P"/>
    <d v="2025-03-01T00:00:00"/>
    <d v="2025-03-26T00:00:00"/>
    <d v="2025-02-25T00:00:00"/>
    <d v="2025-02-25T00:00:00"/>
    <s v="AMBULATORIOS"/>
    <n v="22770715"/>
    <n v="3311105"/>
    <n v="69251037"/>
    <s v="TRASSA"/>
    <n v="13924168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ALEJANDRA.BUSTOS@AFPHABITAT.CL"/>
    <s v="13924168|96942400|920865376|65384157"/>
    <s v="GASTO FISICO"/>
    <b v="0"/>
    <s v="DEPOSITADO EN CUENTA"/>
  </r>
  <r>
    <s v="12 DE SEPTIEMBRE DE 2025"/>
    <x v="207"/>
    <s v="MARISA JACQUELINE CARVAJAL ARAYA"/>
    <n v="10240460"/>
    <s v="MARISA JACQUELINE CARVAJAL ARAYA"/>
    <d v="2025-02-01T00:00:00"/>
    <s v="INICIAL"/>
    <n v="920884394"/>
    <n v="920884394"/>
    <n v="35460"/>
    <n v="11080"/>
    <n v="24380"/>
    <n v="0"/>
    <n v="24380"/>
    <n v="920884394"/>
    <n v="285123"/>
    <s v="CORP DE BIENESTAR DEL PERSONAL DE A F P"/>
    <d v="2025-02-25T00:00:00"/>
    <d v="2025-02-25T00:00:00"/>
    <d v="2025-02-25T00:00:00"/>
    <d v="2025-02-25T00:00:00"/>
    <s v="AMBULATORIOS"/>
    <n v="22646350"/>
    <n v="3041018"/>
    <n v="68951746"/>
    <s v="TRASSA"/>
    <n v="2032025"/>
    <n v="77760"/>
    <s v="SAL"/>
    <s v="AM05"/>
    <s v="EXAMENES RADIOLOGICOS"/>
    <s v="EXAMENES RADIOLOGICOS"/>
    <s v="EXAMENES RADIOLOGICOS"/>
    <s v="IMED SALUD"/>
    <n v="0"/>
    <n v="76098454"/>
    <s v="K"/>
    <s v="FONASA"/>
    <s v="MARISA.CARVAJAL@AFPHABITAT.CL"/>
    <s v="10240460|76098454|920884394|920884394"/>
    <s v="IMED SALUD"/>
    <b v="1"/>
    <s v="APORTE VIA IMED"/>
  </r>
  <r>
    <s v="12 DE SEPTIEMBRE DE 2025"/>
    <x v="207"/>
    <s v="MARISA JACQUELINE CARVAJAL ARAYA"/>
    <n v="10240460"/>
    <s v="MARISA JACQUELINE CARVAJAL ARAYA"/>
    <d v="2025-03-01T00:00:00"/>
    <s v="DUPLICADO"/>
    <n v="920884394"/>
    <n v="65383819"/>
    <n v="20845"/>
    <n v="0"/>
    <n v="20845"/>
    <n v="0"/>
    <n v="20845"/>
    <n v="920884394"/>
    <n v="285123"/>
    <s v="CORP DE BIENESTAR DEL PERSONAL DE A F P"/>
    <d v="2025-03-01T00:00:00"/>
    <d v="2025-03-26T00:00:00"/>
    <d v="2025-02-25T00:00:00"/>
    <d v="2025-02-25T00:00:00"/>
    <s v="AMBULATORIOS"/>
    <n v="22770712"/>
    <n v="3311105"/>
    <n v="69250708"/>
    <s v="TRASSA"/>
    <n v="210927782"/>
    <n v="78070"/>
    <s v="SAL"/>
    <s v="AM05"/>
    <s v="EXAMENES RADIOLOGICOS"/>
    <s v="EXAMENES RADIOLOGICOS"/>
    <s v="EXAMENES RADIOLOGICOS"/>
    <n v="0"/>
    <n v="0"/>
    <n v="76098454"/>
    <s v="K"/>
    <s v="SIN ISAPRE"/>
    <s v="MARISA.CARVAJAL@AFPHABITAT.CL"/>
    <s v="10240460|76098454|920884394|65383819"/>
    <s v="GASTO FISICO"/>
    <b v="0"/>
    <s v="DEPOSITADO EN CUENTA"/>
  </r>
  <r>
    <s v="12 DE SEPTIEMBRE DE 2025"/>
    <x v="207"/>
    <s v="MARISA JACQUELINE CARVAJAL ARAYA"/>
    <n v="10240460"/>
    <s v="MARISA JACQUELINE CARVAJAL ARAYA"/>
    <d v="2025-02-01T00:00:00"/>
    <s v="INICIAL"/>
    <n v="920884860"/>
    <n v="920884860"/>
    <n v="28990"/>
    <n v="9060"/>
    <n v="19930"/>
    <n v="0"/>
    <n v="19930"/>
    <n v="920884860"/>
    <n v="285123"/>
    <s v="CORP DE BIENESTAR DEL PERSONAL DE A F P"/>
    <d v="2025-02-25T00:00:00"/>
    <d v="2025-02-25T00:00:00"/>
    <d v="2025-02-25T00:00:00"/>
    <d v="2025-02-25T00:00:00"/>
    <s v="AMBULATORIOS"/>
    <n v="22646350"/>
    <n v="3041018"/>
    <n v="68951748"/>
    <s v="TRASSA"/>
    <n v="2032025"/>
    <n v="77760"/>
    <s v="SAL"/>
    <s v="AM05"/>
    <s v="EXAMENES RADIOLOGICOS"/>
    <s v="EXAMENES RADIOLOGICOS"/>
    <s v="EXAMENES RADIOLOGICOS"/>
    <s v="IMED SALUD"/>
    <n v="0"/>
    <n v="76098454"/>
    <s v="K"/>
    <s v="FONASA"/>
    <s v="MARISA.CARVAJAL@AFPHABITAT.CL"/>
    <s v="10240460|76098454|920884860|920884860"/>
    <s v="IMED SALUD"/>
    <b v="1"/>
    <s v="APORTE VIA IMED"/>
  </r>
  <r>
    <s v="12 DE SEPTIEMBRE DE 2025"/>
    <x v="207"/>
    <s v="MARISA JACQUELINE CARVAJAL ARAYA"/>
    <n v="10240460"/>
    <s v="MARISA JACQUELINE CARVAJAL ARAYA"/>
    <d v="2025-03-01T00:00:00"/>
    <s v="DUPLICADO"/>
    <n v="920884860"/>
    <n v="65383820"/>
    <n v="17371"/>
    <n v="0"/>
    <n v="17371"/>
    <n v="0"/>
    <n v="17371"/>
    <n v="920884860"/>
    <n v="285123"/>
    <s v="CORP DE BIENESTAR DEL PERSONAL DE A F P"/>
    <d v="2025-03-01T00:00:00"/>
    <d v="2025-03-26T00:00:00"/>
    <d v="2025-02-25T00:00:00"/>
    <d v="2025-02-25T00:00:00"/>
    <s v="AMBULATORIOS"/>
    <n v="22770712"/>
    <n v="3311105"/>
    <n v="69250709"/>
    <s v="TRASSA"/>
    <n v="210927782"/>
    <n v="78070"/>
    <s v="SAL"/>
    <s v="AM05"/>
    <s v="EXAMENES RADIOLOGICOS"/>
    <s v="EXAMENES RADIOLOGICOS"/>
    <s v="EXAMENES RADIOLOGICOS"/>
    <n v="0"/>
    <n v="0"/>
    <n v="76098454"/>
    <s v="K"/>
    <s v="SIN ISAPRE"/>
    <s v="MARISA.CARVAJAL@AFPHABITAT.CL"/>
    <s v="10240460|76098454|920884860|65383820"/>
    <s v="GASTO FISICO"/>
    <b v="0"/>
    <s v="DEPOSITADO EN CUENTA"/>
  </r>
  <r>
    <s v="12 DE SEPTIEMBRE DE 2025"/>
    <x v="208"/>
    <s v="LAURA DEL PILAR ALFARO MARTINEZ"/>
    <n v="18545062"/>
    <s v="LAURA DEL PILAR ALFARO MARTINEZ"/>
    <d v="2025-02-01T00:00:00"/>
    <s v="INICIAL"/>
    <n v="920950240"/>
    <n v="920950240"/>
    <n v="34290"/>
    <n v="17160"/>
    <n v="17130"/>
    <n v="0"/>
    <n v="17130"/>
    <n v="920950240"/>
    <n v="285123"/>
    <s v="CORP DE BIENESTAR DEL PERSONAL DE A F P"/>
    <d v="2025-02-26T00:00:00"/>
    <d v="2025-02-26T00:00:00"/>
    <d v="2025-02-26T00:00:00"/>
    <d v="2025-02-26T00:00:00"/>
    <s v="AMBULATORIOS"/>
    <n v="22646417"/>
    <n v="3041018"/>
    <n v="68952123"/>
    <s v="TRASSA"/>
    <n v="2032025"/>
    <n v="77760"/>
    <s v="SAL"/>
    <s v="AM04"/>
    <s v="EXAMENES DE LABORATORIO"/>
    <s v="EXAMENES DE LABORATORIO"/>
    <s v="EXAMENES DE LABORATORIO"/>
    <s v="IMED SALUD"/>
    <n v="0"/>
    <n v="77427817"/>
    <n v="6"/>
    <s v="FONASA"/>
    <s v="LAURA.ALFARO@AFPHABITAT.CL"/>
    <s v="18545062|77427817|920950240|920950240"/>
    <s v="IMED SALUD"/>
    <b v="1"/>
    <s v="APORTE VIA IMED"/>
  </r>
  <r>
    <s v="12 DE SEPTIEMBRE DE 2025"/>
    <x v="208"/>
    <s v="LAURA DEL PILAR ALFARO MARTINEZ"/>
    <n v="18545062"/>
    <s v="LAURA DEL PILAR ALFARO MARTINEZ"/>
    <d v="2025-03-01T00:00:00"/>
    <s v="DUPLICADO"/>
    <n v="920950240"/>
    <n v="65384460"/>
    <n v="16990"/>
    <n v="0"/>
    <n v="16990"/>
    <n v="0"/>
    <n v="16990"/>
    <n v="920950240"/>
    <n v="285123"/>
    <s v="CORP DE BIENESTAR DEL PERSONAL DE A F P"/>
    <d v="2025-03-01T00:00:00"/>
    <d v="2025-03-26T00:00:00"/>
    <d v="2025-02-26T00:00:00"/>
    <d v="2025-02-26T00:00:00"/>
    <s v="AMBULATORIOS"/>
    <n v="22770729"/>
    <n v="3311105"/>
    <n v="69251326"/>
    <s v="TRASSA"/>
    <n v="8010801903"/>
    <n v="78070"/>
    <s v="SAL"/>
    <s v="AM04"/>
    <s v="EXAMENES DE LABORATORIO"/>
    <s v="EXAMENES DE LABORATORIO"/>
    <s v="EXAMENES DE LABORATORIO"/>
    <n v="0"/>
    <n v="0"/>
    <n v="77427817"/>
    <n v="6"/>
    <s v="SIN ISAPRE"/>
    <s v="LAURA.ALFARO@AFPHABITAT.CL"/>
    <s v="18545062|77427817|920950240|65384460"/>
    <s v="GASTO FISICO"/>
    <b v="0"/>
    <s v="DEPOSITADO EN CUENTA"/>
  </r>
  <r>
    <s v="12 DE SEPTIEMBRE DE 2025"/>
    <x v="208"/>
    <s v="LAURA DEL PILAR ALFARO MARTINEZ"/>
    <n v="18545062"/>
    <s v="LAURA DEL PILAR ALFARO MARTINEZ"/>
    <d v="2025-02-01T00:00:00"/>
    <s v="INICIAL"/>
    <n v="920950241"/>
    <n v="920950241"/>
    <n v="21330"/>
    <n v="10670"/>
    <n v="10660"/>
    <n v="0"/>
    <n v="10660"/>
    <n v="920950241"/>
    <n v="285123"/>
    <s v="CORP DE BIENESTAR DEL PERSONAL DE A F P"/>
    <d v="2025-02-26T00:00:00"/>
    <d v="2025-02-26T00:00:00"/>
    <d v="2025-02-26T00:00:00"/>
    <d v="2025-02-26T00:00:00"/>
    <s v="AMBULATORIOS"/>
    <n v="22646417"/>
    <n v="3041018"/>
    <n v="68952122"/>
    <s v="TRASSA"/>
    <n v="2032025"/>
    <n v="77760"/>
    <s v="SAL"/>
    <s v="AM04"/>
    <s v="EXAMENES DE LABORATORIO"/>
    <s v="EXAMENES DE LABORATORIO"/>
    <s v="EXAMENES DE LABORATORIO"/>
    <s v="IMED SALUD"/>
    <n v="0"/>
    <n v="77427817"/>
    <n v="6"/>
    <s v="FONASA"/>
    <s v="LAURA.ALFARO@AFPHABITAT.CL"/>
    <s v="18545062|77427817|920950241|920950241"/>
    <s v="IMED SALUD"/>
    <b v="1"/>
    <s v="APORTE VIA IMED"/>
  </r>
  <r>
    <s v="12 DE SEPTIEMBRE DE 2025"/>
    <x v="208"/>
    <s v="LAURA DEL PILAR ALFARO MARTINEZ"/>
    <n v="18545062"/>
    <s v="LAURA DEL PILAR ALFARO MARTINEZ"/>
    <d v="2025-03-01T00:00:00"/>
    <s v="DUPLICADO"/>
    <n v="920950241"/>
    <n v="65384461"/>
    <n v="11198"/>
    <n v="0"/>
    <n v="11198"/>
    <n v="0"/>
    <n v="11198"/>
    <n v="920950241"/>
    <n v="285123"/>
    <s v="CORP DE BIENESTAR DEL PERSONAL DE A F P"/>
    <d v="2025-03-01T00:00:00"/>
    <d v="2025-03-26T00:00:00"/>
    <d v="2025-02-26T00:00:00"/>
    <d v="2025-02-26T00:00:00"/>
    <s v="AMBULATORIOS"/>
    <n v="22770729"/>
    <n v="3311105"/>
    <n v="69251327"/>
    <s v="TRASSA"/>
    <n v="8010801903"/>
    <n v="78070"/>
    <s v="SAL"/>
    <s v="AM04"/>
    <s v="EXAMENES DE LABORATORIO"/>
    <s v="EXAMENES DE LABORATORIO"/>
    <s v="EXAMENES DE LABORATORIO"/>
    <n v="0"/>
    <n v="0"/>
    <n v="77427817"/>
    <n v="6"/>
    <s v="SIN ISAPRE"/>
    <s v="LAURA.ALFARO@AFPHABITAT.CL"/>
    <s v="18545062|77427817|920950241|65384461"/>
    <s v="GASTO FISICO"/>
    <b v="0"/>
    <s v="DEPOSITADO EN CUENTA"/>
  </r>
  <r>
    <s v="12 DE SEPTIEMBRE DE 2025"/>
    <x v="208"/>
    <s v="LAURA DEL PILAR ALFARO MARTINEZ"/>
    <n v="18545062"/>
    <s v="LAURA DEL PILAR ALFARO MARTINEZ"/>
    <d v="2025-02-01T00:00:00"/>
    <s v="INICIAL"/>
    <n v="920950242"/>
    <n v="920950242"/>
    <n v="15320"/>
    <n v="7670"/>
    <n v="7650"/>
    <n v="0"/>
    <n v="7650"/>
    <n v="920950242"/>
    <n v="285123"/>
    <s v="CORP DE BIENESTAR DEL PERSONAL DE A F P"/>
    <d v="2025-02-26T00:00:00"/>
    <d v="2025-02-26T00:00:00"/>
    <d v="2025-02-26T00:00:00"/>
    <d v="2025-02-26T00:00:00"/>
    <s v="AMBULATORIOS"/>
    <n v="22646417"/>
    <n v="3041018"/>
    <n v="68952121"/>
    <s v="TRASSA"/>
    <n v="2032025"/>
    <n v="77760"/>
    <s v="SAL"/>
    <s v="AM04"/>
    <s v="EXAMENES DE LABORATORIO"/>
    <s v="EXAMENES DE LABORATORIO"/>
    <s v="EXAMENES DE LABORATORIO"/>
    <s v="IMED SALUD"/>
    <n v="0"/>
    <n v="77427817"/>
    <n v="6"/>
    <s v="FONASA"/>
    <s v="LAURA.ALFARO@AFPHABITAT.CL"/>
    <s v="18545062|77427817|920950242|920950242"/>
    <s v="IMED SALUD"/>
    <b v="1"/>
    <s v="APORTE VIA IMED"/>
  </r>
  <r>
    <s v="12 DE SEPTIEMBRE DE 2025"/>
    <x v="208"/>
    <s v="LAURA DEL PILAR ALFARO MARTINEZ"/>
    <n v="18545062"/>
    <s v="LAURA DEL PILAR ALFARO MARTINEZ"/>
    <d v="2025-03-01T00:00:00"/>
    <s v="DUPLICADO"/>
    <n v="920950242"/>
    <n v="65384462"/>
    <n v="7722"/>
    <n v="0"/>
    <n v="7722"/>
    <n v="0"/>
    <n v="7722"/>
    <n v="920950242"/>
    <n v="285123"/>
    <s v="CORP DE BIENESTAR DEL PERSONAL DE A F P"/>
    <d v="2025-03-01T00:00:00"/>
    <d v="2025-03-26T00:00:00"/>
    <d v="2025-02-26T00:00:00"/>
    <d v="2025-02-26T00:00:00"/>
    <s v="AMBULATORIOS"/>
    <n v="22770729"/>
    <n v="3311105"/>
    <n v="69251328"/>
    <s v="TRASSA"/>
    <n v="8010801903"/>
    <n v="78070"/>
    <s v="SAL"/>
    <s v="AM04"/>
    <s v="EXAMENES DE LABORATORIO"/>
    <s v="EXAMENES DE LABORATORIO"/>
    <s v="EXAMENES DE LABORATORIO"/>
    <n v="0"/>
    <n v="0"/>
    <n v="77427817"/>
    <n v="6"/>
    <s v="SIN ISAPRE"/>
    <s v="LAURA.ALFARO@AFPHABITAT.CL"/>
    <s v="18545062|77427817|920950242|65384462"/>
    <s v="GASTO FISICO"/>
    <b v="0"/>
    <s v="DEPOSITADO EN CUENTA"/>
  </r>
  <r>
    <s v="12 DE SEPTIEMBRE DE 2025"/>
    <x v="208"/>
    <s v="LAURA DEL PILAR ALFARO MARTINEZ"/>
    <n v="18545062"/>
    <s v="LAURA DEL PILAR ALFARO MARTINEZ"/>
    <d v="2025-02-01T00:00:00"/>
    <s v="INICIAL"/>
    <n v="920975669"/>
    <n v="920975669"/>
    <n v="41600"/>
    <n v="13000"/>
    <n v="28600"/>
    <n v="0"/>
    <n v="28600"/>
    <n v="920975669"/>
    <n v="285123"/>
    <s v="CORP DE BIENESTAR DEL PERSONAL DE A F P"/>
    <d v="2025-02-26T00:00:00"/>
    <d v="2025-02-26T00:00:00"/>
    <d v="2025-02-26T00:00:00"/>
    <d v="2025-02-26T00:00:00"/>
    <s v="AMBULATORIOS"/>
    <n v="22646417"/>
    <n v="3041018"/>
    <n v="68952239"/>
    <s v="TRASSA"/>
    <n v="2032025"/>
    <n v="77760"/>
    <s v="SAL"/>
    <s v="AM05"/>
    <s v="EXAMENES RADIOLOGICOS"/>
    <s v="EXAMENES RADIOLOGICOS"/>
    <s v="EXAMENES RADIOLOGICOS"/>
    <s v="IMED SALUD"/>
    <n v="0"/>
    <n v="96759190"/>
    <n v="4"/>
    <s v="FONASA"/>
    <s v="LAURA.ALFARO@AFPHABITAT.CL"/>
    <s v="18545062|96759190|920975669|920975669"/>
    <s v="IMED SALUD"/>
    <b v="1"/>
    <s v="APORTE VIA IMED"/>
  </r>
  <r>
    <s v="12 DE SEPTIEMBRE DE 2025"/>
    <x v="208"/>
    <s v="LAURA DEL PILAR ALFARO MARTINEZ"/>
    <n v="18545062"/>
    <s v="LAURA DEL PILAR ALFARO MARTINEZ"/>
    <d v="2025-03-01T00:00:00"/>
    <s v="DUPLICADO"/>
    <n v="920975669"/>
    <n v="65384463"/>
    <n v="24715"/>
    <n v="0"/>
    <n v="24715"/>
    <n v="0"/>
    <n v="24715"/>
    <n v="920975669"/>
    <n v="285123"/>
    <s v="CORP DE BIENESTAR DEL PERSONAL DE A F P"/>
    <d v="2025-03-01T00:00:00"/>
    <d v="2025-03-26T00:00:00"/>
    <d v="2025-02-26T00:00:00"/>
    <d v="2025-02-26T00:00:00"/>
    <s v="AMBULATORIOS"/>
    <n v="22770729"/>
    <n v="3311105"/>
    <n v="69251329"/>
    <s v="TRASSA"/>
    <n v="8010801903"/>
    <n v="78070"/>
    <s v="SAL"/>
    <s v="AM05"/>
    <s v="EXAMENES RADIOLOGICOS"/>
    <s v="EXAMENES RADIOLOGICOS"/>
    <s v="EXAMENES RADIOLOGICOS"/>
    <n v="0"/>
    <n v="0"/>
    <n v="96759190"/>
    <n v="4"/>
    <s v="SIN ISAPRE"/>
    <s v="LAURA.ALFARO@AFPHABITAT.CL"/>
    <s v="18545062|96759190|920975669|65384463"/>
    <s v="GASTO FISICO"/>
    <b v="0"/>
    <s v="DEPOSITADO EN CUENTA"/>
  </r>
  <r>
    <s v="12 DE SEPTIEMBRE DE 2025"/>
    <x v="208"/>
    <s v="LAURA DEL PILAR ALFARO MARTINEZ"/>
    <n v="18545062"/>
    <s v="LAURA DEL PILAR ALFARO MARTINEZ"/>
    <d v="2025-02-01T00:00:00"/>
    <s v="INICIAL"/>
    <n v="920976021"/>
    <n v="920976021"/>
    <n v="22130"/>
    <n v="7850"/>
    <n v="14280"/>
    <n v="0"/>
    <n v="14280"/>
    <n v="920976021"/>
    <n v="285123"/>
    <s v="CORP DE BIENESTAR DEL PERSONAL DE A F P"/>
    <d v="2025-02-26T00:00:00"/>
    <d v="2025-02-26T00:00:00"/>
    <d v="2025-02-26T00:00:00"/>
    <d v="2025-02-26T00:00:00"/>
    <s v="AMBULATORIOS"/>
    <n v="22646417"/>
    <n v="3041018"/>
    <n v="68952245"/>
    <s v="TRASSA"/>
    <n v="2032025"/>
    <n v="77760"/>
    <s v="SAL"/>
    <s v="AM05"/>
    <s v="EXAMENES RADIOLOGICOS"/>
    <s v="EXAMENES RADIOLOGICOS"/>
    <s v="EXAMENES RADIOLOGICOS"/>
    <s v="IMED SALUD"/>
    <n v="0"/>
    <n v="96759190"/>
    <n v="4"/>
    <s v="FONASA"/>
    <s v="LAURA.ALFARO@AFPHABITAT.CL"/>
    <s v="18545062|96759190|920976021|920976021"/>
    <s v="IMED SALUD"/>
    <b v="1"/>
    <s v="APORTE VIA IMED"/>
  </r>
  <r>
    <s v="12 DE SEPTIEMBRE DE 2025"/>
    <x v="208"/>
    <s v="LAURA DEL PILAR ALFARO MARTINEZ"/>
    <n v="18545062"/>
    <s v="LAURA DEL PILAR ALFARO MARTINEZ"/>
    <d v="2025-03-01T00:00:00"/>
    <s v="DUPLICADO"/>
    <n v="920976021"/>
    <n v="65384464"/>
    <n v="11971"/>
    <n v="0"/>
    <n v="11971"/>
    <n v="0"/>
    <n v="11971"/>
    <n v="920976021"/>
    <n v="285123"/>
    <s v="CORP DE BIENESTAR DEL PERSONAL DE A F P"/>
    <d v="2025-03-01T00:00:00"/>
    <d v="2025-03-26T00:00:00"/>
    <d v="2025-02-26T00:00:00"/>
    <d v="2025-02-26T00:00:00"/>
    <s v="AMBULATORIOS"/>
    <n v="22770729"/>
    <n v="3311105"/>
    <n v="69251330"/>
    <s v="TRASSA"/>
    <n v="8010801903"/>
    <n v="78070"/>
    <s v="SAL"/>
    <s v="AM05"/>
    <s v="EXAMENES RADIOLOGICOS"/>
    <s v="EXAMENES RADIOLOGICOS"/>
    <s v="EXAMENES RADIOLOGICOS"/>
    <n v="0"/>
    <n v="0"/>
    <n v="96759190"/>
    <n v="4"/>
    <s v="SIN ISAPRE"/>
    <s v="LAURA.ALFARO@AFPHABITAT.CL"/>
    <s v="18545062|96759190|920976021|65384464"/>
    <s v="GASTO FISICO"/>
    <b v="0"/>
    <s v="DEPOSITADO EN CUENTA"/>
  </r>
  <r>
    <s v="12 DE SEPTIEMBRE DE 2025"/>
    <x v="208"/>
    <s v="LAURA DEL PILAR ALFARO MARTINEZ"/>
    <n v="18545062"/>
    <s v="LAURA DEL PILAR ALFARO MARTINEZ"/>
    <d v="2025-02-01T00:00:00"/>
    <s v="INICIAL"/>
    <n v="921011124"/>
    <n v="921011124"/>
    <n v="23230"/>
    <n v="13068"/>
    <n v="10162"/>
    <n v="0"/>
    <n v="10162"/>
    <n v="921011124"/>
    <n v="285123"/>
    <s v="CORP DE BIENESTAR DEL PERSONAL DE A F P"/>
    <d v="2025-02-26T00:00:00"/>
    <d v="2025-02-26T00:00:00"/>
    <d v="2025-02-26T00:00:00"/>
    <d v="2025-02-26T00:00:00"/>
    <s v="AMBULATORIOS"/>
    <n v="22646417"/>
    <n v="3041018"/>
    <n v="68952437"/>
    <s v="TRASSA"/>
    <n v="2032025"/>
    <n v="77760"/>
    <s v="SAL"/>
    <s v="AM05"/>
    <s v="EXAMENES RADIOLOGICOS"/>
    <s v="EXAMENES RADIOLOGICOS"/>
    <s v="EXAMENES RADIOLOGICOS"/>
    <s v="IMED SALUD"/>
    <n v="0"/>
    <n v="96759190"/>
    <n v="4"/>
    <s v="FONASA"/>
    <s v="LAURA.ALFARO@AFPHABITAT.CL"/>
    <s v="18545062|96759190|921011124|921011124"/>
    <s v="IMED SALUD"/>
    <b v="1"/>
    <s v="APORTE VIA IMED"/>
  </r>
  <r>
    <s v="12 DE SEPTIEMBRE DE 2025"/>
    <x v="208"/>
    <s v="LAURA DEL PILAR ALFARO MARTINEZ"/>
    <n v="18545062"/>
    <s v="LAURA DEL PILAR ALFARO MARTINEZ"/>
    <d v="2025-03-01T00:00:00"/>
    <s v="DUPLICADO"/>
    <n v="921011124"/>
    <n v="65384465"/>
    <n v="7723"/>
    <n v="0"/>
    <n v="7723"/>
    <n v="0"/>
    <n v="7723"/>
    <n v="921011124"/>
    <n v="285123"/>
    <s v="CORP DE BIENESTAR DEL PERSONAL DE A F P"/>
    <d v="2025-03-01T00:00:00"/>
    <d v="2025-03-26T00:00:00"/>
    <d v="2025-02-26T00:00:00"/>
    <d v="2025-02-26T00:00:00"/>
    <s v="AMBULATORIOS"/>
    <n v="22770729"/>
    <n v="3311105"/>
    <n v="69251331"/>
    <s v="TRASSA"/>
    <n v="8010801903"/>
    <n v="78070"/>
    <s v="SAL"/>
    <s v="AM05"/>
    <s v="EXAMENES RADIOLOGICOS"/>
    <s v="EXAMENES RADIOLOGICOS"/>
    <s v="EXAMENES RADIOLOGICOS"/>
    <n v="0"/>
    <n v="0"/>
    <n v="96759190"/>
    <n v="4"/>
    <s v="SIN ISAPRE"/>
    <s v="LAURA.ALFARO@AFPHABITAT.CL"/>
    <s v="18545062|96759190|921011124|65384465"/>
    <s v="GASTO FISICO"/>
    <b v="0"/>
    <s v="DEPOSITADO EN CUENTA"/>
  </r>
  <r>
    <s v="12 DE SEPTIEMBRE DE 2025"/>
    <x v="209"/>
    <s v="PATRICIO TOBAR ARRIAGADA"/>
    <n v="9382290"/>
    <s v="PATRICIO TOBAR ARRIAGADA"/>
    <d v="2025-02-01T00:00:00"/>
    <s v="INICIAL"/>
    <n v="921018325"/>
    <n v="921018325"/>
    <n v="23200"/>
    <n v="7250"/>
    <n v="15950"/>
    <n v="0"/>
    <n v="15950"/>
    <n v="921018325"/>
    <n v="285123"/>
    <s v="CORP DE BIENESTAR DEL PERSONAL DE A F P"/>
    <d v="2025-02-26T00:00:00"/>
    <d v="2025-02-26T00:00:00"/>
    <d v="2025-02-26T00:00:00"/>
    <d v="2025-02-26T00:00:00"/>
    <s v="AMBULATORIOS"/>
    <n v="22646385"/>
    <n v="3041018"/>
    <n v="68952477"/>
    <s v="TRASSA"/>
    <n v="2032025"/>
    <n v="77760"/>
    <s v="SAL"/>
    <s v="AM07"/>
    <s v="PROCEDIMIENTOS TERAPEUTICOS"/>
    <s v="PROCEDIMIENTOS TERAPEUTICOS"/>
    <s v="PROCEDIMIENTOS TERAPEUTICOS"/>
    <s v="IMED SALUD"/>
    <n v="0"/>
    <n v="76098454"/>
    <s v="K"/>
    <s v="FONASA"/>
    <s v="PTOBARA@AFPHABITAT.CL"/>
    <s v="9382290|76098454|921018325|921018325"/>
    <s v="IMED SALUD"/>
    <b v="1"/>
    <s v="APORTE VIA IMED"/>
  </r>
  <r>
    <s v="12 DE SEPTIEMBRE DE 2025"/>
    <x v="209"/>
    <s v="PATRICIO TOBAR ARRIAGADA"/>
    <n v="9382290"/>
    <s v="PATRICIO TOBAR ARRIAGADA"/>
    <d v="2025-03-01T00:00:00"/>
    <s v="DUPLICADO"/>
    <n v="921018325"/>
    <n v="65383722"/>
    <n v="13901"/>
    <n v="0"/>
    <n v="13901"/>
    <n v="0"/>
    <n v="13901"/>
    <n v="921018325"/>
    <n v="285123"/>
    <s v="CORP DE BIENESTAR DEL PERSONAL DE A F P"/>
    <d v="2025-03-01T00:00:00"/>
    <d v="2025-03-26T00:00:00"/>
    <d v="2025-02-26T00:00:00"/>
    <d v="2025-02-26T00:00:00"/>
    <s v="AMBULATORIOS"/>
    <n v="22770720"/>
    <n v="3311105"/>
    <n v="69250613"/>
    <s v="TRASSA"/>
    <n v="94808731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PTOBARA@AFPHABITAT.CL"/>
    <s v="9382290|76098454|921018325|65383722"/>
    <s v="GASTO FISICO"/>
    <b v="0"/>
    <s v="DEPOSITADO EN CUENTA"/>
  </r>
  <r>
    <s v="12 DE SEPTIEMBRE DE 2025"/>
    <x v="210"/>
    <s v="CLAUDIA MARCELA ARAYA ZUNIGA"/>
    <n v="13475325"/>
    <s v="PATRICIA MUNOZ GUTIERREZ"/>
    <d v="2025-02-01T00:00:00"/>
    <s v="INICIAL"/>
    <n v="921061968"/>
    <n v="921061968"/>
    <n v="7060"/>
    <n v="2720"/>
    <n v="4340"/>
    <n v="0"/>
    <n v="4340"/>
    <n v="921061968"/>
    <n v="285123"/>
    <s v="CORP DE BIENESTAR DEL PERSONAL DE A F P"/>
    <d v="2025-02-27T00:00:00"/>
    <d v="2025-02-27T00:00:00"/>
    <d v="2025-02-27T00:00:00"/>
    <d v="2025-02-27T00:00:00"/>
    <s v="AMBULATORIOS"/>
    <n v="22646452"/>
    <n v="3041018"/>
    <n v="68952786"/>
    <s v="TRASSA"/>
    <n v="2032025"/>
    <n v="77760"/>
    <s v="SAL"/>
    <s v="AM04"/>
    <s v="EXAMENES DE LABORATORIO"/>
    <s v="EXAMENES DE LABORATORIO"/>
    <s v="EXAMENES DE LABORATORIO"/>
    <s v="IMED SALUD"/>
    <n v="0"/>
    <n v="77274930"/>
    <n v="9"/>
    <s v="FONASA"/>
    <s v="CLAUDIA.ARAYA@AFPHABITAT.CL"/>
    <s v="13931711|77274930|921061968|921061968"/>
    <s v="IMED SALUD"/>
    <b v="1"/>
    <s v="APORTE VIA IMED"/>
  </r>
  <r>
    <s v="12 DE SEPTIEMBRE DE 2025"/>
    <x v="210"/>
    <s v="CLAUDIA MARCELA ARAYA ZUNIGA"/>
    <n v="13475325"/>
    <s v="PATRICIA MUNOZ GUTIERREZ"/>
    <d v="2025-03-01T00:00:00"/>
    <s v="DUPLICADO"/>
    <n v="921061968"/>
    <n v="65384160"/>
    <n v="3862"/>
    <n v="0"/>
    <n v="3862"/>
    <n v="0"/>
    <n v="3862"/>
    <n v="921061968"/>
    <n v="285123"/>
    <s v="CORP DE BIENESTAR DEL PERSONAL DE A F P"/>
    <d v="2025-03-01T00:00:00"/>
    <d v="2025-03-26T00:00:00"/>
    <d v="2025-02-27T00:00:00"/>
    <d v="2025-02-27T00:00:00"/>
    <s v="AMBULATORIOS"/>
    <n v="22770736"/>
    <n v="3311105"/>
    <n v="69251040"/>
    <s v="TRASSA"/>
    <n v="15841528364"/>
    <n v="78070"/>
    <s v="SAL"/>
    <s v="AM04"/>
    <s v="EXAMENES DE LABORATORIO"/>
    <s v="EXAMENES DE LABORATORIO"/>
    <s v="EXAMENES DE LABORATORIO"/>
    <n v="0"/>
    <n v="0"/>
    <n v="77274930"/>
    <n v="9"/>
    <s v="SIN ISAPRE"/>
    <s v="CLAUDIA.ARAYA@AFPHABITAT.CL"/>
    <s v="13931711|77274930|921061968|65384160"/>
    <s v="GASTO FISICO"/>
    <b v="0"/>
    <s v="DEPOSITADO EN CUENTA"/>
  </r>
  <r>
    <s v="12 DE SEPTIEMBRE DE 2025"/>
    <x v="211"/>
    <s v="CAROLA TORRES PEÑA"/>
    <n v="16116767"/>
    <s v="CAROLA TORRES PEÑA"/>
    <d v="2025-02-01T00:00:00"/>
    <s v="INICIAL"/>
    <n v="921121536"/>
    <n v="921121536"/>
    <n v="10740"/>
    <n v="3360"/>
    <n v="7380"/>
    <n v="0"/>
    <n v="7380"/>
    <n v="921121536"/>
    <n v="285123"/>
    <s v="CORP DE BIENESTAR DEL PERSONAL DE A F P"/>
    <d v="2025-02-27T00:00:00"/>
    <d v="2025-02-27T00:00:00"/>
    <d v="2025-02-27T00:00:00"/>
    <d v="2025-02-27T00:00:00"/>
    <s v="AMBULATORIOS"/>
    <n v="22646466"/>
    <n v="3041018"/>
    <n v="68953085"/>
    <s v="TRASSA"/>
    <n v="2032025"/>
    <n v="77760"/>
    <s v="SAL"/>
    <s v="AM07"/>
    <s v="PROCEDIMIENTOS TERAPEUTICOS"/>
    <s v="PROCEDIMIENTOS TERAPEUTICOS"/>
    <s v="PROCEDIMIENTOS TERAPEUTICOS"/>
    <s v="IMED SALUD"/>
    <n v="0"/>
    <n v="76110809"/>
    <n v="3"/>
    <s v="FONASA"/>
    <s v="CAROLA.TORRES@AFPHABITAT.CL"/>
    <s v="16116767|76110809|921121536|921121536"/>
    <s v="IMED SALUD"/>
    <b v="1"/>
    <s v="APORTE VIA IMED"/>
  </r>
  <r>
    <s v="12 DE SEPTIEMBRE DE 2025"/>
    <x v="211"/>
    <s v="CAROLA TORRES PEÑA"/>
    <n v="16116767"/>
    <s v="CAROLA TORRES PEÑA"/>
    <d v="2025-03-01T00:00:00"/>
    <s v="DUPLICADO"/>
    <n v="921121536"/>
    <n v="65384353"/>
    <n v="6181"/>
    <n v="0"/>
    <n v="6181"/>
    <n v="0"/>
    <n v="6181"/>
    <n v="921121536"/>
    <n v="285123"/>
    <s v="CORP DE BIENESTAR DEL PERSONAL DE A F P"/>
    <d v="2025-03-01T00:00:00"/>
    <d v="2025-03-26T00:00:00"/>
    <d v="2025-02-27T00:00:00"/>
    <d v="2025-02-27T00:00:00"/>
    <s v="AMBULATORIOS"/>
    <n v="22770740"/>
    <n v="3311105"/>
    <n v="69251236"/>
    <s v="TRASSA"/>
    <n v="15200202512"/>
    <n v="78070"/>
    <s v="SAL"/>
    <s v="AM07"/>
    <s v="PROCEDIMIENTOS TERAPEUTICOS"/>
    <s v="PROCEDIMIENTOS TERAPEUTICOS"/>
    <s v="PROCEDIMIENTOS TERAPEUTICOS"/>
    <n v="0"/>
    <n v="0"/>
    <n v="76110809"/>
    <n v="3"/>
    <s v="SIN ISAPRE"/>
    <s v="CAROLA.TORRES@AFPHABITAT.CL"/>
    <s v="16116767|76110809|921121536|65384353"/>
    <s v="GASTO FISICO"/>
    <b v="0"/>
    <s v="DEPOSITADO EN CUENTA"/>
  </r>
  <r>
    <s v="12 DE SEPTIEMBRE DE 2025"/>
    <x v="161"/>
    <s v="NICOLETTE LEEANE MENESES SANTELICES"/>
    <n v="17585933"/>
    <s v="NICOLETTE LEEANE MENESES SANTELICES"/>
    <d v="2025-02-01T00:00:00"/>
    <s v="INICIAL"/>
    <n v="921181250"/>
    <n v="921181250"/>
    <n v="23390"/>
    <n v="8230"/>
    <n v="15160"/>
    <n v="0"/>
    <n v="15160"/>
    <n v="921181250"/>
    <n v="285123"/>
    <s v="CORP DE BIENESTAR DEL PERSONAL DE A F P"/>
    <d v="2025-02-27T00:00:00"/>
    <d v="2025-02-27T00:00:00"/>
    <d v="2025-02-27T00:00:00"/>
    <d v="2025-02-27T00:00:00"/>
    <s v="AMBULATORIOS"/>
    <n v="22646473"/>
    <n v="3041018"/>
    <n v="68953409"/>
    <s v="TRASSA"/>
    <n v="2032025"/>
    <n v="77760"/>
    <s v="SAL"/>
    <s v="AM07"/>
    <s v="PROCEDIMIENTOS TERAPEUTICOS"/>
    <s v="PROCEDIMIENTOS TERAPEUTICOS"/>
    <s v="PROCEDIMIENTOS TERAPEUTICOS"/>
    <s v="IMED SALUD"/>
    <n v="0"/>
    <n v="96852530"/>
    <n v="1"/>
    <s v="FONASA"/>
    <s v="NICOLETTE.MENESES@AFPHABITAT.CL"/>
    <s v="17585933|96852530|921181250|921181250"/>
    <s v="IMED SALUD"/>
    <b v="1"/>
    <s v="APORTE VIA IMED"/>
  </r>
  <r>
    <s v="12 DE SEPTIEMBRE DE 2025"/>
    <x v="161"/>
    <s v="NICOLETTE LEEANE MENESES SANTELICES"/>
    <n v="17585933"/>
    <s v="NICOLETTE LEEANE MENESES SANTELICES"/>
    <d v="2025-03-01T00:00:00"/>
    <s v="DUPLICADO"/>
    <n v="921181250"/>
    <n v="65384425"/>
    <n v="13135"/>
    <n v="0"/>
    <n v="13135"/>
    <n v="0"/>
    <n v="13135"/>
    <n v="921181250"/>
    <n v="285123"/>
    <s v="CORP DE BIENESTAR DEL PERSONAL DE A F P"/>
    <d v="2025-03-01T00:00:00"/>
    <d v="2025-03-26T00:00:00"/>
    <d v="2025-02-27T00:00:00"/>
    <d v="2025-02-27T00:00:00"/>
    <s v="AMBULATORIOS"/>
    <n v="22770741"/>
    <n v="3311105"/>
    <n v="69251293"/>
    <s v="TRASSA"/>
    <n v="10013857200"/>
    <n v="78070"/>
    <s v="SAL"/>
    <s v="AM07"/>
    <s v="PROCEDIMIENTOS TERAPEUTICOS"/>
    <s v="PROCEDIMIENTOS TERAPEUTICOS"/>
    <s v="PROCEDIMIENTOS TERAPEUTICOS"/>
    <n v="0"/>
    <n v="0"/>
    <n v="96852530"/>
    <n v="1"/>
    <s v="SIN ISAPRE"/>
    <s v="NICOLETTE.MENESES@AFPHABITAT.CL"/>
    <s v="17585933|96852530|921181250|65384425"/>
    <s v="GASTO FISICO"/>
    <b v="0"/>
    <s v="DEPOSITADO EN CUENTA"/>
  </r>
  <r>
    <s v="12 DE SEPTIEMBRE DE 2025"/>
    <x v="212"/>
    <s v="CRISTINA GONZALEZ GUZMAN"/>
    <n v="21615130"/>
    <s v="MARTINA ANTONIA DELGADO GONZALEZ"/>
    <d v="2025-02-01T00:00:00"/>
    <s v="INICIAL"/>
    <n v="921207882"/>
    <n v="921207882"/>
    <n v="59040"/>
    <n v="33222"/>
    <n v="25818"/>
    <n v="0"/>
    <n v="25818"/>
    <n v="921207882"/>
    <n v="285123"/>
    <s v="CORP DE BIENESTAR DEL PERSONAL DE A F P"/>
    <d v="2025-02-28T00:00:00"/>
    <d v="2025-02-28T00:00:00"/>
    <d v="2025-02-28T00:00:00"/>
    <d v="2025-02-28T00:00:00"/>
    <s v="AMBULATORIOS"/>
    <n v="22646488"/>
    <n v="3041018"/>
    <n v="68953555"/>
    <s v="TRASSA"/>
    <n v="2032025"/>
    <n v="77760"/>
    <s v="SAL"/>
    <s v="AM04"/>
    <s v="EXAMENES DE LABORATORIO"/>
    <s v="EXAMENES DE LABORATORIO"/>
    <s v="EXAMENES DE LABORATORIO"/>
    <s v="IMED SALUD"/>
    <n v="0"/>
    <n v="88434100"/>
    <n v="0"/>
    <s v="FONASA"/>
    <s v="CRIGONZA@AFPHABITAT.CL"/>
    <s v="10687543|88434100|921207882|921207882"/>
    <s v="IMED SALUD"/>
    <b v="1"/>
    <s v="APORTE VIA IMED"/>
  </r>
  <r>
    <s v="12 DE SEPTIEMBRE DE 2025"/>
    <x v="212"/>
    <s v="CRISTINA GONZALEZ GUZMAN"/>
    <n v="21615130"/>
    <s v="MARTINA ANTONIA DELGADO GONZALEZ"/>
    <d v="2025-03-01T00:00:00"/>
    <s v="DUPLICADO"/>
    <n v="921207882"/>
    <n v="65383892"/>
    <n v="20868"/>
    <n v="0"/>
    <n v="20868"/>
    <n v="0"/>
    <n v="20868"/>
    <n v="921207882"/>
    <n v="285123"/>
    <s v="CORP DE BIENESTAR DEL PERSONAL DE A F P"/>
    <d v="2025-03-01T00:00:00"/>
    <d v="2025-03-26T00:00:00"/>
    <d v="2025-02-28T00:00:00"/>
    <d v="2025-02-28T00:00:00"/>
    <s v="AMBULATORIOS"/>
    <n v="22770746"/>
    <n v="3311105"/>
    <n v="69250781"/>
    <s v="TRASSA"/>
    <n v="3230767"/>
    <n v="78070"/>
    <s v="SAL"/>
    <s v="AM04"/>
    <s v="EXAMENES DE LABORATORIO"/>
    <s v="EXAMENES DE LABORATORIO"/>
    <s v="EXAMENES DE LABORATORIO"/>
    <n v="0"/>
    <n v="0"/>
    <n v="88434100"/>
    <n v="0"/>
    <s v="SIN ISAPRE"/>
    <s v="CRIGONZA@AFPHABITAT.CL"/>
    <s v="10687543|88434100|921207882|65383892"/>
    <s v="GASTO FISICO"/>
    <b v="0"/>
    <s v="DEPOSITADO EN CUENTA"/>
  </r>
  <r>
    <s v="12 DE SEPTIEMBRE DE 2025"/>
    <x v="212"/>
    <s v="CRISTINA GONZALEZ GUZMAN"/>
    <n v="21615130"/>
    <s v="MARTINA ANTONIA DELGADO GONZALEZ"/>
    <d v="2025-02-01T00:00:00"/>
    <s v="INICIAL"/>
    <n v="921207883"/>
    <n v="921207883"/>
    <n v="15570"/>
    <n v="8764"/>
    <n v="6806"/>
    <n v="0"/>
    <n v="6806"/>
    <n v="921207883"/>
    <n v="285123"/>
    <s v="CORP DE BIENESTAR DEL PERSONAL DE A F P"/>
    <d v="2025-02-28T00:00:00"/>
    <d v="2025-02-28T00:00:00"/>
    <d v="2025-02-28T00:00:00"/>
    <d v="2025-02-28T00:00:00"/>
    <s v="AMBULATORIOS"/>
    <n v="22646488"/>
    <n v="3041018"/>
    <n v="68953554"/>
    <s v="TRASSA"/>
    <n v="2032025"/>
    <n v="77760"/>
    <s v="SAL"/>
    <s v="AM04"/>
    <s v="EXAMENES DE LABORATORIO"/>
    <s v="EXAMENES DE LABORATORIO"/>
    <s v="EXAMENES DE LABORATORIO"/>
    <s v="IMED SALUD"/>
    <n v="0"/>
    <n v="88434100"/>
    <n v="0"/>
    <s v="FONASA"/>
    <s v="CRIGONZA@AFPHABITAT.CL"/>
    <s v="10687543|88434100|921207883|921207883"/>
    <s v="IMED SALUD"/>
    <b v="1"/>
    <s v="APORTE VIA IMED"/>
  </r>
  <r>
    <s v="12 DE SEPTIEMBRE DE 2025"/>
    <x v="212"/>
    <s v="CRISTINA GONZALEZ GUZMAN"/>
    <n v="21615130"/>
    <s v="MARTINA ANTONIA DELGADO GONZALEZ"/>
    <d v="2025-03-01T00:00:00"/>
    <s v="DUPLICADO"/>
    <n v="921207883"/>
    <n v="65383893"/>
    <n v="5020"/>
    <n v="0"/>
    <n v="5020"/>
    <n v="0"/>
    <n v="5020"/>
    <n v="921207883"/>
    <n v="285123"/>
    <s v="CORP DE BIENESTAR DEL PERSONAL DE A F P"/>
    <d v="2025-03-01T00:00:00"/>
    <d v="2025-03-26T00:00:00"/>
    <d v="2025-02-28T00:00:00"/>
    <d v="2025-02-28T00:00:00"/>
    <s v="AMBULATORIOS"/>
    <n v="22770746"/>
    <n v="3311105"/>
    <n v="69250782"/>
    <s v="TRASSA"/>
    <n v="3230767"/>
    <n v="78070"/>
    <s v="SAL"/>
    <s v="AM04"/>
    <s v="EXAMENES DE LABORATORIO"/>
    <s v="EXAMENES DE LABORATORIO"/>
    <s v="EXAMENES DE LABORATORIO"/>
    <n v="0"/>
    <n v="0"/>
    <n v="88434100"/>
    <n v="0"/>
    <s v="SIN ISAPRE"/>
    <s v="CRIGONZA@AFPHABITAT.CL"/>
    <s v="10687543|88434100|921207883|65383893"/>
    <s v="GASTO FISICO"/>
    <b v="0"/>
    <s v="DEPOSITADO EN CUENTA"/>
  </r>
  <r>
    <s v="12 DE SEPTIEMBRE DE 2025"/>
    <x v="212"/>
    <s v="CRISTINA GONZALEZ GUZMAN"/>
    <n v="21615130"/>
    <s v="MARTINA ANTONIA DELGADO GONZALEZ"/>
    <d v="2025-02-01T00:00:00"/>
    <s v="INICIAL"/>
    <n v="921207884"/>
    <n v="921207884"/>
    <n v="1360"/>
    <n v="770"/>
    <n v="590"/>
    <n v="0"/>
    <n v="590"/>
    <n v="921207884"/>
    <n v="285123"/>
    <s v="CORP DE BIENESTAR DEL PERSONAL DE A F P"/>
    <d v="2025-02-28T00:00:00"/>
    <d v="2025-02-28T00:00:00"/>
    <d v="2025-02-28T00:00:00"/>
    <d v="2025-02-28T00:00:00"/>
    <s v="AMBULATORIOS"/>
    <n v="22646488"/>
    <n v="3041018"/>
    <n v="68953553"/>
    <s v="TRASSA"/>
    <n v="2032025"/>
    <n v="77760"/>
    <s v="SAL"/>
    <s v="AM04"/>
    <s v="EXAMENES DE LABORATORIO"/>
    <s v="EXAMENES DE LABORATORIO"/>
    <s v="EXAMENES DE LABORATORIO"/>
    <s v="IMED SALUD"/>
    <n v="0"/>
    <n v="88434100"/>
    <n v="0"/>
    <s v="FONASA"/>
    <s v="CRIGONZA@AFPHABITAT.CL"/>
    <s v="10687543|88434100|921207884|921207884"/>
    <s v="IMED SALUD"/>
    <b v="1"/>
    <s v="APORTE VIA IMED"/>
  </r>
  <r>
    <s v="12 DE SEPTIEMBRE DE 2025"/>
    <x v="212"/>
    <s v="CRISTINA GONZALEZ GUZMAN"/>
    <n v="21615130"/>
    <s v="MARTINA ANTONIA DELGADO GONZALEZ"/>
    <d v="2025-03-01T00:00:00"/>
    <s v="DUPLICADO"/>
    <n v="921207884"/>
    <n v="65383894"/>
    <n v="386"/>
    <n v="0"/>
    <n v="386"/>
    <n v="0"/>
    <n v="386"/>
    <n v="921207884"/>
    <n v="285123"/>
    <s v="CORP DE BIENESTAR DEL PERSONAL DE A F P"/>
    <d v="2025-03-01T00:00:00"/>
    <d v="2025-03-26T00:00:00"/>
    <d v="2025-02-28T00:00:00"/>
    <d v="2025-02-28T00:00:00"/>
    <s v="AMBULATORIOS"/>
    <n v="22770746"/>
    <n v="3311105"/>
    <n v="69250783"/>
    <s v="TRASSA"/>
    <n v="3230767"/>
    <n v="78070"/>
    <s v="SAL"/>
    <s v="AM04"/>
    <s v="EXAMENES DE LABORATORIO"/>
    <s v="EXAMENES DE LABORATORIO"/>
    <s v="EXAMENES DE LABORATORIO"/>
    <n v="0"/>
    <n v="0"/>
    <n v="88434100"/>
    <n v="0"/>
    <s v="SIN ISAPRE"/>
    <s v="CRIGONZA@AFPHABITAT.CL"/>
    <s v="10687543|88434100|921207884|65383894"/>
    <s v="GASTO FISICO"/>
    <b v="0"/>
    <s v="DEPOSITADO EN CUENTA"/>
  </r>
  <r>
    <s v="12 DE SEPTIEMBRE DE 2025"/>
    <x v="213"/>
    <s v="DANITZA ANDREA CARVACHO DONOSO"/>
    <n v="18706804"/>
    <s v="DANITZA ANDREA CARVACHO DONOSO"/>
    <d v="2025-02-01T00:00:00"/>
    <s v="INICIAL"/>
    <n v="921222747"/>
    <n v="921222747"/>
    <n v="29810"/>
    <n v="9320"/>
    <n v="20490"/>
    <n v="0"/>
    <n v="20490"/>
    <n v="921222747"/>
    <n v="285123"/>
    <s v="CORP DE BIENESTAR DEL PERSONAL DE A F P"/>
    <d v="2025-02-28T00:00:00"/>
    <d v="2025-02-28T00:00:00"/>
    <d v="2025-02-28T00:00:00"/>
    <d v="2025-02-28T00:00:00"/>
    <s v="AMBULATORIOS"/>
    <n v="22646527"/>
    <n v="3041018"/>
    <n v="68953621"/>
    <s v="TRASSA"/>
    <n v="2032025"/>
    <n v="77760"/>
    <s v="SAL"/>
    <s v="AM04"/>
    <s v="EXAMENES DE LABORATORIO"/>
    <s v="EXAMENES DE LABORATORIO"/>
    <s v="EXAMENES DE LABORATORIO"/>
    <s v="IMED SALUD"/>
    <n v="0"/>
    <n v="79749170"/>
    <n v="5"/>
    <s v="FONASA"/>
    <s v="DCARVACH@AFPHABITAT.CL"/>
    <s v="18706804|79749170|921222747|921222747"/>
    <s v="IMED SALUD"/>
    <b v="1"/>
    <s v="APORTE VIA IMED"/>
  </r>
  <r>
    <s v="12 DE SEPTIEMBRE DE 2025"/>
    <x v="213"/>
    <s v="DANITZA ANDREA CARVACHO DONOSO"/>
    <n v="18706804"/>
    <s v="DANITZA ANDREA CARVACHO DONOSO"/>
    <d v="2025-03-01T00:00:00"/>
    <s v="DUPLICADO"/>
    <n v="921222747"/>
    <n v="65384467"/>
    <n v="17389"/>
    <n v="0"/>
    <n v="17389"/>
    <n v="0"/>
    <n v="17389"/>
    <n v="921222747"/>
    <n v="285123"/>
    <s v="CORP DE BIENESTAR DEL PERSONAL DE A F P"/>
    <d v="2025-03-01T00:00:00"/>
    <d v="2025-03-26T00:00:00"/>
    <d v="2025-02-28T00:00:00"/>
    <d v="2025-02-28T00:00:00"/>
    <s v="AMBULATORIOS"/>
    <n v="22770752"/>
    <n v="3311105"/>
    <n v="69251333"/>
    <s v="TRASSA"/>
    <n v="101023150"/>
    <n v="78070"/>
    <s v="SAL"/>
    <s v="AM04"/>
    <s v="EXAMENES DE LABORATORIO"/>
    <s v="EXAMENES DE LABORATORIO"/>
    <s v="EXAMENES DE LABORATORIO"/>
    <n v="0"/>
    <n v="0"/>
    <n v="79749170"/>
    <n v="5"/>
    <s v="SIN ISAPRE"/>
    <s v="DCARVACH@AFPHABITAT.CL"/>
    <s v="18706804|79749170|921222747|65384467"/>
    <s v="GASTO FISICO"/>
    <b v="0"/>
    <s v="DEPOSITADO EN CUENTA"/>
  </r>
  <r>
    <s v="12 DE SEPTIEMBRE DE 2025"/>
    <x v="213"/>
    <s v="DANITZA ANDREA CARVACHO DONOSO"/>
    <n v="18706804"/>
    <s v="DANITZA ANDREA CARVACHO DONOSO"/>
    <d v="2025-02-01T00:00:00"/>
    <s v="INICIAL"/>
    <n v="921222748"/>
    <n v="921222748"/>
    <n v="72250"/>
    <n v="22590"/>
    <n v="49660"/>
    <n v="0"/>
    <n v="49660"/>
    <n v="921222748"/>
    <n v="285123"/>
    <s v="CORP DE BIENESTAR DEL PERSONAL DE A F P"/>
    <d v="2025-02-28T00:00:00"/>
    <d v="2025-02-28T00:00:00"/>
    <d v="2025-02-28T00:00:00"/>
    <d v="2025-02-28T00:00:00"/>
    <s v="AMBULATORIOS"/>
    <n v="22646527"/>
    <n v="3041018"/>
    <n v="68953620"/>
    <s v="TRASSA"/>
    <n v="2032025"/>
    <n v="77760"/>
    <s v="SAL"/>
    <s v="AM04"/>
    <s v="EXAMENES DE LABORATORIO"/>
    <s v="EXAMENES DE LABORATORIO"/>
    <s v="EXAMENES DE LABORATORIO"/>
    <s v="IMED SALUD"/>
    <n v="0"/>
    <n v="79749170"/>
    <n v="5"/>
    <s v="FONASA"/>
    <s v="DCARVACH@AFPHABITAT.CL"/>
    <s v="18706804|79749170|921222748|921222748"/>
    <s v="IMED SALUD"/>
    <b v="1"/>
    <s v="APORTE VIA IMED"/>
  </r>
  <r>
    <s v="12 DE SEPTIEMBRE DE 2025"/>
    <x v="213"/>
    <s v="DANITZA ANDREA CARVACHO DONOSO"/>
    <n v="18706804"/>
    <s v="DANITZA ANDREA CARVACHO DONOSO"/>
    <d v="2025-03-01T00:00:00"/>
    <s v="DUPLICADO"/>
    <n v="921222748"/>
    <n v="65384468"/>
    <n v="42897"/>
    <n v="0"/>
    <n v="42897"/>
    <n v="0"/>
    <n v="42897"/>
    <n v="921222748"/>
    <n v="285123"/>
    <s v="CORP DE BIENESTAR DEL PERSONAL DE A F P"/>
    <d v="2025-03-01T00:00:00"/>
    <d v="2025-03-26T00:00:00"/>
    <d v="2025-02-28T00:00:00"/>
    <d v="2025-02-28T00:00:00"/>
    <s v="AMBULATORIOS"/>
    <n v="22770752"/>
    <n v="3311105"/>
    <n v="69251334"/>
    <s v="TRASSA"/>
    <n v="101023150"/>
    <n v="78070"/>
    <s v="SAL"/>
    <s v="AM04"/>
    <s v="EXAMENES DE LABORATORIO"/>
    <s v="EXAMENES DE LABORATORIO"/>
    <s v="EXAMENES DE LABORATORIO"/>
    <n v="0"/>
    <n v="0"/>
    <n v="79749170"/>
    <n v="5"/>
    <s v="SIN ISAPRE"/>
    <s v="DCARVACH@AFPHABITAT.CL"/>
    <s v="18706804|79749170|921222748|65384468"/>
    <s v="GASTO FISICO"/>
    <b v="0"/>
    <s v="DEPOSITADO EN CUENTA"/>
  </r>
  <r>
    <s v="12 DE SEPTIEMBRE DE 2025"/>
    <x v="213"/>
    <s v="DANITZA ANDREA CARVACHO DONOSO"/>
    <n v="18706804"/>
    <s v="DANITZA ANDREA CARVACHO DONOSO"/>
    <d v="2025-02-01T00:00:00"/>
    <s v="INICIAL"/>
    <n v="921222749"/>
    <n v="921222749"/>
    <n v="16110"/>
    <n v="5040"/>
    <n v="11070"/>
    <n v="0"/>
    <n v="11070"/>
    <n v="921222749"/>
    <n v="285123"/>
    <s v="CORP DE BIENESTAR DEL PERSONAL DE A F P"/>
    <d v="2025-02-28T00:00:00"/>
    <d v="2025-02-28T00:00:00"/>
    <d v="2025-02-28T00:00:00"/>
    <d v="2025-02-28T00:00:00"/>
    <s v="AMBULATORIOS"/>
    <n v="22646527"/>
    <n v="3041018"/>
    <n v="68953619"/>
    <s v="TRASSA"/>
    <n v="2032025"/>
    <n v="77760"/>
    <s v="SAL"/>
    <s v="AM04"/>
    <s v="EXAMENES DE LABORATORIO"/>
    <s v="EXAMENES DE LABORATORIO"/>
    <s v="EXAMENES DE LABORATORIO"/>
    <s v="IMED SALUD"/>
    <n v="0"/>
    <n v="79749170"/>
    <n v="5"/>
    <s v="FONASA"/>
    <s v="DCARVACH@AFPHABITAT.CL"/>
    <s v="18706804|79749170|921222749|921222749"/>
    <s v="IMED SALUD"/>
    <b v="1"/>
    <s v="APORTE VIA IMED"/>
  </r>
  <r>
    <s v="12 DE SEPTIEMBRE DE 2025"/>
    <x v="213"/>
    <s v="DANITZA ANDREA CARVACHO DONOSO"/>
    <n v="18706804"/>
    <s v="DANITZA ANDREA CARVACHO DONOSO"/>
    <d v="2025-03-01T00:00:00"/>
    <s v="DUPLICADO"/>
    <n v="921222749"/>
    <n v="65384469"/>
    <n v="9660"/>
    <n v="0"/>
    <n v="9660"/>
    <n v="0"/>
    <n v="9660"/>
    <n v="921222749"/>
    <n v="285123"/>
    <s v="CORP DE BIENESTAR DEL PERSONAL DE A F P"/>
    <d v="2025-03-01T00:00:00"/>
    <d v="2025-03-26T00:00:00"/>
    <d v="2025-02-28T00:00:00"/>
    <d v="2025-02-28T00:00:00"/>
    <s v="AMBULATORIOS"/>
    <n v="22770752"/>
    <n v="3311105"/>
    <n v="69251335"/>
    <s v="TRASSA"/>
    <n v="101023150"/>
    <n v="78070"/>
    <s v="SAL"/>
    <s v="AM04"/>
    <s v="EXAMENES DE LABORATORIO"/>
    <s v="EXAMENES DE LABORATORIO"/>
    <s v="EXAMENES DE LABORATORIO"/>
    <n v="0"/>
    <n v="0"/>
    <n v="79749170"/>
    <n v="5"/>
    <s v="SIN ISAPRE"/>
    <s v="DCARVACH@AFPHABITAT.CL"/>
    <s v="18706804|79749170|921222749|65384469"/>
    <s v="GASTO FISICO"/>
    <b v="0"/>
    <s v="DEPOSITADO EN CUENTA"/>
  </r>
  <r>
    <s v="12 DE SEPTIEMBRE DE 2025"/>
    <x v="164"/>
    <s v="MARTA DEL PILAR FARIAS SALDAÑA"/>
    <n v="10242781"/>
    <s v="MARTA DEL PILAR FARIAS SALDAÑA"/>
    <d v="2025-02-01T00:00:00"/>
    <s v="INICIAL"/>
    <n v="921256042"/>
    <n v="921256042"/>
    <n v="38520"/>
    <n v="27928"/>
    <n v="10592"/>
    <n v="0"/>
    <n v="10592"/>
    <n v="921256042"/>
    <n v="285123"/>
    <s v="CORP DE BIENESTAR DEL PERSONAL DE A F P"/>
    <d v="2025-02-28T00:00:00"/>
    <d v="2025-02-28T00:00:00"/>
    <d v="2025-02-28T00:00:00"/>
    <d v="2025-02-28T00:00:00"/>
    <s v="SALUD MENTAL"/>
    <n v="22646486"/>
    <n v="3041018"/>
    <n v="68953758"/>
    <s v="TRASSA"/>
    <n v="2032025"/>
    <n v="77760"/>
    <s v="SAL"/>
    <s v="SM01"/>
    <s v="CONSULTA O SESIONES PSIQUIATRICAS"/>
    <s v="CONSULTA PSIQUIATRICA"/>
    <s v="CONSULTA PSIQUIATRICA"/>
    <s v="IMED SALUD"/>
    <n v="0"/>
    <n v="76416482"/>
    <n v="2"/>
    <s v="FONASA"/>
    <s v="MFARIAS@AFPHABITAT.CL"/>
    <s v="10242781|76416482|921256042|921256042"/>
    <s v="IMED SALUD"/>
    <b v="1"/>
    <s v="APORTE VIA IMED"/>
  </r>
  <r>
    <s v="12 DE SEPTIEMBRE DE 2025"/>
    <x v="164"/>
    <s v="MARTA DEL PILAR FARIAS SALDAÑA"/>
    <n v="10242781"/>
    <s v="MARTA DEL PILAR FARIAS SALDAÑA"/>
    <d v="2025-03-01T00:00:00"/>
    <s v="DUPLICADO"/>
    <n v="921256042"/>
    <n v="65383824"/>
    <n v="10821"/>
    <n v="0"/>
    <n v="10821"/>
    <n v="0"/>
    <n v="10821"/>
    <n v="921256042"/>
    <n v="285123"/>
    <s v="CORP DE BIENESTAR DEL PERSONAL DE A F P"/>
    <d v="2025-03-01T00:00:00"/>
    <d v="2025-03-26T00:00:00"/>
    <d v="2025-02-28T00:00:00"/>
    <d v="2025-02-28T00:00:00"/>
    <s v="SALUD MENTAL"/>
    <n v="22770744"/>
    <n v="3311105"/>
    <n v="69250713"/>
    <s v="TRASSA"/>
    <n v="45066906"/>
    <n v="78070"/>
    <s v="SAL"/>
    <s v="SM01"/>
    <s v="CONSULTA O SESIONES PSIQUIATRICAS"/>
    <s v="CONSULTA PSIQUIATRICA"/>
    <s v="CONSULTA PSIQUIATRICA"/>
    <n v="0"/>
    <n v="0"/>
    <n v="76416482"/>
    <n v="2"/>
    <s v="SIN ISAPRE"/>
    <s v="MFARIAS@AFPHABITAT.CL"/>
    <s v="10242781|76416482|921256042|65383824"/>
    <s v="GASTO FISICO"/>
    <b v="0"/>
    <s v="DEPOSITADO EN CUENTA"/>
  </r>
  <r>
    <s v="12 DE SEPTIEMBRE DE 2025"/>
    <x v="214"/>
    <s v="BARBARA AGUILA GARRIDO"/>
    <n v="14364605"/>
    <s v="BARBARA AGUILA GARRIDO"/>
    <d v="2025-02-01T00:00:00"/>
    <s v="INICIAL"/>
    <n v="921288911"/>
    <n v="921288911"/>
    <n v="41600"/>
    <n v="13000"/>
    <n v="28600"/>
    <n v="0"/>
    <n v="28600"/>
    <n v="921288911"/>
    <n v="285123"/>
    <s v="CORP DE BIENESTAR DEL PERSONAL DE A F P"/>
    <d v="2025-02-28T00:00:00"/>
    <d v="2025-02-28T00:00:00"/>
    <d v="2025-02-28T00:00:00"/>
    <d v="2025-02-28T00:00:00"/>
    <s v="AMBULATORIOS"/>
    <n v="22646509"/>
    <n v="3041018"/>
    <n v="68953890"/>
    <s v="TRASSA"/>
    <n v="2032025"/>
    <n v="77760"/>
    <s v="SAL"/>
    <s v="AM05"/>
    <s v="EXAMENES RADIOLOGICOS"/>
    <s v="EXAMENES RADIOLOGICOS"/>
    <s v="EXAMENES RADIOLOGICOS"/>
    <s v="IMED SALUD"/>
    <n v="0"/>
    <n v="96942400"/>
    <n v="2"/>
    <s v="FONASA"/>
    <s v="BARBARA.AGUILA@AFPHABITAT.CL"/>
    <s v="14364605|96942400|921288911|921288911"/>
    <s v="IMED SALUD"/>
    <b v="1"/>
    <s v="APORTE VIA IMED"/>
  </r>
  <r>
    <s v="12 DE SEPTIEMBRE DE 2025"/>
    <x v="214"/>
    <s v="BARBARA AGUILA GARRIDO"/>
    <n v="14364605"/>
    <s v="BARBARA AGUILA GARRIDO"/>
    <d v="2025-03-01T00:00:00"/>
    <s v="DUPLICADO"/>
    <n v="921288911"/>
    <n v="65384227"/>
    <n v="24734"/>
    <n v="0"/>
    <n v="24734"/>
    <n v="0"/>
    <n v="24734"/>
    <n v="921288911"/>
    <n v="285123"/>
    <s v="CORP DE BIENESTAR DEL PERSONAL DE A F P"/>
    <d v="2025-03-01T00:00:00"/>
    <d v="2025-03-26T00:00:00"/>
    <d v="2025-02-28T00:00:00"/>
    <d v="2025-02-28T00:00:00"/>
    <s v="AMBULATORIOS"/>
    <n v="22770749"/>
    <n v="3311105"/>
    <n v="69251101"/>
    <s v="TRASSA"/>
    <n v="19999161879"/>
    <n v="78070"/>
    <s v="SAL"/>
    <s v="AM05"/>
    <s v="EXAMENES RADIOLOGICOS"/>
    <s v="EXAMENES RADIOLOGICOS"/>
    <s v="EXAMENES RADIOLOGICOS"/>
    <n v="0"/>
    <n v="0"/>
    <n v="96942400"/>
    <n v="2"/>
    <s v="SIN ISAPRE"/>
    <s v="BARBARA.AGUILA@AFPHABITAT.CL"/>
    <s v="14364605|96942400|921288911|65384227"/>
    <s v="GASTO FISICO"/>
    <b v="0"/>
    <s v="DEPOSITADO EN CUENTA"/>
  </r>
  <r>
    <s v="12 DE SEPTIEMBRE DE 2025"/>
    <x v="214"/>
    <s v="BARBARA AGUILA GARRIDO"/>
    <n v="14364605"/>
    <s v="BARBARA AGUILA GARRIDO"/>
    <d v="2025-02-01T00:00:00"/>
    <s v="INICIAL"/>
    <n v="921290096"/>
    <n v="921290096"/>
    <n v="35460"/>
    <n v="11080"/>
    <n v="24380"/>
    <n v="0"/>
    <n v="24380"/>
    <n v="921290096"/>
    <n v="285123"/>
    <s v="CORP DE BIENESTAR DEL PERSONAL DE A F P"/>
    <d v="2025-02-28T00:00:00"/>
    <d v="2025-02-28T00:00:00"/>
    <d v="2025-02-28T00:00:00"/>
    <d v="2025-02-28T00:00:00"/>
    <s v="AMBULATORIOS"/>
    <n v="22646509"/>
    <n v="3041018"/>
    <n v="68953900"/>
    <s v="TRASSA"/>
    <n v="2032025"/>
    <n v="77760"/>
    <s v="SAL"/>
    <s v="AM05"/>
    <s v="EXAMENES RADIOLOGICOS"/>
    <s v="EXAMENES RADIOLOGICOS"/>
    <s v="EXAMENES RADIOLOGICOS"/>
    <s v="IMED SALUD"/>
    <n v="0"/>
    <n v="96942400"/>
    <n v="2"/>
    <s v="FONASA"/>
    <s v="BARBARA.AGUILA@AFPHABITAT.CL"/>
    <s v="14364605|96942400|921290096|921290096"/>
    <s v="IMED SALUD"/>
    <b v="1"/>
    <s v="APORTE VIA IMED"/>
  </r>
  <r>
    <s v="12 DE SEPTIEMBRE DE 2025"/>
    <x v="214"/>
    <s v="BARBARA AGUILA GARRIDO"/>
    <n v="14364605"/>
    <s v="BARBARA AGUILA GARRIDO"/>
    <d v="2025-03-01T00:00:00"/>
    <s v="DUPLICADO"/>
    <n v="921290096"/>
    <n v="65384228"/>
    <n v="20869"/>
    <n v="0"/>
    <n v="20869"/>
    <n v="0"/>
    <n v="20869"/>
    <n v="921290096"/>
    <n v="285123"/>
    <s v="CORP DE BIENESTAR DEL PERSONAL DE A F P"/>
    <d v="2025-03-01T00:00:00"/>
    <d v="2025-03-26T00:00:00"/>
    <d v="2025-02-28T00:00:00"/>
    <d v="2025-02-28T00:00:00"/>
    <s v="AMBULATORIOS"/>
    <n v="22770749"/>
    <n v="3311105"/>
    <n v="69251102"/>
    <s v="TRASSA"/>
    <n v="19999161879"/>
    <n v="78070"/>
    <s v="SAL"/>
    <s v="AM05"/>
    <s v="EXAMENES RADIOLOGICOS"/>
    <s v="EXAMENES RADIOLOGICOS"/>
    <s v="EXAMENES RADIOLOGICOS"/>
    <n v="0"/>
    <n v="0"/>
    <n v="96942400"/>
    <n v="2"/>
    <s v="SIN ISAPRE"/>
    <s v="BARBARA.AGUILA@AFPHABITAT.CL"/>
    <s v="14364605|96942400|921290096|65384228"/>
    <s v="GASTO FISICO"/>
    <b v="0"/>
    <s v="DEPOSITADO EN CUENTA"/>
  </r>
  <r>
    <s v="12 DE SEPTIEMBRE DE 2025"/>
    <x v="214"/>
    <s v="BARBARA AGUILA GARRIDO"/>
    <n v="14364605"/>
    <s v="BARBARA AGUILA GARRIDO"/>
    <d v="2025-02-01T00:00:00"/>
    <s v="INICIAL"/>
    <n v="921290192"/>
    <n v="921290192"/>
    <n v="28990"/>
    <n v="9060"/>
    <n v="19930"/>
    <n v="0"/>
    <n v="19930"/>
    <n v="921290192"/>
    <n v="285123"/>
    <s v="CORP DE BIENESTAR DEL PERSONAL DE A F P"/>
    <d v="2025-02-28T00:00:00"/>
    <d v="2025-02-28T00:00:00"/>
    <d v="2025-02-28T00:00:00"/>
    <d v="2025-02-28T00:00:00"/>
    <s v="AMBULATORIOS"/>
    <n v="22646509"/>
    <n v="3041018"/>
    <n v="68953901"/>
    <s v="TRASSA"/>
    <n v="2032025"/>
    <n v="77760"/>
    <s v="SAL"/>
    <s v="AM05"/>
    <s v="EXAMENES RADIOLOGICOS"/>
    <s v="EXAMENES RADIOLOGICOS"/>
    <s v="EXAMENES RADIOLOGICOS"/>
    <s v="IMED SALUD"/>
    <n v="0"/>
    <n v="96942400"/>
    <n v="2"/>
    <s v="FONASA"/>
    <s v="BARBARA.AGUILA@AFPHABITAT.CL"/>
    <s v="14364605|96942400|921290192|921290192"/>
    <s v="IMED SALUD"/>
    <b v="1"/>
    <s v="APORTE VIA IMED"/>
  </r>
  <r>
    <s v="12 DE SEPTIEMBRE DE 2025"/>
    <x v="214"/>
    <s v="BARBARA AGUILA GARRIDO"/>
    <n v="14364605"/>
    <s v="BARBARA AGUILA GARRIDO"/>
    <d v="2025-03-01T00:00:00"/>
    <s v="DUPLICADO"/>
    <n v="921290192"/>
    <n v="65384229"/>
    <n v="17391"/>
    <n v="0"/>
    <n v="17391"/>
    <n v="0"/>
    <n v="17391"/>
    <n v="921290192"/>
    <n v="285123"/>
    <s v="CORP DE BIENESTAR DEL PERSONAL DE A F P"/>
    <d v="2025-03-01T00:00:00"/>
    <d v="2025-03-26T00:00:00"/>
    <d v="2025-02-28T00:00:00"/>
    <d v="2025-02-28T00:00:00"/>
    <s v="AMBULATORIOS"/>
    <n v="22770749"/>
    <n v="3311105"/>
    <n v="69251103"/>
    <s v="TRASSA"/>
    <n v="19999161879"/>
    <n v="78070"/>
    <s v="SAL"/>
    <s v="AM05"/>
    <s v="EXAMENES RADIOLOGICOS"/>
    <s v="EXAMENES RADIOLOGICOS"/>
    <s v="EXAMENES RADIOLOGICOS"/>
    <n v="0"/>
    <n v="0"/>
    <n v="96942400"/>
    <n v="2"/>
    <s v="SIN ISAPRE"/>
    <s v="BARBARA.AGUILA@AFPHABITAT.CL"/>
    <s v="14364605|96942400|921290192|65384229"/>
    <s v="GASTO FISICO"/>
    <b v="0"/>
    <s v="DEPOSITADO EN CUENTA"/>
  </r>
  <r>
    <s v="12 DE SEPTIEMBRE DE 2025"/>
    <x v="168"/>
    <s v="GISSELA FERNANDEZ ROMERO"/>
    <n v="16143311"/>
    <s v="GISSELA FERNANDEZ ROMERO"/>
    <d v="2025-02-01T00:00:00"/>
    <s v="INICIAL"/>
    <n v="921296961"/>
    <n v="921296961"/>
    <n v="41600"/>
    <n v="13000"/>
    <n v="28600"/>
    <n v="0"/>
    <n v="28600"/>
    <n v="921296961"/>
    <n v="285123"/>
    <s v="CORP DE BIENESTAR DEL PERSONAL DE A F P"/>
    <d v="2025-02-28T00:00:00"/>
    <d v="2025-02-28T00:00:00"/>
    <d v="2025-02-28T00:00:00"/>
    <d v="2025-02-28T00:00:00"/>
    <s v="AMBULATORIOS"/>
    <n v="22646512"/>
    <n v="3041018"/>
    <n v="68953938"/>
    <s v="TRASSA"/>
    <n v="2032025"/>
    <n v="77760"/>
    <s v="SAL"/>
    <s v="AM05"/>
    <s v="EXAMENES RADIOLOGICOS"/>
    <s v="EXAMENES RADIOLOGICOS"/>
    <s v="EXAMENES RADIOLOGICOS"/>
    <s v="IMED SALUD"/>
    <n v="0"/>
    <n v="96852530"/>
    <n v="1"/>
    <s v="FONASA"/>
    <s v="GFERNAND@AFPHABITAT.CL"/>
    <s v="16143311|96852530|921296961|921296961"/>
    <s v="IMED SALUD"/>
    <b v="1"/>
    <s v="APORTE VIA IMED"/>
  </r>
  <r>
    <s v="12 DE SEPTIEMBRE DE 2025"/>
    <x v="168"/>
    <s v="GISSELA FERNANDEZ ROMERO"/>
    <n v="16143311"/>
    <s v="GISSELA FERNANDEZ ROMERO"/>
    <d v="2025-03-01T00:00:00"/>
    <s v="DUPLICADO"/>
    <n v="921296961"/>
    <n v="65384358"/>
    <n v="24734"/>
    <n v="0"/>
    <n v="24734"/>
    <n v="0"/>
    <n v="24734"/>
    <n v="921296961"/>
    <n v="285123"/>
    <s v="CORP DE BIENESTAR DEL PERSONAL DE A F P"/>
    <d v="2025-03-01T00:00:00"/>
    <d v="2025-03-26T00:00:00"/>
    <d v="2025-02-28T00:00:00"/>
    <d v="2025-02-28T00:00:00"/>
    <s v="AMBULATORIOS"/>
    <n v="22770751"/>
    <n v="3311105"/>
    <n v="69251241"/>
    <s v="TRASSA"/>
    <n v="1709850616"/>
    <n v="78070"/>
    <s v="SAL"/>
    <s v="AM05"/>
    <s v="EXAMENES RADIOLOGICOS"/>
    <s v="EXAMENES RADIOLOGICOS"/>
    <s v="EXAMENES RADIOLOGICOS"/>
    <n v="0"/>
    <n v="0"/>
    <n v="96852530"/>
    <n v="1"/>
    <s v="SIN ISAPRE"/>
    <s v="GFERNAND@AFPHABITAT.CL"/>
    <s v="16143311|96852530|921296961|65384358"/>
    <s v="GASTO FISICO"/>
    <b v="0"/>
    <s v="DEPOSITADO EN CUENTA"/>
  </r>
  <r>
    <s v="12 DE SEPTIEMBRE DE 2025"/>
    <x v="154"/>
    <s v="MARCIA GERALDINE DIAZ BONILLA"/>
    <n v="22988456"/>
    <s v="BASTIAN HUERTA DIAZ"/>
    <d v="2025-03-01T00:00:00"/>
    <s v="INICIAL"/>
    <n v="921335288"/>
    <n v="921335288"/>
    <n v="30630"/>
    <n v="11780"/>
    <n v="18850"/>
    <n v="0"/>
    <n v="18850"/>
    <n v="921335288"/>
    <n v="285123"/>
    <s v="CORP DE BIENESTAR DEL PERSONAL DE A F P"/>
    <d v="2025-03-01T00:00:00"/>
    <d v="2025-03-01T00:00:00"/>
    <d v="2025-03-01T00:00:00"/>
    <d v="2025-03-01T00:00:00"/>
    <s v="AMBULATORIOS"/>
    <n v="22676567"/>
    <n v="3101656"/>
    <n v="68994293"/>
    <s v="TRASSA"/>
    <n v="9032025"/>
    <n v="77868"/>
    <s v="SAL"/>
    <s v="AM07"/>
    <s v="PROCEDIMIENTOS TERAPEUTICOS"/>
    <s v="PROCEDIMIENTOS TERAPEUTICOS"/>
    <s v="PROCEDIMIENTOS TERAPEUTICOS"/>
    <s v="IMED SALUD"/>
    <n v="0"/>
    <n v="76425459"/>
    <n v="7"/>
    <s v="FONASA"/>
    <s v="MDIAZB@AFPHABITAT.CL"/>
    <s v="15543105|76425459|921335288|921335288"/>
    <s v="IMED SALUD"/>
    <b v="1"/>
    <s v="APORTE VIA IMED"/>
  </r>
  <r>
    <s v="12 DE SEPTIEMBRE DE 2025"/>
    <x v="154"/>
    <s v="MARCIA GERALDINE DIAZ BONILLA"/>
    <n v="22988456"/>
    <s v="BASTIAN HUERTA DIAZ"/>
    <d v="2025-03-01T00:00:00"/>
    <s v="DUPLICADO"/>
    <n v="921335288"/>
    <n v="65384317"/>
    <n v="17398"/>
    <n v="0"/>
    <n v="17398"/>
    <n v="0"/>
    <n v="17398"/>
    <n v="921335288"/>
    <n v="285123"/>
    <s v="CORP DE BIENESTAR DEL PERSONAL DE A F P"/>
    <d v="2025-03-01T00:00:00"/>
    <d v="2025-03-26T00:00:00"/>
    <d v="2025-03-01T00:00:00"/>
    <d v="2025-03-01T00:00:00"/>
    <s v="AMBULATORIOS"/>
    <n v="22772358"/>
    <n v="3311105"/>
    <n v="69251200"/>
    <s v="TRASSA"/>
    <n v="987634170"/>
    <n v="78070"/>
    <s v="SAL"/>
    <s v="AM07"/>
    <s v="PROCEDIMIENTOS TERAPEUTICOS"/>
    <s v="PROCEDIMIENTOS TERAPEUTICOS"/>
    <s v="PROCEDIMIENTOS TERAPEUTICOS"/>
    <n v="0"/>
    <n v="0"/>
    <n v="76425459"/>
    <n v="7"/>
    <s v="SIN ISAPRE"/>
    <s v="MDIAZB@AFPHABITAT.CL"/>
    <s v="15543105|76425459|921335288|65384317"/>
    <s v="GASTO FISICO"/>
    <b v="0"/>
    <s v="DEPOSITADO EN CUENTA"/>
  </r>
  <r>
    <s v="12 DE SEPTIEMBRE DE 2025"/>
    <x v="214"/>
    <s v="BARBARA AGUILA GARRIDO"/>
    <n v="14364605"/>
    <s v="BARBARA AGUILA GARRIDO"/>
    <d v="2025-03-01T00:00:00"/>
    <s v="INICIAL"/>
    <n v="921351426"/>
    <n v="921351426"/>
    <n v="33870"/>
    <n v="10590"/>
    <n v="23280"/>
    <n v="0"/>
    <n v="23280"/>
    <n v="921351426"/>
    <n v="285123"/>
    <s v="CORP DE BIENESTAR DEL PERSONAL DE A F P"/>
    <d v="2025-03-01T00:00:00"/>
    <d v="2025-03-01T00:00:00"/>
    <d v="2025-03-01T00:00:00"/>
    <d v="2025-03-01T00:00:00"/>
    <s v="AMBULATORIOS"/>
    <n v="22676563"/>
    <n v="3101656"/>
    <n v="68997263"/>
    <s v="TRASSA"/>
    <n v="9032025"/>
    <n v="77868"/>
    <s v="SAL"/>
    <s v="AM04"/>
    <s v="EXAMENES DE LABORATORIO"/>
    <s v="EXAMENES DE LABORATORIO"/>
    <s v="EXAMENES DE LABORATORIO"/>
    <s v="IMED SALUD"/>
    <n v="0"/>
    <n v="96942400"/>
    <n v="2"/>
    <s v="FONASA"/>
    <s v="BARBARA.AGUILA@AFPHABITAT.CL"/>
    <s v="14364605|96942400|921351426|921351426"/>
    <s v="IMED SALUD"/>
    <b v="1"/>
    <s v="APORTE VIA IMED"/>
  </r>
  <r>
    <s v="12 DE SEPTIEMBRE DE 2025"/>
    <x v="214"/>
    <s v="BARBARA AGUILA GARRIDO"/>
    <n v="14364605"/>
    <s v="BARBARA AGUILA GARRIDO"/>
    <d v="2025-03-01T00:00:00"/>
    <s v="DUPLICADO"/>
    <n v="921351426"/>
    <n v="65384230"/>
    <n v="19716"/>
    <n v="0"/>
    <n v="19716"/>
    <n v="0"/>
    <n v="19716"/>
    <n v="921351426"/>
    <n v="285123"/>
    <s v="CORP DE BIENESTAR DEL PERSONAL DE A F P"/>
    <d v="2025-03-01T00:00:00"/>
    <d v="2025-03-26T00:00:00"/>
    <d v="2025-03-01T00:00:00"/>
    <d v="2025-03-01T00:00:00"/>
    <s v="AMBULATORIOS"/>
    <n v="22772356"/>
    <n v="3311105"/>
    <n v="69251104"/>
    <s v="TRASSA"/>
    <n v="19999161879"/>
    <n v="78070"/>
    <s v="SAL"/>
    <s v="AM04"/>
    <s v="EXAMENES DE LABORATORIO"/>
    <s v="EXAMENES DE LABORATORIO"/>
    <s v="EXAMENES DE LABORATORIO"/>
    <n v="0"/>
    <n v="0"/>
    <n v="96942400"/>
    <n v="2"/>
    <s v="SIN ISAPRE"/>
    <s v="BARBARA.AGUILA@AFPHABITAT.CL"/>
    <s v="14364605|96942400|921351426|65384230"/>
    <s v="GASTO FISICO"/>
    <b v="0"/>
    <s v="DEPOSITADO EN CUENTA"/>
  </r>
  <r>
    <s v="12 DE SEPTIEMBRE DE 2025"/>
    <x v="214"/>
    <s v="BARBARA AGUILA GARRIDO"/>
    <n v="14364605"/>
    <s v="BARBARA AGUILA GARRIDO"/>
    <d v="2025-03-01T00:00:00"/>
    <s v="INICIAL"/>
    <n v="921351427"/>
    <n v="921351427"/>
    <n v="57460"/>
    <n v="17970"/>
    <n v="39490"/>
    <n v="0"/>
    <n v="39490"/>
    <n v="921351427"/>
    <n v="285123"/>
    <s v="CORP DE BIENESTAR DEL PERSONAL DE A F P"/>
    <d v="2025-03-01T00:00:00"/>
    <d v="2025-03-01T00:00:00"/>
    <d v="2025-03-01T00:00:00"/>
    <d v="2025-03-01T00:00:00"/>
    <s v="AMBULATORIOS"/>
    <n v="22676563"/>
    <n v="3101656"/>
    <n v="68995763"/>
    <s v="TRASSA"/>
    <n v="9032025"/>
    <n v="77868"/>
    <s v="SAL"/>
    <s v="AM04"/>
    <s v="EXAMENES DE LABORATORIO"/>
    <s v="EXAMENES DE LABORATORIO"/>
    <s v="EXAMENES DE LABORATORIO"/>
    <s v="IMED SALUD"/>
    <n v="0"/>
    <n v="96942400"/>
    <n v="2"/>
    <s v="FONASA"/>
    <s v="BARBARA.AGUILA@AFPHABITAT.CL"/>
    <s v="14364605|96942400|921351427|921351427"/>
    <s v="IMED SALUD"/>
    <b v="1"/>
    <s v="APORTE VIA IMED"/>
  </r>
  <r>
    <s v="12 DE SEPTIEMBRE DE 2025"/>
    <x v="214"/>
    <s v="BARBARA AGUILA GARRIDO"/>
    <n v="14364605"/>
    <s v="BARBARA AGUILA GARRIDO"/>
    <d v="2025-03-01T00:00:00"/>
    <s v="DUPLICADO"/>
    <n v="921351427"/>
    <n v="65384231"/>
    <n v="34022"/>
    <n v="0"/>
    <n v="34022"/>
    <n v="0"/>
    <n v="34022"/>
    <n v="921351427"/>
    <n v="285123"/>
    <s v="CORP DE BIENESTAR DEL PERSONAL DE A F P"/>
    <d v="2025-03-01T00:00:00"/>
    <d v="2025-03-26T00:00:00"/>
    <d v="2025-03-01T00:00:00"/>
    <d v="2025-03-01T00:00:00"/>
    <s v="AMBULATORIOS"/>
    <n v="22772356"/>
    <n v="3311105"/>
    <n v="69251105"/>
    <s v="TRASSA"/>
    <n v="19999161879"/>
    <n v="78070"/>
    <s v="SAL"/>
    <s v="AM04"/>
    <s v="EXAMENES DE LABORATORIO"/>
    <s v="EXAMENES DE LABORATORIO"/>
    <s v="EXAMENES DE LABORATORIO"/>
    <n v="0"/>
    <n v="0"/>
    <n v="96942400"/>
    <n v="2"/>
    <s v="SIN ISAPRE"/>
    <s v="BARBARA.AGUILA@AFPHABITAT.CL"/>
    <s v="14364605|96942400|921351427|65384231"/>
    <s v="GASTO FISICO"/>
    <b v="0"/>
    <s v="DEPOSITADO EN CUENTA"/>
  </r>
  <r>
    <s v="12 DE SEPTIEMBRE DE 2025"/>
    <x v="214"/>
    <s v="BARBARA AGUILA GARRIDO"/>
    <n v="14364605"/>
    <s v="BARBARA AGUILA GARRIDO"/>
    <d v="2025-03-01T00:00:00"/>
    <s v="INICIAL"/>
    <n v="921351583"/>
    <n v="921351583"/>
    <n v="45150"/>
    <n v="14120"/>
    <n v="31030"/>
    <n v="0"/>
    <n v="31030"/>
    <n v="921351583"/>
    <n v="285123"/>
    <s v="CORP DE BIENESTAR DEL PERSONAL DE A F P"/>
    <d v="2025-03-01T00:00:00"/>
    <d v="2025-03-01T00:00:00"/>
    <d v="2025-03-01T00:00:00"/>
    <d v="2025-03-01T00:00:00"/>
    <s v="AMBULATORIOS"/>
    <n v="22676563"/>
    <n v="3101656"/>
    <n v="68997762"/>
    <s v="TRASSA"/>
    <n v="9032025"/>
    <n v="77868"/>
    <s v="SAL"/>
    <s v="AM04"/>
    <s v="EXAMENES DE LABORATORIO"/>
    <s v="EXAMENES DE LABORATORIO"/>
    <s v="EXAMENES DE LABORATORIO"/>
    <s v="IMED SALUD"/>
    <n v="0"/>
    <n v="96942400"/>
    <n v="2"/>
    <s v="FONASA"/>
    <s v="BARBARA.AGUILA@AFPHABITAT.CL"/>
    <s v="14364605|96942400|921351583|921351583"/>
    <s v="IMED SALUD"/>
    <b v="1"/>
    <s v="APORTE VIA IMED"/>
  </r>
  <r>
    <s v="12 DE SEPTIEMBRE DE 2025"/>
    <x v="214"/>
    <s v="BARBARA AGUILA GARRIDO"/>
    <n v="14364605"/>
    <s v="BARBARA AGUILA GARRIDO"/>
    <d v="2025-03-01T00:00:00"/>
    <s v="DUPLICADO"/>
    <n v="921351583"/>
    <n v="65384232"/>
    <n v="26675"/>
    <n v="0"/>
    <n v="26675"/>
    <n v="0"/>
    <n v="26675"/>
    <n v="921351583"/>
    <n v="285123"/>
    <s v="CORP DE BIENESTAR DEL PERSONAL DE A F P"/>
    <d v="2025-03-01T00:00:00"/>
    <d v="2025-03-26T00:00:00"/>
    <d v="2025-03-01T00:00:00"/>
    <d v="2025-03-01T00:00:00"/>
    <s v="AMBULATORIOS"/>
    <n v="22772356"/>
    <n v="3311105"/>
    <n v="69251106"/>
    <s v="TRASSA"/>
    <n v="19999161879"/>
    <n v="78070"/>
    <s v="SAL"/>
    <s v="AM04"/>
    <s v="EXAMENES DE LABORATORIO"/>
    <s v="EXAMENES DE LABORATORIO"/>
    <s v="EXAMENES DE LABORATORIO"/>
    <n v="0"/>
    <n v="0"/>
    <n v="96942400"/>
    <n v="2"/>
    <s v="SIN ISAPRE"/>
    <s v="BARBARA.AGUILA@AFPHABITAT.CL"/>
    <s v="14364605|96942400|921351583|65384232"/>
    <s v="GASTO FISICO"/>
    <b v="0"/>
    <s v="DEPOSITADO EN CUENTA"/>
  </r>
  <r>
    <s v="12 DE SEPTIEMBRE DE 2025"/>
    <x v="215"/>
    <s v="INGRID ARACENA RIVERA"/>
    <n v="14591267"/>
    <s v="INGRID ARACENA RIVERA"/>
    <d v="2025-03-01T00:00:00"/>
    <s v="INICIAL"/>
    <n v="921354738"/>
    <n v="921354738"/>
    <n v="2960"/>
    <n v="930"/>
    <n v="2030"/>
    <n v="0"/>
    <n v="2030"/>
    <n v="921354738"/>
    <n v="285123"/>
    <s v="CORP DE BIENESTAR DEL PERSONAL DE A F P"/>
    <d v="2025-03-01T00:00:00"/>
    <d v="2025-03-01T00:00:00"/>
    <d v="2025-03-01T00:00:00"/>
    <d v="2025-03-01T00:00:00"/>
    <s v="AMBULATORIOS"/>
    <n v="22676565"/>
    <n v="3101656"/>
    <n v="68996528"/>
    <s v="TRASSA"/>
    <n v="9032025"/>
    <n v="77868"/>
    <s v="SAL"/>
    <s v="AM04"/>
    <s v="EXAMENES DE LABORATORIO"/>
    <s v="EXAMENES DE LABORATORIO"/>
    <s v="EXAMENES DE LABORATORIO"/>
    <s v="IMED SALUD"/>
    <n v="0"/>
    <n v="77786070"/>
    <n v="4"/>
    <s v="FONASA"/>
    <s v="IARACENA@AFPHABITAT.CL"/>
    <s v="14591267|77786070|921354738|921354738"/>
    <s v="IMED SALUD"/>
    <b v="1"/>
    <s v="APORTE VIA IMED"/>
  </r>
  <r>
    <s v="12 DE SEPTIEMBRE DE 2025"/>
    <x v="215"/>
    <s v="INGRID ARACENA RIVERA"/>
    <n v="14591267"/>
    <s v="INGRID ARACENA RIVERA"/>
    <d v="2025-03-01T00:00:00"/>
    <s v="DUPLICADO"/>
    <n v="921354738"/>
    <n v="65384246"/>
    <n v="1546"/>
    <n v="0"/>
    <n v="1546"/>
    <n v="0"/>
    <n v="1546"/>
    <n v="921354738"/>
    <n v="285123"/>
    <s v="CORP DE BIENESTAR DEL PERSONAL DE A F P"/>
    <d v="2025-03-01T00:00:00"/>
    <d v="2025-03-26T00:00:00"/>
    <d v="2025-03-01T00:00:00"/>
    <d v="2025-03-01T00:00:00"/>
    <s v="AMBULATORIOS"/>
    <n v="22772357"/>
    <n v="3311105"/>
    <n v="69251119"/>
    <s v="TRASSA"/>
    <n v="1150657401"/>
    <n v="78070"/>
    <s v="SAL"/>
    <s v="AM04"/>
    <s v="EXAMENES DE LABORATORIO"/>
    <s v="EXAMENES DE LABORATORIO"/>
    <s v="EXAMENES DE LABORATORIO"/>
    <n v="0"/>
    <n v="0"/>
    <n v="77786070"/>
    <n v="4"/>
    <s v="SIN ISAPRE"/>
    <s v="IARACENA@AFPHABITAT.CL"/>
    <s v="14591267|77786070|921354738|65384246"/>
    <s v="GASTO FISICO"/>
    <b v="0"/>
    <s v="DEPOSITADO EN CUENTA"/>
  </r>
  <r>
    <s v="12 DE SEPTIEMBRE DE 2025"/>
    <x v="215"/>
    <s v="INGRID ARACENA RIVERA"/>
    <n v="14591267"/>
    <s v="INGRID ARACENA RIVERA"/>
    <d v="2025-03-01T00:00:00"/>
    <s v="INICIAL"/>
    <n v="921354787"/>
    <n v="921354787"/>
    <n v="11500"/>
    <n v="3600"/>
    <n v="7900"/>
    <n v="0"/>
    <n v="7900"/>
    <n v="921354787"/>
    <n v="285123"/>
    <s v="CORP DE BIENESTAR DEL PERSONAL DE A F P"/>
    <d v="2025-03-01T00:00:00"/>
    <d v="2025-03-01T00:00:00"/>
    <d v="2025-03-01T00:00:00"/>
    <d v="2025-03-01T00:00:00"/>
    <s v="AMBULATORIOS"/>
    <n v="22676565"/>
    <n v="3101656"/>
    <n v="68993620"/>
    <s v="TRASSA"/>
    <n v="9032025"/>
    <n v="77868"/>
    <s v="SAL"/>
    <s v="AM07"/>
    <s v="PROCEDIMIENTOS TERAPEUTICOS"/>
    <s v="PROCEDIMIENTOS TERAPEUTICOS"/>
    <s v="PROCEDIMIENTOS TERAPEUTICOS"/>
    <s v="IMED SALUD"/>
    <n v="0"/>
    <n v="77026140"/>
    <n v="6"/>
    <s v="FONASA"/>
    <s v="IARACENA@AFPHABITAT.CL"/>
    <s v="14591267|77026140|921354787|921354787"/>
    <s v="IMED SALUD"/>
    <b v="1"/>
    <s v="APORTE VIA IMED"/>
  </r>
  <r>
    <s v="12 DE SEPTIEMBRE DE 2025"/>
    <x v="215"/>
    <s v="INGRID ARACENA RIVERA"/>
    <n v="14591267"/>
    <s v="INGRID ARACENA RIVERA"/>
    <d v="2025-03-01T00:00:00"/>
    <s v="DUPLICADO"/>
    <n v="921354787"/>
    <n v="65384247"/>
    <n v="6572"/>
    <n v="0"/>
    <n v="6572"/>
    <n v="0"/>
    <n v="6572"/>
    <n v="921354787"/>
    <n v="285123"/>
    <s v="CORP DE BIENESTAR DEL PERSONAL DE A F P"/>
    <d v="2025-03-01T00:00:00"/>
    <d v="2025-03-26T00:00:00"/>
    <d v="2025-03-01T00:00:00"/>
    <d v="2025-03-01T00:00:00"/>
    <s v="AMBULATORIOS"/>
    <n v="22772357"/>
    <n v="3311105"/>
    <n v="69251120"/>
    <s v="TRASSA"/>
    <n v="1150657401"/>
    <n v="78070"/>
    <s v="SAL"/>
    <s v="AM07"/>
    <s v="PROCEDIMIENTOS TERAPEUTICOS"/>
    <s v="PROCEDIMIENTOS TERAPEUTICOS"/>
    <s v="PROCEDIMIENTOS TERAPEUTICOS"/>
    <n v="0"/>
    <n v="0"/>
    <n v="77026140"/>
    <n v="6"/>
    <s v="SIN ISAPRE"/>
    <s v="IARACENA@AFPHABITAT.CL"/>
    <s v="14591267|77026140|921354787|65384247"/>
    <s v="GASTO FISICO"/>
    <b v="0"/>
    <s v="DEPOSITADO EN CUENTA"/>
  </r>
  <r>
    <s v="12 DE SEPTIEMBRE DE 2025"/>
    <x v="215"/>
    <s v="INGRID ARACENA RIVERA"/>
    <n v="14591267"/>
    <s v="INGRID ARACENA RIVERA"/>
    <d v="2025-03-01T00:00:00"/>
    <s v="INICIAL"/>
    <n v="921356600"/>
    <n v="921356600"/>
    <n v="20810"/>
    <n v="6510"/>
    <n v="14300"/>
    <n v="0"/>
    <n v="14300"/>
    <n v="921356600"/>
    <n v="285123"/>
    <s v="CORP DE BIENESTAR DEL PERSONAL DE A F P"/>
    <d v="2025-03-01T00:00:00"/>
    <d v="2025-03-01T00:00:00"/>
    <d v="2025-03-01T00:00:00"/>
    <d v="2025-03-01T00:00:00"/>
    <s v="AMBULATORIOS"/>
    <n v="22676565"/>
    <n v="3101656"/>
    <n v="68993398"/>
    <s v="TRASSA"/>
    <n v="9032025"/>
    <n v="77868"/>
    <s v="SAL"/>
    <s v="AM04"/>
    <s v="EXAMENES DE LABORATORIO"/>
    <s v="EXAMENES DE LABORATORIO"/>
    <s v="EXAMENES DE LABORATORIO"/>
    <s v="IMED SALUD"/>
    <n v="0"/>
    <n v="77786070"/>
    <n v="4"/>
    <s v="FONASA"/>
    <s v="IARACENA@AFPHABITAT.CL"/>
    <s v="14591267|77786070|921356600|921356600"/>
    <s v="IMED SALUD"/>
    <b v="1"/>
    <s v="APORTE VIA IMED"/>
  </r>
  <r>
    <s v="12 DE SEPTIEMBRE DE 2025"/>
    <x v="215"/>
    <s v="INGRID ARACENA RIVERA"/>
    <n v="14591267"/>
    <s v="INGRID ARACENA RIVERA"/>
    <d v="2025-03-01T00:00:00"/>
    <s v="DUPLICADO"/>
    <n v="921356600"/>
    <n v="65384248"/>
    <n v="11983"/>
    <n v="0"/>
    <n v="11983"/>
    <n v="0"/>
    <n v="11983"/>
    <n v="921356600"/>
    <n v="285123"/>
    <s v="CORP DE BIENESTAR DEL PERSONAL DE A F P"/>
    <d v="2025-03-01T00:00:00"/>
    <d v="2025-03-26T00:00:00"/>
    <d v="2025-03-01T00:00:00"/>
    <d v="2025-03-01T00:00:00"/>
    <s v="AMBULATORIOS"/>
    <n v="22772357"/>
    <n v="3311105"/>
    <n v="69251121"/>
    <s v="TRASSA"/>
    <n v="1150657401"/>
    <n v="78070"/>
    <s v="SAL"/>
    <s v="AM04"/>
    <s v="EXAMENES DE LABORATORIO"/>
    <s v="EXAMENES DE LABORATORIO"/>
    <s v="EXAMENES DE LABORATORIO"/>
    <n v="0"/>
    <n v="0"/>
    <n v="77786070"/>
    <n v="4"/>
    <s v="SIN ISAPRE"/>
    <s v="IARACENA@AFPHABITAT.CL"/>
    <s v="14591267|77786070|921356600|65384248"/>
    <s v="GASTO FISICO"/>
    <b v="0"/>
    <s v="DEPOSITADO EN CUENTA"/>
  </r>
  <r>
    <s v="12 DE SEPTIEMBRE DE 2025"/>
    <x v="215"/>
    <s v="INGRID ARACENA RIVERA"/>
    <n v="14591267"/>
    <s v="INGRID ARACENA RIVERA"/>
    <d v="2025-03-01T00:00:00"/>
    <s v="INICIAL"/>
    <n v="921356601"/>
    <n v="921356601"/>
    <n v="14050"/>
    <n v="4400"/>
    <n v="9650"/>
    <n v="0"/>
    <n v="9650"/>
    <n v="921356601"/>
    <n v="285123"/>
    <s v="CORP DE BIENESTAR DEL PERSONAL DE A F P"/>
    <d v="2025-03-01T00:00:00"/>
    <d v="2025-03-01T00:00:00"/>
    <d v="2025-03-01T00:00:00"/>
    <d v="2025-03-01T00:00:00"/>
    <s v="AMBULATORIOS"/>
    <n v="22676565"/>
    <n v="3101656"/>
    <n v="68996877"/>
    <s v="TRASSA"/>
    <n v="9032025"/>
    <n v="77868"/>
    <s v="SAL"/>
    <s v="AM04"/>
    <s v="EXAMENES DE LABORATORIO"/>
    <s v="EXAMENES DE LABORATORIO"/>
    <s v="EXAMENES DE LABORATORIO"/>
    <s v="IMED SALUD"/>
    <n v="0"/>
    <n v="77786070"/>
    <n v="4"/>
    <s v="FONASA"/>
    <s v="IARACENA@AFPHABITAT.CL"/>
    <s v="14591267|77786070|921356601|921356601"/>
    <s v="IMED SALUD"/>
    <b v="1"/>
    <s v="APORTE VIA IMED"/>
  </r>
  <r>
    <s v="12 DE SEPTIEMBRE DE 2025"/>
    <x v="215"/>
    <s v="INGRID ARACENA RIVERA"/>
    <n v="14591267"/>
    <s v="INGRID ARACENA RIVERA"/>
    <d v="2025-03-01T00:00:00"/>
    <s v="DUPLICADO"/>
    <n v="921356601"/>
    <n v="65384249"/>
    <n v="8117"/>
    <n v="0"/>
    <n v="8117"/>
    <n v="0"/>
    <n v="8117"/>
    <n v="921356601"/>
    <n v="285123"/>
    <s v="CORP DE BIENESTAR DEL PERSONAL DE A F P"/>
    <d v="2025-03-01T00:00:00"/>
    <d v="2025-03-26T00:00:00"/>
    <d v="2025-03-01T00:00:00"/>
    <d v="2025-03-01T00:00:00"/>
    <s v="AMBULATORIOS"/>
    <n v="22772357"/>
    <n v="3311105"/>
    <n v="69251122"/>
    <s v="TRASSA"/>
    <n v="1150657401"/>
    <n v="78070"/>
    <s v="SAL"/>
    <s v="AM04"/>
    <s v="EXAMENES DE LABORATORIO"/>
    <s v="EXAMENES DE LABORATORIO"/>
    <s v="EXAMENES DE LABORATORIO"/>
    <n v="0"/>
    <n v="0"/>
    <n v="77786070"/>
    <n v="4"/>
    <s v="SIN ISAPRE"/>
    <s v="IARACENA@AFPHABITAT.CL"/>
    <s v="14591267|77786070|921356601|65384249"/>
    <s v="GASTO FISICO"/>
    <b v="0"/>
    <s v="DEPOSITADO EN CUENTA"/>
  </r>
  <r>
    <s v="12 DE SEPTIEMBRE DE 2025"/>
    <x v="154"/>
    <s v="MARCIA GERALDINE DIAZ BONILLA"/>
    <n v="22988456"/>
    <s v="BASTIAN HUERTA DIAZ"/>
    <d v="2025-03-01T00:00:00"/>
    <s v="INICIAL"/>
    <n v="921418566"/>
    <n v="921418566"/>
    <n v="16990"/>
    <n v="6550"/>
    <n v="10440"/>
    <n v="0"/>
    <n v="10440"/>
    <n v="921418566"/>
    <n v="285123"/>
    <s v="CORP DE BIENESTAR DEL PERSONAL DE A F P"/>
    <d v="2025-03-03T00:00:00"/>
    <d v="2025-03-03T00:00:00"/>
    <d v="2025-03-03T00:00:00"/>
    <d v="2025-03-03T00:00:00"/>
    <s v="AMBULATORIOS"/>
    <n v="22676621"/>
    <n v="3101656"/>
    <n v="68994630"/>
    <s v="TRASSA"/>
    <n v="9032025"/>
    <n v="77868"/>
    <s v="SAL"/>
    <s v="AM04"/>
    <s v="EXAMENES DE LABORATORIO"/>
    <s v="EXAMENES DE LABORATORIO"/>
    <s v="EXAMENES DE LABORATORIO"/>
    <s v="IMED SALUD"/>
    <n v="0"/>
    <n v="76766044"/>
    <n v="8"/>
    <s v="FONASA"/>
    <s v="MDIAZB@AFPHABITAT.CL"/>
    <s v="15543105|76766044|921418566|921418566"/>
    <s v="IMED SALUD"/>
    <b v="1"/>
    <s v="APORTE VIA IMED"/>
  </r>
  <r>
    <s v="12 DE SEPTIEMBRE DE 2025"/>
    <x v="154"/>
    <s v="MARCIA GERALDINE DIAZ BONILLA"/>
    <n v="22988456"/>
    <s v="BASTIAN HUERTA DIAZ"/>
    <d v="2025-03-01T00:00:00"/>
    <s v="DUPLICADO"/>
    <n v="921418566"/>
    <n v="65384318"/>
    <n v="10056"/>
    <n v="0"/>
    <n v="10056"/>
    <n v="0"/>
    <n v="10056"/>
    <n v="921418566"/>
    <n v="285123"/>
    <s v="CORP DE BIENESTAR DEL PERSONAL DE A F P"/>
    <d v="2025-03-03T00:00:00"/>
    <d v="2025-03-26T00:00:00"/>
    <d v="2025-03-03T00:00:00"/>
    <d v="2025-03-03T00:00:00"/>
    <s v="AMBULATORIOS"/>
    <n v="22772375"/>
    <n v="3311105"/>
    <n v="69251201"/>
    <s v="TRASSA"/>
    <n v="987634170"/>
    <n v="78070"/>
    <s v="SAL"/>
    <s v="AM04"/>
    <s v="EXAMENES DE LABORATORIO"/>
    <s v="EXAMENES DE LABORATORIO"/>
    <s v="EXAMENES DE LABORATORIO"/>
    <n v="0"/>
    <n v="0"/>
    <n v="76766044"/>
    <n v="8"/>
    <s v="SIN ISAPRE"/>
    <s v="MDIAZB@AFPHABITAT.CL"/>
    <s v="15543105|76766044|921418566|65384318"/>
    <s v="GASTO FISICO"/>
    <b v="0"/>
    <s v="DEPOSITADO EN CUENTA"/>
  </r>
  <r>
    <s v="12 DE SEPTIEMBRE DE 2025"/>
    <x v="154"/>
    <s v="MARCIA GERALDINE DIAZ BONILLA"/>
    <n v="22988456"/>
    <s v="BASTIAN HUERTA DIAZ"/>
    <d v="2025-03-01T00:00:00"/>
    <s v="INICIAL"/>
    <n v="921418567"/>
    <n v="921418567"/>
    <n v="41600"/>
    <n v="16000"/>
    <n v="25600"/>
    <n v="0"/>
    <n v="25600"/>
    <n v="921418567"/>
    <n v="285123"/>
    <s v="CORP DE BIENESTAR DEL PERSONAL DE A F P"/>
    <d v="2025-03-03T00:00:00"/>
    <d v="2025-03-03T00:00:00"/>
    <d v="2025-03-03T00:00:00"/>
    <d v="2025-03-03T00:00:00"/>
    <s v="AMBULATORIOS"/>
    <n v="22676621"/>
    <n v="3101656"/>
    <n v="68997473"/>
    <s v="TRASSA"/>
    <n v="9032025"/>
    <n v="77868"/>
    <s v="SAL"/>
    <s v="AM04"/>
    <s v="EXAMENES DE LABORATORIO"/>
    <s v="EXAMENES DE LABORATORIO"/>
    <s v="EXAMENES DE LABORATORIO"/>
    <s v="IMED SALUD"/>
    <n v="0"/>
    <n v="76766044"/>
    <n v="8"/>
    <s v="FONASA"/>
    <s v="MDIAZB@AFPHABITAT.CL"/>
    <s v="15543105|76766044|921418567|921418567"/>
    <s v="IMED SALUD"/>
    <b v="1"/>
    <s v="APORTE VIA IMED"/>
  </r>
  <r>
    <s v="12 DE SEPTIEMBRE DE 2025"/>
    <x v="154"/>
    <s v="MARCIA GERALDINE DIAZ BONILLA"/>
    <n v="22988456"/>
    <s v="BASTIAN HUERTA DIAZ"/>
    <d v="2025-03-01T00:00:00"/>
    <s v="DUPLICADO"/>
    <n v="921418567"/>
    <n v="65384319"/>
    <n v="23600"/>
    <n v="0"/>
    <n v="23600"/>
    <n v="0"/>
    <n v="23600"/>
    <n v="921418567"/>
    <n v="285123"/>
    <s v="CORP DE BIENESTAR DEL PERSONAL DE A F P"/>
    <d v="2025-03-03T00:00:00"/>
    <d v="2025-03-26T00:00:00"/>
    <d v="2025-03-03T00:00:00"/>
    <d v="2025-03-03T00:00:00"/>
    <s v="AMBULATORIOS"/>
    <n v="22772375"/>
    <n v="3311105"/>
    <n v="69251202"/>
    <s v="TRASSA"/>
    <n v="987634170"/>
    <n v="78070"/>
    <s v="SAL"/>
    <s v="AM04"/>
    <s v="EXAMENES DE LABORATORIO"/>
    <s v="EXAMENES DE LABORATORIO"/>
    <s v="EXAMENES DE LABORATORIO"/>
    <n v="0"/>
    <n v="0"/>
    <n v="76766044"/>
    <n v="8"/>
    <s v="SIN ISAPRE"/>
    <s v="MDIAZB@AFPHABITAT.CL"/>
    <s v="15543105|76766044|921418567|65384319"/>
    <s v="GASTO FISICO"/>
    <b v="0"/>
    <s v="DEPOSITADO EN CUENTA"/>
  </r>
  <r>
    <s v="12 DE SEPTIEMBRE DE 2025"/>
    <x v="154"/>
    <s v="MARCIA GERALDINE DIAZ BONILLA"/>
    <n v="22988456"/>
    <s v="BASTIAN HUERTA DIAZ"/>
    <d v="2025-03-01T00:00:00"/>
    <s v="INICIAL"/>
    <n v="921418568"/>
    <n v="921418568"/>
    <n v="40210"/>
    <n v="15480"/>
    <n v="24730"/>
    <n v="0"/>
    <n v="24730"/>
    <n v="921418568"/>
    <n v="285123"/>
    <s v="CORP DE BIENESTAR DEL PERSONAL DE A F P"/>
    <d v="2025-03-03T00:00:00"/>
    <d v="2025-03-03T00:00:00"/>
    <d v="2025-03-03T00:00:00"/>
    <d v="2025-03-03T00:00:00"/>
    <s v="AMBULATORIOS"/>
    <n v="22676621"/>
    <n v="3101656"/>
    <n v="68995601"/>
    <s v="TRASSA"/>
    <n v="9032025"/>
    <n v="77868"/>
    <s v="SAL"/>
    <s v="AM04"/>
    <s v="EXAMENES DE LABORATORIO"/>
    <s v="EXAMENES DE LABORATORIO"/>
    <s v="EXAMENES DE LABORATORIO"/>
    <s v="IMED SALUD"/>
    <n v="0"/>
    <n v="76766044"/>
    <n v="8"/>
    <s v="FONASA"/>
    <s v="MDIAZB@AFPHABITAT.CL"/>
    <s v="15543105|76766044|921418568|921418568"/>
    <s v="IMED SALUD"/>
    <b v="1"/>
    <s v="APORTE VIA IMED"/>
  </r>
  <r>
    <s v="12 DE SEPTIEMBRE DE 2025"/>
    <x v="154"/>
    <s v="MARCIA GERALDINE DIAZ BONILLA"/>
    <n v="22988456"/>
    <s v="BASTIAN HUERTA DIAZ"/>
    <d v="2025-03-01T00:00:00"/>
    <s v="DUPLICADO"/>
    <n v="921418568"/>
    <n v="65384320"/>
    <n v="21666"/>
    <n v="0"/>
    <n v="21666"/>
    <n v="0"/>
    <n v="21666"/>
    <n v="921418568"/>
    <n v="285123"/>
    <s v="CORP DE BIENESTAR DEL PERSONAL DE A F P"/>
    <d v="2025-03-03T00:00:00"/>
    <d v="2025-03-26T00:00:00"/>
    <d v="2025-03-03T00:00:00"/>
    <d v="2025-03-03T00:00:00"/>
    <s v="AMBULATORIOS"/>
    <n v="22772375"/>
    <n v="3311105"/>
    <n v="69251203"/>
    <s v="TRASSA"/>
    <n v="987634170"/>
    <n v="78070"/>
    <s v="SAL"/>
    <s v="AM04"/>
    <s v="EXAMENES DE LABORATORIO"/>
    <s v="EXAMENES DE LABORATORIO"/>
    <s v="EXAMENES DE LABORATORIO"/>
    <n v="0"/>
    <n v="0"/>
    <n v="76766044"/>
    <n v="8"/>
    <s v="SIN ISAPRE"/>
    <s v="MDIAZB@AFPHABITAT.CL"/>
    <s v="15543105|76766044|921418568|65384320"/>
    <s v="GASTO FISICO"/>
    <b v="0"/>
    <s v="DEPOSITADO EN CUENTA"/>
  </r>
  <r>
    <s v="12 DE SEPTIEMBRE DE 2025"/>
    <x v="216"/>
    <s v="MONICA ROJAS REINOSO"/>
    <n v="11385748"/>
    <s v="MONICA ROJAS REINOSO"/>
    <d v="2025-03-01T00:00:00"/>
    <s v="INICIAL"/>
    <n v="921431680"/>
    <n v="921431680"/>
    <n v="149920"/>
    <n v="84371"/>
    <n v="65549"/>
    <n v="0"/>
    <n v="65549"/>
    <n v="921431680"/>
    <n v="285123"/>
    <s v="CORP DE BIENESTAR DEL PERSONAL DE A F P"/>
    <d v="2025-03-03T00:00:00"/>
    <d v="2025-03-03T00:00:00"/>
    <d v="2025-03-03T00:00:00"/>
    <d v="2025-03-03T00:00:00"/>
    <s v="AMBULATORIOS"/>
    <n v="22676587"/>
    <n v="3101656"/>
    <n v="68994450"/>
    <s v="TRASSA"/>
    <n v="9032025"/>
    <n v="77868"/>
    <s v="SAL"/>
    <s v="AM04"/>
    <s v="EXAMENES DE LABORATORIO"/>
    <s v="EXAMENES DE LABORATORIO"/>
    <s v="EXAMENES DE LABORATORIO"/>
    <s v="IMED SALUD"/>
    <n v="0"/>
    <n v="79749170"/>
    <n v="5"/>
    <s v="FONASA"/>
    <s v="MROJASR@AFPHABITAT.CL"/>
    <s v="11385748|79749170|921431680|921431680"/>
    <s v="IMED SALUD"/>
    <b v="1"/>
    <s v="APORTE VIA IMED"/>
  </r>
  <r>
    <s v="12 DE SEPTIEMBRE DE 2025"/>
    <x v="216"/>
    <s v="MONICA ROJAS REINOSO"/>
    <n v="11385748"/>
    <s v="MONICA ROJAS REINOSO"/>
    <d v="2025-03-01T00:00:00"/>
    <s v="DUPLICADO"/>
    <n v="921431680"/>
    <n v="65383929"/>
    <n v="51847"/>
    <n v="0"/>
    <n v="51847"/>
    <n v="0"/>
    <n v="51847"/>
    <n v="921431680"/>
    <n v="285123"/>
    <s v="CORP DE BIENESTAR DEL PERSONAL DE A F P"/>
    <d v="2025-03-03T00:00:00"/>
    <d v="2025-03-26T00:00:00"/>
    <d v="2025-03-03T00:00:00"/>
    <d v="2025-03-03T00:00:00"/>
    <s v="AMBULATORIOS"/>
    <n v="22772366"/>
    <n v="3311105"/>
    <n v="69250818"/>
    <s v="TRASSA"/>
    <n v="1470656301"/>
    <n v="78070"/>
    <s v="SAL"/>
    <s v="AM04"/>
    <s v="EXAMENES DE LABORATORIO"/>
    <s v="EXAMENES DE LABORATORIO"/>
    <s v="EXAMENES DE LABORATORIO"/>
    <n v="0"/>
    <n v="0"/>
    <n v="79749170"/>
    <n v="5"/>
    <s v="SIN ISAPRE"/>
    <s v="MROJASR@AFPHABITAT.CL"/>
    <s v="11385748|79749170|921431680|65383929"/>
    <s v="GASTO FISICO"/>
    <b v="0"/>
    <s v="DEPOSITADO EN CUENTA"/>
  </r>
  <r>
    <s v="12 DE SEPTIEMBRE DE 2025"/>
    <x v="216"/>
    <s v="MONICA ROJAS REINOSO"/>
    <n v="11385748"/>
    <s v="MONICA ROJAS REINOSO"/>
    <d v="2025-03-01T00:00:00"/>
    <s v="INICIAL"/>
    <n v="921431681"/>
    <n v="921431681"/>
    <n v="1360"/>
    <n v="770"/>
    <n v="590"/>
    <n v="0"/>
    <n v="590"/>
    <n v="921431681"/>
    <n v="285123"/>
    <s v="CORP DE BIENESTAR DEL PERSONAL DE A F P"/>
    <d v="2025-03-03T00:00:00"/>
    <d v="2025-03-03T00:00:00"/>
    <d v="2025-03-03T00:00:00"/>
    <d v="2025-03-03T00:00:00"/>
    <s v="AMBULATORIOS"/>
    <n v="22676587"/>
    <n v="3101656"/>
    <n v="68997560"/>
    <s v="TRASSA"/>
    <n v="9032025"/>
    <n v="77868"/>
    <s v="SAL"/>
    <s v="AM04"/>
    <s v="EXAMENES DE LABORATORIO"/>
    <s v="EXAMENES DE LABORATORIO"/>
    <s v="EXAMENES DE LABORATORIO"/>
    <s v="IMED SALUD"/>
    <n v="0"/>
    <n v="79749170"/>
    <n v="5"/>
    <s v="FONASA"/>
    <s v="MROJASR@AFPHABITAT.CL"/>
    <s v="11385748|79749170|921431681|921431681"/>
    <s v="IMED SALUD"/>
    <b v="1"/>
    <s v="APORTE VIA IMED"/>
  </r>
  <r>
    <s v="12 DE SEPTIEMBRE DE 2025"/>
    <x v="216"/>
    <s v="MONICA ROJAS REINOSO"/>
    <n v="11385748"/>
    <s v="MONICA ROJAS REINOSO"/>
    <d v="2025-03-01T00:00:00"/>
    <s v="DUPLICADO"/>
    <n v="921431681"/>
    <n v="65383930"/>
    <n v="386"/>
    <n v="0"/>
    <n v="386"/>
    <n v="0"/>
    <n v="386"/>
    <n v="921431681"/>
    <n v="285123"/>
    <s v="CORP DE BIENESTAR DEL PERSONAL DE A F P"/>
    <d v="2025-03-03T00:00:00"/>
    <d v="2025-03-26T00:00:00"/>
    <d v="2025-03-03T00:00:00"/>
    <d v="2025-03-03T00:00:00"/>
    <s v="AMBULATORIOS"/>
    <n v="22772366"/>
    <n v="3311105"/>
    <n v="69250819"/>
    <s v="TRASSA"/>
    <n v="1470656301"/>
    <n v="78070"/>
    <s v="SAL"/>
    <s v="AM04"/>
    <s v="EXAMENES DE LABORATORIO"/>
    <s v="EXAMENES DE LABORATORIO"/>
    <s v="EXAMENES DE LABORATORIO"/>
    <n v="0"/>
    <n v="0"/>
    <n v="79749170"/>
    <n v="5"/>
    <s v="SIN ISAPRE"/>
    <s v="MROJASR@AFPHABITAT.CL"/>
    <s v="11385748|79749170|921431681|65383930"/>
    <s v="GASTO FISICO"/>
    <b v="0"/>
    <s v="DEPOSITADO EN CUENTA"/>
  </r>
  <r>
    <s v="12 DE SEPTIEMBRE DE 2025"/>
    <x v="211"/>
    <s v="CAROLA TORRES PEÑA"/>
    <n v="16116767"/>
    <s v="CAROLA TORRES PEÑA"/>
    <d v="2025-03-01T00:00:00"/>
    <s v="INICIAL"/>
    <n v="921453350"/>
    <n v="921453350"/>
    <n v="44310"/>
    <n v="13860"/>
    <n v="30450"/>
    <n v="0"/>
    <n v="30450"/>
    <n v="921453350"/>
    <n v="285123"/>
    <s v="CORP DE BIENESTAR DEL PERSONAL DE A F P"/>
    <d v="2025-03-03T00:00:00"/>
    <d v="2025-03-03T00:00:00"/>
    <d v="2025-03-03T00:00:00"/>
    <d v="2025-03-03T00:00:00"/>
    <s v="AMBULATORIOS"/>
    <n v="22676623"/>
    <n v="3101656"/>
    <n v="68996304"/>
    <s v="TRASSA"/>
    <n v="9032025"/>
    <n v="77868"/>
    <s v="SAL"/>
    <s v="AM04"/>
    <s v="EXAMENES DE LABORATORIO"/>
    <s v="EXAMENES DE LABORATORIO"/>
    <s v="EXAMENES DE LABORATORIO"/>
    <s v="IMED SALUD"/>
    <n v="0"/>
    <n v="96942400"/>
    <n v="2"/>
    <s v="FONASA"/>
    <s v="CAROLA.TORRES@AFPHABITAT.CL"/>
    <s v="16116767|96942400|921453350|921453350"/>
    <s v="IMED SALUD"/>
    <b v="1"/>
    <s v="APORTE VIA IMED"/>
  </r>
  <r>
    <s v="12 DE SEPTIEMBRE DE 2025"/>
    <x v="211"/>
    <s v="CAROLA TORRES PEÑA"/>
    <n v="16116767"/>
    <s v="CAROLA TORRES PEÑA"/>
    <d v="2025-03-01T00:00:00"/>
    <s v="DUPLICADO"/>
    <n v="921453350"/>
    <n v="65384354"/>
    <n v="25922"/>
    <n v="0"/>
    <n v="25922"/>
    <n v="0"/>
    <n v="25922"/>
    <n v="921453350"/>
    <n v="285123"/>
    <s v="CORP DE BIENESTAR DEL PERSONAL DE A F P"/>
    <d v="2025-03-03T00:00:00"/>
    <d v="2025-03-26T00:00:00"/>
    <d v="2025-03-03T00:00:00"/>
    <d v="2025-03-03T00:00:00"/>
    <s v="AMBULATORIOS"/>
    <n v="22772376"/>
    <n v="3311105"/>
    <n v="69251237"/>
    <s v="TRASSA"/>
    <n v="15200202512"/>
    <n v="78070"/>
    <s v="SAL"/>
    <s v="AM04"/>
    <s v="EXAMENES DE LABORATORIO"/>
    <s v="EXAMENES DE LABORATORIO"/>
    <s v="EXAMENES DE LABORATORIO"/>
    <n v="0"/>
    <n v="0"/>
    <n v="96942400"/>
    <n v="2"/>
    <s v="SIN ISAPRE"/>
    <s v="CAROLA.TORRES@AFPHABITAT.CL"/>
    <s v="16116767|96942400|921453350|65384354"/>
    <s v="GASTO FISICO"/>
    <b v="0"/>
    <s v="DEPOSITADO EN CUENTA"/>
  </r>
  <r>
    <s v="12 DE SEPTIEMBRE DE 2025"/>
    <x v="211"/>
    <s v="CAROLA TORRES PEÑA"/>
    <n v="16116767"/>
    <s v="CAROLA TORRES PEÑA"/>
    <d v="2025-03-01T00:00:00"/>
    <s v="INICIAL"/>
    <n v="921453351"/>
    <n v="921453351"/>
    <n v="31550"/>
    <n v="9860"/>
    <n v="21690"/>
    <n v="0"/>
    <n v="21690"/>
    <n v="921453351"/>
    <n v="285123"/>
    <s v="CORP DE BIENESTAR DEL PERSONAL DE A F P"/>
    <d v="2025-03-03T00:00:00"/>
    <d v="2025-03-03T00:00:00"/>
    <d v="2025-03-03T00:00:00"/>
    <d v="2025-03-03T00:00:00"/>
    <s v="AMBULATORIOS"/>
    <n v="22676623"/>
    <n v="3101656"/>
    <n v="68994168"/>
    <s v="TRASSA"/>
    <n v="9032025"/>
    <n v="77868"/>
    <s v="SAL"/>
    <s v="AM04"/>
    <s v="EXAMENES DE LABORATORIO"/>
    <s v="EXAMENES DE LABORATORIO"/>
    <s v="EXAMENES DE LABORATORIO"/>
    <s v="IMED SALUD"/>
    <n v="0"/>
    <n v="96942400"/>
    <n v="2"/>
    <s v="FONASA"/>
    <s v="CAROLA.TORRES@AFPHABITAT.CL"/>
    <s v="16116767|96942400|921453351|921453351"/>
    <s v="IMED SALUD"/>
    <b v="1"/>
    <s v="APORTE VIA IMED"/>
  </r>
  <r>
    <s v="12 DE SEPTIEMBRE DE 2025"/>
    <x v="211"/>
    <s v="CAROLA TORRES PEÑA"/>
    <n v="16116767"/>
    <s v="CAROLA TORRES PEÑA"/>
    <d v="2025-03-01T00:00:00"/>
    <s v="DUPLICADO"/>
    <n v="921453351"/>
    <n v="65384355"/>
    <n v="18184"/>
    <n v="0"/>
    <n v="18184"/>
    <n v="0"/>
    <n v="18184"/>
    <n v="921453351"/>
    <n v="285123"/>
    <s v="CORP DE BIENESTAR DEL PERSONAL DE A F P"/>
    <d v="2025-03-03T00:00:00"/>
    <d v="2025-03-26T00:00:00"/>
    <d v="2025-03-03T00:00:00"/>
    <d v="2025-03-03T00:00:00"/>
    <s v="AMBULATORIOS"/>
    <n v="22772376"/>
    <n v="3311105"/>
    <n v="69251238"/>
    <s v="TRASSA"/>
    <n v="15200202512"/>
    <n v="78070"/>
    <s v="SAL"/>
    <s v="AM04"/>
    <s v="EXAMENES DE LABORATORIO"/>
    <s v="EXAMENES DE LABORATORIO"/>
    <s v="EXAMENES DE LABORATORIO"/>
    <n v="0"/>
    <n v="0"/>
    <n v="96942400"/>
    <n v="2"/>
    <s v="SIN ISAPRE"/>
    <s v="CAROLA.TORRES@AFPHABITAT.CL"/>
    <s v="16116767|96942400|921453351|65384355"/>
    <s v="GASTO FISICO"/>
    <b v="0"/>
    <s v="DEPOSITADO EN CUENTA"/>
  </r>
  <r>
    <s v="12 DE SEPTIEMBRE DE 2025"/>
    <x v="216"/>
    <s v="MONICA ROJAS REINOSO"/>
    <n v="11385748"/>
    <s v="MONICA ROJAS REINOSO"/>
    <d v="2025-03-01T00:00:00"/>
    <s v="INICIAL"/>
    <n v="921460482"/>
    <n v="921460482"/>
    <n v="156060"/>
    <n v="87785"/>
    <n v="68275"/>
    <n v="0"/>
    <n v="68275"/>
    <n v="921460482"/>
    <n v="285123"/>
    <s v="CORP DE BIENESTAR DEL PERSONAL DE A F P"/>
    <d v="2025-03-03T00:00:00"/>
    <d v="2025-03-03T00:00:00"/>
    <d v="2025-03-03T00:00:00"/>
    <d v="2025-03-03T00:00:00"/>
    <s v="AMBULATORIOS"/>
    <n v="22676587"/>
    <n v="3101656"/>
    <n v="68993703"/>
    <s v="TRASSA"/>
    <n v="9032025"/>
    <n v="77868"/>
    <s v="SAL"/>
    <s v="AM05"/>
    <s v="EXAMENES RADIOLOGICOS"/>
    <s v="EXAMENES RADIOLOGICOS"/>
    <s v="EXAMENES RADIOLOGICOS"/>
    <s v="IMED SALUD"/>
    <n v="0"/>
    <n v="77026140"/>
    <n v="6"/>
    <s v="FONASA"/>
    <s v="MROJASR@AFPHABITAT.CL"/>
    <s v="11385748|77026140|921460482|921460482"/>
    <s v="IMED SALUD"/>
    <b v="1"/>
    <s v="APORTE VIA IMED"/>
  </r>
  <r>
    <s v="12 DE SEPTIEMBRE DE 2025"/>
    <x v="216"/>
    <s v="MONICA ROJAS REINOSO"/>
    <n v="11385748"/>
    <s v="MONICA ROJAS REINOSO"/>
    <d v="2025-03-01T00:00:00"/>
    <s v="DUPLICADO"/>
    <n v="921460482"/>
    <n v="65383931"/>
    <n v="53396"/>
    <n v="0"/>
    <n v="53396"/>
    <n v="0"/>
    <n v="53396"/>
    <n v="921460482"/>
    <n v="285123"/>
    <s v="CORP DE BIENESTAR DEL PERSONAL DE A F P"/>
    <d v="2025-03-03T00:00:00"/>
    <d v="2025-03-26T00:00:00"/>
    <d v="2025-03-03T00:00:00"/>
    <d v="2025-03-03T00:00:00"/>
    <s v="AMBULATORIOS"/>
    <n v="22772366"/>
    <n v="3311105"/>
    <n v="69250820"/>
    <s v="TRASSA"/>
    <n v="1470656301"/>
    <n v="78070"/>
    <s v="SAL"/>
    <s v="AM05"/>
    <s v="EXAMENES RADIOLOGICOS"/>
    <s v="EXAMENES RADIOLOGICOS"/>
    <s v="EXAMENES RADIOLOGICOS"/>
    <n v="0"/>
    <n v="0"/>
    <n v="77026140"/>
    <n v="6"/>
    <s v="SIN ISAPRE"/>
    <s v="MROJASR@AFPHABITAT.CL"/>
    <s v="11385748|77026140|921460482|65383931"/>
    <s v="GASTO FISICO"/>
    <b v="0"/>
    <s v="DEPOSITADO EN CUENTA"/>
  </r>
  <r>
    <s v="12 DE SEPTIEMBRE DE 2025"/>
    <x v="217"/>
    <s v="JESSICA LORENA SOTO MARTINEZ"/>
    <n v="11266109"/>
    <s v="JESSICA LORENA SOTO MARTINEZ"/>
    <d v="2025-03-01T00:00:00"/>
    <s v="INICIAL"/>
    <n v="921552450"/>
    <n v="921552450"/>
    <n v="114720"/>
    <n v="35850"/>
    <n v="78870"/>
    <n v="0"/>
    <n v="78870"/>
    <n v="921552450"/>
    <n v="285123"/>
    <s v="CORP DE BIENESTAR DEL PERSONAL DE A F P"/>
    <d v="2025-03-03T00:00:00"/>
    <d v="2025-03-03T00:00:00"/>
    <d v="2025-03-03T00:00:00"/>
    <d v="2025-03-03T00:00:00"/>
    <s v="AMBULATORIOS"/>
    <n v="22676586"/>
    <n v="3101656"/>
    <n v="68995766"/>
    <s v="TRASSA"/>
    <n v="9032025"/>
    <n v="77868"/>
    <s v="SAL"/>
    <s v="AM07"/>
    <s v="PROCEDIMIENTOS TERAPEUTICOS"/>
    <s v="PROCEDIMIENTOS TERAPEUTICOS"/>
    <s v="PROCEDIMIENTOS TERAPEUTICOS"/>
    <s v="IMED SALUD"/>
    <n v="0"/>
    <n v="76098454"/>
    <s v="K"/>
    <s v="FONASA"/>
    <s v="JESSICA.SOTO@AFPHABITAT.CL"/>
    <s v="11266109|76098454|921552450|921552450"/>
    <s v="IMED SALUD"/>
    <b v="1"/>
    <s v="APORTE VIA IMED"/>
  </r>
  <r>
    <s v="12 DE SEPTIEMBRE DE 2025"/>
    <x v="217"/>
    <s v="JESSICA LORENA SOTO MARTINEZ"/>
    <n v="11266109"/>
    <s v="JESSICA LORENA SOTO MARTINEZ"/>
    <d v="2025-03-01T00:00:00"/>
    <s v="DUPLICADO"/>
    <n v="921552450"/>
    <n v="65383923"/>
    <n v="68100"/>
    <n v="0"/>
    <n v="68100"/>
    <n v="0"/>
    <n v="68100"/>
    <n v="921552450"/>
    <n v="285123"/>
    <s v="CORP DE BIENESTAR DEL PERSONAL DE A F P"/>
    <d v="2025-03-03T00:00:00"/>
    <d v="2025-03-26T00:00:00"/>
    <d v="2025-03-03T00:00:00"/>
    <d v="2025-03-03T00:00:00"/>
    <s v="AMBULATORIOS"/>
    <n v="22772365"/>
    <n v="3311105"/>
    <n v="69250812"/>
    <s v="TRASSA"/>
    <n v="89037107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JESSICA.SOTO@AFPHABITAT.CL"/>
    <s v="11266109|76098454|921552450|65383923"/>
    <s v="GASTO FISICO"/>
    <b v="0"/>
    <s v="DEPOSITADO EN CUENTA"/>
  </r>
  <r>
    <s v="12 DE SEPTIEMBRE DE 2025"/>
    <x v="64"/>
    <s v="MARIA JOSE BRANTT PINCHEIRA"/>
    <n v="21966358"/>
    <s v="GABRIEL SANDOVAL BRANTT"/>
    <d v="2025-03-01T00:00:00"/>
    <s v="INICIAL"/>
    <n v="921574375"/>
    <n v="921574375"/>
    <n v="9440"/>
    <n v="7499"/>
    <n v="1941"/>
    <n v="0"/>
    <n v="1941"/>
    <n v="921574375"/>
    <n v="285123"/>
    <s v="CORP DE BIENESTAR DEL PERSONAL DE A F P"/>
    <d v="2025-03-04T00:00:00"/>
    <d v="2025-03-04T00:00:00"/>
    <d v="2025-03-04T00:00:00"/>
    <d v="2025-03-04T00:00:00"/>
    <s v="AMBULATORIOS"/>
    <n v="22676664"/>
    <n v="3101656"/>
    <n v="68992994"/>
    <s v="TRASSA"/>
    <n v="9032025"/>
    <n v="77868"/>
    <s v="SAL"/>
    <s v="AM04"/>
    <s v="EXAMENES DE LABORATORIO"/>
    <s v="EXAMENES DE LABORATORIO"/>
    <s v="EXAMENES DE LABORATORIO"/>
    <s v="IMED SALUD"/>
    <n v="0"/>
    <n v="99573490"/>
    <n v="7"/>
    <s v="FONASA"/>
    <s v="MBRANTT@AFPHABITAT.CL"/>
    <s v="14011130|99573490|921574375|921574375"/>
    <s v="IMED SALUD"/>
    <b v="1"/>
    <s v="APORTE VIA IMED"/>
  </r>
  <r>
    <s v="12 DE SEPTIEMBRE DE 2025"/>
    <x v="64"/>
    <s v="MARIA JOSE BRANTT PINCHEIRA"/>
    <n v="21966358"/>
    <s v="GABRIEL SANDOVAL BRANTT"/>
    <d v="2025-03-01T00:00:00"/>
    <s v="DUPLICADO"/>
    <n v="921574375"/>
    <n v="65384188"/>
    <n v="1935"/>
    <n v="0"/>
    <n v="1935"/>
    <n v="0"/>
    <n v="1935"/>
    <n v="921574375"/>
    <n v="285123"/>
    <s v="CORP DE BIENESTAR DEL PERSONAL DE A F P"/>
    <d v="2025-03-04T00:00:00"/>
    <d v="2025-03-26T00:00:00"/>
    <d v="2025-03-04T00:00:00"/>
    <d v="2025-03-04T00:00:00"/>
    <s v="AMBULATORIOS"/>
    <n v="22772395"/>
    <n v="3311105"/>
    <n v="69251064"/>
    <s v="TRASSA"/>
    <n v="68951852"/>
    <n v="78070"/>
    <s v="SAL"/>
    <s v="AM04"/>
    <s v="EXAMENES DE LABORATORIO"/>
    <s v="EXAMENES DE LABORATORIO"/>
    <s v="EXAMENES DE LABORATORIO"/>
    <n v="0"/>
    <n v="0"/>
    <n v="99573490"/>
    <n v="7"/>
    <s v="SIN ISAPRE"/>
    <s v="MBRANTT@AFPHABITAT.CL"/>
    <s v="14011130|99573490|921574375|65384188"/>
    <s v="GASTO FISICO"/>
    <b v="0"/>
    <s v="DEPOSITADO EN CUENTA"/>
  </r>
  <r>
    <s v="12 DE SEPTIEMBRE DE 2025"/>
    <x v="64"/>
    <s v="MARIA JOSE BRANTT PINCHEIRA"/>
    <n v="21966358"/>
    <s v="GABRIEL SANDOVAL BRANTT"/>
    <d v="2025-03-01T00:00:00"/>
    <s v="INICIAL"/>
    <n v="921574376"/>
    <n v="921574376"/>
    <n v="35270"/>
    <n v="27998"/>
    <n v="7272"/>
    <n v="0"/>
    <n v="7272"/>
    <n v="921574376"/>
    <n v="285123"/>
    <s v="CORP DE BIENESTAR DEL PERSONAL DE A F P"/>
    <d v="2025-03-04T00:00:00"/>
    <d v="2025-03-04T00:00:00"/>
    <d v="2025-03-04T00:00:00"/>
    <d v="2025-03-04T00:00:00"/>
    <s v="AMBULATORIOS"/>
    <n v="22676664"/>
    <n v="3101656"/>
    <n v="68997164"/>
    <s v="TRASSA"/>
    <n v="9032025"/>
    <n v="77868"/>
    <s v="SAL"/>
    <s v="AM04"/>
    <s v="EXAMENES DE LABORATORIO"/>
    <s v="EXAMENES DE LABORATORIO"/>
    <s v="EXAMENES DE LABORATORIO"/>
    <s v="IMED SALUD"/>
    <n v="0"/>
    <n v="99573490"/>
    <n v="7"/>
    <s v="FONASA"/>
    <s v="MBRANTT@AFPHABITAT.CL"/>
    <s v="14011130|99573490|921574376|921574376"/>
    <s v="IMED SALUD"/>
    <b v="1"/>
    <s v="APORTE VIA IMED"/>
  </r>
  <r>
    <s v="12 DE SEPTIEMBRE DE 2025"/>
    <x v="64"/>
    <s v="MARIA JOSE BRANTT PINCHEIRA"/>
    <n v="21966358"/>
    <s v="GABRIEL SANDOVAL BRANTT"/>
    <d v="2025-03-01T00:00:00"/>
    <s v="DUPLICADO"/>
    <n v="921574376"/>
    <n v="65384189"/>
    <n v="7740"/>
    <n v="0"/>
    <n v="7740"/>
    <n v="0"/>
    <n v="7740"/>
    <n v="921574376"/>
    <n v="285123"/>
    <s v="CORP DE BIENESTAR DEL PERSONAL DE A F P"/>
    <d v="2025-03-04T00:00:00"/>
    <d v="2025-03-26T00:00:00"/>
    <d v="2025-03-04T00:00:00"/>
    <d v="2025-03-04T00:00:00"/>
    <s v="AMBULATORIOS"/>
    <n v="22772395"/>
    <n v="3311105"/>
    <n v="69251065"/>
    <s v="TRASSA"/>
    <n v="68951852"/>
    <n v="78070"/>
    <s v="SAL"/>
    <s v="AM04"/>
    <s v="EXAMENES DE LABORATORIO"/>
    <s v="EXAMENES DE LABORATORIO"/>
    <s v="EXAMENES DE LABORATORIO"/>
    <n v="0"/>
    <n v="0"/>
    <n v="99573490"/>
    <n v="7"/>
    <s v="SIN ISAPRE"/>
    <s v="MBRANTT@AFPHABITAT.CL"/>
    <s v="14011130|99573490|921574376|65384189"/>
    <s v="GASTO FISICO"/>
    <b v="0"/>
    <s v="DEPOSITADO EN CUENTA"/>
  </r>
  <r>
    <s v="12 DE SEPTIEMBRE DE 2025"/>
    <x v="64"/>
    <s v="MARIA JOSE BRANTT PINCHEIRA"/>
    <n v="21966358"/>
    <s v="GABRIEL SANDOVAL BRANTT"/>
    <d v="2025-03-01T00:00:00"/>
    <s v="INICIAL"/>
    <n v="921574377"/>
    <n v="921574377"/>
    <n v="37710"/>
    <n v="29934"/>
    <n v="7776"/>
    <n v="0"/>
    <n v="7776"/>
    <n v="921574377"/>
    <n v="285123"/>
    <s v="CORP DE BIENESTAR DEL PERSONAL DE A F P"/>
    <d v="2025-03-04T00:00:00"/>
    <d v="2025-03-04T00:00:00"/>
    <d v="2025-03-04T00:00:00"/>
    <d v="2025-03-04T00:00:00"/>
    <s v="AMBULATORIOS"/>
    <n v="22676664"/>
    <n v="3101656"/>
    <n v="68995287"/>
    <s v="TRASSA"/>
    <n v="9032025"/>
    <n v="77868"/>
    <s v="SAL"/>
    <s v="AM04"/>
    <s v="EXAMENES DE LABORATORIO"/>
    <s v="EXAMENES DE LABORATORIO"/>
    <s v="EXAMENES DE LABORATORIO"/>
    <s v="IMED SALUD"/>
    <n v="0"/>
    <n v="99573490"/>
    <n v="7"/>
    <s v="FONASA"/>
    <s v="MBRANTT@AFPHABITAT.CL"/>
    <s v="14011130|99573490|921574377|921574377"/>
    <s v="IMED SALUD"/>
    <b v="1"/>
    <s v="APORTE VIA IMED"/>
  </r>
  <r>
    <s v="12 DE SEPTIEMBRE DE 2025"/>
    <x v="64"/>
    <s v="MARIA JOSE BRANTT PINCHEIRA"/>
    <n v="21966358"/>
    <s v="GABRIEL SANDOVAL BRANTT"/>
    <d v="2025-03-01T00:00:00"/>
    <s v="DUPLICADO"/>
    <n v="921574377"/>
    <n v="65384190"/>
    <n v="7740"/>
    <n v="0"/>
    <n v="7740"/>
    <n v="0"/>
    <n v="7740"/>
    <n v="921574377"/>
    <n v="285123"/>
    <s v="CORP DE BIENESTAR DEL PERSONAL DE A F P"/>
    <d v="2025-03-04T00:00:00"/>
    <d v="2025-03-26T00:00:00"/>
    <d v="2025-03-04T00:00:00"/>
    <d v="2025-03-04T00:00:00"/>
    <s v="AMBULATORIOS"/>
    <n v="22772395"/>
    <n v="3311105"/>
    <n v="69251066"/>
    <s v="TRASSA"/>
    <n v="68951852"/>
    <n v="78070"/>
    <s v="SAL"/>
    <s v="AM04"/>
    <s v="EXAMENES DE LABORATORIO"/>
    <s v="EXAMENES DE LABORATORIO"/>
    <s v="EXAMENES DE LABORATORIO"/>
    <n v="0"/>
    <n v="0"/>
    <n v="99573490"/>
    <n v="7"/>
    <s v="SIN ISAPRE"/>
    <s v="MBRANTT@AFPHABITAT.CL"/>
    <s v="14011130|99573490|921574377|65384190"/>
    <s v="GASTO FISICO"/>
    <b v="0"/>
    <s v="DEPOSITADO EN CUENTA"/>
  </r>
  <r>
    <s v="12 DE SEPTIEMBRE DE 2025"/>
    <x v="64"/>
    <s v="MARIA JOSE BRANTT PINCHEIRA"/>
    <n v="21966358"/>
    <s v="GABRIEL SANDOVAL BRANTT"/>
    <d v="2025-03-01T00:00:00"/>
    <s v="INICIAL"/>
    <n v="921574378"/>
    <n v="921574378"/>
    <n v="41900"/>
    <n v="33260"/>
    <n v="8640"/>
    <n v="0"/>
    <n v="8640"/>
    <n v="921574378"/>
    <n v="285123"/>
    <s v="CORP DE BIENESTAR DEL PERSONAL DE A F P"/>
    <d v="2025-03-04T00:00:00"/>
    <d v="2025-03-04T00:00:00"/>
    <d v="2025-03-04T00:00:00"/>
    <d v="2025-03-04T00:00:00"/>
    <s v="AMBULATORIOS"/>
    <n v="22676664"/>
    <n v="3101656"/>
    <n v="68992810"/>
    <s v="TRASSA"/>
    <n v="9032025"/>
    <n v="77868"/>
    <s v="SAL"/>
    <s v="AM04"/>
    <s v="EXAMENES DE LABORATORIO"/>
    <s v="EXAMENES DE LABORATORIO"/>
    <s v="EXAMENES DE LABORATORIO"/>
    <s v="IMED SALUD"/>
    <n v="0"/>
    <n v="99573490"/>
    <n v="7"/>
    <s v="FONASA"/>
    <s v="MBRANTT@AFPHABITAT.CL"/>
    <s v="14011130|99573490|921574378|921574378"/>
    <s v="IMED SALUD"/>
    <b v="1"/>
    <s v="APORTE VIA IMED"/>
  </r>
  <r>
    <s v="12 DE SEPTIEMBRE DE 2025"/>
    <x v="64"/>
    <s v="MARIA JOSE BRANTT PINCHEIRA"/>
    <n v="21966358"/>
    <s v="GABRIEL SANDOVAL BRANTT"/>
    <d v="2025-03-01T00:00:00"/>
    <s v="DUPLICADO"/>
    <n v="921574378"/>
    <n v="65384191"/>
    <n v="8515"/>
    <n v="0"/>
    <n v="8515"/>
    <n v="0"/>
    <n v="8515"/>
    <n v="921574378"/>
    <n v="285123"/>
    <s v="CORP DE BIENESTAR DEL PERSONAL DE A F P"/>
    <d v="2025-03-04T00:00:00"/>
    <d v="2025-03-26T00:00:00"/>
    <d v="2025-03-04T00:00:00"/>
    <d v="2025-03-04T00:00:00"/>
    <s v="AMBULATORIOS"/>
    <n v="22772395"/>
    <n v="3311105"/>
    <n v="69251067"/>
    <s v="TRASSA"/>
    <n v="68951852"/>
    <n v="78070"/>
    <s v="SAL"/>
    <s v="AM04"/>
    <s v="EXAMENES DE LABORATORIO"/>
    <s v="EXAMENES DE LABORATORIO"/>
    <s v="EXAMENES DE LABORATORIO"/>
    <n v="0"/>
    <n v="0"/>
    <n v="99573490"/>
    <n v="7"/>
    <s v="SIN ISAPRE"/>
    <s v="MBRANTT@AFPHABITAT.CL"/>
    <s v="14011130|99573490|921574378|65384191"/>
    <s v="GASTO FISICO"/>
    <b v="0"/>
    <s v="DEPOSITADO EN CUENTA"/>
  </r>
  <r>
    <s v="12 DE SEPTIEMBRE DE 2025"/>
    <x v="201"/>
    <s v="JESSICA FLORES GANA"/>
    <n v="13831839"/>
    <s v="JESSICA FLORES GANA"/>
    <d v="2025-03-01T00:00:00"/>
    <s v="INICIAL"/>
    <n v="921600310"/>
    <n v="921600310"/>
    <n v="35460"/>
    <n v="11080"/>
    <n v="24380"/>
    <n v="0"/>
    <n v="24380"/>
    <n v="921600310"/>
    <n v="285123"/>
    <s v="CORP DE BIENESTAR DEL PERSONAL DE A F P"/>
    <d v="2025-03-04T00:00:00"/>
    <d v="2025-03-04T00:00:00"/>
    <d v="2025-03-04T00:00:00"/>
    <d v="2025-03-04T00:00:00"/>
    <s v="AMBULATORIOS"/>
    <n v="22676660"/>
    <n v="3101656"/>
    <n v="68994019"/>
    <s v="TRASSA"/>
    <n v="9032025"/>
    <n v="77868"/>
    <s v="SAL"/>
    <s v="AM05"/>
    <s v="EXAMENES RADIOLOGICOS"/>
    <s v="EXAMENES RADIOLOGICOS"/>
    <s v="EXAMENES RADIOLOGICOS"/>
    <s v="IMED SALUD"/>
    <n v="0"/>
    <n v="96942400"/>
    <n v="2"/>
    <s v="FONASA"/>
    <s v="JFLORESG@AFPHABITAT.CL"/>
    <s v="13831839|96942400|921600310|921600310"/>
    <s v="IMED SALUD"/>
    <b v="1"/>
    <s v="APORTE VIA IMED"/>
  </r>
  <r>
    <s v="12 DE SEPTIEMBRE DE 2025"/>
    <x v="201"/>
    <s v="JESSICA FLORES GANA"/>
    <n v="13831839"/>
    <s v="JESSICA FLORES GANA"/>
    <d v="2025-03-01T00:00:00"/>
    <s v="DUPLICADO"/>
    <n v="921600310"/>
    <n v="65384148"/>
    <n v="21289"/>
    <n v="0"/>
    <n v="21289"/>
    <n v="0"/>
    <n v="21289"/>
    <n v="921600310"/>
    <n v="285123"/>
    <s v="CORP DE BIENESTAR DEL PERSONAL DE A F P"/>
    <d v="2025-03-04T00:00:00"/>
    <d v="2025-03-26T00:00:00"/>
    <d v="2025-03-04T00:00:00"/>
    <d v="2025-03-04T00:00:00"/>
    <s v="AMBULATORIOS"/>
    <n v="22772393"/>
    <n v="3311105"/>
    <n v="69251028"/>
    <s v="TRASSA"/>
    <n v="1702839250"/>
    <n v="78070"/>
    <s v="SAL"/>
    <s v="AM05"/>
    <s v="EXAMENES RADIOLOGICOS"/>
    <s v="EXAMENES RADIOLOGICOS"/>
    <s v="EXAMENES RADIOLOGICOS"/>
    <n v="0"/>
    <n v="0"/>
    <n v="96942400"/>
    <n v="2"/>
    <s v="SIN ISAPRE"/>
    <s v="JFLORESG@AFPHABITAT.CL"/>
    <s v="13831839|96942400|921600310|65384148"/>
    <s v="GASTO FISICO"/>
    <b v="0"/>
    <s v="DEPOSITADO EN CUENTA"/>
  </r>
  <r>
    <s v="12 DE SEPTIEMBRE DE 2025"/>
    <x v="201"/>
    <s v="JESSICA FLORES GANA"/>
    <n v="13831839"/>
    <s v="JESSICA FLORES GANA"/>
    <d v="2025-03-01T00:00:00"/>
    <s v="INICIAL"/>
    <n v="921608771"/>
    <n v="921608771"/>
    <n v="28990"/>
    <n v="9060"/>
    <n v="19930"/>
    <n v="0"/>
    <n v="19930"/>
    <n v="921608771"/>
    <n v="285123"/>
    <s v="CORP DE BIENESTAR DEL PERSONAL DE A F P"/>
    <d v="2025-03-04T00:00:00"/>
    <d v="2025-03-04T00:00:00"/>
    <d v="2025-03-04T00:00:00"/>
    <d v="2025-03-04T00:00:00"/>
    <s v="AMBULATORIOS"/>
    <n v="22676660"/>
    <n v="3101656"/>
    <n v="68993166"/>
    <s v="TRASSA"/>
    <n v="9032025"/>
    <n v="77868"/>
    <s v="SAL"/>
    <s v="AM05"/>
    <s v="EXAMENES RADIOLOGICOS"/>
    <s v="EXAMENES RADIOLOGICOS"/>
    <s v="EXAMENES RADIOLOGICOS"/>
    <s v="IMED SALUD"/>
    <n v="0"/>
    <n v="96942400"/>
    <n v="2"/>
    <s v="FONASA"/>
    <s v="JFLORESG@AFPHABITAT.CL"/>
    <s v="13831839|96942400|921608771|921608771"/>
    <s v="IMED SALUD"/>
    <b v="1"/>
    <s v="APORTE VIA IMED"/>
  </r>
  <r>
    <s v="12 DE SEPTIEMBRE DE 2025"/>
    <x v="201"/>
    <s v="JESSICA FLORES GANA"/>
    <n v="13831839"/>
    <s v="JESSICA FLORES GANA"/>
    <d v="2025-03-01T00:00:00"/>
    <s v="DUPLICADO"/>
    <n v="921608771"/>
    <n v="65384149"/>
    <n v="17031"/>
    <n v="0"/>
    <n v="17031"/>
    <n v="0"/>
    <n v="17031"/>
    <n v="921608771"/>
    <n v="285123"/>
    <s v="CORP DE BIENESTAR DEL PERSONAL DE A F P"/>
    <d v="2025-03-04T00:00:00"/>
    <d v="2025-03-26T00:00:00"/>
    <d v="2025-03-04T00:00:00"/>
    <d v="2025-03-04T00:00:00"/>
    <s v="AMBULATORIOS"/>
    <n v="22772393"/>
    <n v="3311105"/>
    <n v="69251029"/>
    <s v="TRASSA"/>
    <n v="1702839250"/>
    <n v="78070"/>
    <s v="SAL"/>
    <s v="AM05"/>
    <s v="EXAMENES RADIOLOGICOS"/>
    <s v="EXAMENES RADIOLOGICOS"/>
    <s v="EXAMENES RADIOLOGICOS"/>
    <n v="0"/>
    <n v="0"/>
    <n v="96942400"/>
    <n v="2"/>
    <s v="SIN ISAPRE"/>
    <s v="JFLORESG@AFPHABITAT.CL"/>
    <s v="13831839|96942400|921608771|65384149"/>
    <s v="GASTO FISICO"/>
    <b v="0"/>
    <s v="DEPOSITADO EN CUENTA"/>
  </r>
  <r>
    <s v="12 DE SEPTIEMBRE DE 2025"/>
    <x v="201"/>
    <s v="JESSICA FLORES GANA"/>
    <n v="13831839"/>
    <s v="JESSICA FLORES GANA"/>
    <d v="2025-03-01T00:00:00"/>
    <s v="INICIAL"/>
    <n v="921609841"/>
    <n v="921609841"/>
    <n v="10740"/>
    <n v="3360"/>
    <n v="7380"/>
    <n v="0"/>
    <n v="7380"/>
    <n v="921609841"/>
    <n v="285123"/>
    <s v="CORP DE BIENESTAR DEL PERSONAL DE A F P"/>
    <d v="2025-03-04T00:00:00"/>
    <d v="2025-03-04T00:00:00"/>
    <d v="2025-03-04T00:00:00"/>
    <d v="2025-03-04T00:00:00"/>
    <s v="AMBULATORIOS"/>
    <n v="22676660"/>
    <n v="3101656"/>
    <n v="68997598"/>
    <s v="TRASSA"/>
    <n v="9032025"/>
    <n v="77868"/>
    <s v="SAL"/>
    <s v="AM07"/>
    <s v="PROCEDIMIENTOS TERAPEUTICOS"/>
    <s v="PROCEDIMIENTOS TERAPEUTICOS"/>
    <s v="PROCEDIMIENTOS TERAPEUTICOS"/>
    <s v="IMED SALUD"/>
    <n v="0"/>
    <n v="96942400"/>
    <n v="2"/>
    <s v="FONASA"/>
    <s v="JFLORESG@AFPHABITAT.CL"/>
    <s v="13831839|96942400|921609841|921609841"/>
    <s v="IMED SALUD"/>
    <b v="1"/>
    <s v="APORTE VIA IMED"/>
  </r>
  <r>
    <s v="12 DE SEPTIEMBRE DE 2025"/>
    <x v="201"/>
    <s v="JESSICA FLORES GANA"/>
    <n v="13831839"/>
    <s v="JESSICA FLORES GANA"/>
    <d v="2025-03-01T00:00:00"/>
    <s v="DUPLICADO"/>
    <n v="921609841"/>
    <n v="65384150"/>
    <n v="6193"/>
    <n v="0"/>
    <n v="6193"/>
    <n v="0"/>
    <n v="6193"/>
    <n v="921609841"/>
    <n v="285123"/>
    <s v="CORP DE BIENESTAR DEL PERSONAL DE A F P"/>
    <d v="2025-03-04T00:00:00"/>
    <d v="2025-03-26T00:00:00"/>
    <d v="2025-03-04T00:00:00"/>
    <d v="2025-03-04T00:00:00"/>
    <s v="AMBULATORIOS"/>
    <n v="22772393"/>
    <n v="3311105"/>
    <n v="69251030"/>
    <s v="TRASSA"/>
    <n v="1702839250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JFLORESG@AFPHABITAT.CL"/>
    <s v="13831839|96942400|921609841|65384150"/>
    <s v="GASTO FISICO"/>
    <b v="0"/>
    <s v="DEPOSITADO EN CUENTA"/>
  </r>
  <r>
    <s v="12 DE SEPTIEMBRE DE 2025"/>
    <x v="218"/>
    <s v="MIGUEL DIAZ PASMIÑO"/>
    <n v="26186541"/>
    <s v="FLORENCIA DIAZ CANCINO"/>
    <d v="2025-03-01T00:00:00"/>
    <s v="INICIAL"/>
    <n v="921673247"/>
    <n v="921673247"/>
    <n v="12130"/>
    <n v="3790"/>
    <n v="8340"/>
    <n v="0"/>
    <n v="8340"/>
    <n v="921673247"/>
    <n v="285123"/>
    <s v="CORP DE BIENESTAR DEL PERSONAL DE A F P"/>
    <d v="2025-03-04T00:00:00"/>
    <d v="2025-03-04T00:00:00"/>
    <d v="2025-03-04T00:00:00"/>
    <d v="2025-03-04T00:00:00"/>
    <s v="AMBULATORIOS"/>
    <n v="22676648"/>
    <n v="3101656"/>
    <n v="68997805"/>
    <s v="TRASSA"/>
    <n v="9032025"/>
    <n v="77868"/>
    <s v="SAL"/>
    <s v="AM05"/>
    <s v="EXAMENES RADIOLOGICOS"/>
    <s v="EXAMENES RADIOLOGICOS"/>
    <s v="EXAMENES RADIOLOGICOS"/>
    <s v="IMED SALUD"/>
    <n v="0"/>
    <n v="76098454"/>
    <s v="K"/>
    <s v="FONASA"/>
    <s v="MDIAZP@AFPHABITAT.CL"/>
    <s v="11394861|76098454|921673247|921673247"/>
    <s v="IMED SALUD"/>
    <b v="1"/>
    <s v="APORTE VIA IMED"/>
  </r>
  <r>
    <s v="12 DE SEPTIEMBRE DE 2025"/>
    <x v="218"/>
    <s v="MIGUEL DIAZ PASMIÑO"/>
    <n v="26186541"/>
    <s v="FLORENCIA DIAZ CANCINO"/>
    <d v="2025-03-01T00:00:00"/>
    <s v="DUPLICADO"/>
    <n v="921673247"/>
    <n v="65383932"/>
    <n v="7354"/>
    <n v="0"/>
    <n v="7354"/>
    <n v="0"/>
    <n v="7354"/>
    <n v="921673247"/>
    <n v="285123"/>
    <s v="CORP DE BIENESTAR DEL PERSONAL DE A F P"/>
    <d v="2025-03-04T00:00:00"/>
    <d v="2025-03-26T00:00:00"/>
    <d v="2025-03-04T00:00:00"/>
    <d v="2025-03-04T00:00:00"/>
    <s v="AMBULATORIOS"/>
    <n v="22772390"/>
    <n v="3311105"/>
    <n v="69250821"/>
    <s v="TRASSA"/>
    <n v="29870070878"/>
    <n v="78070"/>
    <s v="SAL"/>
    <s v="AM05"/>
    <s v="EXAMENES RADIOLOGICOS"/>
    <s v="EXAMENES RADIOLOGICOS"/>
    <s v="EXAMENES RADIOLOGICOS"/>
    <n v="0"/>
    <n v="0"/>
    <n v="76098454"/>
    <s v="K"/>
    <s v="SIN ISAPRE"/>
    <s v="MDIAZP@AFPHABITAT.CL"/>
    <s v="11394861|76098454|921673247|65383932"/>
    <s v="GASTO FISICO"/>
    <b v="0"/>
    <s v="DEPOSITADO EN CUENTA"/>
  </r>
  <r>
    <s v="12 DE SEPTIEMBRE DE 2025"/>
    <x v="219"/>
    <s v="BERNARDINO DAGOBERTO HERNANDEZ PEREZ"/>
    <n v="8656744"/>
    <s v="BERNARDINO DAGOBERTO HERNANDEZ PEREZ"/>
    <d v="2025-03-01T00:00:00"/>
    <s v="INICIAL"/>
    <n v="921687531"/>
    <n v="921687531"/>
    <n v="166500"/>
    <n v="83250"/>
    <n v="83250"/>
    <n v="0"/>
    <n v="83250"/>
    <n v="921687531"/>
    <n v="285123"/>
    <s v="CORP DE BIENESTAR DEL PERSONAL DE A F P"/>
    <d v="2025-03-04T00:00:00"/>
    <d v="2025-03-04T00:00:00"/>
    <d v="2025-03-04T00:00:00"/>
    <d v="2025-03-04T00:00:00"/>
    <s v="AMBULATORIOS"/>
    <n v="22676637"/>
    <n v="3101656"/>
    <n v="68994132"/>
    <s v="TRASSA"/>
    <n v="9032025"/>
    <n v="77868"/>
    <s v="SAL"/>
    <s v="AM05"/>
    <s v="EXAMENES RADIOLOGICOS"/>
    <s v="EXAMENES RADIOLOGICOS"/>
    <s v="EXAMENES RADIOLOGICOS"/>
    <s v="IMED SALUD"/>
    <n v="0"/>
    <n v="78471820"/>
    <n v="4"/>
    <s v="FONASA"/>
    <s v="BHERNAPE@AFPHABITAT.CL"/>
    <s v="8656744|78471820|921687531|921687531"/>
    <s v="IMED SALUD"/>
    <b v="1"/>
    <s v="APORTE VIA IMED"/>
  </r>
  <r>
    <s v="12 DE SEPTIEMBRE DE 2025"/>
    <x v="219"/>
    <s v="BERNARDINO DAGOBERTO HERNANDEZ PEREZ"/>
    <n v="8656744"/>
    <s v="BERNARDINO DAGOBERTO HERNANDEZ PEREZ"/>
    <d v="2025-03-01T00:00:00"/>
    <s v="DUPLICADO"/>
    <n v="921687531"/>
    <n v="65383689"/>
    <n v="83223"/>
    <n v="0"/>
    <n v="83223"/>
    <n v="0"/>
    <n v="83223"/>
    <n v="921687531"/>
    <n v="285123"/>
    <s v="CORP DE BIENESTAR DEL PERSONAL DE A F P"/>
    <d v="2025-03-04T00:00:00"/>
    <d v="2025-03-26T00:00:00"/>
    <d v="2025-03-04T00:00:00"/>
    <d v="2025-03-04T00:00:00"/>
    <s v="AMBULATORIOS"/>
    <n v="22772382"/>
    <n v="3311105"/>
    <n v="69250580"/>
    <s v="TRASSA"/>
    <n v="61847022"/>
    <n v="78070"/>
    <s v="SAL"/>
    <s v="AM05"/>
    <s v="EXAMENES RADIOLOGICOS"/>
    <s v="EXAMENES RADIOLOGICOS"/>
    <s v="EXAMENES RADIOLOGICOS"/>
    <n v="0"/>
    <n v="0"/>
    <n v="78471820"/>
    <n v="4"/>
    <s v="SIN ISAPRE"/>
    <s v="BHERNAPE@AFPHABITAT.CL"/>
    <s v="8656744|78471820|921687531|65383689"/>
    <s v="GASTO FISICO"/>
    <b v="0"/>
    <s v="DEPOSITADO EN CUENTA"/>
  </r>
  <r>
    <s v="12 DE SEPTIEMBRE DE 2025"/>
    <x v="185"/>
    <s v="JESSICA ZAMBRA MEDINA"/>
    <n v="10586495"/>
    <s v="JESSICA ZAMBRA MEDINA"/>
    <d v="2025-03-01T00:00:00"/>
    <s v="INICIAL"/>
    <n v="921688570"/>
    <n v="921688570"/>
    <n v="28990"/>
    <n v="16308"/>
    <n v="12682"/>
    <n v="0"/>
    <n v="12682"/>
    <n v="921688570"/>
    <n v="285123"/>
    <s v="CORP DE BIENESTAR DEL PERSONAL DE A F P"/>
    <d v="2025-03-04T00:00:00"/>
    <d v="2025-03-04T00:00:00"/>
    <d v="2025-03-04T00:00:00"/>
    <d v="2025-03-04T00:00:00"/>
    <s v="AMBULATORIOS"/>
    <n v="22676646"/>
    <n v="3101656"/>
    <n v="68997034"/>
    <s v="TRASSA"/>
    <n v="9032025"/>
    <n v="77868"/>
    <s v="SAL"/>
    <s v="AM05"/>
    <s v="EXAMENES RADIOLOGICOS"/>
    <s v="EXAMENES RADIOLOGICOS"/>
    <s v="EXAMENES RADIOLOGICOS"/>
    <s v="IMED SALUD"/>
    <n v="0"/>
    <n v="76098454"/>
    <s v="K"/>
    <s v="FONASA"/>
    <s v="JZAMBRA@AFPHABITAT.CL"/>
    <s v="10586495|76098454|921688570|921688570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21688570"/>
    <n v="65383886"/>
    <n v="9677"/>
    <n v="0"/>
    <n v="9677"/>
    <n v="0"/>
    <n v="9677"/>
    <n v="921688570"/>
    <n v="285123"/>
    <s v="CORP DE BIENESTAR DEL PERSONAL DE A F P"/>
    <d v="2025-03-04T00:00:00"/>
    <d v="2025-03-26T00:00:00"/>
    <d v="2025-03-04T00:00:00"/>
    <d v="2025-03-04T00:00:00"/>
    <s v="AMBULATORIOS"/>
    <n v="22772389"/>
    <n v="3311105"/>
    <n v="69250775"/>
    <s v="TRASSA"/>
    <n v="50964119"/>
    <n v="78070"/>
    <s v="SAL"/>
    <s v="AM05"/>
    <s v="EXAMENES RADIOLOGICOS"/>
    <s v="EXAMENES RADIOLOGICOS"/>
    <s v="EXAMENES RADIOLOGICOS"/>
    <n v="0"/>
    <n v="0"/>
    <n v="76098454"/>
    <s v="K"/>
    <s v="SIN ISAPRE"/>
    <s v="JZAMBRA@AFPHABITAT.CL"/>
    <s v="10586495|76098454|921688570|65383886"/>
    <s v="GASTO FISICO"/>
    <b v="0"/>
    <s v="DEPOSITADO EN CUENTA"/>
  </r>
  <r>
    <s v="12 DE SEPTIEMBRE DE 2025"/>
    <x v="185"/>
    <s v="JESSICA ZAMBRA MEDINA"/>
    <n v="10586495"/>
    <s v="JESSICA ZAMBRA MEDINA"/>
    <d v="2025-03-01T00:00:00"/>
    <s v="INICIAL"/>
    <n v="921688758"/>
    <n v="921688758"/>
    <n v="28990"/>
    <n v="16308"/>
    <n v="12682"/>
    <n v="0"/>
    <n v="12682"/>
    <n v="921688758"/>
    <n v="285123"/>
    <s v="CORP DE BIENESTAR DEL PERSONAL DE A F P"/>
    <d v="2025-03-04T00:00:00"/>
    <d v="2025-03-04T00:00:00"/>
    <d v="2025-03-04T00:00:00"/>
    <d v="2025-03-04T00:00:00"/>
    <s v="AMBULATORIOS"/>
    <n v="22676646"/>
    <n v="3101656"/>
    <n v="68996626"/>
    <s v="TRASSA"/>
    <n v="9032025"/>
    <n v="77868"/>
    <s v="SAL"/>
    <s v="AM05"/>
    <s v="EXAMENES RADIOLOGICOS"/>
    <s v="EXAMENES RADIOLOGICOS"/>
    <s v="EXAMENES RADIOLOGICOS"/>
    <s v="IMED SALUD"/>
    <n v="0"/>
    <n v="76098454"/>
    <s v="K"/>
    <s v="FONASA"/>
    <s v="JZAMBRA@AFPHABITAT.CL"/>
    <s v="10586495|76098454|921688758|921688758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21688758"/>
    <n v="65383887"/>
    <n v="9677"/>
    <n v="0"/>
    <n v="9677"/>
    <n v="0"/>
    <n v="9677"/>
    <n v="921688758"/>
    <n v="285123"/>
    <s v="CORP DE BIENESTAR DEL PERSONAL DE A F P"/>
    <d v="2025-03-04T00:00:00"/>
    <d v="2025-03-26T00:00:00"/>
    <d v="2025-03-04T00:00:00"/>
    <d v="2025-03-04T00:00:00"/>
    <s v="AMBULATORIOS"/>
    <n v="22772389"/>
    <n v="3311105"/>
    <n v="69250776"/>
    <s v="TRASSA"/>
    <n v="50964119"/>
    <n v="78070"/>
    <s v="SAL"/>
    <s v="AM05"/>
    <s v="EXAMENES RADIOLOGICOS"/>
    <s v="EXAMENES RADIOLOGICOS"/>
    <s v="EXAMENES RADIOLOGICOS"/>
    <n v="0"/>
    <n v="0"/>
    <n v="76098454"/>
    <s v="K"/>
    <s v="SIN ISAPRE"/>
    <s v="JZAMBRA@AFPHABITAT.CL"/>
    <s v="10586495|76098454|921688758|65383887"/>
    <s v="GASTO FISICO"/>
    <b v="0"/>
    <s v="DEPOSITADO EN CUENTA"/>
  </r>
  <r>
    <s v="12 DE SEPTIEMBRE DE 2025"/>
    <x v="213"/>
    <s v="DANITZA ANDREA CARVACHO DONOSO"/>
    <n v="18706804"/>
    <s v="DANITZA ANDREA CARVACHO DONOSO"/>
    <d v="2025-03-01T00:00:00"/>
    <s v="INICIAL"/>
    <n v="921726195"/>
    <n v="921726195"/>
    <n v="21360"/>
    <n v="6680"/>
    <n v="14680"/>
    <n v="0"/>
    <n v="14680"/>
    <n v="921726195"/>
    <n v="285123"/>
    <s v="CORP DE BIENESTAR DEL PERSONAL DE A F P"/>
    <d v="2025-03-05T00:00:00"/>
    <d v="2025-03-05T00:00:00"/>
    <d v="2025-03-05T00:00:00"/>
    <d v="2025-03-05T00:00:00"/>
    <s v="AMBULATORIOS"/>
    <n v="22676740"/>
    <n v="3101656"/>
    <n v="68997888"/>
    <s v="TRASSA"/>
    <n v="9032025"/>
    <n v="77868"/>
    <s v="SAL"/>
    <s v="AM04"/>
    <s v="EXAMENES DE LABORATORIO"/>
    <s v="EXAMENES DE LABORATORIO"/>
    <s v="EXAMENES DE LABORATORIO"/>
    <s v="IMED SALUD"/>
    <n v="0"/>
    <n v="79749170"/>
    <n v="5"/>
    <s v="FONASA"/>
    <s v="DCARVACH@AFPHABITAT.CL"/>
    <s v="18706804|79749170|921726195|921726195"/>
    <s v="IMED SALUD"/>
    <b v="1"/>
    <s v="APORTE VIA IMED"/>
  </r>
  <r>
    <s v="12 DE SEPTIEMBRE DE 2025"/>
    <x v="213"/>
    <s v="DANITZA ANDREA CARVACHO DONOSO"/>
    <n v="18706804"/>
    <s v="DANITZA ANDREA CARVACHO DONOSO"/>
    <d v="2025-03-01T00:00:00"/>
    <s v="DUPLICADO"/>
    <n v="921726195"/>
    <n v="65384470"/>
    <n v="12778"/>
    <n v="0"/>
    <n v="12778"/>
    <n v="0"/>
    <n v="12778"/>
    <n v="921726195"/>
    <n v="285123"/>
    <s v="CORP DE BIENESTAR DEL PERSONAL DE A F P"/>
    <d v="2025-03-05T00:00:00"/>
    <d v="2025-03-26T00:00:00"/>
    <d v="2025-03-05T00:00:00"/>
    <d v="2025-03-05T00:00:00"/>
    <s v="AMBULATORIOS"/>
    <n v="22772417"/>
    <n v="3311105"/>
    <n v="69251336"/>
    <s v="TRASSA"/>
    <n v="101023150"/>
    <n v="78070"/>
    <s v="SAL"/>
    <s v="AM04"/>
    <s v="EXAMENES DE LABORATORIO"/>
    <s v="EXAMENES DE LABORATORIO"/>
    <s v="EXAMENES DE LABORATORIO"/>
    <n v="0"/>
    <n v="0"/>
    <n v="79749170"/>
    <n v="5"/>
    <s v="SIN ISAPRE"/>
    <s v="DCARVACH@AFPHABITAT.CL"/>
    <s v="18706804|79749170|921726195|65384470"/>
    <s v="GASTO FISICO"/>
    <b v="0"/>
    <s v="DEPOSITADO EN CUENTA"/>
  </r>
  <r>
    <s v="12 DE SEPTIEMBRE DE 2025"/>
    <x v="32"/>
    <s v="XAIRYS ADRIANA FALCON MARQUEZ"/>
    <n v="26246811"/>
    <s v="XAIRYS ADRIANA FALCON MARQUEZ"/>
    <d v="2025-03-01T00:00:00"/>
    <s v="INICIAL"/>
    <n v="921756523"/>
    <n v="921756523"/>
    <n v="64450"/>
    <n v="36253"/>
    <n v="28197"/>
    <n v="0"/>
    <n v="28197"/>
    <n v="921756523"/>
    <n v="285123"/>
    <s v="CORP DE BIENESTAR DEL PERSONAL DE A F P"/>
    <d v="2025-03-05T00:00:00"/>
    <d v="2025-03-05T00:00:00"/>
    <d v="2025-03-05T00:00:00"/>
    <d v="2025-03-05T00:00:00"/>
    <s v="AMBULATORIOS"/>
    <n v="22676749"/>
    <n v="3101656"/>
    <n v="68997059"/>
    <s v="TRASSA"/>
    <n v="9032025"/>
    <n v="77868"/>
    <s v="SAL"/>
    <s v="AM05"/>
    <s v="EXAMENES RADIOLOGICOS"/>
    <s v="EXAMENES RADIOLOGICOS"/>
    <s v="EXAMENES RADIOLOGICOS"/>
    <s v="IMED SALUD"/>
    <n v="0"/>
    <n v="79980070"/>
    <n v="5"/>
    <s v="FONASA"/>
    <s v="XAIRYS.FALCON@AFPHABITAT.CL"/>
    <s v="26246811|79980070|921756523|921756523"/>
    <s v="IMED SALUD"/>
    <b v="1"/>
    <s v="APORTE VIA IMED"/>
  </r>
  <r>
    <s v="12 DE SEPTIEMBRE DE 2025"/>
    <x v="32"/>
    <s v="XAIRYS ADRIANA FALCON MARQUEZ"/>
    <n v="26246811"/>
    <s v="XAIRYS ADRIANA FALCON MARQUEZ"/>
    <d v="2025-03-01T00:00:00"/>
    <s v="DUPLICADO"/>
    <n v="921756523"/>
    <n v="65384542"/>
    <n v="22071"/>
    <n v="0"/>
    <n v="22071"/>
    <n v="0"/>
    <n v="22071"/>
    <n v="921756523"/>
    <n v="285123"/>
    <s v="CORP DE BIENESTAR DEL PERSONAL DE A F P"/>
    <d v="2025-03-05T00:00:00"/>
    <d v="2025-03-26T00:00:00"/>
    <d v="2025-03-05T00:00:00"/>
    <d v="2025-03-05T00:00:00"/>
    <s v="AMBULATORIOS"/>
    <n v="22772418"/>
    <n v="3311105"/>
    <n v="69251405"/>
    <s v="TRASSA"/>
    <n v="83503556"/>
    <n v="78070"/>
    <s v="SAL"/>
    <s v="AM05"/>
    <s v="EXAMENES RADIOLOGICOS"/>
    <s v="EXAMENES RADIOLOGICOS"/>
    <s v="EXAMENES RADIOLOGICOS"/>
    <n v="0"/>
    <n v="0"/>
    <n v="79980070"/>
    <n v="5"/>
    <s v="SIN ISAPRE"/>
    <s v="XAIRYS.FALCON@AFPHABITAT.CL"/>
    <s v="26246811|79980070|921756523|65384542"/>
    <s v="GASTO FISICO"/>
    <b v="0"/>
    <s v="DEPOSITADO EN CUENTA"/>
  </r>
  <r>
    <s v="12 DE SEPTIEMBRE DE 2025"/>
    <x v="214"/>
    <s v="BARBARA AGUILA GARRIDO"/>
    <n v="22167842"/>
    <s v="MARTINA CESPEDES AGUILA"/>
    <d v="2025-03-01T00:00:00"/>
    <s v="INICIAL"/>
    <n v="921767687"/>
    <n v="921767687"/>
    <n v="39500"/>
    <n v="22246"/>
    <n v="17254"/>
    <n v="0"/>
    <n v="17254"/>
    <n v="921767687"/>
    <n v="285123"/>
    <s v="CORP DE BIENESTAR DEL PERSONAL DE A F P"/>
    <d v="2025-03-05T00:00:00"/>
    <d v="2025-03-05T00:00:00"/>
    <d v="2025-03-05T00:00:00"/>
    <d v="2025-03-05T00:00:00"/>
    <s v="AMBULATORIOS"/>
    <n v="22676725"/>
    <n v="3101656"/>
    <n v="68996650"/>
    <s v="TRASSA"/>
    <n v="9032025"/>
    <n v="77868"/>
    <s v="SAL"/>
    <s v="AM04"/>
    <s v="EXAMENES DE LABORATORIO"/>
    <s v="EXAMENES DE LABORATORIO"/>
    <s v="EXAMENES DE LABORATORIO"/>
    <s v="IMED SALUD"/>
    <n v="0"/>
    <n v="96986050"/>
    <n v="3"/>
    <s v="FONASA"/>
    <s v="BARBARA.AGUILA@AFPHABITAT.CL"/>
    <s v="14364605|96986050|921767687|921767687"/>
    <s v="IMED SALUD"/>
    <b v="1"/>
    <s v="APORTE VIA IMED"/>
  </r>
  <r>
    <s v="12 DE SEPTIEMBRE DE 2025"/>
    <x v="214"/>
    <s v="BARBARA AGUILA GARRIDO"/>
    <n v="22167842"/>
    <s v="MARTINA CESPEDES AGUILA"/>
    <d v="2025-03-01T00:00:00"/>
    <s v="DUPLICADO"/>
    <n v="921767687"/>
    <n v="65384233"/>
    <n v="13550"/>
    <n v="0"/>
    <n v="13550"/>
    <n v="0"/>
    <n v="13550"/>
    <n v="921767687"/>
    <n v="285123"/>
    <s v="CORP DE BIENESTAR DEL PERSONAL DE A F P"/>
    <d v="2025-03-05T00:00:00"/>
    <d v="2025-03-26T00:00:00"/>
    <d v="2025-03-05T00:00:00"/>
    <d v="2025-03-05T00:00:00"/>
    <s v="AMBULATORIOS"/>
    <n v="22772413"/>
    <n v="3311105"/>
    <n v="69251107"/>
    <s v="TRASSA"/>
    <n v="19999161879"/>
    <n v="78070"/>
    <s v="SAL"/>
    <s v="AM04"/>
    <s v="EXAMENES DE LABORATORIO"/>
    <s v="EXAMENES DE LABORATORIO"/>
    <s v="EXAMENES DE LABORATORIO"/>
    <n v="0"/>
    <n v="0"/>
    <n v="96986050"/>
    <n v="3"/>
    <s v="SIN ISAPRE"/>
    <s v="BARBARA.AGUILA@AFPHABITAT.CL"/>
    <s v="14364605|96986050|921767687|65384233"/>
    <s v="GASTO FISICO"/>
    <b v="0"/>
    <s v="DEPOSITADO EN CUENTA"/>
  </r>
  <r>
    <s v="12 DE SEPTIEMBRE DE 2025"/>
    <x v="214"/>
    <s v="BARBARA AGUILA GARRIDO"/>
    <n v="22167842"/>
    <s v="MARTINA CESPEDES AGUILA"/>
    <d v="2025-03-01T00:00:00"/>
    <s v="INICIAL"/>
    <n v="921767942"/>
    <n v="921767942"/>
    <n v="8480"/>
    <n v="4770"/>
    <n v="3710"/>
    <n v="0"/>
    <n v="3710"/>
    <n v="921767942"/>
    <n v="285123"/>
    <s v="CORP DE BIENESTAR DEL PERSONAL DE A F P"/>
    <d v="2025-03-05T00:00:00"/>
    <d v="2025-03-05T00:00:00"/>
    <d v="2025-03-05T00:00:00"/>
    <d v="2025-03-05T00:00:00"/>
    <s v="AMBULATORIOS"/>
    <n v="22676725"/>
    <n v="3101656"/>
    <n v="68996252"/>
    <s v="TRASSA"/>
    <n v="9032025"/>
    <n v="77868"/>
    <s v="SAL"/>
    <s v="AM04"/>
    <s v="EXAMENES DE LABORATORIO"/>
    <s v="EXAMENES DE LABORATORIO"/>
    <s v="EXAMENES DE LABORATORIO"/>
    <s v="IMED SALUD"/>
    <n v="0"/>
    <n v="96986050"/>
    <n v="3"/>
    <s v="FONASA"/>
    <s v="BARBARA.AGUILA@AFPHABITAT.CL"/>
    <s v="14364605|96986050|921767942|921767942"/>
    <s v="IMED SALUD"/>
    <b v="1"/>
    <s v="APORTE VIA IMED"/>
  </r>
  <r>
    <s v="12 DE SEPTIEMBRE DE 2025"/>
    <x v="214"/>
    <s v="BARBARA AGUILA GARRIDO"/>
    <n v="22167842"/>
    <s v="MARTINA CESPEDES AGUILA"/>
    <d v="2025-03-01T00:00:00"/>
    <s v="DUPLICADO"/>
    <n v="921767942"/>
    <n v="65384234"/>
    <n v="2710"/>
    <n v="0"/>
    <n v="2710"/>
    <n v="0"/>
    <n v="2710"/>
    <n v="921767942"/>
    <n v="285123"/>
    <s v="CORP DE BIENESTAR DEL PERSONAL DE A F P"/>
    <d v="2025-03-05T00:00:00"/>
    <d v="2025-03-26T00:00:00"/>
    <d v="2025-03-05T00:00:00"/>
    <d v="2025-03-05T00:00:00"/>
    <s v="AMBULATORIOS"/>
    <n v="22772413"/>
    <n v="3311105"/>
    <n v="69251108"/>
    <s v="TRASSA"/>
    <n v="19999161879"/>
    <n v="78070"/>
    <s v="SAL"/>
    <s v="AM04"/>
    <s v="EXAMENES DE LABORATORIO"/>
    <s v="EXAMENES DE LABORATORIO"/>
    <s v="EXAMENES DE LABORATORIO"/>
    <n v="0"/>
    <n v="0"/>
    <n v="96986050"/>
    <n v="3"/>
    <s v="SIN ISAPRE"/>
    <s v="BARBARA.AGUILA@AFPHABITAT.CL"/>
    <s v="14364605|96986050|921767942|65384234"/>
    <s v="GASTO FISICO"/>
    <b v="0"/>
    <s v="DEPOSITADO EN CUENTA"/>
  </r>
  <r>
    <s v="12 DE SEPTIEMBRE DE 2025"/>
    <x v="162"/>
    <s v="KARINA ANGEL VALDEBENITO CORTES"/>
    <n v="13071799"/>
    <s v="KARINA ANGEL VALDEBENITO CORTES"/>
    <d v="2025-03-01T00:00:00"/>
    <s v="INICIAL"/>
    <n v="921865832"/>
    <n v="921865832"/>
    <n v="9730"/>
    <n v="3050"/>
    <n v="6680"/>
    <n v="0"/>
    <n v="6680"/>
    <n v="921865832"/>
    <n v="285123"/>
    <s v="CORP DE BIENESTAR DEL PERSONAL DE A F P"/>
    <d v="2025-03-06T00:00:00"/>
    <d v="2025-03-06T00:00:00"/>
    <d v="2025-03-06T00:00:00"/>
    <d v="2025-03-06T00:00:00"/>
    <s v="AMBULATORIOS"/>
    <n v="22676775"/>
    <n v="3101656"/>
    <n v="68995364"/>
    <s v="TRASSA"/>
    <n v="9032025"/>
    <n v="77868"/>
    <s v="SAL"/>
    <s v="AM04"/>
    <s v="EXAMENES DE LABORATORIO"/>
    <s v="EXAMENES DE LABORATORIO"/>
    <s v="EXAMENES DE LABORATORIO"/>
    <s v="IMED SALUD"/>
    <n v="0"/>
    <n v="96942400"/>
    <n v="2"/>
    <s v="FONASA"/>
    <s v="KVALDEBE@AFPHABITAT.CL"/>
    <s v="13071799|96942400|921865832|921865832"/>
    <s v="IMED SALUD"/>
    <b v="1"/>
    <s v="APORTE VIA IMED"/>
  </r>
  <r>
    <s v="12 DE SEPTIEMBRE DE 2025"/>
    <x v="162"/>
    <s v="KARINA ANGEL VALDEBENITO CORTES"/>
    <n v="13071799"/>
    <s v="KARINA ANGEL VALDEBENITO CORTES"/>
    <d v="2025-03-01T00:00:00"/>
    <s v="DUPLICADO"/>
    <n v="921865832"/>
    <n v="65384070"/>
    <n v="5810"/>
    <n v="0"/>
    <n v="5810"/>
    <n v="0"/>
    <n v="5810"/>
    <n v="921865832"/>
    <n v="285123"/>
    <s v="CORP DE BIENESTAR DEL PERSONAL DE A F P"/>
    <d v="2025-03-06T00:00:00"/>
    <d v="2025-03-26T00:00:00"/>
    <d v="2025-03-06T00:00:00"/>
    <d v="2025-03-06T00:00:00"/>
    <s v="AMBULATORIOS"/>
    <n v="22772431"/>
    <n v="3311105"/>
    <n v="69250958"/>
    <s v="TRASSA"/>
    <n v="55130002921"/>
    <n v="78070"/>
    <s v="SAL"/>
    <s v="AM04"/>
    <s v="EXAMENES DE LABORATORIO"/>
    <s v="EXAMENES DE LABORATORIO"/>
    <s v="EXAMENES DE LABORATORIO"/>
    <n v="0"/>
    <n v="0"/>
    <n v="96942400"/>
    <n v="2"/>
    <s v="SIN ISAPRE"/>
    <s v="KVALDEBE@AFPHABITAT.CL"/>
    <s v="13071799|96942400|921865832|65384070"/>
    <s v="GASTO FISICO"/>
    <b v="0"/>
    <s v="DEPOSITADO EN CUENTA"/>
  </r>
  <r>
    <s v="12 DE SEPTIEMBRE DE 2025"/>
    <x v="220"/>
    <s v="CAROLINA CASTILLO CASTILLO"/>
    <n v="23470283"/>
    <s v="JOSEFA MUNOZ CASTILLO"/>
    <d v="2025-03-01T00:00:00"/>
    <s v="INICIAL"/>
    <n v="921935629"/>
    <n v="921935629"/>
    <n v="14410"/>
    <n v="11443"/>
    <n v="2967"/>
    <n v="0"/>
    <n v="2967"/>
    <n v="921935629"/>
    <n v="285123"/>
    <s v="CORP DE BIENESTAR DEL PERSONAL DE A F P"/>
    <d v="2025-03-06T00:00:00"/>
    <d v="2025-03-06T00:00:00"/>
    <d v="2025-03-06T00:00:00"/>
    <d v="2025-03-06T00:00:00"/>
    <s v="AMBULATORIOS"/>
    <n v="22676789"/>
    <n v="3101656"/>
    <n v="68997748"/>
    <s v="TRASSA"/>
    <n v="9032025"/>
    <n v="77868"/>
    <s v="SAL"/>
    <s v="AM04"/>
    <s v="EXAMENES DE LABORATORIO"/>
    <s v="EXAMENES DE LABORATORIO"/>
    <s v="EXAMENES DE LABORATORIO"/>
    <s v="IMED SALUD"/>
    <n v="0"/>
    <n v="78918290"/>
    <n v="6"/>
    <s v="FONASA"/>
    <s v="CCASTILC@AFPHABITAT.CL"/>
    <s v="15733515|78918290|921935629|921935629"/>
    <s v="IMED SALUD"/>
    <b v="1"/>
    <s v="APORTE VIA IMED"/>
  </r>
  <r>
    <s v="12 DE SEPTIEMBRE DE 2025"/>
    <x v="220"/>
    <s v="CAROLINA CASTILLO CASTILLO"/>
    <n v="23470283"/>
    <s v="JOSEFA MUNOZ CASTILLO"/>
    <d v="2025-03-01T00:00:00"/>
    <s v="DUPLICADO"/>
    <n v="921935629"/>
    <n v="65384336"/>
    <n v="3098"/>
    <n v="0"/>
    <n v="3098"/>
    <n v="0"/>
    <n v="3098"/>
    <n v="921935629"/>
    <n v="285123"/>
    <s v="CORP DE BIENESTAR DEL PERSONAL DE A F P"/>
    <d v="2025-03-06T00:00:00"/>
    <d v="2025-03-26T00:00:00"/>
    <d v="2025-03-06T00:00:00"/>
    <d v="2025-03-06T00:00:00"/>
    <s v="AMBULATORIOS"/>
    <n v="22772439"/>
    <n v="3311105"/>
    <n v="69251219"/>
    <s v="TRASSA"/>
    <n v="39900009384"/>
    <n v="78070"/>
    <s v="SAL"/>
    <s v="AM04"/>
    <s v="EXAMENES DE LABORATORIO"/>
    <s v="EXAMENES DE LABORATORIO"/>
    <s v="EXAMENES DE LABORATORIO"/>
    <n v="0"/>
    <n v="0"/>
    <n v="78918290"/>
    <n v="6"/>
    <s v="SIN ISAPRE"/>
    <s v="CCASTILC@AFPHABITAT.CL"/>
    <s v="15733515|78918290|921935629|65384336"/>
    <s v="GASTO FISICO"/>
    <b v="0"/>
    <s v="DEPOSITADO EN CUENTA"/>
  </r>
  <r>
    <s v="12 DE SEPTIEMBRE DE 2025"/>
    <x v="162"/>
    <s v="KARINA ANGEL VALDEBENITO CORTES"/>
    <n v="13071799"/>
    <s v="KARINA ANGEL VALDEBENITO CORTES"/>
    <d v="2025-03-01T00:00:00"/>
    <s v="INICIAL"/>
    <n v="921942896"/>
    <n v="921942896"/>
    <n v="23230"/>
    <n v="7260"/>
    <n v="15970"/>
    <n v="0"/>
    <n v="15970"/>
    <n v="921942896"/>
    <n v="285123"/>
    <s v="CORP DE BIENESTAR DEL PERSONAL DE A F P"/>
    <d v="2025-03-06T00:00:00"/>
    <d v="2025-03-06T00:00:00"/>
    <d v="2025-03-06T00:00:00"/>
    <d v="2025-03-06T00:00:00"/>
    <s v="AMBULATORIOS"/>
    <n v="22676775"/>
    <n v="3101656"/>
    <n v="68994229"/>
    <s v="TRASSA"/>
    <n v="9032025"/>
    <n v="77868"/>
    <s v="SAL"/>
    <s v="AM05"/>
    <s v="EXAMENES RADIOLOGICOS"/>
    <s v="EXAMENES RADIOLOGICOS"/>
    <s v="EXAMENES RADIOLOGICOS"/>
    <s v="IMED SALUD"/>
    <n v="0"/>
    <n v="96942400"/>
    <n v="2"/>
    <s v="FONASA"/>
    <s v="KVALDEBE@AFPHABITAT.CL"/>
    <s v="13071799|96942400|921942896|921942896"/>
    <s v="IMED SALUD"/>
    <b v="1"/>
    <s v="APORTE VIA IMED"/>
  </r>
  <r>
    <s v="12 DE SEPTIEMBRE DE 2025"/>
    <x v="162"/>
    <s v="KARINA ANGEL VALDEBENITO CORTES"/>
    <n v="13071799"/>
    <s v="KARINA ANGEL VALDEBENITO CORTES"/>
    <d v="2025-03-01T00:00:00"/>
    <s v="DUPLICADO"/>
    <n v="921942896"/>
    <n v="65384071"/>
    <n v="13558"/>
    <n v="0"/>
    <n v="13558"/>
    <n v="0"/>
    <n v="13558"/>
    <n v="921942896"/>
    <n v="285123"/>
    <s v="CORP DE BIENESTAR DEL PERSONAL DE A F P"/>
    <d v="2025-03-06T00:00:00"/>
    <d v="2025-03-26T00:00:00"/>
    <d v="2025-03-06T00:00:00"/>
    <d v="2025-03-06T00:00:00"/>
    <s v="AMBULATORIOS"/>
    <n v="22772431"/>
    <n v="3311105"/>
    <n v="69250959"/>
    <s v="TRASSA"/>
    <n v="55130002921"/>
    <n v="78070"/>
    <s v="SAL"/>
    <s v="AM05"/>
    <s v="EXAMENES RADIOLOGICOS"/>
    <s v="EXAMENES RADIOLOGICOS"/>
    <s v="EXAMENES RADIOLOGICOS"/>
    <n v="0"/>
    <n v="0"/>
    <n v="96942400"/>
    <n v="2"/>
    <s v="SIN ISAPRE"/>
    <s v="KVALDEBE@AFPHABITAT.CL"/>
    <s v="13071799|96942400|921942896|65384071"/>
    <s v="GASTO FISICO"/>
    <b v="0"/>
    <s v="DEPOSITADO EN CUENTA"/>
  </r>
  <r>
    <s v="12 DE SEPTIEMBRE DE 2025"/>
    <x v="162"/>
    <s v="KARINA ANGEL VALDEBENITO CORTES"/>
    <n v="13071799"/>
    <s v="KARINA ANGEL VALDEBENITO CORTES"/>
    <d v="2025-03-01T00:00:00"/>
    <s v="INICIAL"/>
    <n v="921943448"/>
    <n v="921943448"/>
    <n v="10740"/>
    <n v="3360"/>
    <n v="7380"/>
    <n v="0"/>
    <n v="7380"/>
    <n v="921943448"/>
    <n v="285123"/>
    <s v="CORP DE BIENESTAR DEL PERSONAL DE A F P"/>
    <d v="2025-03-06T00:00:00"/>
    <d v="2025-03-06T00:00:00"/>
    <d v="2025-03-06T00:00:00"/>
    <d v="2025-03-06T00:00:00"/>
    <s v="AMBULATORIOS"/>
    <n v="22676775"/>
    <n v="3101656"/>
    <n v="68995348"/>
    <s v="TRASSA"/>
    <n v="9032025"/>
    <n v="77868"/>
    <s v="SAL"/>
    <s v="AM07"/>
    <s v="PROCEDIMIENTOS TERAPEUTICOS"/>
    <s v="PROCEDIMIENTOS TERAPEUTICOS"/>
    <s v="PROCEDIMIENTOS TERAPEUTICOS"/>
    <s v="IMED SALUD"/>
    <n v="0"/>
    <n v="96942400"/>
    <n v="2"/>
    <s v="FONASA"/>
    <s v="KVALDEBE@AFPHABITAT.CL"/>
    <s v="13071799|96942400|921943448|921943448"/>
    <s v="IMED SALUD"/>
    <b v="1"/>
    <s v="APORTE VIA IMED"/>
  </r>
  <r>
    <s v="12 DE SEPTIEMBRE DE 2025"/>
    <x v="162"/>
    <s v="KARINA ANGEL VALDEBENITO CORTES"/>
    <n v="13071799"/>
    <s v="KARINA ANGEL VALDEBENITO CORTES"/>
    <d v="2025-03-01T00:00:00"/>
    <s v="DUPLICADO"/>
    <n v="921943448"/>
    <n v="65384072"/>
    <n v="6198"/>
    <n v="0"/>
    <n v="6198"/>
    <n v="0"/>
    <n v="6198"/>
    <n v="921943448"/>
    <n v="285123"/>
    <s v="CORP DE BIENESTAR DEL PERSONAL DE A F P"/>
    <d v="2025-03-06T00:00:00"/>
    <d v="2025-03-26T00:00:00"/>
    <d v="2025-03-06T00:00:00"/>
    <d v="2025-03-06T00:00:00"/>
    <s v="AMBULATORIOS"/>
    <n v="22772431"/>
    <n v="3311105"/>
    <n v="69250960"/>
    <s v="TRASSA"/>
    <n v="55130002921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KVALDEBE@AFPHABITAT.CL"/>
    <s v="13071799|96942400|921943448|65384072"/>
    <s v="GASTO FISICO"/>
    <b v="0"/>
    <s v="DEPOSITADO EN CUENTA"/>
  </r>
  <r>
    <s v="12 DE SEPTIEMBRE DE 2025"/>
    <x v="15"/>
    <s v="JORGE VILLEGAS FLORES"/>
    <n v="22035883"/>
    <s v="BENJAMIN VILLEGAS GONZALEZ"/>
    <d v="2025-03-01T00:00:00"/>
    <s v="INICIAL"/>
    <n v="922040971"/>
    <n v="922040971"/>
    <n v="13280"/>
    <n v="4150"/>
    <n v="9130"/>
    <n v="0"/>
    <n v="9130"/>
    <n v="922040971"/>
    <n v="285123"/>
    <s v="CORP DE BIENESTAR DEL PERSONAL DE A F P"/>
    <d v="2025-03-07T00:00:00"/>
    <d v="2025-03-07T00:00:00"/>
    <d v="2025-03-07T00:00:00"/>
    <d v="2025-03-07T00:00:00"/>
    <s v="AMBULATORIOS"/>
    <n v="22676822"/>
    <n v="3101656"/>
    <n v="68996099"/>
    <s v="TRASSA"/>
    <n v="9032025"/>
    <n v="77868"/>
    <s v="SAL"/>
    <s v="AM07"/>
    <s v="PROCEDIMIENTOS TERAPEUTICOS"/>
    <s v="PROCEDIMIENTOS TERAPEUTICOS"/>
    <s v="PROCEDIMIENTOS TERAPEUTICOS"/>
    <s v="IMED SALUD"/>
    <n v="0"/>
    <n v="77404437"/>
    <s v="K"/>
    <s v="FONASA"/>
    <s v="JVILLEGA@AFPHABITAT.CL"/>
    <s v="12956502|77404437|922040971|922040971"/>
    <s v="IMED SALUD"/>
    <b v="1"/>
    <s v="APORTE VIA IMED"/>
  </r>
  <r>
    <s v="12 DE SEPTIEMBRE DE 2025"/>
    <x v="15"/>
    <s v="JORGE VILLEGAS FLORES"/>
    <n v="22035883"/>
    <s v="BENJAMIN VILLEGAS GONZALEZ"/>
    <d v="2025-03-01T00:00:00"/>
    <s v="DUPLICADO"/>
    <n v="922040971"/>
    <n v="65384061"/>
    <n v="8138"/>
    <n v="0"/>
    <n v="8138"/>
    <n v="0"/>
    <n v="8138"/>
    <n v="922040971"/>
    <n v="285123"/>
    <s v="CORP DE BIENESTAR DEL PERSONAL DE A F P"/>
    <d v="2025-03-07T00:00:00"/>
    <d v="2025-03-26T00:00:00"/>
    <d v="2025-03-07T00:00:00"/>
    <d v="2025-03-07T00:00:00"/>
    <s v="AMBULATORIOS"/>
    <n v="22772451"/>
    <n v="3311105"/>
    <n v="69250949"/>
    <s v="TRASSA"/>
    <n v="4041021424"/>
    <n v="78070"/>
    <s v="SAL"/>
    <s v="AM07"/>
    <s v="PROCEDIMIENTOS TERAPEUTICOS"/>
    <s v="PROCEDIMIENTOS TERAPEUTICOS"/>
    <s v="PROCEDIMIENTOS TERAPEUTICOS"/>
    <n v="0"/>
    <n v="0"/>
    <n v="77404437"/>
    <s v="K"/>
    <s v="SIN ISAPRE"/>
    <s v="JVILLEGA@AFPHABITAT.CL"/>
    <s v="12956502|77404437|922040971|65384061"/>
    <s v="GASTO FISICO"/>
    <b v="0"/>
    <s v="DEPOSITADO EN CUENTA"/>
  </r>
  <r>
    <s v="12 DE SEPTIEMBRE DE 2025"/>
    <x v="177"/>
    <s v="INGRID MUÑOZ HERNANDEZ"/>
    <n v="13245307"/>
    <s v="INGRID MUÑOZ HERNANDEZ"/>
    <d v="2025-03-01T00:00:00"/>
    <s v="INICIAL"/>
    <n v="922175487"/>
    <n v="922175487"/>
    <n v="28990"/>
    <n v="9060"/>
    <n v="19930"/>
    <n v="0"/>
    <n v="19930"/>
    <n v="922175487"/>
    <n v="285123"/>
    <s v="CORP DE BIENESTAR DEL PERSONAL DE A F P"/>
    <d v="2025-03-08T00:00:00"/>
    <d v="2025-03-08T00:00:00"/>
    <d v="2025-03-08T00:00:00"/>
    <d v="2025-03-08T00:00:00"/>
    <s v="AMBULATORIOS"/>
    <n v="22676866"/>
    <n v="3101656"/>
    <n v="68994481"/>
    <s v="TRASSA"/>
    <n v="9032025"/>
    <n v="77868"/>
    <s v="SAL"/>
    <s v="AM05"/>
    <s v="EXAMENES RADIOLOGICOS"/>
    <s v="EXAMENES RADIOLOGICOS"/>
    <s v="EXAMENES RADIOLOGICOS"/>
    <s v="IMED SALUD"/>
    <n v="0"/>
    <n v="96789430"/>
    <n v="3"/>
    <s v="FONASA"/>
    <s v="IMUNOZH@AFPHABITAT.CL"/>
    <s v="13245307|96789430|922175487|922175487"/>
    <s v="IMED SALUD"/>
    <b v="1"/>
    <s v="APORTE VIA IMED"/>
  </r>
  <r>
    <s v="12 DE SEPTIEMBRE DE 2025"/>
    <x v="177"/>
    <s v="INGRID MUÑOZ HERNANDEZ"/>
    <n v="13245307"/>
    <s v="INGRID MUÑOZ HERNANDEZ"/>
    <d v="2025-03-01T00:00:00"/>
    <s v="DUPLICADO"/>
    <n v="922175487"/>
    <n v="65384093"/>
    <n v="17058"/>
    <n v="0"/>
    <n v="17058"/>
    <n v="0"/>
    <n v="17058"/>
    <n v="922175487"/>
    <n v="285123"/>
    <s v="CORP DE BIENESTAR DEL PERSONAL DE A F P"/>
    <d v="2025-03-08T00:00:00"/>
    <d v="2025-03-26T00:00:00"/>
    <d v="2025-03-08T00:00:00"/>
    <d v="2025-03-08T00:00:00"/>
    <s v="AMBULATORIOS"/>
    <n v="22772462"/>
    <n v="3311105"/>
    <n v="69250980"/>
    <s v="TRASSA"/>
    <n v="66209008"/>
    <n v="78070"/>
    <s v="SAL"/>
    <s v="AM05"/>
    <s v="EXAMENES RADIOLOGICOS"/>
    <s v="EXAMENES RADIOLOGICOS"/>
    <s v="EXAMENES RADIOLOGICOS"/>
    <n v="0"/>
    <n v="0"/>
    <n v="96789430"/>
    <n v="3"/>
    <s v="SIN ISAPRE"/>
    <s v="IMUNOZH@AFPHABITAT.CL"/>
    <s v="13245307|96789430|922175487|65384093"/>
    <s v="GASTO FISICO"/>
    <b v="0"/>
    <s v="DEPOSITADO EN CUENTA"/>
  </r>
  <r>
    <s v="12 DE SEPTIEMBRE DE 2025"/>
    <x v="221"/>
    <s v="GONZALO MORA BARROS"/>
    <n v="7820720"/>
    <s v="GONZALO MORA BARROS"/>
    <d v="2025-03-01T00:00:00"/>
    <s v="INICIAL"/>
    <n v="929666151"/>
    <n v="929666151"/>
    <n v="10202"/>
    <n v="9182"/>
    <n v="1020"/>
    <n v="0"/>
    <n v="1020"/>
    <n v="929666151"/>
    <n v="285123"/>
    <s v="CORP DE BIENESTAR DEL PERSONAL DE A F P"/>
    <d v="2025-03-05T00:00:00"/>
    <d v="2025-03-05T00:00:00"/>
    <d v="2025-03-05T00:00:00"/>
    <d v="2025-03-05T00:00:00"/>
    <s v="AMBULATORIOS"/>
    <n v="22676692"/>
    <n v="3101656"/>
    <n v="68996496"/>
    <s v="TRASSA"/>
    <n v="9032025"/>
    <n v="77868"/>
    <s v="SAL"/>
    <s v="AM04"/>
    <s v="EXAMENES DE LABORATORIO"/>
    <s v="EXAMENES DE LABORATORIO"/>
    <s v="EXAMENES DE LABORATORIO"/>
    <s v="IMED SALUD"/>
    <n v="0"/>
    <n v="96986050"/>
    <n v="3"/>
    <s v="CRUZ BLANCA"/>
    <s v="GONZALO.MORA@AFPHABITAT.CL"/>
    <s v="7820720|96986050|929666151|929666151"/>
    <s v="IMED SALUD"/>
    <b v="1"/>
    <s v="APORTE VIA IMED"/>
  </r>
  <r>
    <s v="12 DE SEPTIEMBRE DE 2025"/>
    <x v="221"/>
    <s v="GONZALO MORA BARROS"/>
    <n v="7820720"/>
    <s v="GONZALO MORA BARROS"/>
    <d v="2025-03-01T00:00:00"/>
    <s v="DUPLICADO"/>
    <n v="929666151"/>
    <n v="65383632"/>
    <n v="1161"/>
    <n v="0"/>
    <n v="1161"/>
    <n v="0"/>
    <n v="1161"/>
    <n v="929666151"/>
    <n v="285123"/>
    <s v="CORP DE BIENESTAR DEL PERSONAL DE A F P"/>
    <d v="2025-03-05T00:00:00"/>
    <d v="2025-03-26T00:00:00"/>
    <d v="2025-03-05T00:00:00"/>
    <d v="2025-03-05T00:00:00"/>
    <s v="AMBULATORIOS"/>
    <n v="22772402"/>
    <n v="3311105"/>
    <n v="69250523"/>
    <s v="TRASSA"/>
    <n v="13463609"/>
    <n v="78070"/>
    <s v="SAL"/>
    <s v="AM04"/>
    <s v="EXAMENES DE LABORATORIO"/>
    <s v="EXAMENES DE LABORATORIO"/>
    <s v="EXAMENES DE LABORATORIO"/>
    <n v="0"/>
    <n v="0"/>
    <n v="96986050"/>
    <n v="3"/>
    <s v="SIN ISAPRE"/>
    <s v="GONZALO.MORA@AFPHABITAT.CL"/>
    <s v="7820720|96986050|929666151|65383632"/>
    <s v="GASTO FISICO"/>
    <b v="0"/>
    <s v="DEPOSITADO EN CUENTA"/>
  </r>
  <r>
    <s v="12 DE SEPTIEMBRE DE 2025"/>
    <x v="221"/>
    <s v="GONZALO MORA BARROS"/>
    <n v="7820720"/>
    <s v="GONZALO MORA BARROS"/>
    <d v="2025-03-01T00:00:00"/>
    <s v="INICIAL"/>
    <n v="929666152"/>
    <n v="929666152"/>
    <n v="27099"/>
    <n v="24389"/>
    <n v="2710"/>
    <n v="0"/>
    <n v="2710"/>
    <n v="929666152"/>
    <n v="285123"/>
    <s v="CORP DE BIENESTAR DEL PERSONAL DE A F P"/>
    <d v="2025-03-05T00:00:00"/>
    <d v="2025-03-05T00:00:00"/>
    <d v="2025-03-05T00:00:00"/>
    <d v="2025-03-05T00:00:00"/>
    <s v="AMBULATORIOS"/>
    <n v="22676692"/>
    <n v="3101656"/>
    <n v="68998007"/>
    <s v="TRASSA"/>
    <n v="9032025"/>
    <n v="77868"/>
    <s v="SAL"/>
    <s v="AM04"/>
    <s v="EXAMENES DE LABORATORIO"/>
    <s v="EXAMENES DE LABORATORIO"/>
    <s v="EXAMENES DE LABORATORIO"/>
    <s v="IMED SALUD"/>
    <n v="0"/>
    <n v="96986050"/>
    <n v="3"/>
    <s v="CRUZ BLANCA"/>
    <s v="GONZALO.MORA@AFPHABITAT.CL"/>
    <s v="7820720|96986050|929666152|929666152"/>
    <s v="IMED SALUD"/>
    <b v="1"/>
    <s v="APORTE VIA IMED"/>
  </r>
  <r>
    <s v="12 DE SEPTIEMBRE DE 2025"/>
    <x v="221"/>
    <s v="GONZALO MORA BARROS"/>
    <n v="7820720"/>
    <s v="GONZALO MORA BARROS"/>
    <d v="2025-03-01T00:00:00"/>
    <s v="DUPLICADO"/>
    <n v="929666152"/>
    <n v="65383633"/>
    <n v="2323"/>
    <n v="0"/>
    <n v="2323"/>
    <n v="0"/>
    <n v="2323"/>
    <n v="929666152"/>
    <n v="285123"/>
    <s v="CORP DE BIENESTAR DEL PERSONAL DE A F P"/>
    <d v="2025-03-05T00:00:00"/>
    <d v="2025-03-26T00:00:00"/>
    <d v="2025-03-05T00:00:00"/>
    <d v="2025-03-05T00:00:00"/>
    <s v="AMBULATORIOS"/>
    <n v="22772402"/>
    <n v="3311105"/>
    <n v="69250524"/>
    <s v="TRASSA"/>
    <n v="13463609"/>
    <n v="78070"/>
    <s v="SAL"/>
    <s v="AM04"/>
    <s v="EXAMENES DE LABORATORIO"/>
    <s v="EXAMENES DE LABORATORIO"/>
    <s v="EXAMENES DE LABORATORIO"/>
    <n v="0"/>
    <n v="0"/>
    <n v="96986050"/>
    <n v="3"/>
    <s v="SIN ISAPRE"/>
    <s v="GONZALO.MORA@AFPHABITAT.CL"/>
    <s v="7820720|96986050|929666152|65383633"/>
    <s v="GASTO FISICO"/>
    <b v="0"/>
    <s v="DEPOSITADO EN CUENTA"/>
  </r>
  <r>
    <s v="12 DE SEPTIEMBRE DE 2025"/>
    <x v="221"/>
    <s v="GONZALO MORA BARROS"/>
    <n v="7820720"/>
    <s v="GONZALO MORA BARROS"/>
    <d v="2025-03-01T00:00:00"/>
    <s v="INICIAL"/>
    <n v="929666153"/>
    <n v="929666153"/>
    <n v="16939"/>
    <n v="15245"/>
    <n v="1694"/>
    <n v="0"/>
    <n v="1694"/>
    <n v="929666153"/>
    <n v="285123"/>
    <s v="CORP DE BIENESTAR DEL PERSONAL DE A F P"/>
    <d v="2025-03-05T00:00:00"/>
    <d v="2025-03-05T00:00:00"/>
    <d v="2025-03-05T00:00:00"/>
    <d v="2025-03-05T00:00:00"/>
    <s v="AMBULATORIOS"/>
    <n v="22676692"/>
    <n v="3101656"/>
    <n v="68994193"/>
    <s v="TRASSA"/>
    <n v="9032025"/>
    <n v="77868"/>
    <s v="SAL"/>
    <s v="AM04"/>
    <s v="EXAMENES DE LABORATORIO"/>
    <s v="EXAMENES DE LABORATORIO"/>
    <s v="EXAMENES DE LABORATORIO"/>
    <s v="IMED SALUD"/>
    <n v="0"/>
    <n v="96986050"/>
    <n v="3"/>
    <s v="CRUZ BLANCA"/>
    <s v="GONZALO.MORA@AFPHABITAT.CL"/>
    <s v="7820720|96986050|929666153|929666153"/>
    <s v="IMED SALUD"/>
    <b v="1"/>
    <s v="APORTE VIA IMED"/>
  </r>
  <r>
    <s v="12 DE SEPTIEMBRE DE 2025"/>
    <x v="221"/>
    <s v="GONZALO MORA BARROS"/>
    <n v="7820720"/>
    <s v="GONZALO MORA BARROS"/>
    <d v="2025-03-01T00:00:00"/>
    <s v="DUPLICADO"/>
    <n v="929666153"/>
    <n v="65383634"/>
    <n v="1161"/>
    <n v="0"/>
    <n v="1161"/>
    <n v="0"/>
    <n v="1161"/>
    <n v="929666153"/>
    <n v="285123"/>
    <s v="CORP DE BIENESTAR DEL PERSONAL DE A F P"/>
    <d v="2025-03-05T00:00:00"/>
    <d v="2025-03-26T00:00:00"/>
    <d v="2025-03-05T00:00:00"/>
    <d v="2025-03-05T00:00:00"/>
    <s v="AMBULATORIOS"/>
    <n v="22772402"/>
    <n v="3311105"/>
    <n v="69250525"/>
    <s v="TRASSA"/>
    <n v="13463609"/>
    <n v="78070"/>
    <s v="SAL"/>
    <s v="AM04"/>
    <s v="EXAMENES DE LABORATORIO"/>
    <s v="EXAMENES DE LABORATORIO"/>
    <s v="EXAMENES DE LABORATORIO"/>
    <n v="0"/>
    <n v="0"/>
    <n v="96986050"/>
    <n v="3"/>
    <s v="SIN ISAPRE"/>
    <s v="GONZALO.MORA@AFPHABITAT.CL"/>
    <s v="7820720|96986050|929666153|65383634"/>
    <s v="GASTO FISICO"/>
    <b v="0"/>
    <s v="DEPOSITADO EN CUENTA"/>
  </r>
  <r>
    <s v="12 DE SEPTIEMBRE DE 2025"/>
    <x v="222"/>
    <s v="MARISOL HERNANDEZ PLACENCIO"/>
    <n v="10315539"/>
    <s v="MARISOL HERNANDEZ PLACENCIO"/>
    <d v="2025-03-01T00:00:00"/>
    <s v="INICIAL"/>
    <n v="929666759"/>
    <n v="929666759"/>
    <n v="11277"/>
    <n v="7894"/>
    <n v="3383"/>
    <n v="0"/>
    <n v="3383"/>
    <n v="929666759"/>
    <n v="285123"/>
    <s v="CORP DE BIENESTAR DEL PERSONAL DE A F P"/>
    <d v="2025-03-05T00:00:00"/>
    <d v="2025-03-05T00:00:00"/>
    <d v="2025-03-05T00:00:00"/>
    <d v="2025-03-05T00:00:00"/>
    <s v="AMBULATORIOS"/>
    <n v="22676703"/>
    <n v="3101656"/>
    <n v="68993581"/>
    <s v="TRASSA"/>
    <n v="9032025"/>
    <n v="77868"/>
    <s v="SAL"/>
    <s v="AM04"/>
    <s v="EXAMENES DE LABORATORIO"/>
    <s v="EXAMENES DE LABORATORIO"/>
    <s v="EXAMENES DE LABORATORIO"/>
    <s v="IMED SALUD"/>
    <n v="0"/>
    <n v="96986050"/>
    <n v="3"/>
    <s v="CRUZ BLANCA"/>
    <s v="MHERNAND@AFPHABITAT.CL"/>
    <s v="10315539|96986050|929666759|929666759"/>
    <s v="IMED SALUD"/>
    <b v="1"/>
    <s v="APORTE VIA IMED"/>
  </r>
  <r>
    <s v="12 DE SEPTIEMBRE DE 2025"/>
    <x v="222"/>
    <s v="MARISOL HERNANDEZ PLACENCIO"/>
    <n v="10315539"/>
    <s v="MARISOL HERNANDEZ PLACENCIO"/>
    <d v="2025-03-01T00:00:00"/>
    <s v="DUPLICADO"/>
    <n v="929666759"/>
    <n v="65383840"/>
    <n v="3484"/>
    <n v="0"/>
    <n v="3484"/>
    <n v="0"/>
    <n v="3484"/>
    <n v="929666759"/>
    <n v="285123"/>
    <s v="CORP DE BIENESTAR DEL PERSONAL DE A F P"/>
    <d v="2025-03-05T00:00:00"/>
    <d v="2025-03-26T00:00:00"/>
    <d v="2025-03-05T00:00:00"/>
    <d v="2025-03-05T00:00:00"/>
    <s v="AMBULATORIOS"/>
    <n v="22772406"/>
    <n v="3311105"/>
    <n v="69250729"/>
    <s v="TRASSA"/>
    <n v="1592519203"/>
    <n v="78070"/>
    <s v="SAL"/>
    <s v="AM04"/>
    <s v="EXAMENES DE LABORATORIO"/>
    <s v="EXAMENES DE LABORATORIO"/>
    <s v="EXAMENES DE LABORATORIO"/>
    <n v="0"/>
    <n v="0"/>
    <n v="96986050"/>
    <n v="3"/>
    <s v="SIN ISAPRE"/>
    <s v="MHERNAND@AFPHABITAT.CL"/>
    <s v="10315539|96986050|929666759|65383840"/>
    <s v="GASTO FISICO"/>
    <b v="0"/>
    <s v="DEPOSITADO EN CUENTA"/>
  </r>
  <r>
    <s v="12 DE SEPTIEMBRE DE 2025"/>
    <x v="222"/>
    <s v="MARISOL HERNANDEZ PLACENCIO"/>
    <n v="10315539"/>
    <s v="MARISOL HERNANDEZ PLACENCIO"/>
    <d v="2025-03-01T00:00:00"/>
    <s v="INICIAL"/>
    <n v="929666760"/>
    <n v="929666760"/>
    <n v="31106"/>
    <n v="21775"/>
    <n v="9331"/>
    <n v="0"/>
    <n v="9331"/>
    <n v="929666760"/>
    <n v="285123"/>
    <s v="CORP DE BIENESTAR DEL PERSONAL DE A F P"/>
    <d v="2025-03-05T00:00:00"/>
    <d v="2025-03-05T00:00:00"/>
    <d v="2025-03-05T00:00:00"/>
    <d v="2025-03-05T00:00:00"/>
    <s v="AMBULATORIOS"/>
    <n v="22676703"/>
    <n v="3101656"/>
    <n v="68995758"/>
    <s v="TRASSA"/>
    <n v="9032025"/>
    <n v="77868"/>
    <s v="SAL"/>
    <s v="AM04"/>
    <s v="EXAMENES DE LABORATORIO"/>
    <s v="EXAMENES DE LABORATORIO"/>
    <s v="EXAMENES DE LABORATORIO"/>
    <s v="IMED SALUD"/>
    <n v="0"/>
    <n v="96986050"/>
    <n v="3"/>
    <s v="CRUZ BLANCA"/>
    <s v="MHERNAND@AFPHABITAT.CL"/>
    <s v="10315539|96986050|929666760|929666760"/>
    <s v="IMED SALUD"/>
    <b v="1"/>
    <s v="APORTE VIA IMED"/>
  </r>
  <r>
    <s v="12 DE SEPTIEMBRE DE 2025"/>
    <x v="222"/>
    <s v="MARISOL HERNANDEZ PLACENCIO"/>
    <n v="10315539"/>
    <s v="MARISOL HERNANDEZ PLACENCIO"/>
    <d v="2025-03-01T00:00:00"/>
    <s v="DUPLICADO"/>
    <n v="929666760"/>
    <n v="65383841"/>
    <n v="9292"/>
    <n v="0"/>
    <n v="9292"/>
    <n v="0"/>
    <n v="9292"/>
    <n v="929666760"/>
    <n v="285123"/>
    <s v="CORP DE BIENESTAR DEL PERSONAL DE A F P"/>
    <d v="2025-03-05T00:00:00"/>
    <d v="2025-03-26T00:00:00"/>
    <d v="2025-03-05T00:00:00"/>
    <d v="2025-03-05T00:00:00"/>
    <s v="AMBULATORIOS"/>
    <n v="22772406"/>
    <n v="3311105"/>
    <n v="69250730"/>
    <s v="TRASSA"/>
    <n v="1592519203"/>
    <n v="78070"/>
    <s v="SAL"/>
    <s v="AM04"/>
    <s v="EXAMENES DE LABORATORIO"/>
    <s v="EXAMENES DE LABORATORIO"/>
    <s v="EXAMENES DE LABORATORIO"/>
    <n v="0"/>
    <n v="0"/>
    <n v="96986050"/>
    <n v="3"/>
    <s v="SIN ISAPRE"/>
    <s v="MHERNAND@AFPHABITAT.CL"/>
    <s v="10315539|96986050|929666760|65383841"/>
    <s v="GASTO FISICO"/>
    <b v="0"/>
    <s v="DEPOSITADO EN CUENTA"/>
  </r>
  <r>
    <s v="12 DE SEPTIEMBRE DE 2025"/>
    <x v="222"/>
    <s v="MARISOL HERNANDEZ PLACENCIO"/>
    <n v="10315539"/>
    <s v="MARISOL HERNANDEZ PLACENCIO"/>
    <d v="2025-03-01T00:00:00"/>
    <s v="INICIAL"/>
    <n v="929666761"/>
    <n v="929666761"/>
    <n v="29413"/>
    <n v="20591"/>
    <n v="8822"/>
    <n v="0"/>
    <n v="8822"/>
    <n v="929666761"/>
    <n v="285123"/>
    <s v="CORP DE BIENESTAR DEL PERSONAL DE A F P"/>
    <d v="2025-03-05T00:00:00"/>
    <d v="2025-03-05T00:00:00"/>
    <d v="2025-03-05T00:00:00"/>
    <d v="2025-03-05T00:00:00"/>
    <s v="AMBULATORIOS"/>
    <n v="22676703"/>
    <n v="3101656"/>
    <n v="68997948"/>
    <s v="TRASSA"/>
    <n v="9032025"/>
    <n v="77868"/>
    <s v="SAL"/>
    <s v="AM04"/>
    <s v="EXAMENES DE LABORATORIO"/>
    <s v="EXAMENES DE LABORATORIO"/>
    <s v="EXAMENES DE LABORATORIO"/>
    <s v="IMED SALUD"/>
    <n v="0"/>
    <n v="96986050"/>
    <n v="3"/>
    <s v="CRUZ BLANCA"/>
    <s v="MHERNAND@AFPHABITAT.CL"/>
    <s v="10315539|96986050|929666761|929666761"/>
    <s v="IMED SALUD"/>
    <b v="1"/>
    <s v="APORTE VIA IMED"/>
  </r>
  <r>
    <s v="12 DE SEPTIEMBRE DE 2025"/>
    <x v="222"/>
    <s v="MARISOL HERNANDEZ PLACENCIO"/>
    <n v="10315539"/>
    <s v="MARISOL HERNANDEZ PLACENCIO"/>
    <d v="2025-03-01T00:00:00"/>
    <s v="DUPLICADO"/>
    <n v="929666761"/>
    <n v="65383842"/>
    <n v="8904"/>
    <n v="0"/>
    <n v="8904"/>
    <n v="0"/>
    <n v="8904"/>
    <n v="929666761"/>
    <n v="285123"/>
    <s v="CORP DE BIENESTAR DEL PERSONAL DE A F P"/>
    <d v="2025-03-05T00:00:00"/>
    <d v="2025-03-26T00:00:00"/>
    <d v="2025-03-05T00:00:00"/>
    <d v="2025-03-05T00:00:00"/>
    <s v="AMBULATORIOS"/>
    <n v="22772406"/>
    <n v="3311105"/>
    <n v="69250731"/>
    <s v="TRASSA"/>
    <n v="1592519203"/>
    <n v="78070"/>
    <s v="SAL"/>
    <s v="AM04"/>
    <s v="EXAMENES DE LABORATORIO"/>
    <s v="EXAMENES DE LABORATORIO"/>
    <s v="EXAMENES DE LABORATORIO"/>
    <n v="0"/>
    <n v="0"/>
    <n v="96986050"/>
    <n v="3"/>
    <s v="SIN ISAPRE"/>
    <s v="MHERNAND@AFPHABITAT.CL"/>
    <s v="10315539|96986050|929666761|65383842"/>
    <s v="GASTO FISICO"/>
    <b v="0"/>
    <s v="DEPOSITADO EN CUENTA"/>
  </r>
  <r>
    <s v="12 DE SEPTIEMBRE DE 2025"/>
    <x v="223"/>
    <s v="ARACELIT PARRA GUTIERREZ"/>
    <n v="9942550"/>
    <s v="ARACELIT PARRA GUTIERREZ"/>
    <d v="2025-03-01T00:00:00"/>
    <s v="INICIAL"/>
    <n v="929666897"/>
    <n v="929666897"/>
    <n v="14120"/>
    <n v="11296"/>
    <n v="2824"/>
    <n v="0"/>
    <n v="2824"/>
    <n v="929666897"/>
    <n v="285123"/>
    <s v="CORP DE BIENESTAR DEL PERSONAL DE A F P"/>
    <d v="2025-03-05T00:00:00"/>
    <d v="2025-03-05T00:00:00"/>
    <d v="2025-03-05T00:00:00"/>
    <d v="2025-03-05T00:00:00"/>
    <s v="AMBULATORIOS"/>
    <n v="22676700"/>
    <n v="3101656"/>
    <n v="68992731"/>
    <s v="TRASSA"/>
    <n v="9032025"/>
    <n v="77868"/>
    <s v="SAL"/>
    <s v="AM04"/>
    <s v="EXAMENES DE LABORATORIO"/>
    <s v="EXAMENES DE LABORATORIO"/>
    <s v="EXAMENES DE LABORATORIO"/>
    <s v="IMED SALUD"/>
    <n v="0"/>
    <n v="76018992"/>
    <n v="8"/>
    <s v="CRUZ BLANCA"/>
    <s v="ARACELIT.PARRA@AFPHABITAT.CL"/>
    <s v="9942550|76018992|929666897|929666897"/>
    <s v="IMED SALUD"/>
    <b v="1"/>
    <s v="APORTE VIA IMED"/>
  </r>
  <r>
    <s v="12 DE SEPTIEMBRE DE 2025"/>
    <x v="223"/>
    <s v="ARACELIT PARRA GUTIERREZ"/>
    <n v="9942550"/>
    <s v="ARACELIT PARRA GUTIERREZ"/>
    <d v="2025-03-01T00:00:00"/>
    <s v="DUPLICADO"/>
    <n v="929666897"/>
    <n v="65383774"/>
    <n v="2710"/>
    <n v="0"/>
    <n v="2710"/>
    <n v="0"/>
    <n v="2710"/>
    <n v="929666897"/>
    <n v="285123"/>
    <s v="CORP DE BIENESTAR DEL PERSONAL DE A F P"/>
    <d v="2025-03-05T00:00:00"/>
    <d v="2025-03-26T00:00:00"/>
    <d v="2025-03-05T00:00:00"/>
    <d v="2025-03-05T00:00:00"/>
    <s v="AMBULATORIOS"/>
    <n v="22772405"/>
    <n v="3311105"/>
    <n v="69250663"/>
    <s v="TRASSA"/>
    <n v="918631630"/>
    <n v="78070"/>
    <s v="SAL"/>
    <s v="AM04"/>
    <s v="EXAMENES DE LABORATORIO"/>
    <s v="EXAMENES DE LABORATORIO"/>
    <s v="EXAMENES DE LABORATORIO"/>
    <n v="0"/>
    <n v="0"/>
    <n v="76018992"/>
    <n v="8"/>
    <s v="SIN ISAPRE"/>
    <s v="ARACELIT.PARRA@AFPHABITAT.CL"/>
    <s v="9942550|76018992|929666897|65383774"/>
    <s v="GASTO FISICO"/>
    <b v="0"/>
    <s v="DEPOSITADO EN CUENTA"/>
  </r>
  <r>
    <s v="12 DE SEPTIEMBRE DE 2025"/>
    <x v="223"/>
    <s v="ARACELIT PARRA GUTIERREZ"/>
    <n v="9942550"/>
    <s v="ARACELIT PARRA GUTIERREZ"/>
    <d v="2025-03-01T00:00:00"/>
    <s v="INICIAL"/>
    <n v="929666898"/>
    <n v="929666898"/>
    <n v="20060"/>
    <n v="16048"/>
    <n v="4012"/>
    <n v="0"/>
    <n v="4012"/>
    <n v="929666898"/>
    <n v="285123"/>
    <s v="CORP DE BIENESTAR DEL PERSONAL DE A F P"/>
    <d v="2025-03-05T00:00:00"/>
    <d v="2025-03-05T00:00:00"/>
    <d v="2025-03-05T00:00:00"/>
    <d v="2025-03-05T00:00:00"/>
    <s v="AMBULATORIOS"/>
    <n v="22676700"/>
    <n v="3101656"/>
    <n v="68994952"/>
    <s v="TRASSA"/>
    <n v="9032025"/>
    <n v="77868"/>
    <s v="SAL"/>
    <s v="AM04"/>
    <s v="EXAMENES DE LABORATORIO"/>
    <s v="EXAMENES DE LABORATORIO"/>
    <s v="EXAMENES DE LABORATORIO"/>
    <s v="IMED SALUD"/>
    <n v="0"/>
    <n v="76018992"/>
    <n v="8"/>
    <s v="CRUZ BLANCA"/>
    <s v="ARACELIT.PARRA@AFPHABITAT.CL"/>
    <s v="9942550|76018992|929666898|929666898"/>
    <s v="IMED SALUD"/>
    <b v="1"/>
    <s v="APORTE VIA IMED"/>
  </r>
  <r>
    <s v="12 DE SEPTIEMBRE DE 2025"/>
    <x v="223"/>
    <s v="ARACELIT PARRA GUTIERREZ"/>
    <n v="9942550"/>
    <s v="ARACELIT PARRA GUTIERREZ"/>
    <d v="2025-03-01T00:00:00"/>
    <s v="DUPLICADO"/>
    <n v="929666898"/>
    <n v="65383775"/>
    <n v="3870"/>
    <n v="0"/>
    <n v="3870"/>
    <n v="0"/>
    <n v="3870"/>
    <n v="929666898"/>
    <n v="285123"/>
    <s v="CORP DE BIENESTAR DEL PERSONAL DE A F P"/>
    <d v="2025-03-05T00:00:00"/>
    <d v="2025-03-26T00:00:00"/>
    <d v="2025-03-05T00:00:00"/>
    <d v="2025-03-05T00:00:00"/>
    <s v="AMBULATORIOS"/>
    <n v="22772405"/>
    <n v="3311105"/>
    <n v="69250664"/>
    <s v="TRASSA"/>
    <n v="918631630"/>
    <n v="78070"/>
    <s v="SAL"/>
    <s v="AM04"/>
    <s v="EXAMENES DE LABORATORIO"/>
    <s v="EXAMENES DE LABORATORIO"/>
    <s v="EXAMENES DE LABORATORIO"/>
    <n v="0"/>
    <n v="0"/>
    <n v="76018992"/>
    <n v="8"/>
    <s v="SIN ISAPRE"/>
    <s v="ARACELIT.PARRA@AFPHABITAT.CL"/>
    <s v="9942550|76018992|929666898|65383775"/>
    <s v="GASTO FISICO"/>
    <b v="0"/>
    <s v="DEPOSITADO EN CUENTA"/>
  </r>
  <r>
    <s v="12 DE SEPTIEMBRE DE 2025"/>
    <x v="222"/>
    <s v="MARISOL HERNANDEZ PLACENCIO"/>
    <n v="10315539"/>
    <s v="MARISOL HERNANDEZ PLACENCIO"/>
    <d v="2025-03-01T00:00:00"/>
    <s v="INICIAL"/>
    <n v="929678352"/>
    <n v="929678352"/>
    <n v="10740"/>
    <n v="7518"/>
    <n v="3222"/>
    <n v="0"/>
    <n v="3222"/>
    <n v="929678352"/>
    <n v="285123"/>
    <s v="CORP DE BIENESTAR DEL PERSONAL DE A F P"/>
    <d v="2025-03-04T00:00:00"/>
    <d v="2025-03-04T00:00:00"/>
    <d v="2025-03-04T00:00:00"/>
    <d v="2025-03-04T00:00:00"/>
    <s v="AMBULATORIOS"/>
    <n v="22676644"/>
    <n v="3101656"/>
    <n v="68992774"/>
    <s v="TRASSA"/>
    <n v="9032025"/>
    <n v="77868"/>
    <s v="SAL"/>
    <s v="AM07"/>
    <s v="PROCEDIMIENTOS TERAPEUTICOS"/>
    <s v="PROCEDIMIENTOS TERAPEUTICOS"/>
    <s v="PROCEDIMIENTOS TERAPEUTICOS"/>
    <s v="IMED SALUD"/>
    <n v="0"/>
    <n v="96942400"/>
    <n v="2"/>
    <s v="CRUZ BLANCA"/>
    <s v="MHERNAND@AFPHABITAT.CL"/>
    <s v="10315539|96942400|929678352|929678352"/>
    <s v="IMED SALUD"/>
    <b v="1"/>
    <s v="APORTE VIA IMED"/>
  </r>
  <r>
    <s v="12 DE SEPTIEMBRE DE 2025"/>
    <x v="222"/>
    <s v="MARISOL HERNANDEZ PLACENCIO"/>
    <n v="10315539"/>
    <s v="MARISOL HERNANDEZ PLACENCIO"/>
    <d v="2025-03-01T00:00:00"/>
    <s v="DUPLICADO"/>
    <n v="929678352"/>
    <n v="65383843"/>
    <n v="3096"/>
    <n v="0"/>
    <n v="3096"/>
    <n v="0"/>
    <n v="3096"/>
    <n v="929678352"/>
    <n v="285123"/>
    <s v="CORP DE BIENESTAR DEL PERSONAL DE A F P"/>
    <d v="2025-03-04T00:00:00"/>
    <d v="2025-03-26T00:00:00"/>
    <d v="2025-03-04T00:00:00"/>
    <d v="2025-03-04T00:00:00"/>
    <s v="AMBULATORIOS"/>
    <n v="22772388"/>
    <n v="3311105"/>
    <n v="69250732"/>
    <s v="TRASSA"/>
    <n v="1592519203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MHERNAND@AFPHABITAT.CL"/>
    <s v="10315539|96942400|929678352|65383843"/>
    <s v="GASTO FISICO"/>
    <b v="0"/>
    <s v="DEPOSITADO EN CUENTA"/>
  </r>
  <r>
    <s v="12 DE SEPTIEMBRE DE 2025"/>
    <x v="224"/>
    <s v="MARCELO ALEJANDRO FLORES LISBOA"/>
    <n v="14266557"/>
    <s v="MARCELO ALEJANDRO FLORES LISBOA"/>
    <d v="2025-02-01T00:00:00"/>
    <s v="INICIAL"/>
    <n v="929708684"/>
    <n v="929708684"/>
    <n v="14100"/>
    <n v="9870"/>
    <n v="4230"/>
    <n v="0"/>
    <n v="4230"/>
    <n v="929708684"/>
    <n v="285123"/>
    <s v="CORP DE BIENESTAR DEL PERSONAL DE A F P"/>
    <d v="2025-02-28T00:00:00"/>
    <d v="2025-02-28T00:00:00"/>
    <d v="2025-02-28T00:00:00"/>
    <d v="2025-02-28T00:00:00"/>
    <s v="AMBULATORIOS"/>
    <n v="22646508"/>
    <n v="3041018"/>
    <n v="68953597"/>
    <s v="TRASSA"/>
    <n v="2032025"/>
    <n v="77760"/>
    <s v="SAL"/>
    <s v="AM04"/>
    <s v="EXAMENES DE LABORATORIO"/>
    <s v="EXAMENES DE LABORATORIO"/>
    <s v="EXAMENES DE LABORATORIO"/>
    <s v="IMED SALUD"/>
    <n v="0"/>
    <n v="78918290"/>
    <n v="6"/>
    <s v="CRUZ BLANCA"/>
    <s v="MFLORESL@AFPHABITAT.CL"/>
    <s v="14266557|78918290|929708684|929708684"/>
    <s v="IMED SALUD"/>
    <b v="1"/>
    <s v="APORTE VIA IMED"/>
  </r>
  <r>
    <s v="12 DE SEPTIEMBRE DE 2025"/>
    <x v="224"/>
    <s v="MARCELO ALEJANDRO FLORES LISBOA"/>
    <n v="14266557"/>
    <s v="MARCELO ALEJANDRO FLORES LISBOA"/>
    <d v="2025-03-01T00:00:00"/>
    <s v="DUPLICADO"/>
    <n v="929708684"/>
    <n v="65384221"/>
    <n v="4251"/>
    <n v="0"/>
    <n v="4251"/>
    <n v="0"/>
    <n v="4251"/>
    <n v="929708684"/>
    <n v="285123"/>
    <s v="CORP DE BIENESTAR DEL PERSONAL DE A F P"/>
    <d v="2025-03-01T00:00:00"/>
    <d v="2025-03-26T00:00:00"/>
    <d v="2025-02-28T00:00:00"/>
    <d v="2025-02-28T00:00:00"/>
    <s v="AMBULATORIOS"/>
    <n v="22770748"/>
    <n v="3311105"/>
    <n v="69251096"/>
    <s v="TRASSA"/>
    <n v="14266557"/>
    <n v="78070"/>
    <s v="SAL"/>
    <s v="AM04"/>
    <s v="EXAMENES DE LABORATORIO"/>
    <s v="EXAMENES DE LABORATORIO"/>
    <s v="EXAMENES DE LABORATORIO"/>
    <n v="0"/>
    <n v="0"/>
    <n v="78918290"/>
    <n v="6"/>
    <s v="SIN ISAPRE"/>
    <s v="MFLORESL@AFPHABITAT.CL"/>
    <s v="14266557|78918290|929708684|65384221"/>
    <s v="GASTO FISICO"/>
    <b v="0"/>
    <s v="DEPOSITADO EN CUENTA"/>
  </r>
  <r>
    <s v="12 DE SEPTIEMBRE DE 2025"/>
    <x v="224"/>
    <s v="MARCELO ALEJANDRO FLORES LISBOA"/>
    <n v="14266557"/>
    <s v="MARCELO ALEJANDRO FLORES LISBOA"/>
    <d v="2025-02-01T00:00:00"/>
    <s v="INICIAL"/>
    <n v="929708685"/>
    <n v="929708685"/>
    <n v="51980"/>
    <n v="36386"/>
    <n v="15594"/>
    <n v="0"/>
    <n v="15594"/>
    <n v="929708685"/>
    <n v="285123"/>
    <s v="CORP DE BIENESTAR DEL PERSONAL DE A F P"/>
    <d v="2025-02-28T00:00:00"/>
    <d v="2025-02-28T00:00:00"/>
    <d v="2025-02-28T00:00:00"/>
    <d v="2025-02-28T00:00:00"/>
    <s v="AMBULATORIOS"/>
    <n v="22646508"/>
    <n v="3041018"/>
    <n v="68953598"/>
    <s v="TRASSA"/>
    <n v="2032025"/>
    <n v="77760"/>
    <s v="SAL"/>
    <s v="AM04"/>
    <s v="EXAMENES DE LABORATORIO"/>
    <s v="EXAMENES DE LABORATORIO"/>
    <s v="EXAMENES DE LABORATORIO"/>
    <s v="IMED SALUD"/>
    <n v="0"/>
    <n v="78918290"/>
    <n v="6"/>
    <s v="CRUZ BLANCA"/>
    <s v="MFLORESL@AFPHABITAT.CL"/>
    <s v="14266557|78918290|929708685|929708685"/>
    <s v="IMED SALUD"/>
    <b v="1"/>
    <s v="APORTE VIA IMED"/>
  </r>
  <r>
    <s v="12 DE SEPTIEMBRE DE 2025"/>
    <x v="224"/>
    <s v="MARCELO ALEJANDRO FLORES LISBOA"/>
    <n v="14266557"/>
    <s v="MARCELO ALEJANDRO FLORES LISBOA"/>
    <d v="2025-03-01T00:00:00"/>
    <s v="DUPLICADO"/>
    <n v="929708685"/>
    <n v="65384222"/>
    <n v="15070"/>
    <n v="0"/>
    <n v="15070"/>
    <n v="0"/>
    <n v="15070"/>
    <n v="929708685"/>
    <n v="285123"/>
    <s v="CORP DE BIENESTAR DEL PERSONAL DE A F P"/>
    <d v="2025-03-01T00:00:00"/>
    <d v="2025-03-26T00:00:00"/>
    <d v="2025-02-28T00:00:00"/>
    <d v="2025-02-28T00:00:00"/>
    <s v="AMBULATORIOS"/>
    <n v="22770748"/>
    <n v="3311105"/>
    <n v="69251097"/>
    <s v="TRASSA"/>
    <n v="14266557"/>
    <n v="78070"/>
    <s v="SAL"/>
    <s v="AM04"/>
    <s v="EXAMENES DE LABORATORIO"/>
    <s v="EXAMENES DE LABORATORIO"/>
    <s v="EXAMENES DE LABORATORIO"/>
    <n v="0"/>
    <n v="0"/>
    <n v="78918290"/>
    <n v="6"/>
    <s v="SIN ISAPRE"/>
    <s v="MFLORESL@AFPHABITAT.CL"/>
    <s v="14266557|78918290|929708685|65384222"/>
    <s v="GASTO FISICO"/>
    <b v="0"/>
    <s v="DEPOSITADO EN CUENTA"/>
  </r>
  <r>
    <s v="12 DE SEPTIEMBRE DE 2025"/>
    <x v="224"/>
    <s v="MARCELO ALEJANDRO FLORES LISBOA"/>
    <n v="14266557"/>
    <s v="MARCELO ALEJANDRO FLORES LISBOA"/>
    <d v="2025-02-01T00:00:00"/>
    <s v="INICIAL"/>
    <n v="929708686"/>
    <n v="929708686"/>
    <n v="31330"/>
    <n v="21931"/>
    <n v="9399"/>
    <n v="0"/>
    <n v="9399"/>
    <n v="929708686"/>
    <n v="285123"/>
    <s v="CORP DE BIENESTAR DEL PERSONAL DE A F P"/>
    <d v="2025-02-28T00:00:00"/>
    <d v="2025-02-28T00:00:00"/>
    <d v="2025-02-28T00:00:00"/>
    <d v="2025-02-28T00:00:00"/>
    <s v="AMBULATORIOS"/>
    <n v="22646508"/>
    <n v="3041018"/>
    <n v="68953599"/>
    <s v="TRASSA"/>
    <n v="2032025"/>
    <n v="77760"/>
    <s v="SAL"/>
    <s v="AM04"/>
    <s v="EXAMENES DE LABORATORIO"/>
    <s v="EXAMENES DE LABORATORIO"/>
    <s v="EXAMENES DE LABORATORIO"/>
    <s v="IMED SALUD"/>
    <n v="0"/>
    <n v="78918290"/>
    <n v="6"/>
    <s v="CRUZ BLANCA"/>
    <s v="MFLORESL@AFPHABITAT.CL"/>
    <s v="14266557|78918290|929708686|929708686"/>
    <s v="IMED SALUD"/>
    <b v="1"/>
    <s v="APORTE VIA IMED"/>
  </r>
  <r>
    <s v="12 DE SEPTIEMBRE DE 2025"/>
    <x v="224"/>
    <s v="MARCELO ALEJANDRO FLORES LISBOA"/>
    <n v="14266557"/>
    <s v="MARCELO ALEJANDRO FLORES LISBOA"/>
    <d v="2025-03-01T00:00:00"/>
    <s v="DUPLICADO"/>
    <n v="929708686"/>
    <n v="65384223"/>
    <n v="9272"/>
    <n v="0"/>
    <n v="9272"/>
    <n v="0"/>
    <n v="9272"/>
    <n v="929708686"/>
    <n v="285123"/>
    <s v="CORP DE BIENESTAR DEL PERSONAL DE A F P"/>
    <d v="2025-03-01T00:00:00"/>
    <d v="2025-03-26T00:00:00"/>
    <d v="2025-02-28T00:00:00"/>
    <d v="2025-02-28T00:00:00"/>
    <s v="AMBULATORIOS"/>
    <n v="22770748"/>
    <n v="3311105"/>
    <n v="69251098"/>
    <s v="TRASSA"/>
    <n v="14266557"/>
    <n v="78070"/>
    <s v="SAL"/>
    <s v="AM04"/>
    <s v="EXAMENES DE LABORATORIO"/>
    <s v="EXAMENES DE LABORATORIO"/>
    <s v="EXAMENES DE LABORATORIO"/>
    <n v="0"/>
    <n v="0"/>
    <n v="78918290"/>
    <n v="6"/>
    <s v="SIN ISAPRE"/>
    <s v="MFLORESL@AFPHABITAT.CL"/>
    <s v="14266557|78918290|929708686|65384223"/>
    <s v="GASTO FISICO"/>
    <b v="0"/>
    <s v="DEPOSITADO EN CUENTA"/>
  </r>
  <r>
    <s v="12 DE SEPTIEMBRE DE 2025"/>
    <x v="225"/>
    <s v="FERNANDA CHAMORRO DIAZ"/>
    <n v="10553575"/>
    <s v="FERNANDA CHAMORRO DIAZ"/>
    <d v="2025-02-01T00:00:00"/>
    <s v="INICIAL"/>
    <n v="929714669"/>
    <n v="929714669"/>
    <n v="11814"/>
    <n v="8270"/>
    <n v="3544"/>
    <n v="0"/>
    <n v="3544"/>
    <n v="929714669"/>
    <n v="285123"/>
    <s v="CORP DE BIENESTAR DEL PERSONAL DE A F P"/>
    <d v="2025-02-27T00:00:00"/>
    <d v="2025-02-27T00:00:00"/>
    <d v="2025-02-27T00:00:00"/>
    <d v="2025-02-27T00:00:00"/>
    <s v="AMBULATORIOS"/>
    <n v="22646435"/>
    <n v="3041018"/>
    <n v="68953228"/>
    <s v="TRASSA"/>
    <n v="2032025"/>
    <n v="77760"/>
    <s v="SAL"/>
    <s v="AM04"/>
    <s v="EXAMENES DE LABORATORIO"/>
    <s v="EXAMENES DE LABORATORIO"/>
    <s v="EXAMENES DE LABORATORIO"/>
    <s v="IMED SALUD"/>
    <n v="0"/>
    <n v="78040520"/>
    <n v="1"/>
    <s v="CRUZ BLANCA"/>
    <s v="PCHAMOD@AFPHABITAT.CL"/>
    <s v="10553575|78040520|929714669|929714669"/>
    <s v="IMED SALUD"/>
    <b v="1"/>
    <s v="APORTE VIA IMED"/>
  </r>
  <r>
    <s v="12 DE SEPTIEMBRE DE 2025"/>
    <x v="225"/>
    <s v="FERNANDA CHAMORRO DIAZ"/>
    <n v="10553575"/>
    <s v="FERNANDA CHAMORRO DIAZ"/>
    <d v="2025-03-01T00:00:00"/>
    <s v="DUPLICADO"/>
    <n v="929714669"/>
    <n v="65383862"/>
    <n v="3476"/>
    <n v="0"/>
    <n v="3476"/>
    <n v="0"/>
    <n v="3476"/>
    <n v="929714669"/>
    <n v="285123"/>
    <s v="CORP DE BIENESTAR DEL PERSONAL DE A F P"/>
    <d v="2025-03-01T00:00:00"/>
    <d v="2025-03-26T00:00:00"/>
    <d v="2025-02-27T00:00:00"/>
    <d v="2025-02-27T00:00:00"/>
    <s v="AMBULATORIOS"/>
    <n v="22770733"/>
    <n v="3311105"/>
    <n v="69250751"/>
    <s v="TRASSA"/>
    <n v="6325157"/>
    <n v="78070"/>
    <s v="SAL"/>
    <s v="AM04"/>
    <s v="EXAMENES DE LABORATORIO"/>
    <s v="EXAMENES DE LABORATORIO"/>
    <s v="EXAMENES DE LABORATORIO"/>
    <n v="0"/>
    <n v="0"/>
    <n v="78040520"/>
    <n v="1"/>
    <s v="SIN ISAPRE"/>
    <s v="PCHAMOD@AFPHABITAT.CL"/>
    <s v="10553575|78040520|929714669|65383862"/>
    <s v="GASTO FISICO"/>
    <b v="0"/>
    <s v="DEPOSITADO EN CUENTA"/>
  </r>
  <r>
    <s v="12 DE SEPTIEMBRE DE 2025"/>
    <x v="225"/>
    <s v="FERNANDA CHAMORRO DIAZ"/>
    <n v="10553575"/>
    <s v="FERNANDA CHAMORRO DIAZ"/>
    <d v="2025-02-01T00:00:00"/>
    <s v="INICIAL"/>
    <n v="929715303"/>
    <n v="929715303"/>
    <n v="153360"/>
    <n v="107352"/>
    <n v="46008"/>
    <n v="0"/>
    <n v="46008"/>
    <n v="929715303"/>
    <n v="285123"/>
    <s v="CORP DE BIENESTAR DEL PERSONAL DE A F P"/>
    <d v="2025-02-27T00:00:00"/>
    <d v="2025-02-27T00:00:00"/>
    <d v="2025-02-27T00:00:00"/>
    <d v="2025-02-27T00:00:00"/>
    <s v="AMBULATORIOS"/>
    <n v="22646435"/>
    <n v="3041018"/>
    <n v="68953177"/>
    <s v="TRASSA"/>
    <n v="2032025"/>
    <n v="77760"/>
    <s v="SAL"/>
    <s v="AM05"/>
    <s v="EXAMENES RADIOLOGICOS"/>
    <s v="EXAMENES RADIOLOGICOS"/>
    <s v="EXAMENES RADIOLOGICOS"/>
    <s v="IMED SALUD"/>
    <n v="0"/>
    <n v="78040520"/>
    <n v="1"/>
    <s v="CRUZ BLANCA"/>
    <s v="PCHAMOD@AFPHABITAT.CL"/>
    <s v="10553575|78040520|929715303|929715303"/>
    <s v="IMED SALUD"/>
    <b v="1"/>
    <s v="APORTE VIA IMED"/>
  </r>
  <r>
    <s v="12 DE SEPTIEMBRE DE 2025"/>
    <x v="225"/>
    <s v="FERNANDA CHAMORRO DIAZ"/>
    <n v="10553575"/>
    <s v="FERNANDA CHAMORRO DIAZ"/>
    <d v="2025-03-01T00:00:00"/>
    <s v="DUPLICADO"/>
    <n v="929715303"/>
    <n v="65383863"/>
    <n v="45973"/>
    <n v="0"/>
    <n v="45973"/>
    <n v="0"/>
    <n v="45973"/>
    <n v="929715303"/>
    <n v="285123"/>
    <s v="CORP DE BIENESTAR DEL PERSONAL DE A F P"/>
    <d v="2025-03-01T00:00:00"/>
    <d v="2025-03-26T00:00:00"/>
    <d v="2025-02-27T00:00:00"/>
    <d v="2025-02-27T00:00:00"/>
    <s v="AMBULATORIOS"/>
    <n v="22770733"/>
    <n v="3311105"/>
    <n v="69250752"/>
    <s v="TRASSA"/>
    <n v="6325157"/>
    <n v="78070"/>
    <s v="SAL"/>
    <s v="AM05"/>
    <s v="EXAMENES RADIOLOGICOS"/>
    <s v="EXAMENES RADIOLOGICOS"/>
    <s v="EXAMENES RADIOLOGICOS"/>
    <n v="0"/>
    <n v="0"/>
    <n v="78040520"/>
    <n v="1"/>
    <s v="SIN ISAPRE"/>
    <s v="PCHAMOD@AFPHABITAT.CL"/>
    <s v="10553575|78040520|929715303|65383863"/>
    <s v="GASTO FISICO"/>
    <b v="0"/>
    <s v="DEPOSITADO EN CUENTA"/>
  </r>
  <r>
    <s v="12 DE SEPTIEMBRE DE 2025"/>
    <x v="226"/>
    <s v="XIMENA ORELLANA AROS"/>
    <n v="10014102"/>
    <s v="XIMENA ORELLANA AROS"/>
    <d v="2025-02-01T00:00:00"/>
    <s v="INICIAL"/>
    <n v="929747549"/>
    <n v="929747549"/>
    <n v="203070"/>
    <n v="162456"/>
    <n v="40614"/>
    <n v="0"/>
    <n v="40614"/>
    <n v="929747549"/>
    <n v="285123"/>
    <s v="CORP DE BIENESTAR DEL PERSONAL DE A F P"/>
    <d v="2025-02-24T00:00:00"/>
    <d v="2025-02-24T00:00:00"/>
    <d v="2025-02-24T00:00:00"/>
    <d v="2025-02-24T00:00:00"/>
    <s v="AMBULATORIOS"/>
    <n v="22646308"/>
    <n v="3041018"/>
    <n v="68951106"/>
    <s v="TRASSA"/>
    <n v="2032025"/>
    <n v="77760"/>
    <s v="SAL"/>
    <s v="AM05"/>
    <s v="EXAMENES RADIOLOGICOS"/>
    <s v="EXAMENES RADIOLOGICOS"/>
    <s v="EXAMENES RADIOLOGICOS"/>
    <s v="IMED SALUD"/>
    <n v="0"/>
    <n v="76166543"/>
    <s v="K"/>
    <s v="CRUZ BLANCA"/>
    <s v="XORELLAN@AFPHABITAT.CL"/>
    <s v="10014102|76166543|929747549|929747549"/>
    <s v="IMED SALUD"/>
    <b v="1"/>
    <s v="APORTE VIA IMED"/>
  </r>
  <r>
    <s v="12 DE SEPTIEMBRE DE 2025"/>
    <x v="226"/>
    <s v="XIMENA ORELLANA AROS"/>
    <n v="10014102"/>
    <s v="XIMENA ORELLANA AROS"/>
    <d v="2025-03-01T00:00:00"/>
    <s v="DUPLICADO"/>
    <n v="929747549"/>
    <n v="65383786"/>
    <n v="40516"/>
    <n v="0"/>
    <n v="40516"/>
    <n v="0"/>
    <n v="40516"/>
    <n v="929747549"/>
    <n v="285123"/>
    <s v="CORP DE BIENESTAR DEL PERSONAL DE A F P"/>
    <d v="2025-03-01T00:00:00"/>
    <d v="2025-03-26T00:00:00"/>
    <d v="2025-02-24T00:00:00"/>
    <d v="2025-02-24T00:00:00"/>
    <s v="AMBULATORIOS"/>
    <n v="22770698"/>
    <n v="3311105"/>
    <n v="69250675"/>
    <s v="TRASSA"/>
    <n v="2630025000"/>
    <n v="78070"/>
    <s v="SAL"/>
    <s v="AM05"/>
    <s v="EXAMENES RADIOLOGICOS"/>
    <s v="EXAMENES RADIOLOGICOS"/>
    <s v="EXAMENES RADIOLOGICOS"/>
    <n v="0"/>
    <n v="0"/>
    <n v="76166543"/>
    <s v="K"/>
    <s v="SIN ISAPRE"/>
    <s v="XORELLAN@AFPHABITAT.CL"/>
    <s v="10014102|76166543|929747549|65383786"/>
    <s v="GASTO FISICO"/>
    <b v="0"/>
    <s v="DEPOSITADO EN CUENTA"/>
  </r>
  <r>
    <s v="12 DE SEPTIEMBRE DE 2025"/>
    <x v="227"/>
    <s v="MARIA DI BIASE FERONE"/>
    <n v="6315763"/>
    <s v="MARIA DI BIASE FERONE"/>
    <d v="2025-02-01T00:00:00"/>
    <s v="INICIAL"/>
    <n v="929759958"/>
    <n v="929759958"/>
    <n v="15100"/>
    <n v="8907"/>
    <n v="6193"/>
    <n v="0"/>
    <n v="6193"/>
    <n v="929759958"/>
    <n v="285123"/>
    <s v="CORP DE BIENESTAR DEL PERSONAL DE A F P"/>
    <d v="2025-02-22T00:00:00"/>
    <d v="2025-02-22T00:00:00"/>
    <d v="2025-02-22T00:00:00"/>
    <d v="2025-02-22T00:00:00"/>
    <s v="AMBULATORIOS"/>
    <n v="22646283"/>
    <n v="3041018"/>
    <n v="68950315"/>
    <s v="TRASSA"/>
    <n v="2032025"/>
    <n v="77760"/>
    <s v="SAL"/>
    <s v="AM04"/>
    <s v="EXAMENES DE LABORATORIO"/>
    <s v="EXAMENES DE LABORATORIO"/>
    <s v="EXAMENES DE LABORATORIO"/>
    <s v="IMED SALUD"/>
    <n v="0"/>
    <n v="90753000"/>
    <n v="0"/>
    <s v="CRUZ BLANCA"/>
    <s v="MDIBIASE@AFPHABITAT.CL"/>
    <s v="6315763|90753000|929759958|929759958"/>
    <s v="IMED SALUD"/>
    <b v="1"/>
    <s v="APORTE VIA IMED"/>
  </r>
  <r>
    <s v="12 DE SEPTIEMBRE DE 2025"/>
    <x v="227"/>
    <s v="MARIA DI BIASE FERONE"/>
    <n v="6315763"/>
    <s v="MARIA DI BIASE FERONE"/>
    <d v="2025-03-01T00:00:00"/>
    <s v="DUPLICADO"/>
    <n v="929759958"/>
    <n v="65383583"/>
    <n v="6168"/>
    <n v="0"/>
    <n v="6168"/>
    <n v="0"/>
    <n v="6168"/>
    <n v="929759958"/>
    <n v="285123"/>
    <s v="CORP DE BIENESTAR DEL PERSONAL DE A F P"/>
    <d v="2025-03-01T00:00:00"/>
    <d v="2025-03-26T00:00:00"/>
    <d v="2025-02-22T00:00:00"/>
    <d v="2025-02-22T00:00:00"/>
    <s v="AMBULATORIOS"/>
    <n v="22770687"/>
    <n v="3311105"/>
    <n v="69250474"/>
    <s v="TRASSA"/>
    <n v="3630063308"/>
    <n v="78070"/>
    <s v="SAL"/>
    <s v="AM04"/>
    <s v="EXAMENES DE LABORATORIO"/>
    <s v="EXAMENES DE LABORATORIO"/>
    <s v="EXAMENES DE LABORATORIO"/>
    <n v="0"/>
    <n v="0"/>
    <n v="90753000"/>
    <n v="0"/>
    <s v="SIN ISAPRE"/>
    <s v="MDIBIASE@AFPHABITAT.CL"/>
    <s v="6315763|90753000|929759958|65383583"/>
    <s v="GASTO FISICO"/>
    <b v="0"/>
    <s v="DEPOSITADO EN CUENTA"/>
  </r>
  <r>
    <s v="12 DE SEPTIEMBRE DE 2025"/>
    <x v="227"/>
    <s v="MARIA DI BIASE FERONE"/>
    <n v="6315763"/>
    <s v="MARIA DI BIASE FERONE"/>
    <d v="2025-02-01T00:00:00"/>
    <s v="INICIAL"/>
    <n v="929759959"/>
    <n v="929759959"/>
    <n v="56400"/>
    <n v="35388"/>
    <n v="21012"/>
    <n v="0"/>
    <n v="21012"/>
    <n v="929759959"/>
    <n v="285123"/>
    <s v="CORP DE BIENESTAR DEL PERSONAL DE A F P"/>
    <d v="2025-02-22T00:00:00"/>
    <d v="2025-02-22T00:00:00"/>
    <d v="2025-02-22T00:00:00"/>
    <d v="2025-02-22T00:00:00"/>
    <s v="AMBULATORIOS"/>
    <n v="22646283"/>
    <n v="3041018"/>
    <n v="68950316"/>
    <s v="TRASSA"/>
    <n v="2032025"/>
    <n v="77760"/>
    <s v="SAL"/>
    <s v="AM04"/>
    <s v="EXAMENES DE LABORATORIO"/>
    <s v="EXAMENES DE LABORATORIO"/>
    <s v="EXAMENES DE LABORATORIO"/>
    <s v="IMED SALUD"/>
    <n v="0"/>
    <n v="90753000"/>
    <n v="0"/>
    <s v="CRUZ BLANCA"/>
    <s v="MDIBIASE@AFPHABITAT.CL"/>
    <s v="6315763|90753000|929759959|929759959"/>
    <s v="IMED SALUD"/>
    <b v="1"/>
    <s v="APORTE VIA IMED"/>
  </r>
  <r>
    <s v="12 DE SEPTIEMBRE DE 2025"/>
    <x v="227"/>
    <s v="MARIA DI BIASE FERONE"/>
    <n v="6315763"/>
    <s v="MARIA DI BIASE FERONE"/>
    <d v="2025-03-01T00:00:00"/>
    <s v="DUPLICADO"/>
    <n v="929759959"/>
    <n v="65383584"/>
    <n v="21204"/>
    <n v="0"/>
    <n v="21204"/>
    <n v="0"/>
    <n v="21204"/>
    <n v="929759959"/>
    <n v="285123"/>
    <s v="CORP DE BIENESTAR DEL PERSONAL DE A F P"/>
    <d v="2025-03-01T00:00:00"/>
    <d v="2025-03-26T00:00:00"/>
    <d v="2025-02-22T00:00:00"/>
    <d v="2025-02-22T00:00:00"/>
    <s v="AMBULATORIOS"/>
    <n v="22770687"/>
    <n v="3311105"/>
    <n v="69250475"/>
    <s v="TRASSA"/>
    <n v="3630063308"/>
    <n v="78070"/>
    <s v="SAL"/>
    <s v="AM04"/>
    <s v="EXAMENES DE LABORATORIO"/>
    <s v="EXAMENES DE LABORATORIO"/>
    <s v="EXAMENES DE LABORATORIO"/>
    <n v="0"/>
    <n v="0"/>
    <n v="90753000"/>
    <n v="0"/>
    <s v="SIN ISAPRE"/>
    <s v="MDIBIASE@AFPHABITAT.CL"/>
    <s v="6315763|90753000|929759959|65383584"/>
    <s v="GASTO FISICO"/>
    <b v="0"/>
    <s v="DEPOSITADO EN CUENTA"/>
  </r>
  <r>
    <s v="12 DE SEPTIEMBRE DE 2025"/>
    <x v="228"/>
    <s v="PAMELA MAKARENA CASTRO SEPULVEDA"/>
    <n v="16933109"/>
    <s v="PAMELA MAKARENA CASTRO SEPULVEDA"/>
    <d v="2025-02-01T00:00:00"/>
    <s v="INICIAL"/>
    <n v="929784398"/>
    <n v="929784398"/>
    <n v="23556"/>
    <n v="20023"/>
    <n v="3533"/>
    <n v="0"/>
    <n v="3533"/>
    <n v="929784398"/>
    <n v="285123"/>
    <s v="CORP DE BIENESTAR DEL PERSONAL DE A F P"/>
    <d v="2025-02-19T00:00:00"/>
    <d v="2025-02-19T00:00:00"/>
    <d v="2025-02-19T00:00:00"/>
    <d v="2025-02-19T00:00:00"/>
    <s v="AMBULATORIOS"/>
    <n v="22621844"/>
    <n v="2250942"/>
    <n v="68911157"/>
    <s v="TRASSA"/>
    <n v="23022025"/>
    <n v="77703"/>
    <s v="SAL"/>
    <s v="AM05"/>
    <s v="EXAMENES RADIOLOGICOS"/>
    <s v="EXAMENES RADIOLOGICOS"/>
    <s v="EXAMENES RADIOLOGICOS"/>
    <s v="IMED SALUD"/>
    <n v="0"/>
    <n v="96942400"/>
    <n v="2"/>
    <s v="CRUZ BLANCA"/>
    <s v="PCASTROS@AFPHABITAT.CL"/>
    <s v="16933109|96942400|929784398|929784398"/>
    <s v="IMED SALUD"/>
    <b v="1"/>
    <s v="APORTE VIA IMED"/>
  </r>
  <r>
    <s v="12 DE SEPTIEMBRE DE 2025"/>
    <x v="228"/>
    <s v="PAMELA MAKARENA CASTRO SEPULVEDA"/>
    <n v="16933109"/>
    <s v="PAMELA MAKARENA CASTRO SEPULVEDA"/>
    <d v="2025-03-01T00:00:00"/>
    <s v="DUPLICADO"/>
    <n v="929784398"/>
    <n v="65384390"/>
    <n v="3466"/>
    <n v="0"/>
    <n v="3466"/>
    <n v="0"/>
    <n v="3466"/>
    <n v="929784398"/>
    <n v="285123"/>
    <s v="CORP DE BIENESTAR DEL PERSONAL DE A F P"/>
    <d v="2025-03-01T00:00:00"/>
    <d v="2025-03-26T00:00:00"/>
    <d v="2025-02-19T00:00:00"/>
    <d v="2025-02-19T00:00:00"/>
    <s v="AMBULATORIOS"/>
    <n v="22770671"/>
    <n v="3311105"/>
    <n v="69251268"/>
    <s v="TRASSA"/>
    <n v="2580093409"/>
    <n v="78070"/>
    <s v="SAL"/>
    <s v="AM05"/>
    <s v="EXAMENES RADIOLOGICOS"/>
    <s v="EXAMENES RADIOLOGICOS"/>
    <s v="EXAMENES RADIOLOGICOS"/>
    <n v="0"/>
    <n v="0"/>
    <n v="96942400"/>
    <n v="2"/>
    <s v="SIN ISAPRE"/>
    <s v="PCASTROS@AFPHABITAT.CL"/>
    <s v="16933109|96942400|929784398|65384390"/>
    <s v="GASTO FISICO"/>
    <b v="0"/>
    <s v="DEPOSITADO EN CUENTA"/>
  </r>
  <r>
    <s v="12 DE SEPTIEMBRE DE 2025"/>
    <x v="229"/>
    <s v="MARIA LORETO FUENTEALBA PEREZ"/>
    <n v="21436009"/>
    <s v="ANTONIA RAYO FUENTEALBA"/>
    <d v="2025-02-01T00:00:00"/>
    <s v="INICIAL"/>
    <n v="929800516"/>
    <n v="929800516"/>
    <n v="58058"/>
    <n v="38016"/>
    <n v="20042"/>
    <n v="0"/>
    <n v="20042"/>
    <n v="929800516"/>
    <n v="285123"/>
    <s v="CORP DE BIENESTAR DEL PERSONAL DE A F P"/>
    <d v="2025-02-18T00:00:00"/>
    <d v="2025-02-18T00:00:00"/>
    <d v="2025-02-18T00:00:00"/>
    <d v="2025-02-18T00:00:00"/>
    <s v="AMBULATORIOS"/>
    <n v="22621765"/>
    <n v="2250942"/>
    <n v="68910092"/>
    <s v="TRASSA"/>
    <n v="23022025"/>
    <n v="77703"/>
    <s v="SAL"/>
    <s v="AM04"/>
    <s v="EXAMENES DE LABORATORIO"/>
    <s v="EXAMENES DE LABORATORIO"/>
    <s v="EXAMENES DE LABORATORIO"/>
    <s v="IMED SALUD"/>
    <n v="0"/>
    <n v="99573490"/>
    <n v="7"/>
    <s v="CRUZ BLANCA"/>
    <s v="MFUENTEA@AFPHABITAT.CL"/>
    <s v="9258274|99573490|929800516|929800516"/>
    <s v="IMED SALUD"/>
    <b v="1"/>
    <s v="APORTE VIA IMED"/>
  </r>
  <r>
    <s v="12 DE SEPTIEMBRE DE 2025"/>
    <x v="229"/>
    <s v="MARIA LORETO FUENTEALBA PEREZ"/>
    <n v="21436009"/>
    <s v="ANTONIA RAYO FUENTEALBA"/>
    <d v="2025-03-01T00:00:00"/>
    <s v="DUPLICADO"/>
    <n v="929800516"/>
    <n v="65383718"/>
    <n v="19630"/>
    <n v="0"/>
    <n v="19630"/>
    <n v="0"/>
    <n v="19630"/>
    <n v="929800516"/>
    <n v="285123"/>
    <s v="CORP DE BIENESTAR DEL PERSONAL DE A F P"/>
    <d v="2025-03-01T00:00:00"/>
    <d v="2025-03-26T00:00:00"/>
    <d v="2025-02-18T00:00:00"/>
    <d v="2025-02-18T00:00:00"/>
    <s v="AMBULATORIOS"/>
    <n v="22770651"/>
    <n v="3311105"/>
    <n v="69250609"/>
    <s v="TRASSA"/>
    <n v="809418006"/>
    <n v="78070"/>
    <s v="SAL"/>
    <s v="AM04"/>
    <s v="EXAMENES DE LABORATORIO"/>
    <s v="EXAMENES DE LABORATORIO"/>
    <s v="EXAMENES DE LABORATORIO"/>
    <n v="0"/>
    <n v="0"/>
    <n v="99573490"/>
    <n v="7"/>
    <s v="SIN ISAPRE"/>
    <s v="MFUENTEA@AFPHABITAT.CL"/>
    <s v="9258274|99573490|929800516|65383718"/>
    <s v="GASTO FISICO"/>
    <b v="0"/>
    <s v="DEPOSITADO EN CUENTA"/>
  </r>
  <r>
    <s v="12 DE SEPTIEMBRE DE 2025"/>
    <x v="117"/>
    <s v="DAVID ALEJANDRO PIZARRO FLORES"/>
    <n v="17780739"/>
    <s v="DAVID ALEJANDRO PIZARRO FLORES"/>
    <d v="2025-02-01T00:00:00"/>
    <s v="INICIAL"/>
    <n v="929816161"/>
    <n v="929816161"/>
    <n v="19190"/>
    <n v="18233"/>
    <n v="957"/>
    <n v="0"/>
    <n v="957"/>
    <n v="929816161"/>
    <n v="285123"/>
    <s v="CORP DE BIENESTAR DEL PERSONAL DE A F P"/>
    <d v="2025-02-15T00:00:00"/>
    <d v="2025-02-15T00:00:00"/>
    <d v="2025-02-15T00:00:00"/>
    <d v="2025-02-15T00:00:00"/>
    <s v="AMBULATORIOS"/>
    <n v="22621718"/>
    <n v="2250942"/>
    <n v="68909084"/>
    <s v="TRASSA"/>
    <n v="23022025"/>
    <n v="77703"/>
    <s v="SAL"/>
    <s v="AM04"/>
    <s v="EXAMENES DE LABORATORIO"/>
    <s v="EXAMENES DE LABORATORIO"/>
    <s v="EXAMENES DE LABORATORIO"/>
    <s v="IMED SALUD"/>
    <n v="0"/>
    <n v="96986050"/>
    <n v="3"/>
    <s v="CRUZ BLANCA"/>
    <s v="DPIZARRF@AFPHABITAT.CL"/>
    <s v="17780739|96986050|929816161|929816161"/>
    <s v="IMED SALUD"/>
    <b v="1"/>
    <s v="APORTE VIA IMED"/>
  </r>
  <r>
    <s v="12 DE SEPTIEMBRE DE 2025"/>
    <x v="117"/>
    <s v="DAVID ALEJANDRO PIZARRO FLORES"/>
    <n v="17780739"/>
    <s v="DAVID ALEJANDRO PIZARRO FLORES"/>
    <d v="2025-03-01T00:00:00"/>
    <s v="DUPLICADO"/>
    <n v="929816161"/>
    <n v="65384435"/>
    <n v="384"/>
    <n v="0"/>
    <n v="384"/>
    <n v="0"/>
    <n v="384"/>
    <n v="929816161"/>
    <n v="285123"/>
    <s v="CORP DE BIENESTAR DEL PERSONAL DE A F P"/>
    <d v="2025-03-01T00:00:00"/>
    <d v="2025-03-26T00:00:00"/>
    <d v="2025-02-15T00:00:00"/>
    <d v="2025-02-15T00:00:00"/>
    <s v="AMBULATORIOS"/>
    <n v="22770638"/>
    <n v="3311105"/>
    <n v="69251303"/>
    <s v="TRASSA"/>
    <n v="10012905621"/>
    <n v="78070"/>
    <s v="SAL"/>
    <s v="AM04"/>
    <s v="EXAMENES DE LABORATORIO"/>
    <s v="EXAMENES DE LABORATORIO"/>
    <s v="EXAMENES DE LABORATORIO"/>
    <n v="0"/>
    <n v="0"/>
    <n v="96986050"/>
    <n v="3"/>
    <s v="SIN ISAPRE"/>
    <s v="DPIZARRF@AFPHABITAT.CL"/>
    <s v="17780739|96986050|929816161|65384435"/>
    <s v="GASTO FISICO"/>
    <b v="0"/>
    <s v="DEPOSITADO EN CUENTA"/>
  </r>
  <r>
    <s v="12 DE SEPTIEMBRE DE 2025"/>
    <x v="117"/>
    <s v="DAVID ALEJANDRO PIZARRO FLORES"/>
    <n v="17780739"/>
    <s v="DAVID ALEJANDRO PIZARRO FLORES"/>
    <d v="2025-02-01T00:00:00"/>
    <s v="INICIAL"/>
    <n v="929816515"/>
    <n v="929816515"/>
    <n v="38636"/>
    <n v="36704"/>
    <n v="1932"/>
    <n v="0"/>
    <n v="1932"/>
    <n v="929816515"/>
    <n v="285123"/>
    <s v="CORP DE BIENESTAR DEL PERSONAL DE A F P"/>
    <d v="2025-02-15T00:00:00"/>
    <d v="2025-02-15T00:00:00"/>
    <d v="2025-02-15T00:00:00"/>
    <d v="2025-02-15T00:00:00"/>
    <s v="AMBULATORIOS"/>
    <n v="22621718"/>
    <n v="2250942"/>
    <n v="68909050"/>
    <s v="TRASSA"/>
    <n v="23022025"/>
    <n v="77703"/>
    <s v="SAL"/>
    <s v="AM05"/>
    <s v="EXAMENES RADIOLOGICOS"/>
    <s v="EXAMENES RADIOLOGICOS"/>
    <s v="EXAMENES RADIOLOGICOS"/>
    <s v="IMED SALUD"/>
    <n v="0"/>
    <n v="76098454"/>
    <s v="K"/>
    <s v="CRUZ BLANCA"/>
    <s v="DPIZARRF@AFPHABITAT.CL"/>
    <s v="17780739|76098454|929816515|929816515"/>
    <s v="IMED SALUD"/>
    <b v="1"/>
    <s v="APORTE VIA IMED"/>
  </r>
  <r>
    <s v="12 DE SEPTIEMBRE DE 2025"/>
    <x v="117"/>
    <s v="DAVID ALEJANDRO PIZARRO FLORES"/>
    <n v="17780739"/>
    <s v="DAVID ALEJANDRO PIZARRO FLORES"/>
    <d v="2025-03-01T00:00:00"/>
    <s v="DUPLICADO"/>
    <n v="929816515"/>
    <n v="65384436"/>
    <n v="1922"/>
    <n v="0"/>
    <n v="1922"/>
    <n v="0"/>
    <n v="1922"/>
    <n v="929816515"/>
    <n v="285123"/>
    <s v="CORP DE BIENESTAR DEL PERSONAL DE A F P"/>
    <d v="2025-03-01T00:00:00"/>
    <d v="2025-03-26T00:00:00"/>
    <d v="2025-02-15T00:00:00"/>
    <d v="2025-02-15T00:00:00"/>
    <s v="AMBULATORIOS"/>
    <n v="22770638"/>
    <n v="3311105"/>
    <n v="69251304"/>
    <s v="TRASSA"/>
    <n v="10012905621"/>
    <n v="78070"/>
    <s v="SAL"/>
    <s v="AM05"/>
    <s v="EXAMENES RADIOLOGICOS"/>
    <s v="EXAMENES RADIOLOGICOS"/>
    <s v="EXAMENES RADIOLOGICOS"/>
    <n v="0"/>
    <n v="0"/>
    <n v="76098454"/>
    <s v="K"/>
    <s v="SIN ISAPRE"/>
    <s v="DPIZARRF@AFPHABITAT.CL"/>
    <s v="17780739|76098454|929816515|65384436"/>
    <s v="GASTO FISICO"/>
    <b v="0"/>
    <s v="DEPOSITADO EN CUENTA"/>
  </r>
  <r>
    <s v="12 DE SEPTIEMBRE DE 2025"/>
    <x v="230"/>
    <s v="FELIPE GUZMAN SALAZAR"/>
    <n v="13686106"/>
    <s v="FELIPE GUZMAN SALAZAR"/>
    <d v="2025-02-01T00:00:00"/>
    <s v="INICIAL"/>
    <n v="929831458"/>
    <n v="929831458"/>
    <n v="182628"/>
    <n v="168452"/>
    <n v="14176"/>
    <n v="0"/>
    <n v="14176"/>
    <n v="929831458"/>
    <n v="285123"/>
    <s v="CORP DE BIENESTAR DEL PERSONAL DE A F P"/>
    <d v="2025-02-13T00:00:00"/>
    <d v="2025-02-13T00:00:00"/>
    <d v="2025-02-13T00:00:00"/>
    <d v="2025-02-13T00:00:00"/>
    <s v="AMBULATORIOS"/>
    <n v="22598457"/>
    <n v="2171709"/>
    <n v="68878403"/>
    <s v="TRASSA"/>
    <n v="16022025"/>
    <n v="77646"/>
    <s v="SAL"/>
    <s v="AM05"/>
    <s v="EXAMENES RADIOLOGICOS"/>
    <s v="EXAMENES RADIOLOGICOS"/>
    <s v="EXAMENES RADIOLOGICOS"/>
    <s v="IMED SALUD"/>
    <n v="0"/>
    <n v="78317440"/>
    <n v="5"/>
    <s v="CRUZ BLANCA"/>
    <s v="FGUZMAN@AFPHABITAT.CL"/>
    <s v="13686106|78317440|929831458|929831458"/>
    <s v="IMED SALUD"/>
    <b v="1"/>
    <s v="APORTE VIA IMED"/>
  </r>
  <r>
    <s v="12 DE SEPTIEMBRE DE 2025"/>
    <x v="230"/>
    <s v="FELIPE GUZMAN SALAZAR"/>
    <n v="13686106"/>
    <s v="FELIPE GUZMAN SALAZAR"/>
    <d v="2025-03-01T00:00:00"/>
    <s v="DUPLICADO"/>
    <n v="929831458"/>
    <n v="65384133"/>
    <n v="14216"/>
    <n v="0"/>
    <n v="14216"/>
    <n v="0"/>
    <n v="14216"/>
    <n v="929831458"/>
    <n v="285123"/>
    <s v="CORP DE BIENESTAR DEL PERSONAL DE A F P"/>
    <d v="2025-03-01T00:00:00"/>
    <d v="2025-03-26T00:00:00"/>
    <d v="2025-02-13T00:00:00"/>
    <d v="2025-02-13T00:00:00"/>
    <s v="AMBULATORIOS"/>
    <n v="22770616"/>
    <n v="3311105"/>
    <n v="69251013"/>
    <s v="TRASSA"/>
    <n v="19801713540"/>
    <n v="78070"/>
    <s v="SAL"/>
    <s v="AM05"/>
    <s v="EXAMENES RADIOLOGICOS"/>
    <s v="EXAMENES RADIOLOGICOS"/>
    <s v="EXAMENES RADIOLOGICOS"/>
    <n v="0"/>
    <n v="0"/>
    <n v="78317440"/>
    <n v="5"/>
    <s v="SIN ISAPRE"/>
    <s v="FGUZMAN@AFPHABITAT.CL"/>
    <s v="13686106|78317440|929831458|65384133"/>
    <s v="GASTO FISICO"/>
    <b v="0"/>
    <s v="DEPOSITADO EN CUENTA"/>
  </r>
  <r>
    <s v="12 DE SEPTIEMBRE DE 2025"/>
    <x v="231"/>
    <s v="ALFREDO MAURICIO ABARCA AHUMADA"/>
    <n v="14259765"/>
    <s v="ALFREDO MAURICIO ABARCA AHUMADA"/>
    <d v="2025-02-01T00:00:00"/>
    <s v="INICIAL"/>
    <n v="929837903"/>
    <n v="929837903"/>
    <n v="210764"/>
    <n v="185827"/>
    <n v="24937"/>
    <n v="0"/>
    <n v="24937"/>
    <n v="929837903"/>
    <n v="285123"/>
    <s v="CORP DE BIENESTAR DEL PERSONAL DE A F P"/>
    <d v="2025-02-13T00:00:00"/>
    <d v="2025-02-13T00:00:00"/>
    <d v="2025-02-13T00:00:00"/>
    <d v="2025-02-13T00:00:00"/>
    <s v="AMBULATORIOS"/>
    <n v="22598460"/>
    <n v="2171709"/>
    <n v="68877901"/>
    <s v="TRASSA"/>
    <n v="16022025"/>
    <n v="77646"/>
    <s v="SAL"/>
    <s v="AM05"/>
    <s v="EXAMENES RADIOLOGICOS"/>
    <s v="EXAMENES RADIOLOGICOS"/>
    <s v="EXAMENES RADIOLOGICOS"/>
    <s v="IMED SALUD"/>
    <n v="0"/>
    <n v="76098454"/>
    <s v="K"/>
    <s v="CRUZ BLANCA"/>
    <s v="AABARCAH@AFPHABITAT.CL"/>
    <s v="14259765|76098454|929837903|929837903"/>
    <s v="IMED SALUD"/>
    <b v="1"/>
    <s v="APORTE VIA IMED"/>
  </r>
  <r>
    <s v="12 DE SEPTIEMBRE DE 2025"/>
    <x v="231"/>
    <s v="ALFREDO MAURICIO ABARCA AHUMADA"/>
    <n v="14259765"/>
    <s v="ALFREDO MAURICIO ABARCA AHUMADA"/>
    <d v="2025-02-01T00:00:00"/>
    <s v="INICIAL"/>
    <n v="929837903"/>
    <n v="929837903"/>
    <n v="268243"/>
    <n v="241419"/>
    <n v="26824"/>
    <n v="0"/>
    <n v="26824"/>
    <n v="929837903"/>
    <n v="285123"/>
    <s v="CORP DE BIENESTAR DEL PERSONAL DE A F P"/>
    <d v="2025-02-13T00:00:00"/>
    <d v="2025-02-13T00:00:00"/>
    <d v="2025-02-13T00:00:00"/>
    <d v="2025-02-13T00:00:00"/>
    <s v="AMBULATORIOS"/>
    <n v="22598460"/>
    <n v="2171709"/>
    <n v="68877901"/>
    <s v="TRASSA"/>
    <n v="16022025"/>
    <n v="77646"/>
    <s v="SAL"/>
    <s v="AM04"/>
    <s v="EXAMENES DE LABORATORIO"/>
    <s v="EXAMENES DE LABORATORIO"/>
    <s v="EXAMENES DE LABORATORIO"/>
    <s v="IMED SALUD"/>
    <n v="0"/>
    <n v="76098454"/>
    <s v="K"/>
    <s v="CRUZ BLANCA"/>
    <s v="AABARCAH@AFPHABITAT.CL"/>
    <s v="14259765|76098454|929837903|929837903"/>
    <s v="IMED SALUD"/>
    <b v="1"/>
    <s v="APORTE VIA IMED"/>
  </r>
  <r>
    <s v="12 DE SEPTIEMBRE DE 2025"/>
    <x v="231"/>
    <s v="ALFREDO MAURICIO ABARCA AHUMADA"/>
    <n v="14259765"/>
    <s v="ALFREDO MAURICIO ABARCA AHUMADA"/>
    <d v="2025-03-01T00:00:00"/>
    <s v="DUPLICADO"/>
    <n v="929837903"/>
    <n v="65384215"/>
    <n v="24974"/>
    <n v="0"/>
    <n v="24974"/>
    <n v="0"/>
    <n v="24974"/>
    <n v="929837903"/>
    <n v="285123"/>
    <s v="CORP DE BIENESTAR DEL PERSONAL DE A F P"/>
    <d v="2025-03-01T00:00:00"/>
    <d v="2025-03-26T00:00:00"/>
    <d v="2025-02-13T00:00:00"/>
    <d v="2025-02-13T00:00:00"/>
    <s v="AMBULATORIOS"/>
    <n v="22770617"/>
    <n v="3311105"/>
    <n v="69251090"/>
    <s v="TRASSA"/>
    <n v="61225838"/>
    <n v="78070"/>
    <s v="SAL"/>
    <s v="AM05"/>
    <s v="EXAMENES RADIOLOGICOS"/>
    <s v="EXAMENES RADIOLOGICOS"/>
    <s v="EXAMENES RADIOLOGICOS"/>
    <n v="0"/>
    <n v="0"/>
    <n v="76098454"/>
    <s v="K"/>
    <s v="SIN ISAPRE"/>
    <s v="AABARCAH@AFPHABITAT.CL"/>
    <s v="14259765|76098454|929837903|65384215"/>
    <s v="GASTO FISICO"/>
    <b v="0"/>
    <s v="DEPOSITADO EN CUENTA"/>
  </r>
  <r>
    <s v="12 DE SEPTIEMBRE DE 2025"/>
    <x v="231"/>
    <s v="ALFREDO MAURICIO ABARCA AHUMADA"/>
    <n v="14259765"/>
    <s v="ALFREDO MAURICIO ABARCA AHUMADA"/>
    <d v="2025-03-01T00:00:00"/>
    <s v="DUPLICADO"/>
    <n v="929837903"/>
    <n v="65384215"/>
    <n v="26895"/>
    <n v="0"/>
    <n v="26895"/>
    <n v="0"/>
    <n v="26895"/>
    <n v="929837903"/>
    <n v="285123"/>
    <s v="CORP DE BIENESTAR DEL PERSONAL DE A F P"/>
    <d v="2025-03-01T00:00:00"/>
    <d v="2025-03-26T00:00:00"/>
    <d v="2025-02-13T00:00:00"/>
    <d v="2025-02-13T00:00:00"/>
    <s v="AMBULATORIOS"/>
    <n v="22770617"/>
    <n v="3311105"/>
    <n v="69251090"/>
    <s v="TRASSA"/>
    <n v="61225838"/>
    <n v="78070"/>
    <s v="SAL"/>
    <s v="AM04"/>
    <s v="EXAMENES DE LABORATORIO"/>
    <s v="EXAMENES DE LABORATORIO"/>
    <s v="EXAMENES DE LABORATORIO"/>
    <n v="0"/>
    <n v="0"/>
    <n v="76098454"/>
    <s v="K"/>
    <s v="SIN ISAPRE"/>
    <s v="AABARCAH@AFPHABITAT.CL"/>
    <s v="14259765|76098454|929837903|65384215"/>
    <s v="GASTO FISICO"/>
    <b v="0"/>
    <s v="DEPOSITADO EN CUENTA"/>
  </r>
  <r>
    <s v="12 DE SEPTIEMBRE DE 2025"/>
    <x v="232"/>
    <s v="EDITH MYRIAM AEDO MEZA"/>
    <n v="10564729"/>
    <s v="EDITH MYRIAM AEDO MEZA"/>
    <d v="2025-02-01T00:00:00"/>
    <s v="INICIAL"/>
    <n v="929853128"/>
    <n v="929853128"/>
    <n v="16526"/>
    <n v="14875"/>
    <n v="1651"/>
    <n v="0"/>
    <n v="1651"/>
    <n v="929853128"/>
    <n v="285123"/>
    <s v="CORP DE BIENESTAR DEL PERSONAL DE A F P"/>
    <d v="2025-02-11T00:00:00"/>
    <d v="2025-02-11T00:00:00"/>
    <d v="2025-02-11T00:00:00"/>
    <d v="2025-02-11T00:00:00"/>
    <s v="AMBULATORIOS"/>
    <n v="22598353"/>
    <n v="2171709"/>
    <n v="68876720"/>
    <s v="TRASSA"/>
    <n v="16022025"/>
    <n v="77646"/>
    <s v="SAL"/>
    <s v="AM04"/>
    <s v="EXAMENES DE LABORATORIO"/>
    <s v="EXAMENES DE LABORATORIO"/>
    <s v="EXAMENES DE LABORATORIO"/>
    <s v="IMED SALUD"/>
    <n v="0"/>
    <n v="96986050"/>
    <n v="3"/>
    <s v="CRUZ BLANCA"/>
    <s v="EAEDOM@AFPHABITAT.CL"/>
    <s v="10564729|96986050|929853128|929853128"/>
    <s v="IMED SALUD"/>
    <b v="1"/>
    <s v="APORTE VIA IMED"/>
  </r>
  <r>
    <s v="12 DE SEPTIEMBRE DE 2025"/>
    <x v="232"/>
    <s v="EDITH MYRIAM AEDO MEZA"/>
    <n v="10564729"/>
    <s v="EDITH MYRIAM AEDO MEZA"/>
    <d v="2025-03-01T00:00:00"/>
    <s v="DUPLICADO"/>
    <n v="929853128"/>
    <n v="65383864"/>
    <n v="1917"/>
    <n v="0"/>
    <n v="1917"/>
    <n v="0"/>
    <n v="1917"/>
    <n v="929853128"/>
    <n v="285123"/>
    <s v="CORP DE BIENESTAR DEL PERSONAL DE A F P"/>
    <d v="2025-03-01T00:00:00"/>
    <d v="2025-03-26T00:00:00"/>
    <d v="2025-02-11T00:00:00"/>
    <d v="2025-02-11T00:00:00"/>
    <s v="AMBULATORIOS"/>
    <n v="22770586"/>
    <n v="3311105"/>
    <n v="69250753"/>
    <s v="TRASSA"/>
    <n v="4080030202"/>
    <n v="78070"/>
    <s v="SAL"/>
    <s v="AM04"/>
    <s v="EXAMENES DE LABORATORIO"/>
    <s v="EXAMENES DE LABORATORIO"/>
    <s v="EXAMENES DE LABORATORIO"/>
    <n v="0"/>
    <n v="0"/>
    <n v="96986050"/>
    <n v="3"/>
    <s v="SIN ISAPRE"/>
    <s v="EAEDOM@AFPHABITAT.CL"/>
    <s v="10564729|96986050|929853128|65383864"/>
    <s v="GASTO FISICO"/>
    <b v="0"/>
    <s v="DEPOSITADO EN CUENTA"/>
  </r>
  <r>
    <s v="12 DE SEPTIEMBRE DE 2025"/>
    <x v="228"/>
    <s v="PAMELA MAKARENA CASTRO SEPULVEDA"/>
    <n v="16933109"/>
    <s v="PAMELA MAKARENA CASTRO SEPULVEDA"/>
    <d v="2025-02-01T00:00:00"/>
    <s v="INICIAL"/>
    <n v="929853353"/>
    <n v="929853353"/>
    <n v="10740"/>
    <n v="9129"/>
    <n v="1611"/>
    <n v="0"/>
    <n v="1611"/>
    <n v="929853353"/>
    <n v="285123"/>
    <s v="CORP DE BIENESTAR DEL PERSONAL DE A F P"/>
    <d v="2025-02-11T00:00:00"/>
    <d v="2025-02-11T00:00:00"/>
    <d v="2025-02-11T00:00:00"/>
    <d v="2025-02-11T00:00:00"/>
    <s v="AMBULATORIOS"/>
    <n v="22598374"/>
    <n v="2171709"/>
    <n v="68876709"/>
    <s v="TRASSA"/>
    <n v="16022025"/>
    <n v="77646"/>
    <s v="SAL"/>
    <s v="AM07"/>
    <s v="PROCEDIMIENTOS TERAPEUTICOS"/>
    <s v="PROCEDIMIENTOS TERAPEUTICOS"/>
    <s v="PROCEDIMIENTOS TERAPEUTICOS"/>
    <s v="IMED SALUD"/>
    <n v="0"/>
    <n v="96942400"/>
    <n v="2"/>
    <s v="CRUZ BLANCA"/>
    <s v="PCASTROS@AFPHABITAT.CL"/>
    <s v="16933109|96942400|929853353|929853353"/>
    <s v="IMED SALUD"/>
    <b v="1"/>
    <s v="APORTE VIA IMED"/>
  </r>
  <r>
    <s v="12 DE SEPTIEMBRE DE 2025"/>
    <x v="228"/>
    <s v="PAMELA MAKARENA CASTRO SEPULVEDA"/>
    <n v="16933109"/>
    <s v="PAMELA MAKARENA CASTRO SEPULVEDA"/>
    <d v="2025-03-01T00:00:00"/>
    <s v="DUPLICADO"/>
    <n v="929853353"/>
    <n v="65384391"/>
    <n v="1535"/>
    <n v="0"/>
    <n v="1535"/>
    <n v="0"/>
    <n v="1535"/>
    <n v="929853353"/>
    <n v="285123"/>
    <s v="CORP DE BIENESTAR DEL PERSONAL DE A F P"/>
    <d v="2025-03-01T00:00:00"/>
    <d v="2025-03-26T00:00:00"/>
    <d v="2025-02-11T00:00:00"/>
    <d v="2025-02-11T00:00:00"/>
    <s v="AMBULATORIOS"/>
    <n v="22770593"/>
    <n v="3311105"/>
    <n v="69251269"/>
    <s v="TRASSA"/>
    <n v="2580093409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PCASTROS@AFPHABITAT.CL"/>
    <s v="16933109|96942400|929853353|65384391"/>
    <s v="GASTO FISICO"/>
    <b v="0"/>
    <s v="DEPOSITADO EN CUENTA"/>
  </r>
  <r>
    <s v="12 DE SEPTIEMBRE DE 2025"/>
    <x v="233"/>
    <s v="MAURICIO OCTAVIO ALVAREZ VENEGAS"/>
    <n v="7510562"/>
    <s v="MAURICIO OCTAVIO ALVAREZ VENEGAS"/>
    <d v="2025-02-01T00:00:00"/>
    <s v="INICIAL"/>
    <n v="929877332"/>
    <n v="929877332"/>
    <n v="687920"/>
    <n v="527282"/>
    <n v="160638"/>
    <n v="0"/>
    <n v="160638"/>
    <n v="929877332"/>
    <n v="285123"/>
    <s v="CORP DE BIENESTAR DEL PERSONAL DE A F P"/>
    <d v="2025-02-07T00:00:00"/>
    <d v="2025-02-07T00:00:00"/>
    <d v="2025-02-07T00:00:00"/>
    <d v="2025-02-07T00:00:00"/>
    <s v="AMBULATORIOS"/>
    <n v="22566278"/>
    <n v="2101551"/>
    <n v="68823264"/>
    <s v="TRASSA"/>
    <n v="9022025"/>
    <n v="77586"/>
    <s v="SAL"/>
    <s v="AM05"/>
    <s v="EXAMENES RADIOLOGICOS"/>
    <s v="EXAMENES RADIOLOGICOS"/>
    <s v="EXAMENES RADIOLOGICOS"/>
    <s v="IMED SALUD"/>
    <n v="0"/>
    <n v="76853020"/>
    <n v="3"/>
    <s v="CRUZ BLANCA"/>
    <s v="MALVAREZ@AFPHABITAT.CL"/>
    <s v="7510562|76853020|929877332|929877332"/>
    <s v="IMED SALUD"/>
    <b v="1"/>
    <s v="APORTE VIA IMED"/>
  </r>
  <r>
    <s v="12 DE SEPTIEMBRE DE 2025"/>
    <x v="233"/>
    <s v="MAURICIO OCTAVIO ALVAREZ VENEGAS"/>
    <n v="7510562"/>
    <s v="MAURICIO OCTAVIO ALVAREZ VENEGAS"/>
    <d v="2025-03-01T00:00:00"/>
    <s v="DUPLICADO"/>
    <n v="929877332"/>
    <n v="65383617"/>
    <n v="160757"/>
    <n v="0"/>
    <n v="160757"/>
    <n v="0"/>
    <n v="160757"/>
    <n v="929877332"/>
    <n v="285123"/>
    <s v="CORP DE BIENESTAR DEL PERSONAL DE A F P"/>
    <d v="2025-03-01T00:00:00"/>
    <d v="2025-03-26T00:00:00"/>
    <d v="2025-02-07T00:00:00"/>
    <d v="2025-02-07T00:00:00"/>
    <s v="AMBULATORIOS"/>
    <n v="22770554"/>
    <n v="3311105"/>
    <n v="69250508"/>
    <s v="TRASSA"/>
    <n v="1690500510"/>
    <n v="78070"/>
    <s v="SAL"/>
    <s v="AM05"/>
    <s v="EXAMENES RADIOLOGICOS"/>
    <s v="EXAMENES RADIOLOGICOS"/>
    <s v="EXAMENES RADIOLOGICOS"/>
    <n v="0"/>
    <n v="0"/>
    <n v="76853020"/>
    <n v="3"/>
    <s v="SIN ISAPRE"/>
    <s v="MALVAREZ@AFPHABITAT.CL"/>
    <s v="7510562|76853020|929877332|65383617"/>
    <s v="GASTO FISICO"/>
    <b v="0"/>
    <s v="DEPOSITADO EN CUENTA"/>
  </r>
  <r>
    <s v="12 DE SEPTIEMBRE DE 2025"/>
    <x v="230"/>
    <s v="FELIPE GUZMAN SALAZAR"/>
    <n v="13686106"/>
    <s v="FELIPE GUZMAN SALAZAR"/>
    <d v="2025-02-01T00:00:00"/>
    <s v="INICIAL"/>
    <n v="929877344"/>
    <n v="929877344"/>
    <n v="66822"/>
    <n v="60141"/>
    <n v="6681"/>
    <n v="0"/>
    <n v="6681"/>
    <n v="929877344"/>
    <n v="285123"/>
    <s v="CORP DE BIENESTAR DEL PERSONAL DE A F P"/>
    <d v="2025-02-07T00:00:00"/>
    <d v="2025-02-07T00:00:00"/>
    <d v="2025-02-07T00:00:00"/>
    <d v="2025-02-07T00:00:00"/>
    <s v="AMBULATORIOS"/>
    <n v="22566294"/>
    <n v="2101551"/>
    <n v="68823262"/>
    <s v="TRASSA"/>
    <n v="9022025"/>
    <n v="77586"/>
    <s v="SAL"/>
    <s v="AM05"/>
    <s v="EXAMENES RADIOLOGICOS"/>
    <s v="EXAMENES RADIOLOGICOS"/>
    <s v="EXAMENES RADIOLOGICOS"/>
    <s v="IMED SALUD"/>
    <n v="0"/>
    <n v="78317440"/>
    <n v="5"/>
    <s v="CRUZ BLANCA"/>
    <s v="FGUZMAN@AFPHABITAT.CL"/>
    <s v="13686106|78317440|929877344|929877344"/>
    <s v="IMED SALUD"/>
    <b v="1"/>
    <s v="APORTE VIA IMED"/>
  </r>
  <r>
    <s v="12 DE SEPTIEMBRE DE 2025"/>
    <x v="230"/>
    <s v="FELIPE GUZMAN SALAZAR"/>
    <n v="13686106"/>
    <s v="FELIPE GUZMAN SALAZAR"/>
    <d v="2025-03-01T00:00:00"/>
    <s v="DUPLICADO"/>
    <n v="929877344"/>
    <n v="65384134"/>
    <n v="6521"/>
    <n v="0"/>
    <n v="6521"/>
    <n v="0"/>
    <n v="6521"/>
    <n v="929877344"/>
    <n v="285123"/>
    <s v="CORP DE BIENESTAR DEL PERSONAL DE A F P"/>
    <d v="2025-03-01T00:00:00"/>
    <d v="2025-03-26T00:00:00"/>
    <d v="2025-02-07T00:00:00"/>
    <d v="2025-02-07T00:00:00"/>
    <s v="AMBULATORIOS"/>
    <n v="22770559"/>
    <n v="3311105"/>
    <n v="69251014"/>
    <s v="TRASSA"/>
    <n v="19801713540"/>
    <n v="78070"/>
    <s v="SAL"/>
    <s v="AM05"/>
    <s v="EXAMENES RADIOLOGICOS"/>
    <s v="EXAMENES RADIOLOGICOS"/>
    <s v="EXAMENES RADIOLOGICOS"/>
    <n v="0"/>
    <n v="0"/>
    <n v="78317440"/>
    <n v="5"/>
    <s v="SIN ISAPRE"/>
    <s v="FGUZMAN@AFPHABITAT.CL"/>
    <s v="13686106|78317440|929877344|65384134"/>
    <s v="GASTO FISICO"/>
    <b v="0"/>
    <s v="DEPOSITADO EN CUENTA"/>
  </r>
  <r>
    <s v="12 DE SEPTIEMBRE DE 2025"/>
    <x v="228"/>
    <s v="PAMELA MAKARENA CASTRO SEPULVEDA"/>
    <n v="16933109"/>
    <s v="PAMELA MAKARENA CASTRO SEPULVEDA"/>
    <d v="2025-02-01T00:00:00"/>
    <s v="INICIAL"/>
    <n v="929900118"/>
    <n v="929900118"/>
    <n v="36192"/>
    <n v="25335"/>
    <n v="10857"/>
    <n v="0"/>
    <n v="10857"/>
    <n v="929900118"/>
    <n v="285123"/>
    <s v="CORP DE BIENESTAR DEL PERSONAL DE A F P"/>
    <d v="2025-02-05T00:00:00"/>
    <d v="2025-02-05T00:00:00"/>
    <d v="2025-02-05T00:00:00"/>
    <d v="2025-02-05T00:00:00"/>
    <s v="AMBULATORIOS"/>
    <n v="22566236"/>
    <n v="2101551"/>
    <n v="68821768"/>
    <s v="TRASSA"/>
    <n v="9022025"/>
    <n v="77586"/>
    <s v="SAL"/>
    <s v="AM04"/>
    <s v="EXAMENES DE LABORATORIO"/>
    <s v="EXAMENES DE LABORATORIO"/>
    <s v="EXAMENES DE LABORATORIO"/>
    <s v="IMED SALUD"/>
    <n v="0"/>
    <n v="96942400"/>
    <n v="2"/>
    <s v="CRUZ BLANCA"/>
    <s v="PCASTROS@AFPHABITAT.CL"/>
    <s v="16933109|96942400|929900118|929900118"/>
    <s v="IMED SALUD"/>
    <b v="1"/>
    <s v="APORTE VIA IMED"/>
  </r>
  <r>
    <s v="12 DE SEPTIEMBRE DE 2025"/>
    <x v="228"/>
    <s v="PAMELA MAKARENA CASTRO SEPULVEDA"/>
    <n v="16933109"/>
    <s v="PAMELA MAKARENA CASTRO SEPULVEDA"/>
    <d v="2025-03-01T00:00:00"/>
    <s v="DUPLICADO"/>
    <n v="929900118"/>
    <n v="65384392"/>
    <n v="11125"/>
    <n v="0"/>
    <n v="11125"/>
    <n v="0"/>
    <n v="11125"/>
    <n v="929900118"/>
    <n v="285123"/>
    <s v="CORP DE BIENESTAR DEL PERSONAL DE A F P"/>
    <d v="2025-03-01T00:00:00"/>
    <d v="2025-03-26T00:00:00"/>
    <d v="2025-02-05T00:00:00"/>
    <d v="2025-02-05T00:00:00"/>
    <s v="AMBULATORIOS"/>
    <n v="22770548"/>
    <n v="3311105"/>
    <n v="69251270"/>
    <s v="TRASSA"/>
    <n v="2580093409"/>
    <n v="78070"/>
    <s v="SAL"/>
    <s v="AM04"/>
    <s v="EXAMENES DE LABORATORIO"/>
    <s v="EXAMENES DE LABORATORIO"/>
    <s v="EXAMENES DE LABORATORIO"/>
    <n v="0"/>
    <n v="0"/>
    <n v="96942400"/>
    <n v="2"/>
    <s v="SIN ISAPRE"/>
    <s v="PCASTROS@AFPHABITAT.CL"/>
    <s v="16933109|96942400|929900118|65384392"/>
    <s v="GASTO FISICO"/>
    <b v="0"/>
    <s v="DEPOSITADO EN CUENTA"/>
  </r>
  <r>
    <s v="12 DE SEPTIEMBRE DE 2025"/>
    <x v="228"/>
    <s v="PAMELA MAKARENA CASTRO SEPULVEDA"/>
    <n v="16933109"/>
    <s v="PAMELA MAKARENA CASTRO SEPULVEDA"/>
    <d v="2025-02-01T00:00:00"/>
    <s v="INICIAL"/>
    <n v="929900119"/>
    <n v="929900119"/>
    <n v="35584"/>
    <n v="24909"/>
    <n v="10675"/>
    <n v="0"/>
    <n v="10675"/>
    <n v="929900119"/>
    <n v="285123"/>
    <s v="CORP DE BIENESTAR DEL PERSONAL DE A F P"/>
    <d v="2025-02-05T00:00:00"/>
    <d v="2025-02-05T00:00:00"/>
    <d v="2025-02-05T00:00:00"/>
    <d v="2025-02-05T00:00:00"/>
    <s v="AMBULATORIOS"/>
    <n v="22566236"/>
    <n v="2101551"/>
    <n v="68821769"/>
    <s v="TRASSA"/>
    <n v="9022025"/>
    <n v="77586"/>
    <s v="SAL"/>
    <s v="AM04"/>
    <s v="EXAMENES DE LABORATORIO"/>
    <s v="EXAMENES DE LABORATORIO"/>
    <s v="EXAMENES DE LABORATORIO"/>
    <s v="IMED SALUD"/>
    <n v="0"/>
    <n v="96942400"/>
    <n v="2"/>
    <s v="CRUZ BLANCA"/>
    <s v="PCASTROS@AFPHABITAT.CL"/>
    <s v="16933109|96942400|929900119|929900119"/>
    <s v="IMED SALUD"/>
    <b v="1"/>
    <s v="APORTE VIA IMED"/>
  </r>
  <r>
    <s v="12 DE SEPTIEMBRE DE 2025"/>
    <x v="228"/>
    <s v="PAMELA MAKARENA CASTRO SEPULVEDA"/>
    <n v="16933109"/>
    <s v="PAMELA MAKARENA CASTRO SEPULVEDA"/>
    <d v="2025-03-01T00:00:00"/>
    <s v="DUPLICADO"/>
    <n v="929900119"/>
    <n v="65384393"/>
    <n v="10358"/>
    <n v="0"/>
    <n v="10358"/>
    <n v="0"/>
    <n v="10358"/>
    <n v="929900119"/>
    <n v="285123"/>
    <s v="CORP DE BIENESTAR DEL PERSONAL DE A F P"/>
    <d v="2025-03-01T00:00:00"/>
    <d v="2025-03-26T00:00:00"/>
    <d v="2025-02-05T00:00:00"/>
    <d v="2025-02-05T00:00:00"/>
    <s v="AMBULATORIOS"/>
    <n v="22770548"/>
    <n v="3311105"/>
    <n v="69251271"/>
    <s v="TRASSA"/>
    <n v="2580093409"/>
    <n v="78070"/>
    <s v="SAL"/>
    <s v="AM04"/>
    <s v="EXAMENES DE LABORATORIO"/>
    <s v="EXAMENES DE LABORATORIO"/>
    <s v="EXAMENES DE LABORATORIO"/>
    <n v="0"/>
    <n v="0"/>
    <n v="96942400"/>
    <n v="2"/>
    <s v="SIN ISAPRE"/>
    <s v="PCASTROS@AFPHABITAT.CL"/>
    <s v="16933109|96942400|929900119|65384393"/>
    <s v="GASTO FISICO"/>
    <b v="0"/>
    <s v="DEPOSITADO EN CUENTA"/>
  </r>
  <r>
    <s v="12 DE SEPTIEMBRE DE 2025"/>
    <x v="234"/>
    <s v="MIRIAM DORIS FIGUEROA ELGUETA"/>
    <n v="7154522"/>
    <s v="MIRIAM DORIS FIGUEROA ELGUETA"/>
    <d v="2025-02-01T00:00:00"/>
    <s v="INICIAL"/>
    <n v="929900814"/>
    <n v="929900814"/>
    <n v="29170"/>
    <n v="20419"/>
    <n v="8751"/>
    <n v="0"/>
    <n v="8751"/>
    <n v="929900814"/>
    <n v="285123"/>
    <s v="CORP DE BIENESTAR DEL PERSONAL DE A F P"/>
    <d v="2025-02-05T00:00:00"/>
    <d v="2025-02-05T00:00:00"/>
    <d v="2025-02-05T00:00:00"/>
    <d v="2025-02-05T00:00:00"/>
    <s v="AMBULATORIOS"/>
    <n v="22566195"/>
    <n v="2101551"/>
    <n v="68821735"/>
    <s v="TRASSA"/>
    <n v="9022025"/>
    <n v="77586"/>
    <s v="SAL"/>
    <s v="AM05"/>
    <s v="EXAMENES RADIOLOGICOS"/>
    <s v="EXAMENES RADIOLOGICOS"/>
    <s v="EXAMENES RADIOLOGICOS"/>
    <s v="IMED SALUD"/>
    <n v="0"/>
    <n v="99540210"/>
    <n v="6"/>
    <s v="CRUZ BLANCA"/>
    <s v="DFIGUERO@AFPHABITAT.CL"/>
    <s v="7154522|99540210|929900814|929900814"/>
    <s v="IMED SALUD"/>
    <b v="1"/>
    <s v="APORTE VIA IMED"/>
  </r>
  <r>
    <s v="12 DE SEPTIEMBRE DE 2025"/>
    <x v="234"/>
    <s v="MIRIAM DORIS FIGUEROA ELGUETA"/>
    <n v="7154522"/>
    <s v="MIRIAM DORIS FIGUEROA ELGUETA"/>
    <d v="2025-03-01T00:00:00"/>
    <s v="DUPLICADO"/>
    <n v="929900814"/>
    <n v="65383603"/>
    <n v="8441"/>
    <n v="0"/>
    <n v="8441"/>
    <n v="0"/>
    <n v="8441"/>
    <n v="929900814"/>
    <n v="285123"/>
    <s v="CORP DE BIENESTAR DEL PERSONAL DE A F P"/>
    <d v="2025-03-01T00:00:00"/>
    <d v="2025-03-26T00:00:00"/>
    <d v="2025-02-05T00:00:00"/>
    <d v="2025-02-05T00:00:00"/>
    <s v="AMBULATORIOS"/>
    <n v="22770536"/>
    <n v="3311105"/>
    <n v="69250494"/>
    <s v="TRASSA"/>
    <n v="14530821"/>
    <n v="78070"/>
    <s v="SAL"/>
    <s v="AM05"/>
    <s v="EXAMENES RADIOLOGICOS"/>
    <s v="EXAMENES RADIOLOGICOS"/>
    <s v="EXAMENES RADIOLOGICOS"/>
    <n v="0"/>
    <n v="0"/>
    <n v="99540210"/>
    <n v="6"/>
    <s v="SIN ISAPRE"/>
    <s v="DFIGUERO@AFPHABITAT.CL"/>
    <s v="7154522|99540210|929900814|65383603"/>
    <s v="GASTO FISICO"/>
    <b v="0"/>
    <s v="DEPOSITADO EN CUENTA"/>
  </r>
  <r>
    <s v="12 DE SEPTIEMBRE DE 2025"/>
    <x v="231"/>
    <s v="ALFREDO MAURICIO ABARCA AHUMADA"/>
    <n v="14259765"/>
    <s v="ALFREDO MAURICIO ABARCA AHUMADA"/>
    <d v="2025-02-01T00:00:00"/>
    <s v="INICIAL"/>
    <n v="929903282"/>
    <n v="929903282"/>
    <n v="30484"/>
    <n v="28960"/>
    <n v="1524"/>
    <n v="0"/>
    <n v="1524"/>
    <n v="929903282"/>
    <n v="285123"/>
    <s v="CORP DE BIENESTAR DEL PERSONAL DE A F P"/>
    <d v="2025-02-05T00:00:00"/>
    <d v="2025-02-05T00:00:00"/>
    <d v="2025-02-05T00:00:00"/>
    <d v="2025-02-05T00:00:00"/>
    <s v="AMBULATORIOS"/>
    <n v="22566219"/>
    <n v="2101551"/>
    <n v="68821565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CRUZ BLANCA"/>
    <s v="AABARCAH@AFPHABITAT.CL"/>
    <s v="14259765|96986050|929903282|929903282"/>
    <s v="IMED SALUD"/>
    <b v="1"/>
    <s v="APORTE VIA IMED"/>
  </r>
  <r>
    <s v="12 DE SEPTIEMBRE DE 2025"/>
    <x v="231"/>
    <s v="ALFREDO MAURICIO ABARCA AHUMADA"/>
    <n v="14259765"/>
    <s v="ALFREDO MAURICIO ABARCA AHUMADA"/>
    <d v="2025-03-01T00:00:00"/>
    <s v="DUPLICADO"/>
    <n v="929903282"/>
    <n v="65384216"/>
    <n v="1149"/>
    <n v="0"/>
    <n v="1149"/>
    <n v="0"/>
    <n v="1149"/>
    <n v="929903282"/>
    <n v="285123"/>
    <s v="CORP DE BIENESTAR DEL PERSONAL DE A F P"/>
    <d v="2025-03-01T00:00:00"/>
    <d v="2025-03-26T00:00:00"/>
    <d v="2025-02-05T00:00:00"/>
    <d v="2025-02-05T00:00:00"/>
    <s v="AMBULATORIOS"/>
    <n v="22770543"/>
    <n v="3311105"/>
    <n v="69251091"/>
    <s v="TRASSA"/>
    <n v="61225838"/>
    <n v="78070"/>
    <s v="SAL"/>
    <s v="AM04"/>
    <s v="EXAMENES DE LABORATORIO"/>
    <s v="EXAMENES DE LABORATORIO"/>
    <s v="EXAMENES DE LABORATORIO"/>
    <n v="0"/>
    <n v="0"/>
    <n v="96986050"/>
    <n v="3"/>
    <s v="SIN ISAPRE"/>
    <s v="AABARCAH@AFPHABITAT.CL"/>
    <s v="14259765|96986050|929903282|65384216"/>
    <s v="GASTO FISICO"/>
    <b v="0"/>
    <s v="DEPOSITADO EN CUENTA"/>
  </r>
  <r>
    <s v="12 DE SEPTIEMBRE DE 2025"/>
    <x v="231"/>
    <s v="ALFREDO MAURICIO ABARCA AHUMADA"/>
    <n v="14259765"/>
    <s v="ALFREDO MAURICIO ABARCA AHUMADA"/>
    <d v="2025-02-01T00:00:00"/>
    <s v="INICIAL"/>
    <n v="929903283"/>
    <n v="929903283"/>
    <n v="29120"/>
    <n v="27665"/>
    <n v="1455"/>
    <n v="0"/>
    <n v="1455"/>
    <n v="929903283"/>
    <n v="285123"/>
    <s v="CORP DE BIENESTAR DEL PERSONAL DE A F P"/>
    <d v="2025-02-05T00:00:00"/>
    <d v="2025-02-05T00:00:00"/>
    <d v="2025-02-05T00:00:00"/>
    <d v="2025-02-05T00:00:00"/>
    <s v="AMBULATORIOS"/>
    <n v="22566219"/>
    <n v="2101551"/>
    <n v="68821566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CRUZ BLANCA"/>
    <s v="AABARCAH@AFPHABITAT.CL"/>
    <s v="14259765|96986050|929903283|929903283"/>
    <s v="IMED SALUD"/>
    <b v="1"/>
    <s v="APORTE VIA IMED"/>
  </r>
  <r>
    <s v="12 DE SEPTIEMBRE DE 2025"/>
    <x v="231"/>
    <s v="ALFREDO MAURICIO ABARCA AHUMADA"/>
    <n v="14259765"/>
    <s v="ALFREDO MAURICIO ABARCA AHUMADA"/>
    <d v="2025-03-01T00:00:00"/>
    <s v="DUPLICADO"/>
    <n v="929903283"/>
    <n v="65384217"/>
    <n v="1916"/>
    <n v="0"/>
    <n v="1916"/>
    <n v="0"/>
    <n v="1916"/>
    <n v="929903283"/>
    <n v="285123"/>
    <s v="CORP DE BIENESTAR DEL PERSONAL DE A F P"/>
    <d v="2025-03-01T00:00:00"/>
    <d v="2025-03-26T00:00:00"/>
    <d v="2025-02-05T00:00:00"/>
    <d v="2025-02-05T00:00:00"/>
    <s v="AMBULATORIOS"/>
    <n v="22770543"/>
    <n v="3311105"/>
    <n v="69251092"/>
    <s v="TRASSA"/>
    <n v="61225838"/>
    <n v="78070"/>
    <s v="SAL"/>
    <s v="AM04"/>
    <s v="EXAMENES DE LABORATORIO"/>
    <s v="EXAMENES DE LABORATORIO"/>
    <s v="EXAMENES DE LABORATORIO"/>
    <n v="0"/>
    <n v="0"/>
    <n v="96986050"/>
    <n v="3"/>
    <s v="SIN ISAPRE"/>
    <s v="AABARCAH@AFPHABITAT.CL"/>
    <s v="14259765|96986050|929903283|65384217"/>
    <s v="GASTO FISICO"/>
    <b v="0"/>
    <s v="DEPOSITADO EN CUENTA"/>
  </r>
  <r>
    <s v="12 DE SEPTIEMBRE DE 2025"/>
    <x v="223"/>
    <s v="ARACELIT PARRA GUTIERREZ"/>
    <n v="9942550"/>
    <s v="ARACELIT PARRA GUTIERREZ"/>
    <d v="2025-01-01T00:00:00"/>
    <s v="INICIAL"/>
    <n v="929934218"/>
    <n v="929934218"/>
    <n v="211896"/>
    <n v="178495"/>
    <n v="33401"/>
    <n v="0"/>
    <n v="33401"/>
    <n v="929934218"/>
    <n v="285123"/>
    <s v="CORP DE BIENESTAR DEL PERSONAL DE A F P"/>
    <d v="2025-01-31T00:00:00"/>
    <d v="2025-01-31T00:00:00"/>
    <d v="2025-01-31T00:00:00"/>
    <d v="2025-01-31T00:00:00"/>
    <s v="AMBULATORIOS"/>
    <n v="22560992"/>
    <n v="2040929"/>
    <n v="68811252"/>
    <s v="TRASSA"/>
    <n v="2022025"/>
    <n v="77562"/>
    <s v="SAL"/>
    <s v="AM05"/>
    <s v="EXAMENES RADIOLOGICOS"/>
    <s v="EXAMENES RADIOLOGICOS"/>
    <s v="EXAMENES RADIOLOGICOS"/>
    <s v="IMED SALUD"/>
    <n v="0"/>
    <n v="76098454"/>
    <s v="K"/>
    <s v="CRUZ BLANCA"/>
    <s v="ARACELIT.PARRA@AFPHABITAT.CL"/>
    <s v="9942550|76098454|929934218|929934218"/>
    <s v="IMED SALUD"/>
    <b v="1"/>
    <s v="APORTE VIA IMED"/>
  </r>
  <r>
    <s v="12 DE SEPTIEMBRE DE 2025"/>
    <x v="223"/>
    <s v="ARACELIT PARRA GUTIERREZ"/>
    <n v="9942550"/>
    <s v="ARACELIT PARRA GUTIERREZ"/>
    <d v="2025-03-01T00:00:00"/>
    <s v="DUPLICADO"/>
    <n v="929934218"/>
    <n v="65383776"/>
    <n v="33394"/>
    <n v="0"/>
    <n v="33394"/>
    <n v="0"/>
    <n v="33394"/>
    <n v="929934218"/>
    <n v="285123"/>
    <s v="CORP DE BIENESTAR DEL PERSONAL DE A F P"/>
    <d v="2025-03-01T00:00:00"/>
    <d v="2025-03-26T00:00:00"/>
    <d v="2025-01-31T00:00:00"/>
    <d v="2025-01-31T00:00:00"/>
    <s v="AMBULATORIOS"/>
    <n v="22770479"/>
    <n v="3311105"/>
    <n v="69250665"/>
    <s v="TRASSA"/>
    <n v="918631630"/>
    <n v="78070"/>
    <s v="SAL"/>
    <s v="AM05"/>
    <s v="EXAMENES RADIOLOGICOS"/>
    <s v="EXAMENES RADIOLOGICOS"/>
    <s v="EXAMENES RADIOLOGICOS"/>
    <n v="0"/>
    <n v="0"/>
    <n v="76098454"/>
    <s v="K"/>
    <s v="SIN ISAPRE"/>
    <s v="ARACELIT.PARRA@AFPHABITAT.CL"/>
    <s v="9942550|76098454|929934218|65383776"/>
    <s v="GASTO FISICO"/>
    <b v="0"/>
    <s v="DEPOSITADO EN CUENTA"/>
  </r>
  <r>
    <s v="12 DE SEPTIEMBRE DE 2025"/>
    <x v="223"/>
    <s v="ARACELIT PARRA GUTIERREZ"/>
    <n v="9942550"/>
    <s v="ARACELIT PARRA GUTIERREZ"/>
    <d v="2025-01-01T00:00:00"/>
    <s v="INICIAL"/>
    <n v="929934802"/>
    <n v="929934802"/>
    <n v="19362"/>
    <n v="18394"/>
    <n v="968"/>
    <n v="0"/>
    <n v="968"/>
    <n v="929934802"/>
    <n v="285123"/>
    <s v="CORP DE BIENESTAR DEL PERSONAL DE A F P"/>
    <d v="2025-01-31T00:00:00"/>
    <d v="2025-01-31T00:00:00"/>
    <d v="2025-01-31T00:00:00"/>
    <d v="2025-01-31T00:00:00"/>
    <s v="AMBULATORIOS"/>
    <n v="22560992"/>
    <n v="2040929"/>
    <n v="68811193"/>
    <s v="TRASSA"/>
    <n v="2022025"/>
    <n v="77562"/>
    <s v="SAL"/>
    <s v="AM05"/>
    <s v="EXAMENES RADIOLOGICOS"/>
    <s v="EXAMENES RADIOLOGICOS"/>
    <s v="EXAMENES RADIOLOGICOS"/>
    <s v="IMED SALUD"/>
    <n v="0"/>
    <n v="76098454"/>
    <s v="K"/>
    <s v="CRUZ BLANCA"/>
    <s v="ARACELIT.PARRA@AFPHABITAT.CL"/>
    <s v="9942550|76098454|929934802|929934802"/>
    <s v="IMED SALUD"/>
    <b v="1"/>
    <s v="APORTE VIA IMED"/>
  </r>
  <r>
    <s v="12 DE SEPTIEMBRE DE 2025"/>
    <x v="223"/>
    <s v="ARACELIT PARRA GUTIERREZ"/>
    <n v="9942550"/>
    <s v="ARACELIT PARRA GUTIERREZ"/>
    <d v="2025-03-01T00:00:00"/>
    <s v="DUPLICADO"/>
    <n v="929934802"/>
    <n v="65383777"/>
    <n v="1151"/>
    <n v="0"/>
    <n v="1151"/>
    <n v="0"/>
    <n v="1151"/>
    <n v="929934802"/>
    <n v="285123"/>
    <s v="CORP DE BIENESTAR DEL PERSONAL DE A F P"/>
    <d v="2025-03-01T00:00:00"/>
    <d v="2025-03-26T00:00:00"/>
    <d v="2025-01-31T00:00:00"/>
    <d v="2025-01-31T00:00:00"/>
    <s v="AMBULATORIOS"/>
    <n v="22770479"/>
    <n v="3311105"/>
    <n v="69250666"/>
    <s v="TRASSA"/>
    <n v="918631630"/>
    <n v="78070"/>
    <s v="SAL"/>
    <s v="AM05"/>
    <s v="EXAMENES RADIOLOGICOS"/>
    <s v="EXAMENES RADIOLOGICOS"/>
    <s v="EXAMENES RADIOLOGICOS"/>
    <n v="0"/>
    <n v="0"/>
    <n v="76098454"/>
    <s v="K"/>
    <s v="SIN ISAPRE"/>
    <s v="ARACELIT.PARRA@AFPHABITAT.CL"/>
    <s v="9942550|76098454|929934802|65383777"/>
    <s v="GASTO FISICO"/>
    <b v="0"/>
    <s v="DEPOSITADO EN CUENTA"/>
  </r>
  <r>
    <s v="12 DE SEPTIEMBRE DE 2025"/>
    <x v="235"/>
    <s v="FELIPE TORRES FERNANDEZ"/>
    <n v="18783812"/>
    <s v="FELIPE TORRES FERNANDEZ"/>
    <d v="2025-01-01T00:00:00"/>
    <s v="INICIAL"/>
    <n v="929942225"/>
    <n v="929942225"/>
    <n v="9088"/>
    <n v="8179"/>
    <n v="909"/>
    <n v="0"/>
    <n v="909"/>
    <n v="929942225"/>
    <n v="285123"/>
    <s v="CORP DE BIENESTAR DEL PERSONAL DE A F P"/>
    <d v="2025-01-31T00:00:00"/>
    <d v="2025-01-31T00:00:00"/>
    <d v="2025-01-31T00:00:00"/>
    <d v="2025-01-31T00:00:00"/>
    <s v="AMBULATORIOS"/>
    <n v="22561030"/>
    <n v="2040929"/>
    <n v="68810762"/>
    <s v="TRASSA"/>
    <n v="2022025"/>
    <n v="77562"/>
    <s v="SAL"/>
    <s v="AM04"/>
    <s v="EXAMENES DE LABORATORIO"/>
    <s v="EXAMENES DE LABORATORIO"/>
    <s v="EXAMENES DE LABORATORIO"/>
    <s v="IMED SALUD"/>
    <n v="0"/>
    <n v="96942400"/>
    <n v="2"/>
    <s v="CRUZ BLANCA"/>
    <s v="FELIPE.TORRES@AFPHABITAT.CL"/>
    <s v="18783812|96942400|929942225|929942225"/>
    <s v="IMED SALUD"/>
    <b v="1"/>
    <s v="APORTE VIA IMED"/>
  </r>
  <r>
    <s v="12 DE SEPTIEMBRE DE 2025"/>
    <x v="235"/>
    <s v="FELIPE TORRES FERNANDEZ"/>
    <n v="18783812"/>
    <s v="FELIPE TORRES FERNANDEZ"/>
    <d v="2025-03-01T00:00:00"/>
    <s v="DUPLICADO"/>
    <n v="929942225"/>
    <n v="65384474"/>
    <n v="1150"/>
    <n v="0"/>
    <n v="1150"/>
    <n v="0"/>
    <n v="1150"/>
    <n v="929942225"/>
    <n v="285123"/>
    <s v="CORP DE BIENESTAR DEL PERSONAL DE A F P"/>
    <d v="2025-03-01T00:00:00"/>
    <d v="2025-03-26T00:00:00"/>
    <d v="2025-01-31T00:00:00"/>
    <d v="2025-01-31T00:00:00"/>
    <s v="AMBULATORIOS"/>
    <n v="22770491"/>
    <n v="3311105"/>
    <n v="69251340"/>
    <s v="TRASSA"/>
    <n v="70048990"/>
    <n v="78070"/>
    <s v="SAL"/>
    <s v="AM04"/>
    <s v="EXAMENES DE LABORATORIO"/>
    <s v="EXAMENES DE LABORATORIO"/>
    <s v="EXAMENES DE LABORATORIO"/>
    <n v="0"/>
    <n v="0"/>
    <n v="96942400"/>
    <n v="2"/>
    <s v="SIN ISAPRE"/>
    <s v="FELIPE.TORRES@AFPHABITAT.CL"/>
    <s v="18783812|96942400|929942225|65384474"/>
    <s v="GASTO FISICO"/>
    <b v="0"/>
    <s v="DEPOSITADO EN CUENTA"/>
  </r>
  <r>
    <s v="12 DE SEPTIEMBRE DE 2025"/>
    <x v="235"/>
    <s v="FELIPE TORRES FERNANDEZ"/>
    <n v="18783812"/>
    <s v="FELIPE TORRES FERNANDEZ"/>
    <d v="2025-01-01T00:00:00"/>
    <s v="INICIAL"/>
    <n v="929942226"/>
    <n v="929942226"/>
    <n v="51808"/>
    <n v="46628"/>
    <n v="5180"/>
    <n v="0"/>
    <n v="5180"/>
    <n v="929942226"/>
    <n v="285123"/>
    <s v="CORP DE BIENESTAR DEL PERSONAL DE A F P"/>
    <d v="2025-01-31T00:00:00"/>
    <d v="2025-01-31T00:00:00"/>
    <d v="2025-01-31T00:00:00"/>
    <d v="2025-01-31T00:00:00"/>
    <s v="AMBULATORIOS"/>
    <n v="22561030"/>
    <n v="2040929"/>
    <n v="68810763"/>
    <s v="TRASSA"/>
    <n v="2022025"/>
    <n v="77562"/>
    <s v="SAL"/>
    <s v="AM04"/>
    <s v="EXAMENES DE LABORATORIO"/>
    <s v="EXAMENES DE LABORATORIO"/>
    <s v="EXAMENES DE LABORATORIO"/>
    <s v="IMED SALUD"/>
    <n v="0"/>
    <n v="96942400"/>
    <n v="2"/>
    <s v="CRUZ BLANCA"/>
    <s v="FELIPE.TORRES@AFPHABITAT.CL"/>
    <s v="18783812|96942400|929942226|929942226"/>
    <s v="IMED SALUD"/>
    <b v="1"/>
    <s v="APORTE VIA IMED"/>
  </r>
  <r>
    <s v="12 DE SEPTIEMBRE DE 2025"/>
    <x v="235"/>
    <s v="FELIPE TORRES FERNANDEZ"/>
    <n v="18783812"/>
    <s v="FELIPE TORRES FERNANDEZ"/>
    <d v="2025-03-01T00:00:00"/>
    <s v="DUPLICADO"/>
    <n v="929942226"/>
    <n v="65384475"/>
    <n v="5371"/>
    <n v="0"/>
    <n v="5371"/>
    <n v="0"/>
    <n v="5371"/>
    <n v="929942226"/>
    <n v="285123"/>
    <s v="CORP DE BIENESTAR DEL PERSONAL DE A F P"/>
    <d v="2025-03-01T00:00:00"/>
    <d v="2025-03-26T00:00:00"/>
    <d v="2025-01-31T00:00:00"/>
    <d v="2025-01-31T00:00:00"/>
    <s v="AMBULATORIOS"/>
    <n v="22770491"/>
    <n v="3311105"/>
    <n v="69251341"/>
    <s v="TRASSA"/>
    <n v="70048990"/>
    <n v="78070"/>
    <s v="SAL"/>
    <s v="AM04"/>
    <s v="EXAMENES DE LABORATORIO"/>
    <s v="EXAMENES DE LABORATORIO"/>
    <s v="EXAMENES DE LABORATORIO"/>
    <n v="0"/>
    <n v="0"/>
    <n v="96942400"/>
    <n v="2"/>
    <s v="SIN ISAPRE"/>
    <s v="FELIPE.TORRES@AFPHABITAT.CL"/>
    <s v="18783812|96942400|929942226|65384475"/>
    <s v="GASTO FISICO"/>
    <b v="0"/>
    <s v="DEPOSITADO EN CUENTA"/>
  </r>
  <r>
    <s v="12 DE SEPTIEMBRE DE 2025"/>
    <x v="117"/>
    <s v="DAVID ALEJANDRO PIZARRO FLORES"/>
    <n v="17780739"/>
    <s v="DAVID ALEJANDRO PIZARRO FLORES"/>
    <d v="2025-01-01T00:00:00"/>
    <s v="INICIAL"/>
    <n v="929954648"/>
    <n v="929954648"/>
    <n v="25578"/>
    <n v="17755"/>
    <n v="7823"/>
    <n v="0"/>
    <n v="7823"/>
    <n v="929954648"/>
    <n v="285123"/>
    <s v="CORP DE BIENESTAR DEL PERSONAL DE A F P"/>
    <d v="2025-01-29T00:00:00"/>
    <d v="2025-01-29T00:00:00"/>
    <d v="2025-01-29T00:00:00"/>
    <d v="2025-01-29T00:00:00"/>
    <s v="SALUD MENTAL"/>
    <n v="22560933"/>
    <n v="2040929"/>
    <n v="68809899"/>
    <s v="TRASSA"/>
    <n v="2022025"/>
    <n v="77562"/>
    <s v="SAL"/>
    <s v="SM01"/>
    <s v="CONSULTA O SESIONES PSIQUIATRICAS"/>
    <s v="CONSULTA PSIQUIATRICA"/>
    <s v="CONSULTA PSIQUIATRICA"/>
    <s v="IMED SALUD"/>
    <n v="0"/>
    <n v="76098454"/>
    <s v="K"/>
    <s v="CRUZ BLANCA"/>
    <s v="DPIZARRF@AFPHABITAT.CL"/>
    <s v="17780739|76098454|929954648|929954648"/>
    <s v="IMED SALUD"/>
    <b v="1"/>
    <s v="APORTE VIA IMED"/>
  </r>
  <r>
    <s v="12 DE SEPTIEMBRE DE 2025"/>
    <x v="117"/>
    <s v="DAVID ALEJANDRO PIZARRO FLORES"/>
    <n v="17780739"/>
    <s v="DAVID ALEJANDRO PIZARRO FLORES"/>
    <d v="2025-03-01T00:00:00"/>
    <s v="DUPLICADO"/>
    <n v="929954648"/>
    <n v="65384437"/>
    <n v="7677"/>
    <n v="0"/>
    <n v="7677"/>
    <n v="0"/>
    <n v="7677"/>
    <n v="929954648"/>
    <n v="285123"/>
    <s v="CORP DE BIENESTAR DEL PERSONAL DE A F P"/>
    <d v="2025-03-01T00:00:00"/>
    <d v="2025-03-26T00:00:00"/>
    <d v="2025-01-29T00:00:00"/>
    <d v="2025-01-29T00:00:00"/>
    <s v="SALUD MENTAL"/>
    <n v="22770465"/>
    <n v="3311105"/>
    <n v="69251305"/>
    <s v="TRASSA"/>
    <n v="10012905621"/>
    <n v="78070"/>
    <s v="SAL"/>
    <s v="SM01"/>
    <s v="CONSULTA O SESIONES PSIQUIATRICAS"/>
    <s v="CONSULTA PSIQUIATRICA"/>
    <s v="CONSULTA PSIQUIATRICA"/>
    <n v="0"/>
    <n v="0"/>
    <n v="76098454"/>
    <s v="K"/>
    <s v="SIN ISAPRE"/>
    <s v="DPIZARRF@AFPHABITAT.CL"/>
    <s v="17780739|76098454|929954648|65384437"/>
    <s v="GASTO FISICO"/>
    <b v="0"/>
    <s v="DEPOSITADO EN CUENTA"/>
  </r>
  <r>
    <s v="12 DE SEPTIEMBRE DE 2025"/>
    <x v="236"/>
    <s v="NICOLAS GOMEZ SANTANA"/>
    <n v="17656664"/>
    <s v="NICOLAS GOMEZ SANTANA"/>
    <d v="2025-01-01T00:00:00"/>
    <s v="INICIAL"/>
    <n v="929974199"/>
    <n v="929974199"/>
    <n v="108094"/>
    <n v="97285"/>
    <n v="10809"/>
    <n v="0"/>
    <n v="10809"/>
    <n v="929974199"/>
    <n v="285123"/>
    <s v="CORP DE BIENESTAR DEL PERSONAL DE A F P"/>
    <d v="2025-01-28T00:00:00"/>
    <d v="2025-01-28T00:00:00"/>
    <d v="2025-01-28T00:00:00"/>
    <d v="2025-01-28T00:00:00"/>
    <s v="AMBULATORIOS"/>
    <n v="22560888"/>
    <n v="2040929"/>
    <n v="68808686"/>
    <s v="TRASSA"/>
    <n v="2022025"/>
    <n v="77562"/>
    <s v="SAL"/>
    <s v="AM07"/>
    <s v="PROCEDIMIENTOS TERAPEUTICOS"/>
    <s v="PROCEDIMIENTOS TERAPEUTICOS"/>
    <s v="PROCEDIMIENTOS TERAPEUTICOS"/>
    <s v="IMED SALUD"/>
    <n v="0"/>
    <n v="76754097"/>
    <n v="3"/>
    <s v="CRUZ BLANCA"/>
    <s v="NGOMEZ@AFPHABITAT.CL"/>
    <s v="17656664|76754097|929974199|929974199"/>
    <s v="IMED SALUD"/>
    <b v="1"/>
    <s v="APORTE VIA IMED"/>
  </r>
  <r>
    <s v="12 DE SEPTIEMBRE DE 2025"/>
    <x v="236"/>
    <s v="NICOLAS GOMEZ SANTANA"/>
    <n v="17656664"/>
    <s v="NICOLAS GOMEZ SANTANA"/>
    <d v="2025-03-01T00:00:00"/>
    <s v="DUPLICADO"/>
    <n v="929974199"/>
    <n v="65384427"/>
    <n v="10749"/>
    <n v="0"/>
    <n v="10749"/>
    <n v="0"/>
    <n v="10749"/>
    <n v="929974199"/>
    <n v="285123"/>
    <s v="CORP DE BIENESTAR DEL PERSONAL DE A F P"/>
    <d v="2025-03-01T00:00:00"/>
    <d v="2025-03-26T00:00:00"/>
    <d v="2025-01-28T00:00:00"/>
    <d v="2025-01-28T00:00:00"/>
    <s v="AMBULATORIOS"/>
    <n v="22770459"/>
    <n v="3311105"/>
    <n v="69251295"/>
    <s v="TRASSA"/>
    <n v="7018611435"/>
    <n v="78070"/>
    <s v="SAL"/>
    <s v="AM07"/>
    <s v="PROCEDIMIENTOS TERAPEUTICOS"/>
    <s v="PROCEDIMIENTOS TERAPEUTICOS"/>
    <s v="PROCEDIMIENTOS TERAPEUTICOS"/>
    <n v="0"/>
    <n v="0"/>
    <n v="76754097"/>
    <n v="3"/>
    <s v="SIN ISAPRE"/>
    <s v="NGOMEZ@AFPHABITAT.CL"/>
    <s v="17656664|76754097|929974199|65384427"/>
    <s v="GASTO FISICO"/>
    <b v="0"/>
    <s v="DEPOSITADO EN CUENTA"/>
  </r>
  <r>
    <s v="12 DE SEPTIEMBRE DE 2025"/>
    <x v="232"/>
    <s v="EDITH MYRIAM AEDO MEZA"/>
    <n v="10564729"/>
    <s v="EDITH MYRIAM AEDO MEZA"/>
    <d v="2025-01-01T00:00:00"/>
    <s v="INICIAL"/>
    <n v="929979878"/>
    <n v="929979878"/>
    <n v="56150"/>
    <n v="44920"/>
    <n v="11230"/>
    <n v="0"/>
    <n v="11230"/>
    <n v="929979878"/>
    <n v="285123"/>
    <s v="CORP DE BIENESTAR DEL PERSONAL DE A F P"/>
    <d v="2025-01-27T00:00:00"/>
    <d v="2025-01-27T00:00:00"/>
    <d v="2025-01-27T00:00:00"/>
    <d v="2025-01-27T00:00:00"/>
    <s v="AMBULATORIOS"/>
    <n v="22560800"/>
    <n v="2040929"/>
    <n v="68808297"/>
    <s v="TRASSA"/>
    <n v="2022025"/>
    <n v="77562"/>
    <s v="SAL"/>
    <s v="AM05"/>
    <s v="EXAMENES RADIOLOGICOS"/>
    <s v="EXAMENES RADIOLOGICOS"/>
    <s v="EXAMENES RADIOLOGICOS"/>
    <s v="IMED SALUD"/>
    <n v="0"/>
    <n v="76098454"/>
    <s v="K"/>
    <s v="CRUZ BLANCA"/>
    <s v="EAEDOM@AFPHABITAT.CL"/>
    <s v="10564729|76098454|929979878|929979878"/>
    <s v="IMED SALUD"/>
    <b v="1"/>
    <s v="APORTE VIA IMED"/>
  </r>
  <r>
    <s v="12 DE SEPTIEMBRE DE 2025"/>
    <x v="232"/>
    <s v="EDITH MYRIAM AEDO MEZA"/>
    <n v="10564729"/>
    <s v="EDITH MYRIAM AEDO MEZA"/>
    <d v="2025-03-01T00:00:00"/>
    <s v="DUPLICADO"/>
    <n v="929979878"/>
    <n v="65383865"/>
    <n v="11518"/>
    <n v="0"/>
    <n v="11518"/>
    <n v="0"/>
    <n v="11518"/>
    <n v="929979878"/>
    <n v="285123"/>
    <s v="CORP DE BIENESTAR DEL PERSONAL DE A F P"/>
    <d v="2025-03-01T00:00:00"/>
    <d v="2025-03-26T00:00:00"/>
    <d v="2025-01-27T00:00:00"/>
    <d v="2025-01-27T00:00:00"/>
    <s v="AMBULATORIOS"/>
    <n v="22770437"/>
    <n v="3311105"/>
    <n v="69250754"/>
    <s v="TRASSA"/>
    <n v="4080030202"/>
    <n v="78070"/>
    <s v="SAL"/>
    <s v="AM05"/>
    <s v="EXAMENES RADIOLOGICOS"/>
    <s v="EXAMENES RADIOLOGICOS"/>
    <s v="EXAMENES RADIOLOGICOS"/>
    <n v="0"/>
    <n v="0"/>
    <n v="76098454"/>
    <s v="K"/>
    <s v="SIN ISAPRE"/>
    <s v="EAEDOM@AFPHABITAT.CL"/>
    <s v="10564729|76098454|929979878|65383865"/>
    <s v="GASTO FISICO"/>
    <b v="0"/>
    <s v="DEPOSITADO EN CUENTA"/>
  </r>
  <r>
    <s v="12 DE SEPTIEMBRE DE 2025"/>
    <x v="237"/>
    <s v="CAROLINA SIU YIN WENG SANTANA"/>
    <n v="15321086"/>
    <s v="CAROLINA SIU YIN WENG SANTANA"/>
    <d v="2025-01-01T00:00:00"/>
    <s v="INICIAL"/>
    <n v="929988910"/>
    <n v="929988910"/>
    <n v="19362"/>
    <n v="15490"/>
    <n v="3872"/>
    <n v="0"/>
    <n v="3872"/>
    <n v="929988910"/>
    <n v="285123"/>
    <s v="CORP DE BIENESTAR DEL PERSONAL DE A F P"/>
    <d v="2025-01-27T00:00:00"/>
    <d v="2025-01-27T00:00:00"/>
    <d v="2025-01-27T00:00:00"/>
    <d v="2025-01-27T00:00:00"/>
    <s v="AMBULATORIOS"/>
    <n v="22560824"/>
    <n v="2040929"/>
    <n v="68807712"/>
    <s v="TRASSA"/>
    <n v="2022025"/>
    <n v="77562"/>
    <s v="SAL"/>
    <s v="AM05"/>
    <s v="EXAMENES RADIOLOGICOS"/>
    <s v="EXAMENES RADIOLOGICOS"/>
    <s v="EXAMENES RADIOLOGICOS"/>
    <s v="IMED SALUD"/>
    <n v="0"/>
    <n v="76098454"/>
    <s v="K"/>
    <s v="CRUZ BLANCA"/>
    <s v="CWENGS@AFPHABITAT.CL"/>
    <s v="15321086|76098454|929988910|929988910"/>
    <s v="IMED SALUD"/>
    <b v="1"/>
    <s v="APORTE VIA IMED"/>
  </r>
  <r>
    <s v="12 DE SEPTIEMBRE DE 2025"/>
    <x v="237"/>
    <s v="CAROLINA SIU YIN WENG SANTANA"/>
    <n v="15321086"/>
    <s v="CAROLINA SIU YIN WENG SANTANA"/>
    <d v="2025-03-01T00:00:00"/>
    <s v="DUPLICADO"/>
    <n v="929988910"/>
    <n v="65384268"/>
    <n v="3839"/>
    <n v="0"/>
    <n v="3839"/>
    <n v="0"/>
    <n v="3839"/>
    <n v="929988910"/>
    <n v="285123"/>
    <s v="CORP DE BIENESTAR DEL PERSONAL DE A F P"/>
    <d v="2025-03-01T00:00:00"/>
    <d v="2025-03-26T00:00:00"/>
    <d v="2025-01-27T00:00:00"/>
    <d v="2025-01-27T00:00:00"/>
    <s v="AMBULATORIOS"/>
    <n v="22770441"/>
    <n v="3311105"/>
    <n v="69251141"/>
    <s v="TRASSA"/>
    <n v="29473411"/>
    <n v="78070"/>
    <s v="SAL"/>
    <s v="AM05"/>
    <s v="EXAMENES RADIOLOGICOS"/>
    <s v="EXAMENES RADIOLOGICOS"/>
    <s v="EXAMENES RADIOLOGICOS"/>
    <n v="0"/>
    <n v="0"/>
    <n v="76098454"/>
    <s v="K"/>
    <s v="SIN ISAPRE"/>
    <s v="CWENGS@AFPHABITAT.CL"/>
    <s v="15321086|76098454|929988910|65384268"/>
    <s v="GASTO FISICO"/>
    <b v="0"/>
    <s v="DEPOSITADO EN CUENTA"/>
  </r>
  <r>
    <s v="12 DE SEPTIEMBRE DE 2025"/>
    <x v="238"/>
    <s v="JEANNETTE OLATE CORNEJO"/>
    <n v="12287508"/>
    <s v="JEANNETTE OLATE CORNEJO"/>
    <d v="2025-01-01T00:00:00"/>
    <s v="INICIAL"/>
    <n v="929989696"/>
    <n v="929989696"/>
    <n v="114920"/>
    <n v="102854"/>
    <n v="12066"/>
    <n v="0"/>
    <n v="12066"/>
    <n v="929989696"/>
    <n v="285123"/>
    <s v="CORP DE BIENESTAR DEL PERSONAL DE A F P"/>
    <d v="2025-01-27T00:00:00"/>
    <d v="2025-01-27T00:00:00"/>
    <d v="2025-01-27T00:00:00"/>
    <d v="2025-01-27T00:00:00"/>
    <s v="AMBULATORIOS"/>
    <n v="22560809"/>
    <n v="2040929"/>
    <n v="68807669"/>
    <s v="TRASSA"/>
    <n v="2022025"/>
    <n v="77562"/>
    <s v="SAL"/>
    <s v="AM05"/>
    <s v="EXAMENES RADIOLOGICOS"/>
    <s v="EXAMENES RADIOLOGICOS"/>
    <s v="EXAMENES RADIOLOGICOS"/>
    <s v="IMED SALUD"/>
    <n v="0"/>
    <n v="96631140"/>
    <n v="1"/>
    <s v="CRUZ BLANCA"/>
    <s v="JOLATE@AFPHABITAT.CL"/>
    <s v="12287508|96631140|929989696|929989696"/>
    <s v="IMED SALUD"/>
    <b v="1"/>
    <s v="APORTE VIA IMED"/>
  </r>
  <r>
    <s v="12 DE SEPTIEMBRE DE 2025"/>
    <x v="238"/>
    <s v="JEANNETTE OLATE CORNEJO"/>
    <n v="12287508"/>
    <s v="JEANNETTE OLATE CORNEJO"/>
    <d v="2025-03-01T00:00:00"/>
    <s v="DUPLICADO"/>
    <n v="929989696"/>
    <n v="65384006"/>
    <n v="11901"/>
    <n v="0"/>
    <n v="11901"/>
    <n v="0"/>
    <n v="11901"/>
    <n v="929989696"/>
    <n v="285123"/>
    <s v="CORP DE BIENESTAR DEL PERSONAL DE A F P"/>
    <d v="2025-03-01T00:00:00"/>
    <d v="2025-03-26T00:00:00"/>
    <d v="2025-01-27T00:00:00"/>
    <d v="2025-01-27T00:00:00"/>
    <s v="AMBULATORIOS"/>
    <n v="22770438"/>
    <n v="3311105"/>
    <n v="69250894"/>
    <s v="TRASSA"/>
    <n v="1670150306"/>
    <n v="78070"/>
    <s v="SAL"/>
    <s v="AM05"/>
    <s v="EXAMENES RADIOLOGICOS"/>
    <s v="EXAMENES RADIOLOGICOS"/>
    <s v="EXAMENES RADIOLOGICOS"/>
    <n v="0"/>
    <n v="0"/>
    <n v="96631140"/>
    <n v="1"/>
    <s v="SIN ISAPRE"/>
    <s v="JOLATE@AFPHABITAT.CL"/>
    <s v="12287508|96631140|929989696|65384006"/>
    <s v="GASTO FISICO"/>
    <b v="0"/>
    <s v="DEPOSITADO EN CUENTA"/>
  </r>
  <r>
    <s v="12 DE SEPTIEMBRE DE 2025"/>
    <x v="237"/>
    <s v="CAROLINA SIU YIN WENG SANTANA"/>
    <n v="15321086"/>
    <s v="CAROLINA SIU YIN WENG SANTANA"/>
    <d v="2025-01-01T00:00:00"/>
    <s v="INICIAL"/>
    <n v="929989722"/>
    <n v="929989722"/>
    <n v="33110"/>
    <n v="26489"/>
    <n v="6621"/>
    <n v="0"/>
    <n v="6621"/>
    <n v="929989722"/>
    <n v="285123"/>
    <s v="CORP DE BIENESTAR DEL PERSONAL DE A F P"/>
    <d v="2025-01-27T00:00:00"/>
    <d v="2025-01-27T00:00:00"/>
    <d v="2025-01-27T00:00:00"/>
    <d v="2025-01-27T00:00:00"/>
    <s v="AMBULATORIOS"/>
    <n v="22560824"/>
    <n v="2040929"/>
    <n v="68807667"/>
    <s v="TRASSA"/>
    <n v="2022025"/>
    <n v="77562"/>
    <s v="SAL"/>
    <s v="AM04"/>
    <s v="EXAMENES DE LABORATORIO"/>
    <s v="EXAMENES DE LABORATORIO"/>
    <s v="EXAMENES DE LABORATORIO"/>
    <s v="IMED SALUD"/>
    <n v="0"/>
    <n v="96986050"/>
    <n v="3"/>
    <s v="CRUZ BLANCA"/>
    <s v="CWENGS@AFPHABITAT.CL"/>
    <s v="15321086|96986050|929989722|929989722"/>
    <s v="IMED SALUD"/>
    <b v="1"/>
    <s v="APORTE VIA IMED"/>
  </r>
  <r>
    <s v="12 DE SEPTIEMBRE DE 2025"/>
    <x v="237"/>
    <s v="CAROLINA SIU YIN WENG SANTANA"/>
    <n v="15321086"/>
    <s v="CAROLINA SIU YIN WENG SANTANA"/>
    <d v="2025-03-01T00:00:00"/>
    <s v="DUPLICADO"/>
    <n v="929989722"/>
    <n v="65384269"/>
    <n v="6523"/>
    <n v="0"/>
    <n v="6523"/>
    <n v="0"/>
    <n v="6523"/>
    <n v="929989722"/>
    <n v="285123"/>
    <s v="CORP DE BIENESTAR DEL PERSONAL DE A F P"/>
    <d v="2025-03-01T00:00:00"/>
    <d v="2025-03-26T00:00:00"/>
    <d v="2025-01-27T00:00:00"/>
    <d v="2025-01-27T00:00:00"/>
    <s v="AMBULATORIOS"/>
    <n v="22770441"/>
    <n v="3311105"/>
    <n v="69251142"/>
    <s v="TRASSA"/>
    <n v="29473411"/>
    <n v="78070"/>
    <s v="SAL"/>
    <s v="AM04"/>
    <s v="EXAMENES DE LABORATORIO"/>
    <s v="EXAMENES DE LABORATORIO"/>
    <s v="EXAMENES DE LABORATORIO"/>
    <n v="0"/>
    <n v="0"/>
    <n v="96986050"/>
    <n v="3"/>
    <s v="SIN ISAPRE"/>
    <s v="CWENGS@AFPHABITAT.CL"/>
    <s v="15321086|96986050|929989722|65384269"/>
    <s v="GASTO FISICO"/>
    <b v="0"/>
    <s v="DEPOSITADO EN CUENTA"/>
  </r>
  <r>
    <s v="12 DE SEPTIEMBRE DE 2025"/>
    <x v="239"/>
    <s v="PAOLA PEREZ MUÑOZ"/>
    <n v="16966495"/>
    <s v="PAOLA PEREZ MUÑOZ"/>
    <d v="2025-01-01T00:00:00"/>
    <s v="INICIAL"/>
    <n v="930043847"/>
    <n v="930043847"/>
    <n v="252213"/>
    <n v="186232"/>
    <n v="65981"/>
    <n v="0"/>
    <n v="65981"/>
    <n v="930043847"/>
    <n v="285123"/>
    <s v="CORP DE BIENESTAR DEL PERSONAL DE A F P"/>
    <d v="2025-01-21T00:00:00"/>
    <d v="2025-01-21T00:00:00"/>
    <d v="2025-01-21T00:00:00"/>
    <d v="2025-01-21T00:00:00"/>
    <s v="AMBULATORIOS"/>
    <n v="22524666"/>
    <n v="1271320"/>
    <n v="68706596"/>
    <s v="TRASSA"/>
    <n v="26012025"/>
    <n v="77442"/>
    <s v="SAL"/>
    <s v="AM04"/>
    <s v="EXAMENES DE LABORATORIO"/>
    <s v="EXAMENES DE LABORATORIO"/>
    <s v="EXAMENES DE LABORATORIO"/>
    <s v="IMED SALUD"/>
    <n v="0"/>
    <n v="99573490"/>
    <n v="7"/>
    <s v="CRUZ BLANCA"/>
    <s v="PPEREZM@AFPHABITAT.CL"/>
    <s v="16966495|99573490|930043847|930043847"/>
    <s v="IMED SALUD"/>
    <b v="1"/>
    <s v="APORTE VIA IMED"/>
  </r>
  <r>
    <s v="12 DE SEPTIEMBRE DE 2025"/>
    <x v="239"/>
    <s v="PAOLA PEREZ MUÑOZ"/>
    <n v="16966495"/>
    <s v="PAOLA PEREZ MUÑOZ"/>
    <d v="2025-03-01T00:00:00"/>
    <s v="DUPLICADO"/>
    <n v="930043847"/>
    <n v="65384395"/>
    <n v="65294"/>
    <n v="0"/>
    <n v="65294"/>
    <n v="0"/>
    <n v="65294"/>
    <n v="930043847"/>
    <n v="285123"/>
    <s v="CORP DE BIENESTAR DEL PERSONAL DE A F P"/>
    <d v="2025-03-01T00:00:00"/>
    <d v="2025-03-26T00:00:00"/>
    <d v="2025-01-21T00:00:00"/>
    <d v="2025-01-21T00:00:00"/>
    <s v="AMBULATORIOS"/>
    <n v="22770398"/>
    <n v="3311105"/>
    <n v="69251273"/>
    <s v="TRASSA"/>
    <n v="61292729"/>
    <n v="78070"/>
    <s v="SAL"/>
    <s v="AM04"/>
    <s v="EXAMENES DE LABORATORIO"/>
    <s v="EXAMENES DE LABORATORIO"/>
    <s v="EXAMENES DE LABORATORIO"/>
    <n v="0"/>
    <n v="0"/>
    <n v="99573490"/>
    <n v="7"/>
    <s v="SIN ISAPRE"/>
    <s v="PPEREZM@AFPHABITAT.CL"/>
    <s v="16966495|99573490|930043847|65384395"/>
    <s v="GASTO FISICO"/>
    <b v="0"/>
    <s v="DEPOSITADO EN CUENTA"/>
  </r>
  <r>
    <s v="12 DE SEPTIEMBRE DE 2025"/>
    <x v="239"/>
    <s v="PAOLA PEREZ MUÑOZ"/>
    <n v="16966495"/>
    <s v="PAOLA PEREZ MUÑOZ"/>
    <d v="2025-01-01T00:00:00"/>
    <s v="INICIAL"/>
    <n v="930043848"/>
    <n v="930043848"/>
    <n v="37505"/>
    <n v="33656"/>
    <n v="3849"/>
    <n v="0"/>
    <n v="3849"/>
    <n v="930043848"/>
    <n v="285123"/>
    <s v="CORP DE BIENESTAR DEL PERSONAL DE A F P"/>
    <d v="2025-01-21T00:00:00"/>
    <d v="2025-01-21T00:00:00"/>
    <d v="2025-01-21T00:00:00"/>
    <d v="2025-01-21T00:00:00"/>
    <s v="AMBULATORIOS"/>
    <n v="22524666"/>
    <n v="1271320"/>
    <n v="68706597"/>
    <s v="TRASSA"/>
    <n v="26012025"/>
    <n v="77442"/>
    <s v="SAL"/>
    <s v="AM04"/>
    <s v="EXAMENES DE LABORATORIO"/>
    <s v="EXAMENES DE LABORATORIO"/>
    <s v="EXAMENES DE LABORATORIO"/>
    <s v="IMED SALUD"/>
    <n v="0"/>
    <n v="99573490"/>
    <n v="7"/>
    <s v="CRUZ BLANCA"/>
    <s v="PPEREZM@AFPHABITAT.CL"/>
    <s v="16966495|99573490|930043848|930043848"/>
    <s v="IMED SALUD"/>
    <b v="1"/>
    <s v="APORTE VIA IMED"/>
  </r>
  <r>
    <s v="12 DE SEPTIEMBRE DE 2025"/>
    <x v="239"/>
    <s v="PAOLA PEREZ MUÑOZ"/>
    <n v="16966495"/>
    <s v="PAOLA PEREZ MUÑOZ"/>
    <d v="2025-03-01T00:00:00"/>
    <s v="DUPLICADO"/>
    <n v="930043848"/>
    <n v="65384396"/>
    <n v="4224"/>
    <n v="0"/>
    <n v="4224"/>
    <n v="0"/>
    <n v="4224"/>
    <n v="930043848"/>
    <n v="285123"/>
    <s v="CORP DE BIENESTAR DEL PERSONAL DE A F P"/>
    <d v="2025-03-01T00:00:00"/>
    <d v="2025-03-26T00:00:00"/>
    <d v="2025-01-21T00:00:00"/>
    <d v="2025-01-21T00:00:00"/>
    <s v="AMBULATORIOS"/>
    <n v="22770398"/>
    <n v="3311105"/>
    <n v="69251274"/>
    <s v="TRASSA"/>
    <n v="61292729"/>
    <n v="78070"/>
    <s v="SAL"/>
    <s v="AM04"/>
    <s v="EXAMENES DE LABORATORIO"/>
    <s v="EXAMENES DE LABORATORIO"/>
    <s v="EXAMENES DE LABORATORIO"/>
    <n v="0"/>
    <n v="0"/>
    <n v="99573490"/>
    <n v="7"/>
    <s v="SIN ISAPRE"/>
    <s v="PPEREZM@AFPHABITAT.CL"/>
    <s v="16966495|99573490|930043848|65384396"/>
    <s v="GASTO FISICO"/>
    <b v="0"/>
    <s v="DEPOSITADO EN CUENTA"/>
  </r>
  <r>
    <s v="12 DE SEPTIEMBRE DE 2025"/>
    <x v="237"/>
    <s v="CAROLINA SIU YIN WENG SANTANA"/>
    <n v="15321086"/>
    <s v="CAROLINA SIU YIN WENG SANTANA"/>
    <d v="2025-01-01T00:00:00"/>
    <s v="INICIAL"/>
    <n v="930053705"/>
    <n v="930053705"/>
    <n v="3656"/>
    <n v="2925"/>
    <n v="731"/>
    <n v="0"/>
    <n v="731"/>
    <n v="930053705"/>
    <n v="285123"/>
    <s v="CORP DE BIENESTAR DEL PERSONAL DE A F P"/>
    <d v="2025-01-20T00:00:00"/>
    <d v="2025-01-20T00:00:00"/>
    <d v="2025-01-20T00:00:00"/>
    <d v="2025-01-20T00:00:00"/>
    <s v="AMBULATORIOS"/>
    <n v="22524604"/>
    <n v="1271320"/>
    <n v="68705923"/>
    <s v="TRASSA"/>
    <n v="26012025"/>
    <n v="77442"/>
    <s v="SAL"/>
    <s v="AM04"/>
    <s v="EXAMENES DE LABORATORIO"/>
    <s v="EXAMENES DE LABORATORIO"/>
    <s v="EXAMENES DE LABORATORIO"/>
    <s v="IMED SALUD"/>
    <n v="0"/>
    <n v="96986050"/>
    <n v="3"/>
    <s v="CRUZ BLANCA"/>
    <s v="CWENGS@AFPHABITAT.CL"/>
    <s v="15321086|96986050|930053705|930053705"/>
    <s v="IMED SALUD"/>
    <b v="1"/>
    <s v="APORTE VIA IMED"/>
  </r>
  <r>
    <s v="12 DE SEPTIEMBRE DE 2025"/>
    <x v="237"/>
    <s v="CAROLINA SIU YIN WENG SANTANA"/>
    <n v="15321086"/>
    <s v="CAROLINA SIU YIN WENG SANTANA"/>
    <d v="2025-03-01T00:00:00"/>
    <s v="DUPLICADO"/>
    <n v="930053705"/>
    <n v="65384270"/>
    <n v="768"/>
    <n v="0"/>
    <n v="768"/>
    <n v="0"/>
    <n v="768"/>
    <n v="930053705"/>
    <n v="285123"/>
    <s v="CORP DE BIENESTAR DEL PERSONAL DE A F P"/>
    <d v="2025-03-01T00:00:00"/>
    <d v="2025-03-26T00:00:00"/>
    <d v="2025-01-20T00:00:00"/>
    <d v="2025-01-20T00:00:00"/>
    <s v="AMBULATORIOS"/>
    <n v="22770386"/>
    <n v="3311105"/>
    <n v="69251143"/>
    <s v="TRASSA"/>
    <n v="29473411"/>
    <n v="78070"/>
    <s v="SAL"/>
    <s v="AM04"/>
    <s v="EXAMENES DE LABORATORIO"/>
    <s v="EXAMENES DE LABORATORIO"/>
    <s v="EXAMENES DE LABORATORIO"/>
    <n v="0"/>
    <n v="0"/>
    <n v="96986050"/>
    <n v="3"/>
    <s v="SIN ISAPRE"/>
    <s v="CWENGS@AFPHABITAT.CL"/>
    <s v="15321086|96986050|930053705|65384270"/>
    <s v="GASTO FISICO"/>
    <b v="0"/>
    <s v="DEPOSITADO EN CUENTA"/>
  </r>
  <r>
    <s v="12 DE SEPTIEMBRE DE 2025"/>
    <x v="240"/>
    <s v="CECILIA MONTOYA ORTIZ"/>
    <n v="14458519"/>
    <s v="CECILIA MONTOYA ORTIZ"/>
    <d v="2025-01-01T00:00:00"/>
    <s v="INICIAL"/>
    <n v="930063306"/>
    <n v="930063306"/>
    <n v="6806"/>
    <n v="4764"/>
    <n v="2042"/>
    <n v="0"/>
    <n v="2042"/>
    <n v="930063306"/>
    <n v="285123"/>
    <s v="CORP DE BIENESTAR DEL PERSONAL DE A F P"/>
    <d v="2025-01-18T00:00:00"/>
    <d v="2025-01-18T00:00:00"/>
    <d v="2025-01-18T00:00:00"/>
    <d v="2025-01-18T00:00:00"/>
    <s v="AMBULATORIOS"/>
    <n v="22524574"/>
    <n v="1271320"/>
    <n v="68705302"/>
    <s v="TRASSA"/>
    <n v="26012025"/>
    <n v="77442"/>
    <s v="SAL"/>
    <s v="AM04"/>
    <s v="EXAMENES DE LABORATORIO"/>
    <s v="EXAMENES DE LABORATORIO"/>
    <s v="EXAMENES DE LABORATORIO"/>
    <s v="IMED SALUD"/>
    <n v="0"/>
    <n v="96986050"/>
    <n v="3"/>
    <s v="CRUZ BLANCA"/>
    <s v="CMONTOYO@AFPHABITAT.CL"/>
    <s v="14458519|96986050|930063306|930063306"/>
    <s v="IMED SALUD"/>
    <b v="1"/>
    <s v="APORTE VIA IMED"/>
  </r>
  <r>
    <s v="12 DE SEPTIEMBRE DE 2025"/>
    <x v="240"/>
    <s v="CECILIA MONTOYA ORTIZ"/>
    <n v="14458519"/>
    <s v="CECILIA MONTOYA ORTIZ"/>
    <d v="2025-03-01T00:00:00"/>
    <s v="DUPLICADO"/>
    <n v="930063306"/>
    <n v="65384236"/>
    <n v="2304"/>
    <n v="0"/>
    <n v="2304"/>
    <n v="0"/>
    <n v="2304"/>
    <n v="930063306"/>
    <n v="285123"/>
    <s v="CORP DE BIENESTAR DEL PERSONAL DE A F P"/>
    <d v="2025-03-01T00:00:00"/>
    <d v="2025-03-26T00:00:00"/>
    <d v="2025-01-18T00:00:00"/>
    <d v="2025-01-18T00:00:00"/>
    <s v="AMBULATORIOS"/>
    <n v="22770380"/>
    <n v="3311105"/>
    <n v="69251109"/>
    <s v="TRASSA"/>
    <n v="184190143280"/>
    <n v="78070"/>
    <s v="SAL"/>
    <s v="AM04"/>
    <s v="EXAMENES DE LABORATORIO"/>
    <s v="EXAMENES DE LABORATORIO"/>
    <s v="EXAMENES DE LABORATORIO"/>
    <n v="0"/>
    <n v="0"/>
    <n v="96986050"/>
    <n v="3"/>
    <s v="SIN ISAPRE"/>
    <s v="CMONTOYO@AFPHABITAT.CL"/>
    <s v="14458519|96986050|930063306|65384236"/>
    <s v="GASTO FISICO"/>
    <b v="0"/>
    <s v="DEPOSITADO EN CUENTA"/>
  </r>
  <r>
    <s v="12 DE SEPTIEMBRE DE 2025"/>
    <x v="79"/>
    <s v="ASTRID SCHLOSS DIAZ"/>
    <n v="21160579"/>
    <s v="CONSTANZA VILLANUEVA SCHLOSS"/>
    <d v="2025-01-01T00:00:00"/>
    <s v="INICIAL"/>
    <n v="930077967"/>
    <n v="930077967"/>
    <n v="165126"/>
    <n v="115588"/>
    <n v="49538"/>
    <n v="0"/>
    <n v="49538"/>
    <n v="930077967"/>
    <n v="285123"/>
    <s v="CORP DE BIENESTAR DEL PERSONAL DE A F P"/>
    <d v="2025-01-16T00:00:00"/>
    <d v="2025-01-16T00:00:00"/>
    <d v="2025-01-16T00:00:00"/>
    <d v="2025-01-16T00:00:00"/>
    <s v="AMBULATORIOS"/>
    <n v="22497934"/>
    <n v="1210929"/>
    <n v="68690664"/>
    <s v="TRASSA"/>
    <n v="19012025"/>
    <n v="77381"/>
    <s v="SAL"/>
    <s v="AM05"/>
    <s v="EXAMENES RADIOLOGICOS"/>
    <s v="EXAMENES RADIOLOGICOS"/>
    <s v="EXAMENES RADIOLOGICOS"/>
    <s v="IMED SALUD"/>
    <n v="0"/>
    <n v="76436880"/>
    <n v="0"/>
    <s v="CRUZ BLANCA"/>
    <s v="ASCHLOSS@AFPHABITAT.CL"/>
    <s v="14036485|76436880|930077967|930077967"/>
    <s v="IMED SALUD"/>
    <b v="1"/>
    <s v="APORTE VIA IMED"/>
  </r>
  <r>
    <s v="12 DE SEPTIEMBRE DE 2025"/>
    <x v="79"/>
    <s v="ASTRID SCHLOSS DIAZ"/>
    <n v="21160579"/>
    <s v="CONSTANZA VILLANUEVA SCHLOSS"/>
    <d v="2025-03-01T00:00:00"/>
    <s v="DUPLICADO"/>
    <n v="930077967"/>
    <n v="65384201"/>
    <n v="49563"/>
    <n v="0"/>
    <n v="49563"/>
    <n v="0"/>
    <n v="49563"/>
    <n v="930077967"/>
    <n v="285123"/>
    <s v="CORP DE BIENESTAR DEL PERSONAL DE A F P"/>
    <d v="2025-03-01T00:00:00"/>
    <d v="2025-03-26T00:00:00"/>
    <d v="2025-01-16T00:00:00"/>
    <d v="2025-01-16T00:00:00"/>
    <s v="AMBULATORIOS"/>
    <n v="22770361"/>
    <n v="3311105"/>
    <n v="69251077"/>
    <s v="TRASSA"/>
    <n v="3681435602"/>
    <n v="78070"/>
    <s v="SAL"/>
    <s v="AM05"/>
    <s v="EXAMENES RADIOLOGICOS"/>
    <s v="EXAMENES RADIOLOGICOS"/>
    <s v="EXAMENES RADIOLOGICOS"/>
    <n v="0"/>
    <n v="0"/>
    <n v="76436880"/>
    <n v="0"/>
    <s v="SIN ISAPRE"/>
    <s v="ASCHLOSS@AFPHABITAT.CL"/>
    <s v="14036485|76436880|930077967|65384201"/>
    <s v="GASTO FISICO"/>
    <b v="0"/>
    <s v="DEPOSITADO EN CUENTA"/>
  </r>
  <r>
    <s v="12 DE SEPTIEMBRE DE 2025"/>
    <x v="79"/>
    <s v="ASTRID SCHLOSS DIAZ"/>
    <n v="21160579"/>
    <s v="CONSTANZA VILLANUEVA SCHLOSS"/>
    <d v="2025-01-01T00:00:00"/>
    <s v="INICIAL"/>
    <n v="930077968"/>
    <n v="930077968"/>
    <n v="2960"/>
    <n v="2072"/>
    <n v="888"/>
    <n v="0"/>
    <n v="888"/>
    <n v="930077968"/>
    <n v="285123"/>
    <s v="CORP DE BIENESTAR DEL PERSONAL DE A F P"/>
    <d v="2025-01-16T00:00:00"/>
    <d v="2025-01-16T00:00:00"/>
    <d v="2025-01-16T00:00:00"/>
    <d v="2025-01-16T00:00:00"/>
    <s v="AMBULATORIOS"/>
    <n v="22497934"/>
    <n v="1210929"/>
    <n v="68690663"/>
    <s v="TRASSA"/>
    <n v="19012025"/>
    <n v="77381"/>
    <s v="SAL"/>
    <s v="AM04"/>
    <s v="EXAMENES DE LABORATORIO"/>
    <s v="EXAMENES DE LABORATORIO"/>
    <s v="EXAMENES DE LABORATORIO"/>
    <s v="IMED SALUD"/>
    <n v="0"/>
    <n v="96770100"/>
    <n v="9"/>
    <s v="CRUZ BLANCA"/>
    <s v="ASCHLOSS@AFPHABITAT.CL"/>
    <s v="14036485|96770100|930077968|930077968"/>
    <s v="IMED SALUD"/>
    <b v="1"/>
    <s v="APORTE VIA IMED"/>
  </r>
  <r>
    <s v="12 DE SEPTIEMBRE DE 2025"/>
    <x v="79"/>
    <s v="ASTRID SCHLOSS DIAZ"/>
    <n v="21160579"/>
    <s v="CONSTANZA VILLANUEVA SCHLOSS"/>
    <d v="2025-03-01T00:00:00"/>
    <s v="DUPLICADO"/>
    <n v="930077968"/>
    <n v="65384202"/>
    <n v="768"/>
    <n v="0"/>
    <n v="768"/>
    <n v="0"/>
    <n v="768"/>
    <n v="930077968"/>
    <n v="285123"/>
    <s v="CORP DE BIENESTAR DEL PERSONAL DE A F P"/>
    <d v="2025-03-01T00:00:00"/>
    <d v="2025-03-26T00:00:00"/>
    <d v="2025-01-16T00:00:00"/>
    <d v="2025-01-16T00:00:00"/>
    <s v="AMBULATORIOS"/>
    <n v="22770361"/>
    <n v="3311105"/>
    <n v="69251078"/>
    <s v="TRASSA"/>
    <n v="3681435602"/>
    <n v="78070"/>
    <s v="SAL"/>
    <s v="AM04"/>
    <s v="EXAMENES DE LABORATORIO"/>
    <s v="EXAMENES DE LABORATORIO"/>
    <s v="EXAMENES DE LABORATORIO"/>
    <n v="0"/>
    <n v="0"/>
    <n v="96770100"/>
    <n v="9"/>
    <s v="SIN ISAPRE"/>
    <s v="ASCHLOSS@AFPHABITAT.CL"/>
    <s v="14036485|96770100|930077968|65384202"/>
    <s v="GASTO FISICO"/>
    <b v="0"/>
    <s v="DEPOSITADO EN CUENTA"/>
  </r>
  <r>
    <s v="12 DE SEPTIEMBRE DE 2025"/>
    <x v="239"/>
    <s v="PAOLA PEREZ MUÑOZ"/>
    <n v="16966495"/>
    <s v="PAOLA PEREZ MUÑOZ"/>
    <d v="2025-01-01T00:00:00"/>
    <s v="INICIAL"/>
    <n v="930112083"/>
    <n v="930112083"/>
    <n v="2892"/>
    <n v="2314"/>
    <n v="578"/>
    <n v="0"/>
    <n v="578"/>
    <n v="930112083"/>
    <n v="285123"/>
    <s v="CORP DE BIENESTAR DEL PERSONAL DE A F P"/>
    <d v="2025-01-13T00:00:00"/>
    <d v="2025-01-13T00:00:00"/>
    <d v="2025-01-13T00:00:00"/>
    <d v="2025-01-13T00:00:00"/>
    <s v="AMBULATORIOS"/>
    <n v="22497817"/>
    <n v="1210929"/>
    <n v="68688609"/>
    <s v="TRASSA"/>
    <n v="19012025"/>
    <n v="77381"/>
    <s v="SAL"/>
    <s v="AM04"/>
    <s v="EXAMENES DE LABORATORIO"/>
    <s v="EXAMENES DE LABORATORIO"/>
    <s v="EXAMENES DE LABORATORIO"/>
    <s v="IMED SALUD"/>
    <n v="0"/>
    <n v="96567920"/>
    <n v="0"/>
    <s v="CRUZ BLANCA"/>
    <s v="PPEREZM@AFPHABITAT.CL"/>
    <s v="16966495|96567920|930112083|930112083"/>
    <s v="IMED SALUD"/>
    <b v="1"/>
    <s v="APORTE VIA IMED"/>
  </r>
  <r>
    <s v="12 DE SEPTIEMBRE DE 2025"/>
    <x v="239"/>
    <s v="PAOLA PEREZ MUÑOZ"/>
    <n v="16966495"/>
    <s v="PAOLA PEREZ MUÑOZ"/>
    <d v="2025-03-01T00:00:00"/>
    <s v="DUPLICADO"/>
    <n v="930112083"/>
    <n v="65384397"/>
    <n v="768"/>
    <n v="0"/>
    <n v="768"/>
    <n v="0"/>
    <n v="768"/>
    <n v="930112083"/>
    <n v="285123"/>
    <s v="CORP DE BIENESTAR DEL PERSONAL DE A F P"/>
    <d v="2025-03-01T00:00:00"/>
    <d v="2025-03-26T00:00:00"/>
    <d v="2025-01-13T00:00:00"/>
    <d v="2025-01-13T00:00:00"/>
    <s v="AMBULATORIOS"/>
    <n v="22770341"/>
    <n v="3311105"/>
    <n v="69251275"/>
    <s v="TRASSA"/>
    <n v="61292729"/>
    <n v="78070"/>
    <s v="SAL"/>
    <s v="AM04"/>
    <s v="EXAMENES DE LABORATORIO"/>
    <s v="EXAMENES DE LABORATORIO"/>
    <s v="EXAMENES DE LABORATORIO"/>
    <n v="0"/>
    <n v="0"/>
    <n v="96567920"/>
    <n v="0"/>
    <s v="SIN ISAPRE"/>
    <s v="PPEREZM@AFPHABITAT.CL"/>
    <s v="16966495|96567920|930112083|65384397"/>
    <s v="GASTO FISICO"/>
    <b v="0"/>
    <s v="DEPOSITADO EN CUENTA"/>
  </r>
  <r>
    <s v="12 DE SEPTIEMBRE DE 2025"/>
    <x v="239"/>
    <s v="PAOLA PEREZ MUÑOZ"/>
    <n v="16966495"/>
    <s v="PAOLA PEREZ MUÑOZ"/>
    <d v="2025-01-01T00:00:00"/>
    <s v="INICIAL"/>
    <n v="930112084"/>
    <n v="930112084"/>
    <n v="108579"/>
    <n v="86863"/>
    <n v="21716"/>
    <n v="0"/>
    <n v="21716"/>
    <n v="930112084"/>
    <n v="285123"/>
    <s v="CORP DE BIENESTAR DEL PERSONAL DE A F P"/>
    <d v="2025-01-13T00:00:00"/>
    <d v="2025-01-13T00:00:00"/>
    <d v="2025-01-13T00:00:00"/>
    <d v="2025-01-13T00:00:00"/>
    <s v="AMBULATORIOS"/>
    <n v="22497817"/>
    <n v="1210929"/>
    <n v="68688610"/>
    <s v="TRASSA"/>
    <n v="19012025"/>
    <n v="77381"/>
    <s v="SAL"/>
    <s v="AM04"/>
    <s v="EXAMENES DE LABORATORIO"/>
    <s v="EXAMENES DE LABORATORIO"/>
    <s v="EXAMENES DE LABORATORIO"/>
    <s v="IMED SALUD"/>
    <n v="0"/>
    <n v="96567920"/>
    <n v="0"/>
    <s v="CRUZ BLANCA"/>
    <s v="PPEREZM@AFPHABITAT.CL"/>
    <s v="16966495|96567920|930112084|930112084"/>
    <s v="IMED SALUD"/>
    <b v="1"/>
    <s v="APORTE VIA IMED"/>
  </r>
  <r>
    <s v="12 DE SEPTIEMBRE DE 2025"/>
    <x v="239"/>
    <s v="PAOLA PEREZ MUÑOZ"/>
    <n v="16966495"/>
    <s v="PAOLA PEREZ MUÑOZ"/>
    <d v="2025-03-01T00:00:00"/>
    <s v="DUPLICADO"/>
    <n v="930112084"/>
    <n v="65384398"/>
    <n v="21902"/>
    <n v="0"/>
    <n v="21902"/>
    <n v="0"/>
    <n v="21902"/>
    <n v="930112084"/>
    <n v="285123"/>
    <s v="CORP DE BIENESTAR DEL PERSONAL DE A F P"/>
    <d v="2025-03-01T00:00:00"/>
    <d v="2025-03-26T00:00:00"/>
    <d v="2025-01-13T00:00:00"/>
    <d v="2025-01-13T00:00:00"/>
    <s v="AMBULATORIOS"/>
    <n v="22770341"/>
    <n v="3311105"/>
    <n v="69251276"/>
    <s v="TRASSA"/>
    <n v="61292729"/>
    <n v="78070"/>
    <s v="SAL"/>
    <s v="AM04"/>
    <s v="EXAMENES DE LABORATORIO"/>
    <s v="EXAMENES DE LABORATORIO"/>
    <s v="EXAMENES DE LABORATORIO"/>
    <n v="0"/>
    <n v="0"/>
    <n v="96567920"/>
    <n v="0"/>
    <s v="SIN ISAPRE"/>
    <s v="PPEREZM@AFPHABITAT.CL"/>
    <s v="16966495|96567920|930112084|65384398"/>
    <s v="GASTO FISICO"/>
    <b v="0"/>
    <s v="DEPOSITADO EN CUENTA"/>
  </r>
  <r>
    <s v="12 DE SEPTIEMBRE DE 2025"/>
    <x v="238"/>
    <s v="JEANNETTE OLATE CORNEJO"/>
    <n v="12287508"/>
    <s v="JEANNETTE OLATE CORNEJO"/>
    <d v="2025-01-01T00:00:00"/>
    <s v="INICIAL"/>
    <n v="930123723"/>
    <n v="930123723"/>
    <n v="21184"/>
    <n v="18960"/>
    <n v="2224"/>
    <n v="0"/>
    <n v="2224"/>
    <n v="930123723"/>
    <n v="285123"/>
    <s v="CORP DE BIENESTAR DEL PERSONAL DE A F P"/>
    <d v="2025-01-13T00:00:00"/>
    <d v="2025-01-13T00:00:00"/>
    <d v="2025-01-13T00:00:00"/>
    <d v="2025-01-13T00:00:00"/>
    <s v="AMBULATORIOS"/>
    <n v="22497794"/>
    <n v="1210929"/>
    <n v="68687887"/>
    <s v="TRASSA"/>
    <n v="19012025"/>
    <n v="77381"/>
    <s v="SAL"/>
    <s v="AM05"/>
    <s v="EXAMENES RADIOLOGICOS"/>
    <s v="EXAMENES RADIOLOGICOS"/>
    <s v="EXAMENES RADIOLOGICOS"/>
    <s v="IMED SALUD"/>
    <n v="0"/>
    <n v="96631140"/>
    <n v="1"/>
    <s v="CRUZ BLANCA"/>
    <s v="JOLATE@AFPHABITAT.CL"/>
    <s v="12287508|96631140|930123723|930123723"/>
    <s v="IMED SALUD"/>
    <b v="1"/>
    <s v="APORTE VIA IMED"/>
  </r>
  <r>
    <s v="12 DE SEPTIEMBRE DE 2025"/>
    <x v="238"/>
    <s v="JEANNETTE OLATE CORNEJO"/>
    <n v="12287508"/>
    <s v="JEANNETTE OLATE CORNEJO"/>
    <d v="2025-03-01T00:00:00"/>
    <s v="DUPLICADO"/>
    <n v="930123723"/>
    <n v="65384007"/>
    <n v="2305"/>
    <n v="0"/>
    <n v="2305"/>
    <n v="0"/>
    <n v="2305"/>
    <n v="930123723"/>
    <n v="285123"/>
    <s v="CORP DE BIENESTAR DEL PERSONAL DE A F P"/>
    <d v="2025-03-01T00:00:00"/>
    <d v="2025-03-26T00:00:00"/>
    <d v="2025-01-13T00:00:00"/>
    <d v="2025-01-13T00:00:00"/>
    <s v="AMBULATORIOS"/>
    <n v="22770337"/>
    <n v="3311105"/>
    <n v="69250895"/>
    <s v="TRASSA"/>
    <n v="1670150306"/>
    <n v="78070"/>
    <s v="SAL"/>
    <s v="AM05"/>
    <s v="EXAMENES RADIOLOGICOS"/>
    <s v="EXAMENES RADIOLOGICOS"/>
    <s v="EXAMENES RADIOLOGICOS"/>
    <n v="0"/>
    <n v="0"/>
    <n v="96631140"/>
    <n v="1"/>
    <s v="SIN ISAPRE"/>
    <s v="JOLATE@AFPHABITAT.CL"/>
    <s v="12287508|96631140|930123723|65384007"/>
    <s v="GASTO FISICO"/>
    <b v="0"/>
    <s v="DEPOSITADO EN CUENTA"/>
  </r>
  <r>
    <s v="12 DE SEPTIEMBRE DE 2025"/>
    <x v="241"/>
    <s v="MARCELA RODRIGUEZ ARAVENA"/>
    <n v="12752688"/>
    <s v="MARCELA RODRIGUEZ ARAVENA"/>
    <d v="2025-01-01T00:00:00"/>
    <s v="INICIAL"/>
    <n v="930135307"/>
    <n v="930135307"/>
    <n v="62641"/>
    <n v="50113"/>
    <n v="12528"/>
    <n v="0"/>
    <n v="12528"/>
    <n v="930135307"/>
    <n v="285123"/>
    <s v="CORP DE BIENESTAR DEL PERSONAL DE A F P"/>
    <d v="2025-01-10T00:00:00"/>
    <d v="2025-01-10T00:00:00"/>
    <d v="2025-01-10T00:00:00"/>
    <d v="2025-01-10T00:00:00"/>
    <s v="AMBULATORIOS"/>
    <n v="22462296"/>
    <n v="1131703"/>
    <n v="68652670"/>
    <s v="TRASSA"/>
    <n v="12012025"/>
    <n v="77298"/>
    <s v="SAL"/>
    <s v="AM05"/>
    <s v="EXAMENES RADIOLOGICOS"/>
    <s v="EXAMENES RADIOLOGICOS"/>
    <s v="EXAMENES RADIOLOGICOS"/>
    <s v="IMED SALUD"/>
    <n v="0"/>
    <n v="81949100"/>
    <n v="3"/>
    <s v="CRUZ BLANCA"/>
    <s v="MRODRIGA@AFPHABITAT.CL"/>
    <s v="12752688|81949100|930135307|930135307"/>
    <s v="IMED SALUD"/>
    <b v="1"/>
    <s v="APORTE VIA IMED"/>
  </r>
  <r>
    <s v="12 DE SEPTIEMBRE DE 2025"/>
    <x v="241"/>
    <s v="MARCELA RODRIGUEZ ARAVENA"/>
    <n v="12752688"/>
    <s v="MARCELA RODRIGUEZ ARAVENA"/>
    <d v="2025-03-01T00:00:00"/>
    <s v="DUPLICADO"/>
    <n v="930135307"/>
    <n v="65384041"/>
    <n v="12684"/>
    <n v="0"/>
    <n v="12684"/>
    <n v="0"/>
    <n v="12684"/>
    <n v="930135307"/>
    <n v="285123"/>
    <s v="CORP DE BIENESTAR DEL PERSONAL DE A F P"/>
    <d v="2025-03-01T00:00:00"/>
    <d v="2025-03-26T00:00:00"/>
    <d v="2025-01-10T00:00:00"/>
    <d v="2025-01-10T00:00:00"/>
    <s v="AMBULATORIOS"/>
    <n v="22770328"/>
    <n v="3311105"/>
    <n v="69250929"/>
    <s v="TRASSA"/>
    <n v="6308651"/>
    <n v="78070"/>
    <s v="SAL"/>
    <s v="AM05"/>
    <s v="EXAMENES RADIOLOGICOS"/>
    <s v="EXAMENES RADIOLOGICOS"/>
    <s v="EXAMENES RADIOLOGICOS"/>
    <n v="0"/>
    <n v="0"/>
    <n v="81949100"/>
    <n v="3"/>
    <s v="SIN ISAPRE"/>
    <s v="MRODRIGA@AFPHABITAT.CL"/>
    <s v="12752688|81949100|930135307|65384041"/>
    <s v="GASTO FISICO"/>
    <b v="0"/>
    <s v="DEPOSITADO EN CUENTA"/>
  </r>
  <r>
    <s v="12 DE SEPTIEMBRE DE 2025"/>
    <x v="242"/>
    <s v="CECILIA CIFUENTES REBOLLEDO"/>
    <n v="24287162"/>
    <s v="ALONSO VIZCARRA CIFUENTES"/>
    <d v="2025-01-01T00:00:00"/>
    <s v="INICIAL"/>
    <n v="930138828"/>
    <n v="930138828"/>
    <n v="14624"/>
    <n v="10237"/>
    <n v="4387"/>
    <n v="0"/>
    <n v="4387"/>
    <n v="930138828"/>
    <n v="285123"/>
    <s v="CORP DE BIENESTAR DEL PERSONAL DE A F P"/>
    <d v="2025-01-10T00:00:00"/>
    <d v="2025-01-10T00:00:00"/>
    <d v="2025-01-10T00:00:00"/>
    <d v="2025-01-10T00:00:00"/>
    <s v="AMBULATORIOS"/>
    <n v="22462294"/>
    <n v="1131703"/>
    <n v="68652436"/>
    <s v="TRASSA"/>
    <n v="12012025"/>
    <n v="77298"/>
    <s v="SAL"/>
    <s v="AM05"/>
    <s v="EXAMENES RADIOLOGICOS"/>
    <s v="EXAMENES RADIOLOGICOS"/>
    <s v="EXAMENES RADIOLOGICOS"/>
    <s v="IMED SALUD"/>
    <n v="0"/>
    <n v="76110809"/>
    <n v="3"/>
    <s v="CRUZ BLANCA"/>
    <s v="CCIFUENR@AFPHABITAT.CL"/>
    <s v="12259330|76110809|930138828|930138828"/>
    <s v="IMED SALUD"/>
    <b v="1"/>
    <s v="APORTE VIA IMED"/>
  </r>
  <r>
    <s v="12 DE SEPTIEMBRE DE 2025"/>
    <x v="242"/>
    <s v="CECILIA CIFUENTES REBOLLEDO"/>
    <n v="24287162"/>
    <s v="ALONSO VIZCARRA CIFUENTES"/>
    <d v="2025-03-01T00:00:00"/>
    <s v="DUPLICADO"/>
    <n v="930138828"/>
    <n v="65384004"/>
    <n v="4228"/>
    <n v="0"/>
    <n v="4228"/>
    <n v="0"/>
    <n v="4228"/>
    <n v="930138828"/>
    <n v="285123"/>
    <s v="CORP DE BIENESTAR DEL PERSONAL DE A F P"/>
    <d v="2025-03-01T00:00:00"/>
    <d v="2025-03-26T00:00:00"/>
    <d v="2025-01-10T00:00:00"/>
    <d v="2025-01-10T00:00:00"/>
    <s v="AMBULATORIOS"/>
    <n v="22770327"/>
    <n v="3311105"/>
    <n v="69250892"/>
    <s v="TRASSA"/>
    <n v="1591852907"/>
    <n v="78070"/>
    <s v="SAL"/>
    <s v="AM05"/>
    <s v="EXAMENES RADIOLOGICOS"/>
    <s v="EXAMENES RADIOLOGICOS"/>
    <s v="EXAMENES RADIOLOGICOS"/>
    <n v="0"/>
    <n v="0"/>
    <n v="76110809"/>
    <n v="3"/>
    <s v="SIN ISAPRE"/>
    <s v="CCIFUENR@AFPHABITAT.CL"/>
    <s v="12259330|76110809|930138828|65384004"/>
    <s v="GASTO FISICO"/>
    <b v="0"/>
    <s v="DEPOSITADO EN CUENTA"/>
  </r>
  <r>
    <s v="12 DE SEPTIEMBRE DE 2025"/>
    <x v="242"/>
    <s v="CECILIA CIFUENTES REBOLLEDO"/>
    <n v="24287162"/>
    <s v="ALONSO VIZCARRA CIFUENTES"/>
    <d v="2025-01-01T00:00:00"/>
    <s v="INICIAL"/>
    <n v="930138845"/>
    <n v="930138845"/>
    <n v="43735"/>
    <n v="30615"/>
    <n v="13120"/>
    <n v="0"/>
    <n v="13120"/>
    <n v="930138845"/>
    <n v="285123"/>
    <s v="CORP DE BIENESTAR DEL PERSONAL DE A F P"/>
    <d v="2025-01-10T00:00:00"/>
    <d v="2025-01-10T00:00:00"/>
    <d v="2025-01-10T00:00:00"/>
    <d v="2025-01-10T00:00:00"/>
    <s v="AMBULATORIOS"/>
    <n v="22462294"/>
    <n v="1131703"/>
    <n v="68652435"/>
    <s v="TRASSA"/>
    <n v="12012025"/>
    <n v="77298"/>
    <s v="SAL"/>
    <s v="AM05"/>
    <s v="EXAMENES RADIOLOGICOS"/>
    <s v="EXAMENES RADIOLOGICOS"/>
    <s v="EXAMENES RADIOLOGICOS"/>
    <s v="IMED SALUD"/>
    <n v="0"/>
    <n v="76110809"/>
    <n v="3"/>
    <s v="CRUZ BLANCA"/>
    <s v="CCIFUENR@AFPHABITAT.CL"/>
    <s v="12259330|76110809|930138845|930138845"/>
    <s v="IMED SALUD"/>
    <b v="1"/>
    <s v="APORTE VIA IMED"/>
  </r>
  <r>
    <s v="12 DE SEPTIEMBRE DE 2025"/>
    <x v="242"/>
    <s v="CECILIA CIFUENTES REBOLLEDO"/>
    <n v="24287162"/>
    <s v="ALONSO VIZCARRA CIFUENTES"/>
    <d v="2025-03-01T00:00:00"/>
    <s v="DUPLICADO"/>
    <n v="930138845"/>
    <n v="65384005"/>
    <n v="13068"/>
    <n v="0"/>
    <n v="13068"/>
    <n v="0"/>
    <n v="13068"/>
    <n v="930138845"/>
    <n v="285123"/>
    <s v="CORP DE BIENESTAR DEL PERSONAL DE A F P"/>
    <d v="2025-03-01T00:00:00"/>
    <d v="2025-03-26T00:00:00"/>
    <d v="2025-01-10T00:00:00"/>
    <d v="2025-01-10T00:00:00"/>
    <s v="AMBULATORIOS"/>
    <n v="22770327"/>
    <n v="3311105"/>
    <n v="69250893"/>
    <s v="TRASSA"/>
    <n v="1591852907"/>
    <n v="78070"/>
    <s v="SAL"/>
    <s v="AM05"/>
    <s v="EXAMENES RADIOLOGICOS"/>
    <s v="EXAMENES RADIOLOGICOS"/>
    <s v="EXAMENES RADIOLOGICOS"/>
    <n v="0"/>
    <n v="0"/>
    <n v="76110809"/>
    <n v="3"/>
    <s v="SIN ISAPRE"/>
    <s v="CCIFUENR@AFPHABITAT.CL"/>
    <s v="12259330|76110809|930138845|65384005"/>
    <s v="GASTO FISICO"/>
    <b v="0"/>
    <s v="DEPOSITADO EN CUENTA"/>
  </r>
  <r>
    <s v="12 DE SEPTIEMBRE DE 2025"/>
    <x v="240"/>
    <s v="CECILIA MONTOYA ORTIZ"/>
    <n v="14458519"/>
    <s v="CECILIA MONTOYA ORTIZ"/>
    <d v="2025-01-01T00:00:00"/>
    <s v="INICIAL"/>
    <n v="930145743"/>
    <n v="930145743"/>
    <n v="42233"/>
    <n v="29563"/>
    <n v="12670"/>
    <n v="0"/>
    <n v="12670"/>
    <n v="930145743"/>
    <n v="285123"/>
    <s v="CORP DE BIENESTAR DEL PERSONAL DE A F P"/>
    <d v="2025-01-09T00:00:00"/>
    <d v="2025-01-09T00:00:00"/>
    <d v="2025-01-09T00:00:00"/>
    <d v="2025-01-09T00:00:00"/>
    <s v="AMBULATORIOS"/>
    <n v="22462281"/>
    <n v="1131703"/>
    <n v="68651999"/>
    <s v="TRASSA"/>
    <n v="12012025"/>
    <n v="77298"/>
    <s v="SAL"/>
    <s v="AM07"/>
    <s v="PROCEDIMIENTOS TERAPEUTICOS"/>
    <s v="PROCEDIMIENTOS TERAPEUTICOS"/>
    <s v="PROCEDIMIENTOS TERAPEUTICOS"/>
    <s v="IMED SALUD"/>
    <n v="0"/>
    <n v="76098454"/>
    <s v="K"/>
    <s v="CRUZ BLANCA"/>
    <s v="CMONTOYO@AFPHABITAT.CL"/>
    <s v="14458519|76098454|930145743|930145743"/>
    <s v="IMED SALUD"/>
    <b v="1"/>
    <s v="APORTE VIA IMED"/>
  </r>
  <r>
    <s v="12 DE SEPTIEMBRE DE 2025"/>
    <x v="240"/>
    <s v="CECILIA MONTOYA ORTIZ"/>
    <n v="14458519"/>
    <s v="CECILIA MONTOYA ORTIZ"/>
    <d v="2025-03-01T00:00:00"/>
    <s v="DUPLICADO"/>
    <n v="930145743"/>
    <n v="65384237"/>
    <n v="12684"/>
    <n v="0"/>
    <n v="12684"/>
    <n v="0"/>
    <n v="12684"/>
    <n v="930145743"/>
    <n v="285123"/>
    <s v="CORP DE BIENESTAR DEL PERSONAL DE A F P"/>
    <d v="2025-03-01T00:00:00"/>
    <d v="2025-03-26T00:00:00"/>
    <d v="2025-01-09T00:00:00"/>
    <d v="2025-01-09T00:00:00"/>
    <s v="AMBULATORIOS"/>
    <n v="22770324"/>
    <n v="3311105"/>
    <n v="69251110"/>
    <s v="TRASSA"/>
    <n v="184190143280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CMONTOYO@AFPHABITAT.CL"/>
    <s v="14458519|76098454|930145743|65384237"/>
    <s v="GASTO FISICO"/>
    <b v="0"/>
    <s v="DEPOSITADO EN CUENTA"/>
  </r>
  <r>
    <s v="12 DE SEPTIEMBRE DE 2025"/>
    <x v="243"/>
    <s v="EMILIO FARIAS TISERA"/>
    <n v="9625195"/>
    <s v="JESSICA ORREGO RIVANO"/>
    <d v="2025-01-01T00:00:00"/>
    <s v="INICIAL"/>
    <n v="930158241"/>
    <n v="930158241"/>
    <n v="226038"/>
    <n v="158227"/>
    <n v="67811"/>
    <n v="0"/>
    <n v="67811"/>
    <n v="930158241"/>
    <n v="285123"/>
    <s v="CORP DE BIENESTAR DEL PERSONAL DE A F P"/>
    <d v="2025-01-08T00:00:00"/>
    <d v="2025-01-08T00:00:00"/>
    <d v="2025-01-08T00:00:00"/>
    <d v="2025-01-08T00:00:00"/>
    <s v="AMBULATORIOS"/>
    <n v="22462252"/>
    <n v="1131703"/>
    <n v="68651208"/>
    <s v="TRASSA"/>
    <n v="12012025"/>
    <n v="77298"/>
    <s v="SAL"/>
    <s v="AM05"/>
    <s v="EXAMENES RADIOLOGICOS"/>
    <s v="EXAMENES RADIOLOGICOS"/>
    <s v="EXAMENES RADIOLOGICOS"/>
    <s v="IMED SALUD"/>
    <n v="0"/>
    <n v="76098454"/>
    <s v="K"/>
    <s v="CRUZ BLANCA"/>
    <s v="EFARIAST@AFPHABITAT.CL"/>
    <s v="9153222|76098454|930158241|930158241"/>
    <s v="IMED SALUD"/>
    <b v="1"/>
    <s v="APORTE VIA IMED"/>
  </r>
  <r>
    <s v="12 DE SEPTIEMBRE DE 2025"/>
    <x v="243"/>
    <s v="EMILIO FARIAS TISERA"/>
    <n v="9625195"/>
    <s v="JESSICA ORREGO RIVANO"/>
    <d v="2025-03-01T00:00:00"/>
    <s v="DUPLICADO"/>
    <n v="930158241"/>
    <n v="65383714"/>
    <n v="67648"/>
    <n v="0"/>
    <n v="67648"/>
    <n v="0"/>
    <n v="67648"/>
    <n v="930158241"/>
    <n v="285123"/>
    <s v="CORP DE BIENESTAR DEL PERSONAL DE A F P"/>
    <d v="2025-03-01T00:00:00"/>
    <d v="2025-03-26T00:00:00"/>
    <d v="2025-01-08T00:00:00"/>
    <d v="2025-01-08T00:00:00"/>
    <s v="AMBULATORIOS"/>
    <n v="22770312"/>
    <n v="3311105"/>
    <n v="69250605"/>
    <s v="TRASSA"/>
    <n v="4330100043313"/>
    <n v="78070"/>
    <s v="SAL"/>
    <s v="AM05"/>
    <s v="EXAMENES RADIOLOGICOS"/>
    <s v="EXAMENES RADIOLOGICOS"/>
    <s v="EXAMENES RADIOLOGICOS"/>
    <n v="0"/>
    <n v="0"/>
    <n v="76098454"/>
    <s v="K"/>
    <s v="SIN ISAPRE"/>
    <s v="EFARIAST@AFPHABITAT.CL"/>
    <s v="9153222|76098454|930158241|65383714"/>
    <s v="GASTO FISICO"/>
    <b v="0"/>
    <s v="DEPOSITADO EN CUENTA"/>
  </r>
  <r>
    <s v="12 DE SEPTIEMBRE DE 2025"/>
    <x v="244"/>
    <s v="SANDRA FLORES REYES"/>
    <n v="10201208"/>
    <s v="SANDRA FLORES REYES"/>
    <d v="2025-01-01T00:00:00"/>
    <s v="INICIAL"/>
    <n v="930164187"/>
    <n v="930164187"/>
    <n v="4032"/>
    <n v="2823"/>
    <n v="1209"/>
    <n v="0"/>
    <n v="1209"/>
    <n v="930164187"/>
    <n v="285123"/>
    <s v="CORP DE BIENESTAR DEL PERSONAL DE A F P"/>
    <d v="2025-01-08T00:00:00"/>
    <d v="2025-01-08T00:00:00"/>
    <d v="2025-01-08T00:00:00"/>
    <d v="2025-01-08T00:00:00"/>
    <s v="AMBULATORIOS"/>
    <n v="22462254"/>
    <n v="1131703"/>
    <n v="68650857"/>
    <s v="TRASSA"/>
    <n v="12012025"/>
    <n v="77298"/>
    <s v="SAL"/>
    <s v="AM04"/>
    <s v="EXAMENES DE LABORATORIO"/>
    <s v="EXAMENES DE LABORATORIO"/>
    <s v="EXAMENES DE LABORATORIO"/>
    <s v="IMED SALUD"/>
    <n v="0"/>
    <n v="76242774"/>
    <n v="5"/>
    <s v="CRUZ BLANCA"/>
    <s v="SFLORES@AFPHABITAT.CL"/>
    <s v="10201208|76242774|930164187|930164187"/>
    <s v="IMED SALUD"/>
    <b v="1"/>
    <s v="APORTE VIA IMED"/>
  </r>
  <r>
    <s v="12 DE SEPTIEMBRE DE 2025"/>
    <x v="244"/>
    <s v="SANDRA FLORES REYES"/>
    <n v="10201208"/>
    <s v="SANDRA FLORES REYES"/>
    <d v="2025-03-01T00:00:00"/>
    <s v="DUPLICADO"/>
    <n v="930164187"/>
    <n v="65383809"/>
    <n v="1152"/>
    <n v="0"/>
    <n v="1152"/>
    <n v="0"/>
    <n v="1152"/>
    <n v="930164187"/>
    <n v="285123"/>
    <s v="CORP DE BIENESTAR DEL PERSONAL DE A F P"/>
    <d v="2025-03-01T00:00:00"/>
    <d v="2025-03-26T00:00:00"/>
    <d v="2025-01-08T00:00:00"/>
    <d v="2025-01-08T00:00:00"/>
    <s v="AMBULATORIOS"/>
    <n v="22770313"/>
    <n v="3311105"/>
    <n v="69250698"/>
    <s v="TRASSA"/>
    <n v="1711839298"/>
    <n v="78070"/>
    <s v="SAL"/>
    <s v="AM04"/>
    <s v="EXAMENES DE LABORATORIO"/>
    <s v="EXAMENES DE LABORATORIO"/>
    <s v="EXAMENES DE LABORATORIO"/>
    <n v="0"/>
    <n v="0"/>
    <n v="76242774"/>
    <n v="5"/>
    <s v="SIN ISAPRE"/>
    <s v="SFLORES@AFPHABITAT.CL"/>
    <s v="10201208|76242774|930164187|65383809"/>
    <s v="GASTO FISICO"/>
    <b v="0"/>
    <s v="DEPOSITADO EN CUENTA"/>
  </r>
  <r>
    <s v="12 DE SEPTIEMBRE DE 2025"/>
    <x v="245"/>
    <s v="PAMELA ALEJANDRA SEREY SEREY"/>
    <n v="26788940"/>
    <s v="SANTIAGO ARAVENA SEREY"/>
    <d v="2025-01-01T00:00:00"/>
    <s v="INICIAL"/>
    <n v="930172980"/>
    <n v="930172980"/>
    <n v="29497"/>
    <n v="20648"/>
    <n v="8849"/>
    <n v="0"/>
    <n v="8849"/>
    <n v="930172980"/>
    <n v="285123"/>
    <s v="CORP DE BIENESTAR DEL PERSONAL DE A F P"/>
    <d v="2025-01-07T00:00:00"/>
    <d v="2025-01-07T00:00:00"/>
    <d v="2025-01-07T00:00:00"/>
    <d v="2025-01-07T00:00:00"/>
    <s v="SALUD MENTAL"/>
    <n v="22462244"/>
    <n v="1131703"/>
    <n v="68650345"/>
    <s v="TRASSA"/>
    <n v="12012025"/>
    <n v="77298"/>
    <s v="SAL"/>
    <s v="SM01"/>
    <s v="CONSULTA O SESIONES PSIQUIATRICAS"/>
    <s v="CONSULTA PSIQUIATRICA"/>
    <s v="CONSULTA PSIQUIATRICA"/>
    <s v="IMED SALUD"/>
    <n v="0"/>
    <n v="76242774"/>
    <n v="5"/>
    <s v="CRUZ BLANCA"/>
    <s v="PAMELA.LAVIN@AFPHABITAT.CL"/>
    <s v="15787825|76242774|930172980|930172980"/>
    <s v="IMED SALUD"/>
    <b v="1"/>
    <s v="APORTE VIA IMED"/>
  </r>
  <r>
    <s v="12 DE SEPTIEMBRE DE 2025"/>
    <x v="245"/>
    <s v="PAMELA ALEJANDRA LAVIN SEREY"/>
    <n v="26788940"/>
    <s v="SANTIAGO ALBERTO ARAVENA LAVIN"/>
    <d v="2025-03-01T00:00:00"/>
    <s v="DUPLICADO"/>
    <n v="930172980"/>
    <n v="65384337"/>
    <n v="8839"/>
    <n v="0"/>
    <n v="8839"/>
    <n v="0"/>
    <n v="8839"/>
    <n v="930172980"/>
    <n v="285123"/>
    <s v="CORP DE BIENESTAR DEL PERSONAL DE A F P"/>
    <d v="2025-03-01T00:00:00"/>
    <d v="2025-03-26T00:00:00"/>
    <d v="2025-01-07T00:00:00"/>
    <d v="2025-01-07T00:00:00"/>
    <s v="SALUD MENTAL"/>
    <n v="22770307"/>
    <n v="3311105"/>
    <n v="69251220"/>
    <s v="TRASSA"/>
    <n v="92486753"/>
    <n v="78070"/>
    <s v="SAL"/>
    <s v="SM01"/>
    <s v="CONSULTA O SESIONES PSIQUIATRICAS"/>
    <s v="CONSULTA PSIQUIATRICA"/>
    <s v="CONSULTA PSIQUIATRICA"/>
    <n v="0"/>
    <n v="0"/>
    <n v="76242774"/>
    <n v="5"/>
    <s v="SIN ISAPRE"/>
    <s v="PAMELA.LAVIN@AFPHABITAT.CL"/>
    <s v="15787825|76242774|930172980|65384337"/>
    <s v="GASTO FISICO"/>
    <b v="0"/>
    <s v="DEPOSITADO EN CUENTA"/>
  </r>
  <r>
    <s v="12 DE SEPTIEMBRE DE 2025"/>
    <x v="246"/>
    <s v="FRANCISCA CASTILLO PARADA"/>
    <n v="8112419"/>
    <s v="FRANCISCA CASTILLO PARADA"/>
    <d v="2025-01-01T00:00:00"/>
    <s v="INICIAL"/>
    <n v="930178609"/>
    <n v="930178609"/>
    <n v="10340"/>
    <n v="7238"/>
    <n v="3102"/>
    <n v="0"/>
    <n v="3102"/>
    <n v="930178609"/>
    <n v="285123"/>
    <s v="CORP DE BIENESTAR DEL PERSONAL DE A F P"/>
    <d v="2025-01-07T00:00:00"/>
    <d v="2025-01-07T00:00:00"/>
    <d v="2025-01-07T00:00:00"/>
    <d v="2025-01-07T00:00:00"/>
    <s v="AMBULATORIOS"/>
    <n v="22462228"/>
    <n v="1131703"/>
    <n v="68650033"/>
    <s v="TRASSA"/>
    <n v="12012025"/>
    <n v="77298"/>
    <s v="SAL"/>
    <s v="AM07"/>
    <s v="PROCEDIMIENTOS TERAPEUTICOS"/>
    <s v="PROCEDIMIENTOS TERAPEUTICOS"/>
    <s v="PROCEDIMIENTOS TERAPEUTICOS"/>
    <s v="IMED SALUD"/>
    <n v="0"/>
    <n v="93915000"/>
    <n v="5"/>
    <s v="CRUZ BLANCA"/>
    <s v="FCASTILP@AFPHABITAT.CL"/>
    <s v="8112419|93915000|930178609|930178609"/>
    <s v="IMED SALUD"/>
    <b v="1"/>
    <s v="APORTE VIA IMED"/>
  </r>
  <r>
    <s v="12 DE SEPTIEMBRE DE 2025"/>
    <x v="246"/>
    <s v="FRANCISCA CASTILLO PARADA"/>
    <n v="8112419"/>
    <s v="FRANCISCA CASTILLO PARADA"/>
    <d v="2025-03-01T00:00:00"/>
    <s v="DUPLICADO"/>
    <n v="930178609"/>
    <n v="65383640"/>
    <n v="3074"/>
    <n v="0"/>
    <n v="3074"/>
    <n v="0"/>
    <n v="3074"/>
    <n v="930178609"/>
    <n v="285123"/>
    <s v="CORP DE BIENESTAR DEL PERSONAL DE A F P"/>
    <d v="2025-03-01T00:00:00"/>
    <d v="2025-03-26T00:00:00"/>
    <d v="2025-01-07T00:00:00"/>
    <d v="2025-01-07T00:00:00"/>
    <s v="AMBULATORIOS"/>
    <n v="22770299"/>
    <n v="3311105"/>
    <n v="69250531"/>
    <s v="TRASSA"/>
    <n v="12110744"/>
    <n v="78070"/>
    <s v="SAL"/>
    <s v="AM07"/>
    <s v="PROCEDIMIENTOS TERAPEUTICOS"/>
    <s v="PROCEDIMIENTOS TERAPEUTICOS"/>
    <s v="PROCEDIMIENTOS TERAPEUTICOS"/>
    <n v="0"/>
    <n v="0"/>
    <n v="93915000"/>
    <n v="5"/>
    <s v="SIN ISAPRE"/>
    <s v="FCASTILP@AFPHABITAT.CL"/>
    <s v="8112419|93915000|930178609|65383640"/>
    <s v="GASTO FISICO"/>
    <b v="0"/>
    <s v="DEPOSITADO EN CUENTA"/>
  </r>
  <r>
    <s v="12 DE SEPTIEMBRE DE 2025"/>
    <x v="247"/>
    <s v="PAOLA FLORES ROSALES"/>
    <n v="11398255"/>
    <s v="PAOLA FLORES ROSALES"/>
    <d v="2025-01-01T00:00:00"/>
    <s v="INICIAL"/>
    <n v="930187665"/>
    <n v="930187665"/>
    <n v="16493"/>
    <n v="13194"/>
    <n v="3299"/>
    <n v="0"/>
    <n v="3299"/>
    <n v="930187665"/>
    <n v="285123"/>
    <s v="CORP DE BIENESTAR DEL PERSONAL DE A F P"/>
    <d v="2025-01-06T00:00:00"/>
    <d v="2025-01-06T00:00:00"/>
    <d v="2025-01-06T00:00:00"/>
    <d v="2025-01-06T00:00:00"/>
    <s v="AMBULATORIOS"/>
    <n v="22462213"/>
    <n v="1131703"/>
    <n v="68649490"/>
    <s v="TRASSA"/>
    <n v="12012025"/>
    <n v="77298"/>
    <s v="SAL"/>
    <s v="AM04"/>
    <s v="EXAMENES DE LABORATORIO"/>
    <s v="EXAMENES DE LABORATORIO"/>
    <s v="EXAMENES DE LABORATORIO"/>
    <s v="IMED SALUD"/>
    <n v="0"/>
    <n v="96986050"/>
    <n v="3"/>
    <s v="CRUZ BLANCA"/>
    <s v="PFLORES@AFPHABITAT.CL"/>
    <s v="11398255|96986050|930187665|930187665"/>
    <s v="IMED SALUD"/>
    <b v="1"/>
    <s v="APORTE VIA IMED"/>
  </r>
  <r>
    <s v="12 DE SEPTIEMBRE DE 2025"/>
    <x v="247"/>
    <s v="PAOLA FLORES ROSALES"/>
    <n v="11398255"/>
    <s v="PAOLA FLORES ROSALES"/>
    <d v="2025-03-01T00:00:00"/>
    <s v="DUPLICADO"/>
    <n v="930187665"/>
    <n v="65383933"/>
    <n v="3456"/>
    <n v="0"/>
    <n v="3456"/>
    <n v="0"/>
    <n v="3456"/>
    <n v="930187665"/>
    <n v="285123"/>
    <s v="CORP DE BIENESTAR DEL PERSONAL DE A F P"/>
    <d v="2025-03-01T00:00:00"/>
    <d v="2025-03-26T00:00:00"/>
    <d v="2025-01-06T00:00:00"/>
    <d v="2025-01-06T00:00:00"/>
    <s v="AMBULATORIOS"/>
    <n v="22770291"/>
    <n v="3311105"/>
    <n v="69250822"/>
    <s v="TRASSA"/>
    <n v="1591524307"/>
    <n v="78070"/>
    <s v="SAL"/>
    <s v="AM04"/>
    <s v="EXAMENES DE LABORATORIO"/>
    <s v="EXAMENES DE LABORATORIO"/>
    <s v="EXAMENES DE LABORATORIO"/>
    <n v="0"/>
    <n v="0"/>
    <n v="96986050"/>
    <n v="3"/>
    <s v="SIN ISAPRE"/>
    <s v="PFLORES@AFPHABITAT.CL"/>
    <s v="11398255|96986050|930187665|65383933"/>
    <s v="GASTO FISICO"/>
    <b v="0"/>
    <s v="DEPOSITADO EN CUENTA"/>
  </r>
  <r>
    <s v="12 DE SEPTIEMBRE DE 2025"/>
    <x v="248"/>
    <s v="TERESA JACQUELINE BLU HUEPE"/>
    <n v="9424037"/>
    <s v="TERESA JACQUELINE BLU HUEPE"/>
    <d v="2025-01-01T00:00:00"/>
    <s v="INICIAL"/>
    <n v="930188484"/>
    <n v="930188484"/>
    <n v="12615"/>
    <n v="11354"/>
    <n v="1261"/>
    <n v="0"/>
    <n v="1261"/>
    <n v="930188484"/>
    <n v="285123"/>
    <s v="CORP DE BIENESTAR DEL PERSONAL DE A F P"/>
    <d v="2025-01-06T00:00:00"/>
    <d v="2025-01-06T00:00:00"/>
    <d v="2025-01-06T00:00:00"/>
    <d v="2025-01-06T00:00:00"/>
    <s v="AMBULATORIOS"/>
    <n v="22462212"/>
    <n v="1131703"/>
    <n v="68649445"/>
    <s v="TRASSA"/>
    <n v="12012025"/>
    <n v="77298"/>
    <s v="SAL"/>
    <s v="AM05"/>
    <s v="EXAMENES RADIOLOGICOS"/>
    <s v="EXAMENES RADIOLOGICOS"/>
    <s v="EXAMENES RADIOLOGICOS"/>
    <s v="IMED SALUD"/>
    <n v="0"/>
    <n v="76098454"/>
    <s v="K"/>
    <s v="CRUZ BLANCA"/>
    <s v="TBLUHU@AFPHABITAT.CL"/>
    <s v="9424037|76098454|930188484|930188484"/>
    <s v="IMED SALUD"/>
    <b v="1"/>
    <s v="APORTE VIA IMED"/>
  </r>
  <r>
    <s v="12 DE SEPTIEMBRE DE 2025"/>
    <x v="248"/>
    <s v="TERESA JACQUELINE BLU HUEPE"/>
    <n v="9424037"/>
    <s v="TERESA JACQUELINE BLU HUEPE"/>
    <d v="2025-03-01T00:00:00"/>
    <s v="DUPLICADO"/>
    <n v="930188484"/>
    <n v="65383734"/>
    <n v="1152"/>
    <n v="0"/>
    <n v="1152"/>
    <n v="0"/>
    <n v="1152"/>
    <n v="930188484"/>
    <n v="285123"/>
    <s v="CORP DE BIENESTAR DEL PERSONAL DE A F P"/>
    <d v="2025-03-01T00:00:00"/>
    <d v="2025-03-26T00:00:00"/>
    <d v="2025-01-06T00:00:00"/>
    <d v="2025-01-06T00:00:00"/>
    <s v="AMBULATORIOS"/>
    <n v="22770290"/>
    <n v="3311105"/>
    <n v="69250624"/>
    <s v="TRASSA"/>
    <n v="782083105"/>
    <n v="78070"/>
    <s v="SAL"/>
    <s v="AM05"/>
    <s v="EXAMENES RADIOLOGICOS"/>
    <s v="EXAMENES RADIOLOGICOS"/>
    <s v="EXAMENES RADIOLOGICOS"/>
    <n v="0"/>
    <n v="0"/>
    <n v="76098454"/>
    <s v="K"/>
    <s v="SIN ISAPRE"/>
    <s v="TBLUHU@AFPHABITAT.CL"/>
    <s v="9424037|76098454|930188484|65383734"/>
    <s v="GASTO FISICO"/>
    <b v="0"/>
    <s v="DEPOSITADO EN CUENTA"/>
  </r>
  <r>
    <s v="12 DE SEPTIEMBRE DE 2025"/>
    <x v="248"/>
    <s v="TERESA JACQUELINE BLU HUEPE"/>
    <n v="9424037"/>
    <s v="TERESA JACQUELINE BLU HUEPE"/>
    <d v="2025-01-01T00:00:00"/>
    <s v="INICIAL"/>
    <n v="930188907"/>
    <n v="930188907"/>
    <n v="25322"/>
    <n v="22790"/>
    <n v="2532"/>
    <n v="0"/>
    <n v="2532"/>
    <n v="930188907"/>
    <n v="285123"/>
    <s v="CORP DE BIENESTAR DEL PERSONAL DE A F P"/>
    <d v="2025-01-06T00:00:00"/>
    <d v="2025-01-06T00:00:00"/>
    <d v="2025-01-06T00:00:00"/>
    <d v="2025-01-06T00:00:00"/>
    <s v="AMBULATORIOS"/>
    <n v="22462212"/>
    <n v="1131703"/>
    <n v="68649421"/>
    <s v="TRASSA"/>
    <n v="12012025"/>
    <n v="77298"/>
    <s v="SAL"/>
    <s v="AM05"/>
    <s v="EXAMENES RADIOLOGICOS"/>
    <s v="EXAMENES RADIOLOGICOS"/>
    <s v="EXAMENES RADIOLOGICOS"/>
    <s v="IMED SALUD"/>
    <n v="0"/>
    <n v="76098454"/>
    <s v="K"/>
    <s v="CRUZ BLANCA"/>
    <s v="TBLUHU@AFPHABITAT.CL"/>
    <s v="9424037|76098454|930188907|930188907"/>
    <s v="IMED SALUD"/>
    <b v="1"/>
    <s v="APORTE VIA IMED"/>
  </r>
  <r>
    <s v="12 DE SEPTIEMBRE DE 2025"/>
    <x v="248"/>
    <s v="TERESA JACQUELINE BLU HUEPE"/>
    <n v="9424037"/>
    <s v="TERESA JACQUELINE BLU HUEPE"/>
    <d v="2025-03-01T00:00:00"/>
    <s v="DUPLICADO"/>
    <n v="930188907"/>
    <n v="65383735"/>
    <n v="2689"/>
    <n v="0"/>
    <n v="2689"/>
    <n v="0"/>
    <n v="2689"/>
    <n v="930188907"/>
    <n v="285123"/>
    <s v="CORP DE BIENESTAR DEL PERSONAL DE A F P"/>
    <d v="2025-03-01T00:00:00"/>
    <d v="2025-03-26T00:00:00"/>
    <d v="2025-01-06T00:00:00"/>
    <d v="2025-01-06T00:00:00"/>
    <s v="AMBULATORIOS"/>
    <n v="22770290"/>
    <n v="3311105"/>
    <n v="69250625"/>
    <s v="TRASSA"/>
    <n v="782083105"/>
    <n v="78070"/>
    <s v="SAL"/>
    <s v="AM05"/>
    <s v="EXAMENES RADIOLOGICOS"/>
    <s v="EXAMENES RADIOLOGICOS"/>
    <s v="EXAMENES RADIOLOGICOS"/>
    <n v="0"/>
    <n v="0"/>
    <n v="76098454"/>
    <s v="K"/>
    <s v="SIN ISAPRE"/>
    <s v="TBLUHU@AFPHABITAT.CL"/>
    <s v="9424037|76098454|930188907|65383735"/>
    <s v="GASTO FISICO"/>
    <b v="0"/>
    <s v="DEPOSITADO EN CUENTA"/>
  </r>
  <r>
    <s v="12 DE SEPTIEMBRE DE 2025"/>
    <x v="248"/>
    <s v="TERESA JACQUELINE BLU HUEPE"/>
    <n v="9424037"/>
    <s v="TERESA JACQUELINE BLU HUEPE"/>
    <d v="2025-01-01T00:00:00"/>
    <s v="INICIAL"/>
    <n v="930189040"/>
    <n v="930189040"/>
    <n v="25171"/>
    <n v="22654"/>
    <n v="2517"/>
    <n v="0"/>
    <n v="2517"/>
    <n v="930189040"/>
    <n v="285123"/>
    <s v="CORP DE BIENESTAR DEL PERSONAL DE A F P"/>
    <d v="2025-01-06T00:00:00"/>
    <d v="2025-01-06T00:00:00"/>
    <d v="2025-01-06T00:00:00"/>
    <d v="2025-01-06T00:00:00"/>
    <s v="AMBULATORIOS"/>
    <n v="22462212"/>
    <n v="1131703"/>
    <n v="68649415"/>
    <s v="TRASSA"/>
    <n v="12012025"/>
    <n v="77298"/>
    <s v="SAL"/>
    <s v="AM05"/>
    <s v="EXAMENES RADIOLOGICOS"/>
    <s v="EXAMENES RADIOLOGICOS"/>
    <s v="EXAMENES RADIOLOGICOS"/>
    <s v="IMED SALUD"/>
    <n v="0"/>
    <n v="76098454"/>
    <s v="K"/>
    <s v="CRUZ BLANCA"/>
    <s v="TBLUHU@AFPHABITAT.CL"/>
    <s v="9424037|76098454|930189040|930189040"/>
    <s v="IMED SALUD"/>
    <b v="1"/>
    <s v="APORTE VIA IMED"/>
  </r>
  <r>
    <s v="12 DE SEPTIEMBRE DE 2025"/>
    <x v="248"/>
    <s v="TERESA JACQUELINE BLU HUEPE"/>
    <n v="9424037"/>
    <s v="TERESA JACQUELINE BLU HUEPE"/>
    <d v="2025-03-01T00:00:00"/>
    <s v="DUPLICADO"/>
    <n v="930189040"/>
    <n v="65383736"/>
    <n v="2690"/>
    <n v="0"/>
    <n v="2690"/>
    <n v="0"/>
    <n v="2690"/>
    <n v="930189040"/>
    <n v="285123"/>
    <s v="CORP DE BIENESTAR DEL PERSONAL DE A F P"/>
    <d v="2025-03-01T00:00:00"/>
    <d v="2025-03-26T00:00:00"/>
    <d v="2025-01-06T00:00:00"/>
    <d v="2025-01-06T00:00:00"/>
    <s v="AMBULATORIOS"/>
    <n v="22770290"/>
    <n v="3311105"/>
    <n v="69250626"/>
    <s v="TRASSA"/>
    <n v="782083105"/>
    <n v="78070"/>
    <s v="SAL"/>
    <s v="AM05"/>
    <s v="EXAMENES RADIOLOGICOS"/>
    <s v="EXAMENES RADIOLOGICOS"/>
    <s v="EXAMENES RADIOLOGICOS"/>
    <n v="0"/>
    <n v="0"/>
    <n v="76098454"/>
    <s v="K"/>
    <s v="SIN ISAPRE"/>
    <s v="TBLUHU@AFPHABITAT.CL"/>
    <s v="9424037|76098454|930189040|65383736"/>
    <s v="GASTO FISICO"/>
    <b v="0"/>
    <s v="DEPOSITADO EN CUENTA"/>
  </r>
  <r>
    <s v="12 DE SEPTIEMBRE DE 2025"/>
    <x v="248"/>
    <s v="TERESA JACQUELINE BLU HUEPE"/>
    <n v="9424037"/>
    <s v="TERESA JACQUELINE BLU HUEPE"/>
    <d v="2025-01-01T00:00:00"/>
    <s v="INICIAL"/>
    <n v="930189166"/>
    <n v="930189166"/>
    <n v="25171"/>
    <n v="22654"/>
    <n v="2517"/>
    <n v="0"/>
    <n v="2517"/>
    <n v="930189166"/>
    <n v="285123"/>
    <s v="CORP DE BIENESTAR DEL PERSONAL DE A F P"/>
    <d v="2025-01-06T00:00:00"/>
    <d v="2025-01-06T00:00:00"/>
    <d v="2025-01-06T00:00:00"/>
    <d v="2025-01-06T00:00:00"/>
    <s v="AMBULATORIOS"/>
    <n v="22462212"/>
    <n v="1131703"/>
    <n v="68649406"/>
    <s v="TRASSA"/>
    <n v="12012025"/>
    <n v="77298"/>
    <s v="SAL"/>
    <s v="AM05"/>
    <s v="EXAMENES RADIOLOGICOS"/>
    <s v="EXAMENES RADIOLOGICOS"/>
    <s v="EXAMENES RADIOLOGICOS"/>
    <s v="IMED SALUD"/>
    <n v="0"/>
    <n v="76098454"/>
    <s v="K"/>
    <s v="CRUZ BLANCA"/>
    <s v="TBLUHU@AFPHABITAT.CL"/>
    <s v="9424037|76098454|930189166|930189166"/>
    <s v="IMED SALUD"/>
    <b v="1"/>
    <s v="APORTE VIA IMED"/>
  </r>
  <r>
    <s v="12 DE SEPTIEMBRE DE 2025"/>
    <x v="248"/>
    <s v="TERESA JACQUELINE BLU HUEPE"/>
    <n v="9424037"/>
    <s v="TERESA JACQUELINE BLU HUEPE"/>
    <d v="2025-03-01T00:00:00"/>
    <s v="DUPLICADO"/>
    <n v="930189166"/>
    <n v="65383737"/>
    <n v="2690"/>
    <n v="0"/>
    <n v="2690"/>
    <n v="0"/>
    <n v="2690"/>
    <n v="930189166"/>
    <n v="285123"/>
    <s v="CORP DE BIENESTAR DEL PERSONAL DE A F P"/>
    <d v="2025-03-01T00:00:00"/>
    <d v="2025-03-26T00:00:00"/>
    <d v="2025-01-06T00:00:00"/>
    <d v="2025-01-06T00:00:00"/>
    <s v="AMBULATORIOS"/>
    <n v="22770290"/>
    <n v="3311105"/>
    <n v="69250627"/>
    <s v="TRASSA"/>
    <n v="782083105"/>
    <n v="78070"/>
    <s v="SAL"/>
    <s v="AM05"/>
    <s v="EXAMENES RADIOLOGICOS"/>
    <s v="EXAMENES RADIOLOGICOS"/>
    <s v="EXAMENES RADIOLOGICOS"/>
    <n v="0"/>
    <n v="0"/>
    <n v="76098454"/>
    <s v="K"/>
    <s v="SIN ISAPRE"/>
    <s v="TBLUHU@AFPHABITAT.CL"/>
    <s v="9424037|76098454|930189166|65383737"/>
    <s v="GASTO FISICO"/>
    <b v="0"/>
    <s v="DEPOSITADO EN CUENTA"/>
  </r>
  <r>
    <s v="12 DE SEPTIEMBRE DE 2025"/>
    <x v="231"/>
    <s v="ALFREDO MAURICIO ABARCA AHUMADA"/>
    <n v="14259765"/>
    <s v="ALFREDO MAURICIO ABARCA AHUMADA"/>
    <d v="2025-01-01T00:00:00"/>
    <s v="INICIAL"/>
    <n v="930195072"/>
    <n v="930195072"/>
    <n v="22356"/>
    <n v="21238"/>
    <n v="1118"/>
    <n v="0"/>
    <n v="1118"/>
    <n v="930195072"/>
    <n v="285123"/>
    <s v="CORP DE BIENESTAR DEL PERSONAL DE A F P"/>
    <d v="2025-01-06T00:00:00"/>
    <d v="2025-01-06T00:00:00"/>
    <d v="2025-01-06T00:00:00"/>
    <d v="2025-01-06T00:00:00"/>
    <s v="AMBULATORIOS"/>
    <n v="22462217"/>
    <n v="1131703"/>
    <n v="68649124"/>
    <s v="TRASSA"/>
    <n v="12012025"/>
    <n v="77298"/>
    <s v="SAL"/>
    <s v="AM04"/>
    <s v="EXAMENES DE LABORATORIO"/>
    <s v="EXAMENES DE LABORATORIO"/>
    <s v="EXAMENES DE LABORATORIO"/>
    <s v="IMED SALUD"/>
    <n v="0"/>
    <n v="96986050"/>
    <n v="3"/>
    <s v="CRUZ BLANCA"/>
    <s v="AABARCAH@AFPHABITAT.CL"/>
    <s v="14259765|96986050|930195072|930195072"/>
    <s v="IMED SALUD"/>
    <b v="1"/>
    <s v="APORTE VIA IMED"/>
  </r>
  <r>
    <s v="12 DE SEPTIEMBRE DE 2025"/>
    <x v="231"/>
    <s v="ALFREDO MAURICIO ABARCA AHUMADA"/>
    <n v="14259765"/>
    <s v="ALFREDO MAURICIO ABARCA AHUMADA"/>
    <d v="2025-03-01T00:00:00"/>
    <s v="DUPLICADO"/>
    <n v="930195072"/>
    <n v="65384218"/>
    <n v="768"/>
    <n v="0"/>
    <n v="768"/>
    <n v="0"/>
    <n v="768"/>
    <n v="930195072"/>
    <n v="285123"/>
    <s v="CORP DE BIENESTAR DEL PERSONAL DE A F P"/>
    <d v="2025-03-01T00:00:00"/>
    <d v="2025-03-26T00:00:00"/>
    <d v="2025-01-06T00:00:00"/>
    <d v="2025-01-06T00:00:00"/>
    <s v="AMBULATORIOS"/>
    <n v="22770295"/>
    <n v="3311105"/>
    <n v="69251093"/>
    <s v="TRASSA"/>
    <n v="61225838"/>
    <n v="78070"/>
    <s v="SAL"/>
    <s v="AM04"/>
    <s v="EXAMENES DE LABORATORIO"/>
    <s v="EXAMENES DE LABORATORIO"/>
    <s v="EXAMENES DE LABORATORIO"/>
    <n v="0"/>
    <n v="0"/>
    <n v="96986050"/>
    <n v="3"/>
    <s v="SIN ISAPRE"/>
    <s v="AABARCAH@AFPHABITAT.CL"/>
    <s v="14259765|96986050|930195072|65384218"/>
    <s v="GASTO FISICO"/>
    <b v="0"/>
    <s v="DEPOSITADO EN CUENTA"/>
  </r>
  <r>
    <s v="12 DE SEPTIEMBRE DE 2025"/>
    <x v="231"/>
    <s v="ALFREDO MAURICIO ABARCA AHUMADA"/>
    <n v="14259765"/>
    <s v="ALFREDO MAURICIO ABARCA AHUMADA"/>
    <d v="2025-01-01T00:00:00"/>
    <s v="INICIAL"/>
    <n v="930195073"/>
    <n v="930195073"/>
    <n v="33273"/>
    <n v="31608"/>
    <n v="1665"/>
    <n v="0"/>
    <n v="1665"/>
    <n v="930195073"/>
    <n v="285123"/>
    <s v="CORP DE BIENESTAR DEL PERSONAL DE A F P"/>
    <d v="2025-01-06T00:00:00"/>
    <d v="2025-01-06T00:00:00"/>
    <d v="2025-01-06T00:00:00"/>
    <d v="2025-01-06T00:00:00"/>
    <s v="AMBULATORIOS"/>
    <n v="22462217"/>
    <n v="1131703"/>
    <n v="68649125"/>
    <s v="TRASSA"/>
    <n v="12012025"/>
    <n v="77298"/>
    <s v="SAL"/>
    <s v="AM04"/>
    <s v="EXAMENES DE LABORATORIO"/>
    <s v="EXAMENES DE LABORATORIO"/>
    <s v="EXAMENES DE LABORATORIO"/>
    <s v="IMED SALUD"/>
    <n v="0"/>
    <n v="96986050"/>
    <n v="3"/>
    <s v="CRUZ BLANCA"/>
    <s v="AABARCAH@AFPHABITAT.CL"/>
    <s v="14259765|96986050|930195073|930195073"/>
    <s v="IMED SALUD"/>
    <b v="1"/>
    <s v="APORTE VIA IMED"/>
  </r>
  <r>
    <s v="12 DE SEPTIEMBRE DE 2025"/>
    <x v="231"/>
    <s v="ALFREDO MAURICIO ABARCA AHUMADA"/>
    <n v="14259765"/>
    <s v="ALFREDO MAURICIO ABARCA AHUMADA"/>
    <d v="2025-03-01T00:00:00"/>
    <s v="DUPLICADO"/>
    <n v="930195073"/>
    <n v="65384219"/>
    <n v="1536"/>
    <n v="0"/>
    <n v="1536"/>
    <n v="0"/>
    <n v="1536"/>
    <n v="930195073"/>
    <n v="285123"/>
    <s v="CORP DE BIENESTAR DEL PERSONAL DE A F P"/>
    <d v="2025-03-01T00:00:00"/>
    <d v="2025-03-26T00:00:00"/>
    <d v="2025-01-06T00:00:00"/>
    <d v="2025-01-06T00:00:00"/>
    <s v="AMBULATORIOS"/>
    <n v="22770295"/>
    <n v="3311105"/>
    <n v="69251094"/>
    <s v="TRASSA"/>
    <n v="61225838"/>
    <n v="78070"/>
    <s v="SAL"/>
    <s v="AM04"/>
    <s v="EXAMENES DE LABORATORIO"/>
    <s v="EXAMENES DE LABORATORIO"/>
    <s v="EXAMENES DE LABORATORIO"/>
    <n v="0"/>
    <n v="0"/>
    <n v="96986050"/>
    <n v="3"/>
    <s v="SIN ISAPRE"/>
    <s v="AABARCAH@AFPHABITAT.CL"/>
    <s v="14259765|96986050|930195073|65384219"/>
    <s v="GASTO FISICO"/>
    <b v="0"/>
    <s v="DEPOSITADO EN CUENTA"/>
  </r>
  <r>
    <s v="12 DE SEPTIEMBRE DE 2025"/>
    <x v="231"/>
    <s v="ALFREDO MAURICIO ABARCA AHUMADA"/>
    <n v="14259765"/>
    <s v="ALFREDO MAURICIO ABARCA AHUMADA"/>
    <d v="2025-01-01T00:00:00"/>
    <s v="INICIAL"/>
    <n v="930195074"/>
    <n v="930195074"/>
    <n v="24749"/>
    <n v="23511"/>
    <n v="1238"/>
    <n v="0"/>
    <n v="1238"/>
    <n v="930195074"/>
    <n v="285123"/>
    <s v="CORP DE BIENESTAR DEL PERSONAL DE A F P"/>
    <d v="2025-01-06T00:00:00"/>
    <d v="2025-01-06T00:00:00"/>
    <d v="2025-01-06T00:00:00"/>
    <d v="2025-01-06T00:00:00"/>
    <s v="AMBULATORIOS"/>
    <n v="22462217"/>
    <n v="1131703"/>
    <n v="68649126"/>
    <s v="TRASSA"/>
    <n v="12012025"/>
    <n v="77298"/>
    <s v="SAL"/>
    <s v="AM04"/>
    <s v="EXAMENES DE LABORATORIO"/>
    <s v="EXAMENES DE LABORATORIO"/>
    <s v="EXAMENES DE LABORATORIO"/>
    <s v="IMED SALUD"/>
    <n v="0"/>
    <n v="96986050"/>
    <n v="3"/>
    <s v="CRUZ BLANCA"/>
    <s v="AABARCAH@AFPHABITAT.CL"/>
    <s v="14259765|96986050|930195074|930195074"/>
    <s v="IMED SALUD"/>
    <b v="1"/>
    <s v="APORTE VIA IMED"/>
  </r>
  <r>
    <s v="12 DE SEPTIEMBRE DE 2025"/>
    <x v="231"/>
    <s v="ALFREDO MAURICIO ABARCA AHUMADA"/>
    <n v="14259765"/>
    <s v="ALFREDO MAURICIO ABARCA AHUMADA"/>
    <d v="2025-03-01T00:00:00"/>
    <s v="DUPLICADO"/>
    <n v="930195074"/>
    <n v="65384220"/>
    <n v="1536"/>
    <n v="0"/>
    <n v="1536"/>
    <n v="0"/>
    <n v="1536"/>
    <n v="930195074"/>
    <n v="285123"/>
    <s v="CORP DE BIENESTAR DEL PERSONAL DE A F P"/>
    <d v="2025-03-01T00:00:00"/>
    <d v="2025-03-26T00:00:00"/>
    <d v="2025-01-06T00:00:00"/>
    <d v="2025-01-06T00:00:00"/>
    <s v="AMBULATORIOS"/>
    <n v="22770295"/>
    <n v="3311105"/>
    <n v="69251095"/>
    <s v="TRASSA"/>
    <n v="61225838"/>
    <n v="78070"/>
    <s v="SAL"/>
    <s v="AM04"/>
    <s v="EXAMENES DE LABORATORIO"/>
    <s v="EXAMENES DE LABORATORIO"/>
    <s v="EXAMENES DE LABORATORIO"/>
    <n v="0"/>
    <n v="0"/>
    <n v="96986050"/>
    <n v="3"/>
    <s v="SIN ISAPRE"/>
    <s v="AABARCAH@AFPHABITAT.CL"/>
    <s v="14259765|96986050|930195074|65384220"/>
    <s v="GASTO FISICO"/>
    <b v="0"/>
    <s v="DEPOSITADO EN CUENTA"/>
  </r>
  <r>
    <s v="12 DE SEPTIEMBRE DE 2025"/>
    <x v="249"/>
    <s v="NICOLAS PATRICIO ORTIZ SAEZ"/>
    <n v="24956150"/>
    <s v="MATEO ORTIZ AREVALO"/>
    <d v="2025-01-01T00:00:00"/>
    <s v="INICIAL"/>
    <n v="930197830"/>
    <n v="930197830"/>
    <n v="74374"/>
    <n v="23023"/>
    <n v="51351"/>
    <n v="0"/>
    <n v="51351"/>
    <n v="930197830"/>
    <n v="285123"/>
    <s v="CORP DE BIENESTAR DEL PERSONAL DE A F P"/>
    <d v="2025-01-04T00:00:00"/>
    <d v="2025-01-04T00:00:00"/>
    <d v="2025-01-04T00:00:00"/>
    <d v="2025-01-04T00:00:00"/>
    <s v="AMBULATORIOS"/>
    <n v="22462207"/>
    <n v="1131703"/>
    <n v="68648994"/>
    <s v="TRASSA"/>
    <n v="12012025"/>
    <n v="77298"/>
    <s v="SAL"/>
    <s v="AM05"/>
    <s v="EXAMENES RADIOLOGICOS"/>
    <s v="EXAMENES RADIOLOGICOS"/>
    <s v="EXAMENES RADIOLOGICOS"/>
    <s v="IMED SALUD"/>
    <n v="0"/>
    <n v="93930000"/>
    <n v="7"/>
    <s v="CRUZ BLANCA"/>
    <s v="NORTIZS@AFPHABITAT.CL"/>
    <s v="17753710|93930000|930197830|930197830"/>
    <s v="IMED SALUD"/>
    <b v="1"/>
    <s v="APORTE VIA IMED"/>
  </r>
  <r>
    <s v="12 DE SEPTIEMBRE DE 2025"/>
    <x v="249"/>
    <s v="NICOLAS PATRICIO ORTIZ SAEZ"/>
    <n v="24956150"/>
    <s v="MATEO ORTIZ AREVALO"/>
    <d v="2025-03-01T00:00:00"/>
    <s v="DUPLICADO"/>
    <n v="930197830"/>
    <n v="65384431"/>
    <n v="44190"/>
    <n v="0"/>
    <n v="44190"/>
    <n v="0"/>
    <n v="44190"/>
    <n v="930197830"/>
    <n v="285123"/>
    <s v="CORP DE BIENESTAR DEL PERSONAL DE A F P"/>
    <d v="2025-03-01T00:00:00"/>
    <d v="2025-03-26T00:00:00"/>
    <d v="2025-01-04T00:00:00"/>
    <d v="2025-01-04T00:00:00"/>
    <s v="AMBULATORIOS"/>
    <n v="22770288"/>
    <n v="3311105"/>
    <n v="69251299"/>
    <s v="TRASSA"/>
    <n v="21537321"/>
    <n v="78070"/>
    <s v="SAL"/>
    <s v="AM05"/>
    <s v="EXAMENES RADIOLOGICOS"/>
    <s v="EXAMENES RADIOLOGICOS"/>
    <s v="EXAMENES RADIOLOGICOS"/>
    <n v="0"/>
    <n v="0"/>
    <n v="93930000"/>
    <n v="7"/>
    <s v="SIN ISAPRE"/>
    <s v="NORTIZS@AFPHABITAT.CL"/>
    <s v="17753710|93930000|930197830|65384431"/>
    <s v="GASTO FISICO"/>
    <b v="0"/>
    <s v="DEPOSITADO EN CUENTA"/>
  </r>
  <r>
    <s v="12 DE SEPTIEMBRE DE 2025"/>
    <x v="249"/>
    <s v="NICOLAS PATRICIO ORTIZ SAEZ"/>
    <n v="24956150"/>
    <s v="MATEO ORTIZ AREVALO"/>
    <d v="2025-01-01T00:00:00"/>
    <s v="INICIAL"/>
    <n v="930197831"/>
    <n v="930197831"/>
    <n v="52266"/>
    <n v="8088"/>
    <n v="44178"/>
    <n v="0"/>
    <n v="44178"/>
    <n v="930197831"/>
    <n v="285123"/>
    <s v="CORP DE BIENESTAR DEL PERSONAL DE A F P"/>
    <d v="2025-01-04T00:00:00"/>
    <d v="2025-01-04T00:00:00"/>
    <d v="2025-01-04T00:00:00"/>
    <d v="2025-01-04T00:00:00"/>
    <s v="AMBULATORIOS"/>
    <n v="22462207"/>
    <n v="1131703"/>
    <n v="68648995"/>
    <s v="TRASSA"/>
    <n v="12012025"/>
    <n v="77298"/>
    <s v="SAL"/>
    <s v="AM04"/>
    <s v="EXAMENES DE LABORATORIO"/>
    <s v="EXAMENES DE LABORATORIO"/>
    <s v="EXAMENES DE LABORATORIO"/>
    <s v="IMED SALUD"/>
    <n v="0"/>
    <n v="93930000"/>
    <n v="7"/>
    <s v="CRUZ BLANCA"/>
    <s v="NORTIZS@AFPHABITAT.CL"/>
    <s v="17753710|93930000|930197831|930197831"/>
    <s v="IMED SALUD"/>
    <b v="1"/>
    <s v="APORTE VIA IMED"/>
  </r>
  <r>
    <s v="12 DE SEPTIEMBRE DE 2025"/>
    <x v="249"/>
    <s v="NICOLAS PATRICIO ORTIZ SAEZ"/>
    <n v="24956150"/>
    <s v="MATEO ORTIZ AREVALO"/>
    <d v="2025-03-01T00:00:00"/>
    <s v="DUPLICADO"/>
    <n v="930197831"/>
    <n v="65384432"/>
    <n v="34967"/>
    <n v="0"/>
    <n v="34967"/>
    <n v="0"/>
    <n v="34967"/>
    <n v="930197831"/>
    <n v="285123"/>
    <s v="CORP DE BIENESTAR DEL PERSONAL DE A F P"/>
    <d v="2025-03-01T00:00:00"/>
    <d v="2025-03-26T00:00:00"/>
    <d v="2025-01-04T00:00:00"/>
    <d v="2025-01-04T00:00:00"/>
    <s v="AMBULATORIOS"/>
    <n v="22770288"/>
    <n v="3311105"/>
    <n v="69251300"/>
    <s v="TRASSA"/>
    <n v="21537321"/>
    <n v="78070"/>
    <s v="SAL"/>
    <s v="AM04"/>
    <s v="EXAMENES DE LABORATORIO"/>
    <s v="EXAMENES DE LABORATORIO"/>
    <s v="EXAMENES DE LABORATORIO"/>
    <n v="0"/>
    <n v="0"/>
    <n v="93930000"/>
    <n v="7"/>
    <s v="SIN ISAPRE"/>
    <s v="NORTIZS@AFPHABITAT.CL"/>
    <s v="17753710|93930000|930197831|65384432"/>
    <s v="GASTO FISICO"/>
    <b v="0"/>
    <s v="DEPOSITADO EN CUENTA"/>
  </r>
  <r>
    <s v="12 DE SEPTIEMBRE DE 2025"/>
    <x v="241"/>
    <s v="MARCELA RODRIGUEZ ARAVENA"/>
    <n v="12752688"/>
    <s v="MARCELA RODRIGUEZ ARAVENA"/>
    <d v="2025-01-01T00:00:00"/>
    <s v="INICIAL"/>
    <n v="930213898"/>
    <n v="930213898"/>
    <n v="1769"/>
    <n v="1280"/>
    <n v="489"/>
    <n v="0"/>
    <n v="489"/>
    <n v="930213898"/>
    <n v="285123"/>
    <s v="CORP DE BIENESTAR DEL PERSONAL DE A F P"/>
    <d v="2025-01-03T00:00:00"/>
    <d v="2025-01-03T00:00:00"/>
    <d v="2025-01-03T00:00:00"/>
    <d v="2025-01-03T00:00:00"/>
    <s v="AMBULATORIOS"/>
    <n v="22473670"/>
    <n v="1061637"/>
    <n v="68611505"/>
    <s v="TRASSA"/>
    <n v="5012025"/>
    <n v="77320"/>
    <s v="SAL"/>
    <s v="AM04"/>
    <s v="EXAMENES DE LABORATORIO"/>
    <s v="EXAMENES DE LABORATORIO"/>
    <s v="EXAMENES DE LABORATORIO"/>
    <s v="IMED SALUD"/>
    <n v="0"/>
    <n v="81949100"/>
    <n v="3"/>
    <s v="CRUZ BLANCA"/>
    <s v="MRODRIGA@AFPHABITAT.CL"/>
    <s v="12752688|81949100|930213898|930213898"/>
    <s v="IMED SALUD"/>
    <b v="1"/>
    <s v="APORTE VIA IMED"/>
  </r>
  <r>
    <s v="12 DE SEPTIEMBRE DE 2025"/>
    <x v="241"/>
    <s v="MARCELA RODRIGUEZ ARAVENA"/>
    <n v="12752688"/>
    <s v="MARCELA RODRIGUEZ ARAVENA"/>
    <d v="2025-03-01T00:00:00"/>
    <s v="DUPLICADO"/>
    <n v="930213898"/>
    <n v="65384042"/>
    <n v="384"/>
    <n v="0"/>
    <n v="384"/>
    <n v="0"/>
    <n v="384"/>
    <n v="930213898"/>
    <n v="285123"/>
    <s v="CORP DE BIENESTAR DEL PERSONAL DE A F P"/>
    <d v="2025-03-01T00:00:00"/>
    <d v="2025-03-26T00:00:00"/>
    <d v="2025-01-03T00:00:00"/>
    <d v="2025-01-03T00:00:00"/>
    <s v="AMBULATORIOS"/>
    <n v="22770282"/>
    <n v="3311105"/>
    <n v="69250930"/>
    <s v="TRASSA"/>
    <n v="6308651"/>
    <n v="78070"/>
    <s v="SAL"/>
    <s v="AM04"/>
    <s v="EXAMENES DE LABORATORIO"/>
    <s v="EXAMENES DE LABORATORIO"/>
    <s v="EXAMENES DE LABORATORIO"/>
    <n v="0"/>
    <n v="0"/>
    <n v="81949100"/>
    <n v="3"/>
    <s v="SIN ISAPRE"/>
    <s v="MRODRIGA@AFPHABITAT.CL"/>
    <s v="12752688|81949100|930213898|65384042"/>
    <s v="GASTO FISICO"/>
    <b v="0"/>
    <s v="DEPOSITADO EN CUENTA"/>
  </r>
  <r>
    <s v="12 DE SEPTIEMBRE DE 2025"/>
    <x v="241"/>
    <s v="MARCELA RODRIGUEZ ARAVENA"/>
    <n v="12752688"/>
    <s v="MARCELA RODRIGUEZ ARAVENA"/>
    <d v="2025-01-01T00:00:00"/>
    <s v="INICIAL"/>
    <n v="930213899"/>
    <n v="930213899"/>
    <n v="48190"/>
    <n v="35997"/>
    <n v="12193"/>
    <n v="0"/>
    <n v="12193"/>
    <n v="930213899"/>
    <n v="285123"/>
    <s v="CORP DE BIENESTAR DEL PERSONAL DE A F P"/>
    <d v="2025-01-03T00:00:00"/>
    <d v="2025-01-03T00:00:00"/>
    <d v="2025-01-03T00:00:00"/>
    <d v="2025-01-03T00:00:00"/>
    <s v="AMBULATORIOS"/>
    <n v="22473670"/>
    <n v="1061637"/>
    <n v="68611506"/>
    <s v="TRASSA"/>
    <n v="5012025"/>
    <n v="77320"/>
    <s v="SAL"/>
    <s v="AM04"/>
    <s v="EXAMENES DE LABORATORIO"/>
    <s v="EXAMENES DE LABORATORIO"/>
    <s v="EXAMENES DE LABORATORIO"/>
    <s v="IMED SALUD"/>
    <n v="0"/>
    <n v="81949100"/>
    <n v="3"/>
    <s v="CRUZ BLANCA"/>
    <s v="MRODRIGA@AFPHABITAT.CL"/>
    <s v="12752688|81949100|930213899|930213899"/>
    <s v="IMED SALUD"/>
    <b v="1"/>
    <s v="APORTE VIA IMED"/>
  </r>
  <r>
    <s v="12 DE SEPTIEMBRE DE 2025"/>
    <x v="241"/>
    <s v="MARCELA RODRIGUEZ ARAVENA"/>
    <n v="12752688"/>
    <s v="MARCELA RODRIGUEZ ARAVENA"/>
    <d v="2025-03-01T00:00:00"/>
    <s v="DUPLICADO"/>
    <n v="930213899"/>
    <n v="65384043"/>
    <n v="11909"/>
    <n v="0"/>
    <n v="11909"/>
    <n v="0"/>
    <n v="11909"/>
    <n v="930213899"/>
    <n v="285123"/>
    <s v="CORP DE BIENESTAR DEL PERSONAL DE A F P"/>
    <d v="2025-03-01T00:00:00"/>
    <d v="2025-03-26T00:00:00"/>
    <d v="2025-01-03T00:00:00"/>
    <d v="2025-01-03T00:00:00"/>
    <s v="AMBULATORIOS"/>
    <n v="22770282"/>
    <n v="3311105"/>
    <n v="69250931"/>
    <s v="TRASSA"/>
    <n v="6308651"/>
    <n v="78070"/>
    <s v="SAL"/>
    <s v="AM04"/>
    <s v="EXAMENES DE LABORATORIO"/>
    <s v="EXAMENES DE LABORATORIO"/>
    <s v="EXAMENES DE LABORATORIO"/>
    <n v="0"/>
    <n v="0"/>
    <n v="81949100"/>
    <n v="3"/>
    <s v="SIN ISAPRE"/>
    <s v="MRODRIGA@AFPHABITAT.CL"/>
    <s v="12752688|81949100|930213899|65384043"/>
    <s v="GASTO FISICO"/>
    <b v="0"/>
    <s v="DEPOSITADO EN CUENTA"/>
  </r>
  <r>
    <s v="12 DE SEPTIEMBRE DE 2025"/>
    <x v="250"/>
    <s v="RODRIGO DAVID CONTRERAS CACERES"/>
    <n v="11492055"/>
    <s v="RODRIGO DAVID CONTRERAS CACERES"/>
    <d v="2025-02-01T00:00:00"/>
    <s v="INICIAL"/>
    <n v="1485661525"/>
    <n v="983662"/>
    <n v="19720"/>
    <n v="0"/>
    <n v="19720"/>
    <n v="0"/>
    <n v="19720"/>
    <n v="1485661525"/>
    <n v="285123"/>
    <s v="CORP DE BIENESTAR DEL PERSONAL DE A F P"/>
    <d v="2025-02-11T00:00:00"/>
    <d v="2025-02-11T00:00:00"/>
    <d v="2025-01-30T00:00:00"/>
    <d v="2025-01-30T00:00:00"/>
    <s v="AMBULATORIOS"/>
    <n v="22590863"/>
    <n v="2171726"/>
    <n v="68884984"/>
    <s v="TRASSA"/>
    <n v="61234578"/>
    <n v="77628"/>
    <s v="SAL"/>
    <s v="AM12"/>
    <s v="MEDICAMENTOS DE MARCA"/>
    <s v="MEDICAMENTO NO GENERICO ( GRUPO ) "/>
    <s v="MEDICAMENTO"/>
    <n v="0"/>
    <n v="0"/>
    <n v="89807200"/>
    <n v="2"/>
    <s v="SIN ISAPRE"/>
    <s v="ROCONTRE@AFPHABITAT.CL"/>
    <s v="11492055|89807200|1485661525|983662"/>
    <s v="GASTO FISICO"/>
    <b v="0"/>
    <s v="DEPOSITADO EN CUENTA"/>
  </r>
  <r>
    <s v="12 DE SEPTIEMBRE DE 2025"/>
    <x v="250"/>
    <s v="RODRIGO DAVID CONTRERAS CACERES"/>
    <n v="11492055"/>
    <s v="RODRIGO DAVID CONTRERAS CACERES"/>
    <d v="2025-03-01T00:00:00"/>
    <s v="DUPLICADO"/>
    <n v="1485661525"/>
    <n v="65213031"/>
    <n v="19576"/>
    <n v="0"/>
    <n v="19576"/>
    <n v="0"/>
    <n v="19576"/>
    <n v="1485661525"/>
    <n v="285123"/>
    <s v="CORP DE BIENESTAR DEL PERSONAL DE A F P"/>
    <d v="2025-03-01T00:00:00"/>
    <d v="2025-03-17T00:00:00"/>
    <d v="2025-01-30T00:00:00"/>
    <d v="2025-01-30T00:00:00"/>
    <s v="AMBULATORIOS"/>
    <n v="22753674"/>
    <n v="3251558"/>
    <n v="69156432"/>
    <s v="TRASSA"/>
    <n v="61234578"/>
    <n v="78017"/>
    <s v="SAL"/>
    <s v="AM12"/>
    <s v="MEDICAMENTOS DE MARCA"/>
    <s v="MEDICAMENTO NO GENERICO ( GRUPO ) "/>
    <s v="MEDICAMENTO"/>
    <n v="0"/>
    <n v="0"/>
    <n v="89807200"/>
    <n v="2"/>
    <s v="SIN ISAPRE"/>
    <s v="ROCONTRE@AFPHABITAT.CL"/>
    <s v="11492055|89807200|1485661525|65213031"/>
    <s v="GASTO FISICO"/>
    <b v="0"/>
    <s v="DEPOSITADO EN CUENTA"/>
  </r>
  <r>
    <s v="12 DE SEPTIEMBRE DE 2025"/>
    <x v="251"/>
    <s v="FANCY TRUJILLO ROJAS"/>
    <n v="12875970"/>
    <s v="FANCY TRUJILLO ROJAS"/>
    <d v="2025-02-01T00:00:00"/>
    <s v="INICIAL"/>
    <n v="1512009398"/>
    <n v="986140"/>
    <n v="14231"/>
    <n v="0"/>
    <n v="14231"/>
    <n v="0"/>
    <n v="14231"/>
    <n v="1512009398"/>
    <n v="285123"/>
    <s v="CORP DE BIENESTAR DEL PERSONAL DE A F P"/>
    <d v="2025-02-18T00:00:00"/>
    <d v="2025-02-18T00:00:00"/>
    <d v="2025-01-28T00:00:00"/>
    <d v="2025-02-03T00:00:00"/>
    <s v="AMBULATORIOS"/>
    <n v="22616399"/>
    <n v="2251257"/>
    <n v="68922985"/>
    <s v="TRASSA"/>
    <n v="7009361680"/>
    <n v="77692"/>
    <s v="SAL"/>
    <s v="AM12"/>
    <s v="MEDICAMENTOS DE MARCA"/>
    <s v="MEDICAMENTO NO GENERICO ( GRUPO ) "/>
    <s v="MEDICAMENTO"/>
    <n v="0"/>
    <n v="0"/>
    <n v="89807200"/>
    <n v="2"/>
    <s v="FONASA"/>
    <s v="FANCY.TRUJILLO@AFPHABITAT.CL"/>
    <s v="12875970|89807200|1512009398|986140"/>
    <s v="GASTO FISICO"/>
    <b v="0"/>
    <s v="DEPOSITADO EN CUENTA"/>
  </r>
  <r>
    <s v="12 DE SEPTIEMBRE DE 2025"/>
    <x v="251"/>
    <s v="FANCY TRUJILLO ROJAS"/>
    <n v="12875970"/>
    <s v="FANCY TRUJILLO ROJAS"/>
    <d v="2025-02-01T00:00:00"/>
    <s v="INICIAL"/>
    <n v="1512009398"/>
    <n v="986140"/>
    <n v="27750"/>
    <n v="0"/>
    <n v="27750"/>
    <n v="0"/>
    <n v="27750"/>
    <n v="1512009398"/>
    <n v="285123"/>
    <s v="CORP DE BIENESTAR DEL PERSONAL DE A F P"/>
    <d v="2025-02-18T00:00:00"/>
    <d v="2025-02-18T00:00:00"/>
    <d v="2025-01-28T00:00:00"/>
    <d v="2025-01-28T00:00:00"/>
    <s v="AMBULATORIOS"/>
    <n v="22616399"/>
    <n v="2251257"/>
    <n v="68922985"/>
    <s v="TRASSA"/>
    <n v="7009361680"/>
    <n v="77692"/>
    <s v="SAL"/>
    <s v="AM07"/>
    <s v="PROCEDIMIENTOS TERAPEUTICOS"/>
    <s v="PROCEDIMIENTOS TERAPEUTICOS"/>
    <s v="PROCEDIMIENTOS TERAPEUTICOS"/>
    <n v="0"/>
    <n v="0"/>
    <n v="77580622"/>
    <n v="2"/>
    <s v="FONASA"/>
    <s v="FANCY.TRUJILLO@AFPHABITAT.CL"/>
    <s v="12875970|77580622|1512009398|986140"/>
    <s v="GASTO FISICO"/>
    <b v="0"/>
    <s v="DEPOSITADO EN CUENTA"/>
  </r>
  <r>
    <s v="12 DE SEPTIEMBRE DE 2025"/>
    <x v="251"/>
    <s v="FANCY TRUJILLO ROJAS"/>
    <n v="12875970"/>
    <s v="FANCY TRUJILLO ROJAS"/>
    <d v="2025-02-01T00:00:00"/>
    <s v="INICIAL"/>
    <n v="1512009398"/>
    <n v="986140"/>
    <n v="20800"/>
    <n v="0"/>
    <n v="20800"/>
    <n v="0"/>
    <n v="20800"/>
    <n v="1512009398"/>
    <n v="285123"/>
    <s v="CORP DE BIENESTAR DEL PERSONAL DE A F P"/>
    <d v="2025-02-18T00:00:00"/>
    <d v="2025-02-18T00:00:00"/>
    <d v="2025-01-28T00:00:00"/>
    <d v="2025-02-07T00:00:00"/>
    <s v="SALUD MENTAL"/>
    <n v="22616399"/>
    <n v="2251257"/>
    <n v="68922985"/>
    <s v="TRASSA"/>
    <n v="7009361680"/>
    <n v="77692"/>
    <s v="SAL"/>
    <s v="SM01"/>
    <s v="CONSULTA O SESIONES PSIQUIATRICAS"/>
    <s v="CONSULTA PSIQUIATRICA"/>
    <s v="CONSULTA PSIQUIATRICA"/>
    <n v="0"/>
    <n v="0"/>
    <n v="77892462"/>
    <n v="5"/>
    <s v="FONASA"/>
    <s v="FANCY.TRUJILLO@AFPHABITAT.CL"/>
    <s v="12875970|77892462|1512009398|986140"/>
    <s v="GASTO FISICO"/>
    <b v="0"/>
    <s v="DEPOSITADO EN CUENTA"/>
  </r>
  <r>
    <s v="12 DE SEPTIEMBRE DE 2025"/>
    <x v="251"/>
    <s v="FANCY TRUJILLO ROJAS"/>
    <n v="12875970"/>
    <s v="FANCY TRUJILLO ROJAS"/>
    <d v="2025-02-01T00:00:00"/>
    <s v="INICIAL"/>
    <n v="1512009398"/>
    <n v="986140"/>
    <n v="27750"/>
    <n v="0"/>
    <n v="27750"/>
    <n v="0"/>
    <n v="27750"/>
    <n v="1512009398"/>
    <n v="285123"/>
    <s v="CORP DE BIENESTAR DEL PERSONAL DE A F P"/>
    <d v="2025-02-18T00:00:00"/>
    <d v="2025-02-18T00:00:00"/>
    <d v="2025-01-28T00:00:00"/>
    <d v="2025-01-29T00:00:00"/>
    <s v="AMBULATORIOS"/>
    <n v="22616399"/>
    <n v="2251257"/>
    <n v="68922985"/>
    <s v="TRASSA"/>
    <n v="7009361680"/>
    <n v="77692"/>
    <s v="SAL"/>
    <s v="AM07"/>
    <s v="PROCEDIMIENTOS TERAPEUTICOS"/>
    <s v="PROCEDIMIENTOS TERAPEUTICOS"/>
    <s v="PROCEDIMIENTOS TERAPEUTICOS"/>
    <n v="0"/>
    <n v="0"/>
    <n v="77580622"/>
    <n v="2"/>
    <s v="FONASA"/>
    <s v="FANCY.TRUJILLO@AFPHABITAT.CL"/>
    <s v="12875970|77580622|1512009398|986140"/>
    <s v="GASTO FISICO"/>
    <b v="0"/>
    <s v="DEPOSITADO EN CUENTA"/>
  </r>
  <r>
    <s v="12 DE SEPTIEMBRE DE 2025"/>
    <x v="251"/>
    <s v="FANCY TRUJILLO ROJAS"/>
    <n v="12875970"/>
    <s v="FANCY TRUJILLO ROJAS"/>
    <d v="2025-03-01T00:00:00"/>
    <s v="DUPLICADO"/>
    <n v="1512009398"/>
    <n v="65213074"/>
    <n v="14196"/>
    <n v="0"/>
    <n v="14196"/>
    <n v="0"/>
    <n v="14196"/>
    <n v="1512009398"/>
    <n v="285123"/>
    <s v="CORP DE BIENESTAR DEL PERSONAL DE A F P"/>
    <d v="2025-03-01T00:00:00"/>
    <d v="2025-03-17T00:00:00"/>
    <d v="2025-02-07T00:00:00"/>
    <d v="2025-02-07T00:00:00"/>
    <s v="AMBULATORIOS"/>
    <n v="22753716"/>
    <n v="3251558"/>
    <n v="69156471"/>
    <s v="TRASSA"/>
    <n v="7009361680"/>
    <n v="78017"/>
    <s v="SAL"/>
    <s v="AM12"/>
    <s v="MEDICAMENTOS DE MARCA"/>
    <s v="MEDICAMENTO NO GENERICO ( GRUPO ) "/>
    <s v="MEDICAMENTO"/>
    <n v="0"/>
    <n v="0"/>
    <n v="89807200"/>
    <n v="2"/>
    <s v="SIN ISAPRE"/>
    <s v="FANCY.TRUJILLO@AFPHABITAT.CL"/>
    <s v="12875970|89807200|1512009398|65213074"/>
    <s v="GASTO FISICO"/>
    <b v="0"/>
    <s v="DEPOSITADO EN CUENTA"/>
  </r>
  <r>
    <s v="12 DE SEPTIEMBRE DE 2025"/>
    <x v="251"/>
    <s v="FANCY TRUJILLO ROJAS"/>
    <n v="12875970"/>
    <s v="FANCY TRUJILLO ROJAS"/>
    <d v="2025-03-01T00:00:00"/>
    <s v="DUPLICADO"/>
    <n v="1512009398"/>
    <n v="65213074"/>
    <n v="21102"/>
    <n v="0"/>
    <n v="21102"/>
    <n v="0"/>
    <n v="21102"/>
    <n v="1512009398"/>
    <n v="285123"/>
    <s v="CORP DE BIENESTAR DEL PERSONAL DE A F P"/>
    <d v="2025-03-01T00:00:00"/>
    <d v="2025-03-17T00:00:00"/>
    <d v="2025-02-07T00:00:00"/>
    <d v="2025-02-07T00:00:00"/>
    <s v="SALUD MENTAL"/>
    <n v="22753716"/>
    <n v="3251558"/>
    <n v="69156471"/>
    <s v="TRASSA"/>
    <n v="7009361680"/>
    <n v="78017"/>
    <s v="SAL"/>
    <s v="SM01"/>
    <s v="CONSULTA O SESIONES PSIQUIATRICAS"/>
    <s v="CONSULTA PSIQUIATRICA"/>
    <s v="CONSULTA PSIQUIATRICA"/>
    <n v="0"/>
    <n v="0"/>
    <n v="77892462"/>
    <n v="5"/>
    <s v="SIN ISAPRE"/>
    <s v="FANCY.TRUJILLO@AFPHABITAT.CL"/>
    <s v="12875970|77892462|1512009398|65213074"/>
    <s v="GASTO FISICO"/>
    <b v="0"/>
    <s v="DEPOSITADO EN CUENTA"/>
  </r>
  <r>
    <s v="12 DE SEPTIEMBRE DE 2025"/>
    <x v="16"/>
    <s v="MATIAS CORTES AWAD"/>
    <n v="18022530"/>
    <s v="MATIAS CORTES AWAD"/>
    <d v="2025-02-01T00:00:00"/>
    <s v="INICIAL"/>
    <n v="1525027337"/>
    <n v="979501"/>
    <n v="31720"/>
    <n v="0"/>
    <n v="31720"/>
    <n v="0"/>
    <n v="31720"/>
    <n v="1525027337"/>
    <n v="285123"/>
    <s v="CORP DE BIENESTAR DEL PERSONAL DE A F P"/>
    <d v="2025-02-01T00:00:00"/>
    <d v="2025-02-07T00:00:00"/>
    <d v="2025-01-27T00:00:00"/>
    <d v="2025-01-27T00:00:00"/>
    <s v="AMBULATORIOS"/>
    <n v="22589733"/>
    <n v="2171726"/>
    <n v="68883097"/>
    <s v="TRASSA"/>
    <n v="987579102"/>
    <n v="77628"/>
    <s v="SAL"/>
    <s v="AM12"/>
    <s v="MEDICAMENTOS DE MARCA"/>
    <s v="MEDICAMENTO NO GENERICO ( GRUPO ) "/>
    <s v="MEDICAMENTO"/>
    <n v="0"/>
    <n v="0"/>
    <n v="89807200"/>
    <n v="2"/>
    <s v="SIN ISAPRE"/>
    <s v="MATIAS.CORTES@AFPHABITAT.CL"/>
    <s v="18022530|89807200|1525027337|979501"/>
    <s v="GASTO FISICO"/>
    <b v="0"/>
    <s v="DEPOSITADO EN CUENTA"/>
  </r>
  <r>
    <s v="12 DE SEPTIEMBRE DE 2025"/>
    <x v="16"/>
    <s v="MATIAS IGNACIO CORTES AWAD"/>
    <n v="18022530"/>
    <s v="MATIAS IGNACIO CORTES AWAD"/>
    <d v="2025-03-01T00:00:00"/>
    <s v="DUPLICADO"/>
    <n v="1525027337"/>
    <n v="65213279"/>
    <n v="31865"/>
    <n v="0"/>
    <n v="31865"/>
    <n v="0"/>
    <n v="31865"/>
    <n v="1525027337"/>
    <n v="285123"/>
    <s v="CORP DE BIENESTAR DEL PERSONAL DE A F P"/>
    <d v="2025-03-01T00:00:00"/>
    <d v="2025-03-17T00:00:00"/>
    <d v="2025-01-27T00:00:00"/>
    <d v="2025-01-27T00:00:00"/>
    <s v="AMBULATORIOS"/>
    <n v="22753651"/>
    <n v="3251558"/>
    <n v="69156650"/>
    <s v="TRASSA"/>
    <n v="987579102"/>
    <n v="78017"/>
    <s v="SAL"/>
    <s v="AM12"/>
    <s v="MEDICAMENTOS DE MARCA"/>
    <s v="MEDICAMENTO NO GENERICO ( GRUPO ) "/>
    <s v="MEDICAMENTO"/>
    <n v="0"/>
    <n v="0"/>
    <n v="89807200"/>
    <n v="2"/>
    <s v="SIN ISAPRE"/>
    <s v="MATIAS.CORTES@AFPHABITAT.CL"/>
    <s v="18022530|89807200|1525027337|65213279"/>
    <s v="GASTO FISICO"/>
    <b v="0"/>
    <s v="DEPOSITADO EN CUENTA"/>
  </r>
  <r>
    <s v="12 DE SEPTIEMBRE DE 2025"/>
    <x v="87"/>
    <s v="JOSE MIGUEL VALDIVIA NUÑEZ"/>
    <n v="15510748"/>
    <s v="JOSE MIGUEL VALDIVIA NUÑEZ"/>
    <d v="2025-02-01T00:00:00"/>
    <s v="INICIAL"/>
    <n v="1535985481"/>
    <n v="984403"/>
    <n v="6790"/>
    <n v="0"/>
    <n v="6790"/>
    <n v="0"/>
    <n v="6790"/>
    <n v="1535985481"/>
    <n v="285123"/>
    <s v="CORP DE BIENESTAR DEL PERSONAL DE A F P"/>
    <d v="2025-02-13T00:00:00"/>
    <d v="2025-02-20T00:00:00"/>
    <d v="2025-02-10T00:00:00"/>
    <d v="2025-02-10T00:00:00"/>
    <s v="AMBULATORIOS"/>
    <n v="22616365"/>
    <n v="2251257"/>
    <n v="68922350"/>
    <s v="TRASSA"/>
    <n v="104294701"/>
    <n v="77692"/>
    <s v="SAL"/>
    <s v="AM12"/>
    <s v="MEDICAMENTOS DE MARCA"/>
    <s v="MEDICAMENTO NO GENERICO ( GRUPO ) "/>
    <s v="MEDICAMENTO"/>
    <n v="0"/>
    <n v="0"/>
    <n v="89807200"/>
    <n v="2"/>
    <s v="SIN ISAPRE"/>
    <s v="JVALDIVN@AFPHABITAT.CL"/>
    <s v="15510748|89807200|1535985481|984403"/>
    <s v="GASTO FISICO"/>
    <b v="0"/>
    <s v="DEPOSITADO EN CUENTA"/>
  </r>
  <r>
    <s v="12 DE SEPTIEMBRE DE 2025"/>
    <x v="87"/>
    <s v="JOSE MIGUEL VALDIVIA NUÑEZ"/>
    <n v="15510748"/>
    <s v="JOSE MIGUEL VALDIVIA NUÑEZ"/>
    <d v="2025-03-01T00:00:00"/>
    <s v="DUPLICADO"/>
    <n v="1535985481"/>
    <n v="65213178"/>
    <n v="6905"/>
    <n v="0"/>
    <n v="6905"/>
    <n v="0"/>
    <n v="6905"/>
    <n v="1535985481"/>
    <n v="285123"/>
    <s v="CORP DE BIENESTAR DEL PERSONAL DE A F P"/>
    <d v="2025-03-01T00:00:00"/>
    <d v="2025-03-17T00:00:00"/>
    <d v="2025-02-10T00:00:00"/>
    <d v="2025-02-10T00:00:00"/>
    <s v="AMBULATORIOS"/>
    <n v="22753741"/>
    <n v="3251558"/>
    <n v="69156562"/>
    <s v="TRASSA"/>
    <n v="104294701"/>
    <n v="78017"/>
    <s v="SAL"/>
    <s v="AM12"/>
    <s v="MEDICAMENTOS DE MARCA"/>
    <s v="MEDICAMENTO NO GENERICO ( GRUPO ) "/>
    <s v="MEDICAMENTO"/>
    <n v="0"/>
    <n v="0"/>
    <n v="89807200"/>
    <n v="2"/>
    <s v="SIN ISAPRE"/>
    <s v="JVALDIVN@AFPHABITAT.CL"/>
    <s v="15510748|89807200|1535985481|65213178"/>
    <s v="GASTO FISICO"/>
    <b v="0"/>
    <s v="DEPOSITADO EN CUENTA"/>
  </r>
  <r>
    <s v="12 DE SEPTIEMBRE DE 2025"/>
    <x v="252"/>
    <s v="MARIA EUGENIA MALAGARRIGA ARAYA"/>
    <n v="15315135"/>
    <s v="MARIA EUGENIA MALAGARRIGA ARAYA"/>
    <d v="2025-03-01T00:00:00"/>
    <s v="INICIAL"/>
    <n v="1549594590"/>
    <n v="991394"/>
    <n v="10074"/>
    <n v="4030"/>
    <n v="6044"/>
    <n v="0"/>
    <n v="6044"/>
    <n v="1549594590"/>
    <n v="285123"/>
    <s v="CORP DE BIENESTAR DEL PERSONAL DE A F P"/>
    <d v="2025-03-04T00:00:00"/>
    <d v="2025-03-04T00:00:00"/>
    <d v="2025-02-20T00:00:00"/>
    <d v="2025-02-20T00:00:00"/>
    <s v="AMBULATORIOS"/>
    <n v="22670145"/>
    <n v="3101250"/>
    <n v="68973184"/>
    <s v="TRASSA"/>
    <n v="64036670"/>
    <n v="77859"/>
    <s v="SAL"/>
    <s v="AMB5"/>
    <s v="MED. BIOEQUIVALENTES  DE MARCA (SIN CONVENIO)"/>
    <s v="MEDICAMENTO NO GENERICO ( GRUPO ) "/>
    <s v="MEDICAMENTO"/>
    <n v="0"/>
    <n v="0"/>
    <n v="89807200"/>
    <n v="2"/>
    <s v="FONASA"/>
    <s v="MARIAEUGENIA.MALAGARRIGA@AFPHABITAT.CL"/>
    <s v="15315135|89807200|1549594590|991394"/>
    <s v="GASTO FISICO"/>
    <b v="0"/>
    <s v="DEPOSITADO EN CUENTA"/>
  </r>
  <r>
    <s v="12 DE SEPTIEMBRE DE 2025"/>
    <x v="252"/>
    <s v="MARIA EUGENIA MALAGARRIGA ARAYA"/>
    <n v="15315135"/>
    <s v="MARIA EUGENIA MALAGARRIGA ARAYA"/>
    <d v="2025-03-01T00:00:00"/>
    <s v="DUPLICADO"/>
    <n v="1549594590"/>
    <n v="65213161"/>
    <n v="10021"/>
    <n v="0"/>
    <n v="10021"/>
    <n v="0"/>
    <n v="10021"/>
    <n v="1549594590"/>
    <n v="285123"/>
    <s v="CORP DE BIENESTAR DEL PERSONAL DE A F P"/>
    <d v="2025-03-01T00:00:00"/>
    <d v="2025-03-17T00:00:00"/>
    <d v="2025-02-20T00:00:00"/>
    <d v="2025-02-20T00:00:00"/>
    <s v="AMBULATORIOS"/>
    <n v="22753799"/>
    <n v="3251558"/>
    <n v="69156546"/>
    <s v="TRASSA"/>
    <n v="64036670"/>
    <n v="78017"/>
    <s v="SAL"/>
    <s v="AMB5"/>
    <s v="MED. BIOEQUIVALENTES  DE MARCA (SIN CONVENIO)"/>
    <s v="MEDICAMENTO NO GENERICO ( GRUPO ) "/>
    <s v="MEDICAMENTO"/>
    <n v="0"/>
    <n v="0"/>
    <n v="89807200"/>
    <n v="2"/>
    <s v="SIN ISAPRE"/>
    <s v="MARIAEUGENIA.MALAGARRIGA@AFPHABITAT.CL"/>
    <s v="15315135|89807200|1549594590|65213161"/>
    <s v="GASTO FISICO"/>
    <b v="0"/>
    <s v="DEPOSITADO EN CUENTA"/>
  </r>
  <r>
    <s v="12 DE SEPTIEMBRE DE 2025"/>
    <x v="140"/>
    <s v="SEBASTIAN NICOLAS MUÑOZ BRIONES"/>
    <n v="19745778"/>
    <s v="SEBASTIAN NICOLAS MUÑOZ BRIONES"/>
    <d v="2025-03-01T00:00:00"/>
    <s v="INICIAL"/>
    <n v="1572866966"/>
    <n v="991297"/>
    <n v="20923"/>
    <n v="0"/>
    <n v="20923"/>
    <n v="0"/>
    <n v="20923"/>
    <n v="1572866966"/>
    <n v="285123"/>
    <s v="CORP DE BIENESTAR DEL PERSONAL DE A F P"/>
    <d v="2025-03-04T00:00:00"/>
    <d v="2025-03-13T00:00:00"/>
    <d v="2025-01-13T00:00:00"/>
    <d v="2025-02-13T00:00:00"/>
    <s v="AMBULATORIOS"/>
    <n v="22705234"/>
    <n v="3171658"/>
    <n v="69026590"/>
    <s v="TRASSA"/>
    <n v="4461488202"/>
    <n v="77929"/>
    <s v="SAL"/>
    <s v="AM12"/>
    <s v="MEDICAMENTOS DE MARCA"/>
    <s v="MEDICAMENTO NO GENERICO ( GRUPO ) "/>
    <s v="MEDICAMENTO"/>
    <n v="0"/>
    <n v="0"/>
    <n v="89807200"/>
    <n v="2"/>
    <s v="SIN ISAPRE"/>
    <s v="SEBASTIAN.MUNOZ@AFPHABITAT.CL"/>
    <s v="19745778|89807200|1572866966|991297"/>
    <s v="GASTO FISICO"/>
    <b v="0"/>
    <s v="DEPOSITADO EN CUENTA"/>
  </r>
  <r>
    <s v="12 DE SEPTIEMBRE DE 2025"/>
    <x v="140"/>
    <s v="SEBASTIAN NICOLAS MUÑOZ BRIONES"/>
    <n v="19745778"/>
    <s v="SEBASTIAN NICOLAS MUÑOZ BRIONES"/>
    <d v="2025-03-01T00:00:00"/>
    <s v="INICIAL"/>
    <n v="1572866966"/>
    <n v="991297"/>
    <n v="22075"/>
    <n v="0"/>
    <n v="22075"/>
    <n v="0"/>
    <n v="22075"/>
    <n v="1572866966"/>
    <n v="285123"/>
    <s v="CORP DE BIENESTAR DEL PERSONAL DE A F P"/>
    <d v="2025-03-04T00:00:00"/>
    <d v="2025-03-13T00:00:00"/>
    <d v="2025-01-13T00:00:00"/>
    <d v="2025-01-13T00:00:00"/>
    <s v="AMBULATORIOS"/>
    <n v="22705234"/>
    <n v="3171658"/>
    <n v="69026590"/>
    <s v="TRASSA"/>
    <n v="4461488202"/>
    <n v="77929"/>
    <s v="SAL"/>
    <s v="AM12"/>
    <s v="MEDICAMENTOS DE MARCA"/>
    <s v="MEDICAMENTO NO GENERICO ( GRUPO ) "/>
    <s v="MEDICAMENTO"/>
    <n v="0"/>
    <n v="0"/>
    <n v="89807200"/>
    <n v="2"/>
    <s v="SIN ISAPRE"/>
    <s v="SEBASTIAN.MUNOZ@AFPHABITAT.CL"/>
    <s v="19745778|89807200|1572866966|991297"/>
    <s v="GASTO FISICO"/>
    <b v="0"/>
    <s v="DEPOSITADO EN CUENTA"/>
  </r>
  <r>
    <s v="12 DE SEPTIEMBRE DE 2025"/>
    <x v="140"/>
    <s v="SEBASTIAN NICOLAS MUÑOZ BRIONES"/>
    <n v="19745778"/>
    <s v="SEBASTIAN NICOLAS MUÑOZ BRIONES"/>
    <d v="2025-03-01T00:00:00"/>
    <s v="DUPLICADO"/>
    <n v="1572866966"/>
    <n v="65213301"/>
    <n v="43417"/>
    <n v="0"/>
    <n v="43417"/>
    <n v="0"/>
    <n v="43417"/>
    <n v="1572866966"/>
    <n v="285123"/>
    <s v="CORP DE BIENESTAR DEL PERSONAL DE A F P"/>
    <d v="2025-03-01T00:00:00"/>
    <d v="2025-03-17T00:00:00"/>
    <d v="2025-01-13T00:00:00"/>
    <d v="2025-01-13T00:00:00"/>
    <s v="AMBULATORIOS"/>
    <n v="22753766"/>
    <n v="3251558"/>
    <n v="69156668"/>
    <s v="TRASSA"/>
    <n v="4461488202"/>
    <n v="78017"/>
    <s v="SAL"/>
    <s v="AM12"/>
    <s v="MEDICAMENTOS DE MARCA"/>
    <s v="MEDICAMENTO NO GENERICO ( GRUPO ) "/>
    <s v="MEDICAMENTO"/>
    <n v="0"/>
    <n v="0"/>
    <n v="89807200"/>
    <n v="2"/>
    <s v="SIN ISAPRE"/>
    <s v="SEBASTIAN.MUNOZ@AFPHABITAT.CL"/>
    <s v="19745778|89807200|1572866966|65213301"/>
    <s v="GASTO FISICO"/>
    <b v="0"/>
    <s v="DEPOSITADO EN CUENTA"/>
  </r>
  <r>
    <s v="12 DE SEPTIEMBRE DE 2025"/>
    <x v="217"/>
    <s v="JESSICA LORENA SOTO MARTINEZ"/>
    <n v="11860577"/>
    <s v="ALFREDO GONZALEZ LOBOS"/>
    <d v="2025-03-01T00:00:00"/>
    <s v="INICIAL"/>
    <n v="1575002263"/>
    <n v="987772"/>
    <n v="18290"/>
    <n v="6438"/>
    <n v="11852"/>
    <n v="0"/>
    <n v="11852"/>
    <n v="1575002263"/>
    <n v="285123"/>
    <s v="CORP DE BIENESTAR DEL PERSONAL DE A F P"/>
    <d v="2025-03-01T00:00:00"/>
    <d v="2025-03-03T00:00:00"/>
    <d v="2025-02-05T00:00:00"/>
    <d v="2025-02-05T00:00:00"/>
    <s v="AMBULATORIOS"/>
    <n v="22669557"/>
    <n v="3101250"/>
    <n v="68970875"/>
    <s v="TRASSA"/>
    <n v="89037107"/>
    <n v="77859"/>
    <s v="SAL"/>
    <s v="AM12"/>
    <s v="MEDICAMENTOS DE MARCA"/>
    <s v="MEDICAMENTO NO GENERICO ( GRUPO ) "/>
    <s v="MEDICAMENTO"/>
    <n v="0"/>
    <n v="0"/>
    <n v="89807200"/>
    <n v="2"/>
    <s v="SIN ISAPRE"/>
    <s v="JESSICA.SOTO@AFPHABITAT.CL"/>
    <s v="11266109|89807200|1575002263|987772"/>
    <s v="GASTO FISICO"/>
    <b v="0"/>
    <s v="DEPOSITADO EN CUENTA"/>
  </r>
  <r>
    <s v="12 DE SEPTIEMBRE DE 2025"/>
    <x v="217"/>
    <s v="JESSICA LORENA SOTO MARTINEZ"/>
    <n v="11860577"/>
    <s v="ALFREDO GONZALEZ LOBOS"/>
    <d v="2025-03-01T00:00:00"/>
    <s v="DUPLICADO"/>
    <n v="1575002263"/>
    <n v="65213020"/>
    <n v="16112"/>
    <n v="0"/>
    <n v="16112"/>
    <n v="0"/>
    <n v="16112"/>
    <n v="1575002263"/>
    <n v="285123"/>
    <s v="CORP DE BIENESTAR DEL PERSONAL DE A F P"/>
    <d v="2025-03-01T00:00:00"/>
    <d v="2025-03-17T00:00:00"/>
    <d v="2025-02-05T00:00:00"/>
    <d v="2025-02-05T00:00:00"/>
    <s v="AMBULATORIOS"/>
    <n v="22753737"/>
    <n v="3251558"/>
    <n v="69156424"/>
    <s v="TRASSA"/>
    <n v="89037107"/>
    <n v="78017"/>
    <s v="SAL"/>
    <s v="AM12"/>
    <s v="MEDICAMENTOS DE MARCA"/>
    <s v="MEDICAMENTO NO GENERICO ( GRUPO ) "/>
    <s v="MEDICAMENTO"/>
    <n v="0"/>
    <n v="0"/>
    <n v="89807200"/>
    <n v="2"/>
    <s v="SIN ISAPRE"/>
    <s v="JESSICA.SOTO@AFPHABITAT.CL"/>
    <s v="11266109|89807200|1575002263|65213020"/>
    <s v="GASTO FISICO"/>
    <b v="0"/>
    <s v="DEPOSITADO EN CUENTA"/>
  </r>
  <r>
    <s v="12 DE SEPTIEMBRE DE 2025"/>
    <x v="253"/>
    <s v="QUINTANILLA COLINA MARIA"/>
    <n v="9177419"/>
    <s v="QUINTANILLA COLINA MARIA"/>
    <d v="2025-06-01T00:00:00"/>
    <s v="INICIAL"/>
    <n v="1579874258"/>
    <n v="1040661"/>
    <n v="13978"/>
    <n v="0"/>
    <n v="13978"/>
    <n v="0"/>
    <n v="13978"/>
    <n v="1579874258"/>
    <n v="285123"/>
    <s v="CORP DE BIENESTAR DEL PERSONAL DE A F P"/>
    <d v="2025-06-25T00:00:00"/>
    <d v="2025-06-25T16:13:40"/>
    <d v="2025-05-29T00:00:00"/>
    <d v="2025-05-29T00:00:00"/>
    <m/>
    <s v="-"/>
    <s v="-"/>
    <s v="-"/>
    <s v="TRASSA"/>
    <s v="-"/>
    <s v="-"/>
    <s v="SAL"/>
    <s v="AM20"/>
    <s v="MEDICAMENTO NO GENERICO ( GRUPO ) "/>
    <s v="MEDICAMENTO NO GENERICO ( GRUPO ) "/>
    <s v="MEDICAMENTO"/>
    <s v="GASTO FISICO"/>
    <s v="SCL20256959602"/>
    <n v="89807200"/>
    <s v="-"/>
    <s v="-"/>
    <s v="MQUINTAN@AFPHABITAT.CL"/>
    <s v="9177419|89807200|1579874258|1040661"/>
    <s v="GASTO FISICO"/>
    <b v="1"/>
    <s v="DEPOSITADO EN CUENTA"/>
  </r>
  <r>
    <s v="12 DE SEPTIEMBRE DE 2025"/>
    <x v="253"/>
    <s v="QUINTANILLA COLINA MARIA"/>
    <n v="9177419"/>
    <s v="QUINTANILLA COLINA MARIA"/>
    <d v="2025-06-01T00:00:00"/>
    <s v="INICIAL"/>
    <n v="1579874258"/>
    <n v="1040661"/>
    <n v="15447"/>
    <n v="0"/>
    <n v="15447"/>
    <n v="0"/>
    <n v="15447"/>
    <n v="1579874258"/>
    <n v="285123"/>
    <s v="CORP DE BIENESTAR DEL PERSONAL DE A F P"/>
    <d v="2025-06-25T00:00:00"/>
    <d v="2025-06-25T16:13:40"/>
    <d v="2025-05-29T00:00:00"/>
    <d v="2025-05-29T00:00:00"/>
    <m/>
    <s v="-"/>
    <s v="-"/>
    <s v="-"/>
    <s v="TRASSA"/>
    <s v="-"/>
    <s v="-"/>
    <s v="SAL"/>
    <s v="AM20"/>
    <s v="MEDICAMENTO NO GENERICO ( GRUPO ) "/>
    <s v="MEDICAMENTO NO GENERICO ( GRUPO ) "/>
    <s v="MEDICAMENTO"/>
    <s v="GASTO FISICO"/>
    <s v="SCL20256959602"/>
    <n v="89807200"/>
    <s v="-"/>
    <s v="-"/>
    <s v="MQUINTAN@AFPHABITAT.CL"/>
    <s v="9177419|89807200|1579874258|1040661"/>
    <s v="GASTO FISICO"/>
    <b v="1"/>
    <s v="DEPOSITADO EN CUENTA"/>
  </r>
  <r>
    <s v="12 DE SEPTIEMBRE DE 2025"/>
    <x v="253"/>
    <s v="MARIA QUINTANILLA COLINA"/>
    <n v="9177419"/>
    <s v="MARIA QUINTANILLA COLINA"/>
    <d v="2025-07-01T00:00:00"/>
    <s v="DUPLICADO"/>
    <n v="1579874258"/>
    <n v="66380941"/>
    <n v="29425"/>
    <n v="0"/>
    <n v="29425"/>
    <n v="0"/>
    <n v="29425"/>
    <n v="1579874258"/>
    <n v="285123"/>
    <s v="CORP DE BIENESTAR DEL PERSONAL DE A F P"/>
    <d v="2025-07-01T00:00:00"/>
    <d v="2025-07-01T00:00:00"/>
    <d v="2025-05-29T00:00:00"/>
    <d v="2025-05-29T00:00:00"/>
    <s v="AMBULATORIOS"/>
    <n v="23307083"/>
    <n v="7241739"/>
    <n v="70359727"/>
    <s v="TRASSA"/>
    <n v="1714103519"/>
    <n v="79359"/>
    <s v="SAL"/>
    <s v="AM12"/>
    <s v="MEDICAMENTOS DE MARCA"/>
    <s v="MEDICAMENTO NO GENERICO ( GRUPO ) "/>
    <s v="MEDICAMENTO"/>
    <n v="0"/>
    <n v="0"/>
    <n v="89807200"/>
    <n v="2"/>
    <s v="SIN ISAPRE"/>
    <s v="MQUINTAN@AFPHABITAT.CL"/>
    <s v="9177419|89807200|1579874258|66380941"/>
    <s v="GASTO FISICO"/>
    <b v="0"/>
    <s v="DEPOSITADO EN CUENTA"/>
  </r>
  <r>
    <s v="12 DE SEPTIEMBRE DE 2025"/>
    <x v="27"/>
    <s v="SEYMOUR SECALL TIARE"/>
    <n v="27677718"/>
    <s v="GUZMAN SEYMOUR ARNAU"/>
    <d v="2025-06-01T00:00:00"/>
    <s v="INICIAL"/>
    <n v="1585062482"/>
    <n v="1040671"/>
    <n v="4256"/>
    <n v="0"/>
    <n v="4256"/>
    <n v="0"/>
    <n v="4256"/>
    <n v="1585062482"/>
    <n v="285123"/>
    <s v="CORP DE BIENESTAR DEL PERSONAL DE A F P"/>
    <d v="2025-06-25T00:00:00"/>
    <d v="2025-06-25T16:35:42"/>
    <d v="2025-06-01T00:00:00"/>
    <d v="2025-06-01T00:00:00"/>
    <m/>
    <s v="-"/>
    <s v="-"/>
    <s v="-"/>
    <s v="TRASSA"/>
    <s v="-"/>
    <s v="-"/>
    <s v="SAL"/>
    <s v="AM20"/>
    <s v="MEDICAMENTO NO GENERICO ( GRUPO ) "/>
    <s v="MEDICAMENTO NO GENERICO ( GRUPO ) "/>
    <s v="MEDICAMENTO"/>
    <s v="GASTO FISICO"/>
    <s v="SCL20256959668"/>
    <n v="89807200"/>
    <s v="-"/>
    <s v="-"/>
    <s v="TSEYMOUR@AFPHABITAT.CL"/>
    <s v="18307619|89807200|1585062482|1040671"/>
    <s v="GASTO FISICO"/>
    <b v="1"/>
    <s v="DEPOSITADO EN CUENTA"/>
  </r>
  <r>
    <s v="12 DE SEPTIEMBRE DE 2025"/>
    <x v="27"/>
    <s v="SEYMOUR SECALL TIARE"/>
    <n v="27677718"/>
    <s v="GUZMAN SEYMOUR ARNAU"/>
    <d v="2025-06-01T00:00:00"/>
    <s v="INICIAL"/>
    <n v="1585062482"/>
    <n v="1040671"/>
    <n v="2444"/>
    <n v="0"/>
    <n v="2444"/>
    <n v="0"/>
    <n v="2444"/>
    <n v="1585062482"/>
    <n v="285123"/>
    <s v="CORP DE BIENESTAR DEL PERSONAL DE A F P"/>
    <d v="2025-06-25T00:00:00"/>
    <d v="2025-06-25T16:35:42"/>
    <d v="2025-06-01T00:00:00"/>
    <d v="2025-06-01T00:00:00"/>
    <m/>
    <s v="-"/>
    <s v="-"/>
    <s v="-"/>
    <s v="TRASSA"/>
    <s v="-"/>
    <s v="-"/>
    <s v="SAL"/>
    <s v="AM20"/>
    <s v="MEDICAMENTO NO GENERICO ( GRUPO ) "/>
    <s v="MEDICAMENTO NO GENERICO ( GRUPO ) "/>
    <s v="MEDICAMENTO"/>
    <s v="GASTO FISICO"/>
    <s v="SCL20256959668"/>
    <n v="89807200"/>
    <s v="-"/>
    <s v="-"/>
    <s v="TSEYMOUR@AFPHABITAT.CL"/>
    <s v="18307619|89807200|1585062482|1040671"/>
    <s v="GASTO FISICO"/>
    <b v="1"/>
    <s v="DEPOSITADO EN CUENTA"/>
  </r>
  <r>
    <s v="12 DE SEPTIEMBRE DE 2025"/>
    <x v="27"/>
    <s v="SEYMOUR SECALL TIARE"/>
    <n v="27677718"/>
    <s v="GUZMAN SEYMOUR ARNAU"/>
    <d v="2025-06-01T00:00:00"/>
    <s v="INICIAL"/>
    <n v="1585062482"/>
    <n v="1040671"/>
    <n v="5454"/>
    <n v="0"/>
    <n v="5454"/>
    <n v="0"/>
    <n v="5454"/>
    <n v="1585062482"/>
    <n v="285123"/>
    <s v="CORP DE BIENESTAR DEL PERSONAL DE A F P"/>
    <d v="2025-06-25T00:00:00"/>
    <d v="2025-06-25T16:35:42"/>
    <d v="2025-06-01T00:00:00"/>
    <d v="2025-06-01T00:00:00"/>
    <m/>
    <s v="-"/>
    <s v="-"/>
    <s v="-"/>
    <s v="TRASSA"/>
    <s v="-"/>
    <s v="-"/>
    <s v="SAL"/>
    <s v="AM20"/>
    <s v="MEDICAMENTO NO GENERICO ( GRUPO ) "/>
    <s v="MEDICAMENTO NO GENERICO ( GRUPO ) "/>
    <s v="MEDICAMENTO"/>
    <s v="GASTO FISICO"/>
    <s v="SCL20256959668"/>
    <n v="89807200"/>
    <s v="-"/>
    <s v="-"/>
    <s v="TSEYMOUR@AFPHABITAT.CL"/>
    <s v="18307619|89807200|1585062482|1040671"/>
    <s v="GASTO FISICO"/>
    <b v="1"/>
    <s v="DEPOSITADO EN CUENTA"/>
  </r>
  <r>
    <s v="12 DE SEPTIEMBRE DE 2025"/>
    <x v="27"/>
    <s v="SEYMOUR SECALL TIARE"/>
    <n v="27677718"/>
    <s v="GUZMAN SEYMOUR ARNAU"/>
    <d v="2025-06-01T00:00:00"/>
    <s v="INICIAL"/>
    <n v="1585062482"/>
    <n v="1040671"/>
    <n v="6656"/>
    <n v="0"/>
    <n v="6656"/>
    <n v="0"/>
    <n v="6656"/>
    <n v="1585062482"/>
    <n v="285123"/>
    <s v="CORP DE BIENESTAR DEL PERSONAL DE A F P"/>
    <d v="2025-06-25T00:00:00"/>
    <d v="2025-06-25T16:35:42"/>
    <d v="2025-06-01T00:00:00"/>
    <d v="2025-06-01T00:00:00"/>
    <m/>
    <s v="-"/>
    <s v="-"/>
    <s v="-"/>
    <s v="TRASSA"/>
    <s v="-"/>
    <s v="-"/>
    <s v="SAL"/>
    <s v="AM20"/>
    <s v="MEDICAMENTO NO GENERICO ( GRUPO ) "/>
    <s v="MEDICAMENTO NO GENERICO ( GRUPO ) "/>
    <s v="MEDICAMENTO"/>
    <s v="GASTO FISICO"/>
    <s v="SCL20256959668"/>
    <n v="89807200"/>
    <s v="-"/>
    <s v="-"/>
    <s v="TSEYMOUR@AFPHABITAT.CL"/>
    <s v="18307619|89807200|1585062482|1040671"/>
    <s v="GASTO FISICO"/>
    <b v="1"/>
    <s v="DEPOSITADO EN CUENTA"/>
  </r>
  <r>
    <s v="12 DE SEPTIEMBRE DE 2025"/>
    <x v="27"/>
    <s v="TIARE SEYMOUR SECALL"/>
    <n v="27677718"/>
    <s v="ARNAU GUZMAN SEYMOUR"/>
    <d v="2025-07-01T00:00:00"/>
    <s v="DUPLICADO"/>
    <n v="1585062482"/>
    <n v="66380824"/>
    <n v="18810"/>
    <n v="0"/>
    <n v="18810"/>
    <n v="0"/>
    <n v="18810"/>
    <n v="1585062482"/>
    <n v="285123"/>
    <s v="CORP DE BIENESTAR DEL PERSONAL DE A F P"/>
    <d v="2025-07-01T00:00:00"/>
    <d v="2025-07-01T00:00:00"/>
    <d v="2025-06-01T00:00:00"/>
    <d v="2025-06-01T00:00:00"/>
    <s v="AMBULATORIOS"/>
    <n v="23307201"/>
    <n v="7241739"/>
    <n v="70359716"/>
    <s v="TRASSA"/>
    <n v="226499717"/>
    <n v="79359"/>
    <s v="SAL"/>
    <s v="AM12"/>
    <s v="MEDICAMENTOS DE MARCA"/>
    <s v="MEDICAMENTO NO GENERICO ( GRUPO ) "/>
    <s v="MEDICAMENTO"/>
    <n v="0"/>
    <n v="0"/>
    <n v="89807200"/>
    <n v="2"/>
    <s v="SIN ISAPRE"/>
    <s v="TSEYMOUR@AFPHABITAT.CL"/>
    <s v="18307619|89807200|1585062482|66380824"/>
    <s v="GASTO FISICO"/>
    <b v="0"/>
    <s v="DEPOSITADO EN CUEN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46194-EC87-FF44-B59B-C3E5058E505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8" firstHeaderRow="1" firstDataRow="1" firstDataCol="1"/>
  <pivotFields count="43">
    <pivotField showAll="0"/>
    <pivotField axis="axisRow" dataField="1" showAll="0" sortType="descending">
      <items count="255">
        <item x="137"/>
        <item x="113"/>
        <item x="227"/>
        <item x="60"/>
        <item x="130"/>
        <item x="146"/>
        <item x="234"/>
        <item x="184"/>
        <item x="77"/>
        <item x="142"/>
        <item x="233"/>
        <item x="111"/>
        <item x="101"/>
        <item x="66"/>
        <item x="221"/>
        <item x="106"/>
        <item x="67"/>
        <item x="30"/>
        <item x="246"/>
        <item x="90"/>
        <item x="19"/>
        <item x="156"/>
        <item x="70"/>
        <item x="74"/>
        <item x="100"/>
        <item x="62"/>
        <item x="99"/>
        <item x="167"/>
        <item x="181"/>
        <item x="95"/>
        <item x="202"/>
        <item x="219"/>
        <item x="31"/>
        <item x="133"/>
        <item x="115"/>
        <item x="25"/>
        <item x="179"/>
        <item x="191"/>
        <item x="243"/>
        <item x="253"/>
        <item x="169"/>
        <item x="83"/>
        <item x="229"/>
        <item x="160"/>
        <item x="103"/>
        <item x="209"/>
        <item x="121"/>
        <item x="248"/>
        <item x="138"/>
        <item x="148"/>
        <item x="143"/>
        <item x="82"/>
        <item x="37"/>
        <item x="126"/>
        <item x="109"/>
        <item x="97"/>
        <item x="128"/>
        <item x="112"/>
        <item x="223"/>
        <item x="118"/>
        <item x="226"/>
        <item x="104"/>
        <item x="49"/>
        <item x="196"/>
        <item x="56"/>
        <item x="157"/>
        <item x="244"/>
        <item x="131"/>
        <item x="207"/>
        <item x="164"/>
        <item x="12"/>
        <item x="171"/>
        <item x="222"/>
        <item x="183"/>
        <item x="28"/>
        <item x="144"/>
        <item x="197"/>
        <item x="225"/>
        <item x="232"/>
        <item x="185"/>
        <item x="212"/>
        <item x="163"/>
        <item x="188"/>
        <item x="40"/>
        <item x="94"/>
        <item x="205"/>
        <item x="139"/>
        <item x="203"/>
        <item x="217"/>
        <item x="53"/>
        <item x="216"/>
        <item x="218"/>
        <item x="247"/>
        <item x="23"/>
        <item x="250"/>
        <item x="187"/>
        <item x="194"/>
        <item x="93"/>
        <item x="61"/>
        <item x="180"/>
        <item x="38"/>
        <item x="18"/>
        <item x="91"/>
        <item x="136"/>
        <item x="41"/>
        <item x="175"/>
        <item x="145"/>
        <item x="80"/>
        <item x="129"/>
        <item x="48"/>
        <item x="43"/>
        <item x="10"/>
        <item x="178"/>
        <item x="86"/>
        <item x="89"/>
        <item x="242"/>
        <item x="238"/>
        <item x="132"/>
        <item x="24"/>
        <item x="149"/>
        <item x="182"/>
        <item x="58"/>
        <item x="75"/>
        <item x="52"/>
        <item x="78"/>
        <item x="241"/>
        <item x="73"/>
        <item x="251"/>
        <item x="125"/>
        <item x="124"/>
        <item x="15"/>
        <item x="44"/>
        <item x="63"/>
        <item x="162"/>
        <item x="69"/>
        <item x="192"/>
        <item x="177"/>
        <item x="13"/>
        <item x="135"/>
        <item x="4"/>
        <item x="116"/>
        <item x="72"/>
        <item x="230"/>
        <item x="51"/>
        <item x="46"/>
        <item x="105"/>
        <item x="102"/>
        <item x="201"/>
        <item x="198"/>
        <item x="110"/>
        <item x="210"/>
        <item x="172"/>
        <item x="98"/>
        <item x="57"/>
        <item x="50"/>
        <item x="47"/>
        <item x="26"/>
        <item x="64"/>
        <item x="21"/>
        <item x="79"/>
        <item x="22"/>
        <item x="153"/>
        <item x="166"/>
        <item x="147"/>
        <item x="231"/>
        <item x="224"/>
        <item x="134"/>
        <item x="214"/>
        <item x="240"/>
        <item x="34"/>
        <item x="92"/>
        <item x="215"/>
        <item x="107"/>
        <item x="150"/>
        <item x="65"/>
        <item x="193"/>
        <item x="122"/>
        <item x="3"/>
        <item x="170"/>
        <item x="199"/>
        <item x="252"/>
        <item x="237"/>
        <item x="71"/>
        <item x="8"/>
        <item x="76"/>
        <item x="14"/>
        <item x="33"/>
        <item x="35"/>
        <item x="87"/>
        <item x="96"/>
        <item x="154"/>
        <item x="159"/>
        <item x="174"/>
        <item x="158"/>
        <item x="123"/>
        <item x="220"/>
        <item x="20"/>
        <item x="245"/>
        <item x="119"/>
        <item x="84"/>
        <item x="59"/>
        <item x="211"/>
        <item x="200"/>
        <item x="168"/>
        <item x="173"/>
        <item x="29"/>
        <item x="190"/>
        <item x="42"/>
        <item x="1"/>
        <item x="55"/>
        <item x="141"/>
        <item x="228"/>
        <item x="239"/>
        <item x="108"/>
        <item x="206"/>
        <item x="152"/>
        <item x="17"/>
        <item x="39"/>
        <item x="11"/>
        <item x="161"/>
        <item x="236"/>
        <item x="9"/>
        <item x="2"/>
        <item x="249"/>
        <item x="81"/>
        <item x="117"/>
        <item x="88"/>
        <item x="120"/>
        <item x="155"/>
        <item x="189"/>
        <item x="16"/>
        <item x="0"/>
        <item x="195"/>
        <item x="27"/>
        <item x="186"/>
        <item x="208"/>
        <item x="213"/>
        <item x="114"/>
        <item x="151"/>
        <item x="235"/>
        <item x="54"/>
        <item x="85"/>
        <item x="6"/>
        <item x="165"/>
        <item x="36"/>
        <item x="140"/>
        <item x="45"/>
        <item x="5"/>
        <item x="68"/>
        <item x="204"/>
        <item x="7"/>
        <item x="127"/>
        <item x="32"/>
        <item x="17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7" showAll="0"/>
    <pivotField showAll="0"/>
    <pivotField numFmtId="1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" showAll="0"/>
    <pivotField showAll="0"/>
    <pivotField showAll="0"/>
    <pivotField numFmtId="14" showAll="0"/>
    <pivotField numFmtId="14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55">
    <i>
      <x v="79"/>
    </i>
    <i>
      <x v="188"/>
    </i>
    <i>
      <x v="252"/>
    </i>
    <i>
      <x v="103"/>
    </i>
    <i>
      <x v="21"/>
    </i>
    <i>
      <x v="46"/>
    </i>
    <i>
      <x v="189"/>
    </i>
    <i>
      <x v="138"/>
    </i>
    <i>
      <x v="147"/>
    </i>
    <i>
      <x v="128"/>
    </i>
    <i>
      <x v="203"/>
    </i>
    <i>
      <x v="75"/>
    </i>
    <i>
      <x v="167"/>
    </i>
    <i>
      <x v="51"/>
    </i>
    <i>
      <x v="235"/>
    </i>
    <i>
      <x v="164"/>
    </i>
    <i>
      <x v="32"/>
    </i>
    <i>
      <x v="36"/>
    </i>
    <i>
      <x v="68"/>
    </i>
    <i>
      <x v="209"/>
    </i>
    <i>
      <x v="194"/>
    </i>
    <i>
      <x v="185"/>
    </i>
    <i>
      <x v="24"/>
    </i>
    <i>
      <x v="71"/>
    </i>
    <i>
      <x v="169"/>
    </i>
    <i>
      <x v="176"/>
    </i>
    <i>
      <x v="228"/>
    </i>
    <i>
      <x v="157"/>
    </i>
    <i>
      <x v="198"/>
    </i>
    <i>
      <x v="23"/>
    </i>
    <i>
      <x v="76"/>
    </i>
    <i>
      <x v="133"/>
    </i>
    <i>
      <x v="9"/>
    </i>
    <i>
      <x v="225"/>
    </i>
    <i>
      <x v="7"/>
    </i>
    <i>
      <x v="97"/>
    </i>
    <i>
      <x v="107"/>
    </i>
    <i>
      <x v="243"/>
    </i>
    <i>
      <x v="205"/>
    </i>
    <i>
      <x v="190"/>
    </i>
    <i>
      <x v="182"/>
    </i>
    <i>
      <x v="218"/>
    </i>
    <i>
      <x v="108"/>
    </i>
    <i>
      <x v="253"/>
    </i>
    <i>
      <x v="242"/>
    </i>
    <i>
      <x v="151"/>
    </i>
    <i>
      <x v="248"/>
    </i>
    <i>
      <x v="156"/>
    </i>
    <i>
      <x v="135"/>
    </i>
    <i>
      <x v="139"/>
    </i>
    <i>
      <x v="233"/>
    </i>
    <i>
      <x v="212"/>
    </i>
    <i>
      <x v="251"/>
    </i>
    <i>
      <x v="69"/>
    </i>
    <i>
      <x v="89"/>
    </i>
    <i>
      <x v="67"/>
    </i>
    <i>
      <x v="148"/>
    </i>
    <i>
      <x v="219"/>
    </i>
    <i>
      <x v="152"/>
    </i>
    <i>
      <x v="114"/>
    </i>
    <i>
      <x v="47"/>
    </i>
    <i>
      <x v="208"/>
    </i>
    <i>
      <x v="158"/>
    </i>
    <i>
      <x v="211"/>
    </i>
    <i>
      <x v="53"/>
    </i>
    <i>
      <x v="22"/>
    </i>
    <i>
      <x v="171"/>
    </i>
    <i>
      <x v="222"/>
    </i>
    <i>
      <x v="13"/>
    </i>
    <i>
      <x v="226"/>
    </i>
    <i>
      <x v="230"/>
    </i>
    <i>
      <x v="236"/>
    </i>
    <i>
      <x v="57"/>
    </i>
    <i>
      <x v="72"/>
    </i>
    <i>
      <x v="58"/>
    </i>
    <i>
      <x v="199"/>
    </i>
    <i>
      <x v="162"/>
    </i>
    <i>
      <x v="137"/>
    </i>
    <i>
      <x v="123"/>
    </i>
    <i>
      <x v="62"/>
    </i>
    <i>
      <x v="113"/>
    </i>
    <i>
      <x v="125"/>
    </i>
    <i>
      <x v="93"/>
    </i>
    <i>
      <x v="127"/>
    </i>
    <i>
      <x v="249"/>
    </i>
    <i>
      <x v="20"/>
    </i>
    <i>
      <x v="193"/>
    </i>
    <i>
      <x v="131"/>
    </i>
    <i>
      <x v="25"/>
    </i>
    <i>
      <x v="136"/>
    </i>
    <i>
      <x v="217"/>
    </i>
    <i>
      <x v="227"/>
    </i>
    <i>
      <x v="111"/>
    </i>
    <i>
      <x v="246"/>
    </i>
    <i>
      <x v="140"/>
    </i>
    <i>
      <x v="14"/>
    </i>
    <i>
      <x v="4"/>
    </i>
    <i>
      <x v="85"/>
    </i>
    <i>
      <x v="3"/>
    </i>
    <i>
      <x v="201"/>
    </i>
    <i>
      <x v="80"/>
    </i>
    <i>
      <x v="64"/>
    </i>
    <i>
      <x v="154"/>
    </i>
    <i>
      <x v="90"/>
    </i>
    <i>
      <x v="155"/>
    </i>
    <i>
      <x v="96"/>
    </i>
    <i>
      <x v="81"/>
    </i>
    <i>
      <x v="105"/>
    </i>
    <i>
      <x v="159"/>
    </i>
    <i>
      <x v="110"/>
    </i>
    <i>
      <x v="49"/>
    </i>
    <i>
      <x v="73"/>
    </i>
    <i>
      <x v="165"/>
    </i>
    <i>
      <x v="247"/>
    </i>
    <i>
      <x v="83"/>
    </i>
    <i>
      <x v="112"/>
    </i>
    <i>
      <x v="54"/>
    </i>
    <i>
      <x v="181"/>
    </i>
    <i>
      <x v="34"/>
    </i>
    <i>
      <x v="17"/>
    </i>
    <i>
      <x v="196"/>
    </i>
    <i>
      <x v="245"/>
    </i>
    <i>
      <x v="100"/>
    </i>
    <i>
      <x v="173"/>
    </i>
    <i>
      <x v="19"/>
    </i>
    <i>
      <x v="8"/>
    </i>
    <i>
      <x v="215"/>
    </i>
    <i>
      <x v="177"/>
    </i>
    <i>
      <x v="28"/>
    </i>
    <i>
      <x v="179"/>
    </i>
    <i>
      <x v="238"/>
    </i>
    <i>
      <x v="78"/>
    </i>
    <i>
      <x v="168"/>
    </i>
    <i>
      <x v="124"/>
    </i>
    <i>
      <x v="41"/>
    </i>
    <i>
      <x v="183"/>
    </i>
    <i>
      <x v="223"/>
    </i>
    <i>
      <x v="56"/>
    </i>
    <i>
      <x v="82"/>
    </i>
    <i>
      <x v="12"/>
    </i>
    <i>
      <x v="16"/>
    </i>
    <i>
      <x v="142"/>
    </i>
    <i>
      <x v="241"/>
    </i>
    <i>
      <x v="86"/>
    </i>
    <i>
      <x v="250"/>
    </i>
    <i>
      <x v="191"/>
    </i>
    <i>
      <x v="214"/>
    </i>
    <i>
      <x v="192"/>
    </i>
    <i>
      <x v="216"/>
    </i>
    <i>
      <x v="43"/>
    </i>
    <i>
      <x v="26"/>
    </i>
    <i>
      <x v="87"/>
    </i>
    <i>
      <x v="102"/>
    </i>
    <i>
      <x v="77"/>
    </i>
    <i>
      <x v="224"/>
    </i>
    <i>
      <x v="59"/>
    </i>
    <i>
      <x v="48"/>
    </i>
    <i>
      <x v="88"/>
    </i>
    <i>
      <x v="70"/>
    </i>
    <i>
      <x v="200"/>
    </i>
    <i>
      <x v="84"/>
    </i>
    <i>
      <x v="115"/>
    </i>
    <i>
      <x v="134"/>
    </i>
    <i>
      <x v="149"/>
    </i>
    <i>
      <x v="239"/>
    </i>
    <i>
      <x v="170"/>
    </i>
    <i>
      <x v="160"/>
    </i>
    <i>
      <x v="15"/>
    </i>
    <i>
      <x v="74"/>
    </i>
    <i>
      <x v="116"/>
    </i>
    <i>
      <x v="122"/>
    </i>
    <i>
      <x v="118"/>
    </i>
    <i>
      <x v="166"/>
    </i>
    <i>
      <x v="153"/>
    </i>
    <i>
      <x v="2"/>
    </i>
    <i>
      <x v="130"/>
    </i>
    <i>
      <x v="119"/>
    </i>
    <i>
      <x v="55"/>
    </i>
    <i>
      <x v="126"/>
    </i>
    <i>
      <x v="39"/>
    </i>
    <i>
      <x v="186"/>
    </i>
    <i>
      <x v="65"/>
    </i>
    <i>
      <x v="60"/>
    </i>
    <i>
      <x v="232"/>
    </i>
    <i>
      <x v="10"/>
    </i>
    <i>
      <x v="180"/>
    </i>
    <i>
      <x v="61"/>
    </i>
    <i>
      <x v="184"/>
    </i>
    <i>
      <x v="220"/>
    </i>
    <i>
      <x v="129"/>
    </i>
    <i>
      <x v="50"/>
    </i>
    <i>
      <x/>
    </i>
    <i>
      <x v="52"/>
    </i>
    <i>
      <x v="187"/>
    </i>
    <i>
      <x v="175"/>
    </i>
    <i>
      <x v="63"/>
    </i>
    <i>
      <x v="104"/>
    </i>
    <i>
      <x v="40"/>
    </i>
    <i>
      <x v="106"/>
    </i>
    <i>
      <x v="132"/>
    </i>
    <i>
      <x v="29"/>
    </i>
    <i>
      <x v="91"/>
    </i>
    <i>
      <x v="161"/>
    </i>
    <i>
      <x v="92"/>
    </i>
    <i>
      <x v="234"/>
    </i>
    <i>
      <x v="240"/>
    </i>
    <i>
      <x v="11"/>
    </i>
    <i>
      <x v="1"/>
    </i>
    <i>
      <x v="121"/>
    </i>
    <i>
      <x v="244"/>
    </i>
    <i>
      <x v="94"/>
    </i>
    <i>
      <x v="18"/>
    </i>
    <i>
      <x v="195"/>
    </i>
    <i>
      <x v="38"/>
    </i>
    <i>
      <x v="95"/>
    </i>
    <i>
      <x v="44"/>
    </i>
    <i>
      <x v="197"/>
    </i>
    <i>
      <x v="45"/>
    </i>
    <i>
      <x v="66"/>
    </i>
    <i>
      <x v="221"/>
    </i>
    <i>
      <x v="5"/>
    </i>
    <i>
      <x v="27"/>
    </i>
    <i>
      <x v="98"/>
    </i>
    <i>
      <x v="109"/>
    </i>
    <i>
      <x v="141"/>
    </i>
    <i>
      <x v="30"/>
    </i>
    <i>
      <x v="202"/>
    </i>
    <i>
      <x v="229"/>
    </i>
    <i>
      <x v="99"/>
    </i>
    <i>
      <x v="231"/>
    </i>
    <i>
      <x v="204"/>
    </i>
    <i>
      <x v="31"/>
    </i>
    <i>
      <x v="143"/>
    </i>
    <i>
      <x v="163"/>
    </i>
    <i>
      <x v="206"/>
    </i>
    <i>
      <x v="237"/>
    </i>
    <i>
      <x v="207"/>
    </i>
    <i>
      <x v="33"/>
    </i>
    <i>
      <x v="144"/>
    </i>
    <i>
      <x v="117"/>
    </i>
    <i>
      <x v="145"/>
    </i>
    <i>
      <x v="35"/>
    </i>
    <i>
      <x v="210"/>
    </i>
    <i>
      <x v="120"/>
    </i>
    <i>
      <x v="146"/>
    </i>
    <i>
      <x v="172"/>
    </i>
    <i>
      <x v="42"/>
    </i>
    <i>
      <x v="174"/>
    </i>
    <i>
      <x v="213"/>
    </i>
    <i>
      <x v="37"/>
    </i>
    <i>
      <x v="101"/>
    </i>
    <i>
      <x v="178"/>
    </i>
    <i>
      <x v="6"/>
    </i>
    <i>
      <x v="150"/>
    </i>
    <i t="grand">
      <x/>
    </i>
  </rowItems>
  <colItems count="1">
    <i/>
  </colItems>
  <dataFields count="1">
    <dataField name="Count of Rut Asegurad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SALAZAR@SOMOSBEWELL.C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71221-54ED-8F4D-A371-8CD18448C6D5}">
  <dimension ref="A1:AQ2"/>
  <sheetViews>
    <sheetView tabSelected="1" workbookViewId="0"/>
  </sheetViews>
  <sheetFormatPr baseColWidth="10" defaultRowHeight="15" x14ac:dyDescent="0.2"/>
  <cols>
    <col min="1" max="1" width="25.1640625" bestFit="1" customWidth="1"/>
    <col min="2" max="2" width="13.1640625" bestFit="1" customWidth="1"/>
    <col min="3" max="3" width="42.1640625" bestFit="1" customWidth="1"/>
    <col min="4" max="4" width="14.1640625" bestFit="1" customWidth="1"/>
    <col min="5" max="5" width="42.1640625" bestFit="1" customWidth="1"/>
    <col min="6" max="6" width="7.5" bestFit="1" customWidth="1"/>
    <col min="7" max="7" width="16.83203125" bestFit="1" customWidth="1"/>
    <col min="8" max="8" width="17.1640625" bestFit="1" customWidth="1"/>
    <col min="9" max="9" width="48.5" bestFit="1" customWidth="1"/>
    <col min="10" max="10" width="10.33203125" bestFit="1" customWidth="1"/>
    <col min="11" max="11" width="11" bestFit="1" customWidth="1"/>
    <col min="12" max="12" width="11.33203125" bestFit="1" customWidth="1"/>
    <col min="13" max="13" width="10.33203125" bestFit="1" customWidth="1"/>
    <col min="14" max="14" width="9.6640625" bestFit="1" customWidth="1"/>
    <col min="15" max="15" width="13.6640625" bestFit="1" customWidth="1"/>
    <col min="16" max="16" width="7.1640625" bestFit="1" customWidth="1"/>
    <col min="17" max="17" width="41.1640625" bestFit="1" customWidth="1"/>
    <col min="18" max="18" width="12.83203125" bestFit="1" customWidth="1"/>
    <col min="19" max="19" width="11.6640625" bestFit="1" customWidth="1"/>
    <col min="20" max="20" width="12.33203125" bestFit="1" customWidth="1"/>
    <col min="21" max="21" width="15.5" bestFit="1" customWidth="1"/>
    <col min="22" max="22" width="16.6640625" bestFit="1" customWidth="1"/>
    <col min="23" max="23" width="9.1640625" bestFit="1" customWidth="1"/>
    <col min="24" max="24" width="11.1640625" bestFit="1" customWidth="1"/>
    <col min="25" max="25" width="10" bestFit="1" customWidth="1"/>
    <col min="26" max="26" width="9.83203125" bestFit="1" customWidth="1"/>
    <col min="27" max="27" width="12.33203125" bestFit="1" customWidth="1"/>
    <col min="28" max="28" width="6.1640625" bestFit="1" customWidth="1"/>
    <col min="29" max="29" width="9.1640625" bestFit="1" customWidth="1"/>
    <col min="30" max="30" width="11" bestFit="1" customWidth="1"/>
    <col min="31" max="31" width="46.6640625" bestFit="1" customWidth="1"/>
    <col min="32" max="32" width="46.1640625" bestFit="1" customWidth="1"/>
    <col min="33" max="33" width="33.5" bestFit="1" customWidth="1"/>
    <col min="34" max="34" width="15.33203125" bestFit="1" customWidth="1"/>
    <col min="35" max="35" width="19" bestFit="1" customWidth="1"/>
    <col min="36" max="36" width="11.83203125" bestFit="1" customWidth="1"/>
    <col min="37" max="37" width="11.33203125" bestFit="1" customWidth="1"/>
    <col min="38" max="38" width="24" bestFit="1" customWidth="1"/>
    <col min="39" max="39" width="45.1640625" bestFit="1" customWidth="1"/>
    <col min="40" max="40" width="38.5" bestFit="1" customWidth="1"/>
    <col min="41" max="41" width="11.83203125" bestFit="1" customWidth="1"/>
    <col min="42" max="42" width="8.1640625" bestFit="1" customWidth="1"/>
    <col min="43" max="43" width="20.5" bestFit="1" customWidth="1"/>
  </cols>
  <sheetData>
    <row r="1" spans="1:43" x14ac:dyDescent="0.2">
      <c r="A1" s="14" t="s">
        <v>0</v>
      </c>
      <c r="B1" s="15" t="s">
        <v>22</v>
      </c>
      <c r="C1" s="16" t="s">
        <v>23</v>
      </c>
      <c r="D1" s="23" t="s">
        <v>24</v>
      </c>
      <c r="E1" s="24" t="s">
        <v>25</v>
      </c>
      <c r="F1" s="1" t="s">
        <v>1</v>
      </c>
      <c r="G1" s="16" t="s">
        <v>501</v>
      </c>
      <c r="H1" s="2" t="s">
        <v>2</v>
      </c>
      <c r="I1" s="18" t="s">
        <v>502</v>
      </c>
      <c r="J1" s="3" t="s">
        <v>3</v>
      </c>
      <c r="K1" s="3" t="s">
        <v>4</v>
      </c>
      <c r="L1" s="3" t="s">
        <v>5</v>
      </c>
      <c r="M1" s="3" t="s">
        <v>6</v>
      </c>
      <c r="N1" s="4" t="s">
        <v>7</v>
      </c>
      <c r="O1" s="5" t="s">
        <v>8</v>
      </c>
      <c r="P1" s="1" t="s">
        <v>9</v>
      </c>
      <c r="Q1" s="1" t="s">
        <v>10</v>
      </c>
      <c r="R1" s="1" t="s">
        <v>11</v>
      </c>
      <c r="S1" s="21" t="s">
        <v>12</v>
      </c>
      <c r="T1" s="6" t="s">
        <v>13</v>
      </c>
      <c r="U1" s="6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26</v>
      </c>
      <c r="AD1" s="1" t="s">
        <v>27</v>
      </c>
      <c r="AE1" s="1" t="s">
        <v>28</v>
      </c>
      <c r="AF1" s="1" t="s">
        <v>29</v>
      </c>
      <c r="AG1" s="16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25" t="s">
        <v>35</v>
      </c>
      <c r="AM1" s="14" t="s">
        <v>503</v>
      </c>
      <c r="AN1" t="s">
        <v>759</v>
      </c>
      <c r="AO1" s="28" t="s">
        <v>760</v>
      </c>
      <c r="AP1" s="28" t="s">
        <v>761</v>
      </c>
      <c r="AQ1" t="s">
        <v>762</v>
      </c>
    </row>
    <row r="2" spans="1:43" x14ac:dyDescent="0.2">
      <c r="A2" s="14" t="s">
        <v>500</v>
      </c>
      <c r="B2" s="17">
        <v>16695748</v>
      </c>
      <c r="C2" s="14" t="s">
        <v>53</v>
      </c>
      <c r="D2" s="9">
        <v>16695748</v>
      </c>
      <c r="E2" s="9" t="s">
        <v>53</v>
      </c>
      <c r="F2" s="7">
        <v>45809</v>
      </c>
      <c r="G2" s="20" t="s">
        <v>36</v>
      </c>
      <c r="H2" s="8">
        <v>29</v>
      </c>
      <c r="I2" s="19">
        <v>1031761</v>
      </c>
      <c r="J2" s="10">
        <v>128660</v>
      </c>
      <c r="K2" s="10">
        <v>110871</v>
      </c>
      <c r="L2" s="10">
        <v>17789</v>
      </c>
      <c r="M2" s="10">
        <v>0</v>
      </c>
      <c r="N2" s="11">
        <v>17789</v>
      </c>
      <c r="O2" s="12">
        <v>29</v>
      </c>
      <c r="P2" s="9">
        <v>285123</v>
      </c>
      <c r="Q2" s="9" t="s">
        <v>37</v>
      </c>
      <c r="R2" s="13">
        <v>45813</v>
      </c>
      <c r="S2" s="22">
        <v>45819.621076388888</v>
      </c>
      <c r="T2" s="13">
        <v>45797</v>
      </c>
      <c r="U2" s="13">
        <v>45797</v>
      </c>
      <c r="V2" s="9"/>
      <c r="W2" s="9" t="s">
        <v>38</v>
      </c>
      <c r="X2" s="9" t="s">
        <v>38</v>
      </c>
      <c r="Y2" s="9" t="s">
        <v>38</v>
      </c>
      <c r="Z2" s="9" t="s">
        <v>39</v>
      </c>
      <c r="AA2" s="9" t="s">
        <v>38</v>
      </c>
      <c r="AB2" s="9" t="s">
        <v>38</v>
      </c>
      <c r="AC2" s="9" t="s">
        <v>41</v>
      </c>
      <c r="AD2" s="9" t="s">
        <v>54</v>
      </c>
      <c r="AE2" s="9" t="s">
        <v>55</v>
      </c>
      <c r="AF2" s="9" t="s">
        <v>55</v>
      </c>
      <c r="AG2" s="14" t="str">
        <f t="shared" ref="AG2" si="0">+AF2</f>
        <v>CONSULTA PSICOLOGICA</v>
      </c>
      <c r="AH2" s="9" t="s">
        <v>44</v>
      </c>
      <c r="AI2" s="9" t="s">
        <v>56</v>
      </c>
      <c r="AJ2" s="9">
        <v>18356483</v>
      </c>
      <c r="AK2" s="9" t="s">
        <v>38</v>
      </c>
      <c r="AL2" s="26" t="s">
        <v>38</v>
      </c>
      <c r="AM2" s="31" t="s">
        <v>769</v>
      </c>
      <c r="AN2" s="27" t="str">
        <f t="shared" ref="AN2" si="1">B2&amp;"|"&amp;AJ2&amp;"|"&amp;H2&amp;"|"&amp;I2</f>
        <v>16695748|18356483|29|1031761</v>
      </c>
      <c r="AO2" t="s">
        <v>44</v>
      </c>
      <c r="AP2" t="b">
        <v>1</v>
      </c>
      <c r="AQ2" t="s">
        <v>763</v>
      </c>
    </row>
  </sheetData>
  <hyperlinks>
    <hyperlink ref="AM2" r:id="rId1" xr:uid="{16432D86-BD0E-F848-9005-B2D65C0159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C442-6AF7-4E1D-BB84-5B91AA4ABA01}">
  <dimension ref="A1:AP2"/>
  <sheetViews>
    <sheetView topLeftCell="AD1" workbookViewId="0">
      <selection activeCell="AE1" sqref="AE1"/>
    </sheetView>
  </sheetViews>
  <sheetFormatPr baseColWidth="10" defaultRowHeight="15" x14ac:dyDescent="0.2"/>
  <cols>
    <col min="1" max="1" width="25.1640625" bestFit="1" customWidth="1"/>
    <col min="2" max="2" width="13.1640625" bestFit="1" customWidth="1"/>
    <col min="3" max="3" width="36.33203125" bestFit="1" customWidth="1"/>
    <col min="4" max="4" width="14.1640625" bestFit="1" customWidth="1"/>
    <col min="5" max="5" width="36.33203125" bestFit="1" customWidth="1"/>
    <col min="6" max="6" width="7.5" bestFit="1" customWidth="1"/>
    <col min="7" max="7" width="16.83203125" bestFit="1" customWidth="1"/>
    <col min="8" max="8" width="17.1640625" bestFit="1" customWidth="1"/>
    <col min="9" max="9" width="48.5" bestFit="1" customWidth="1"/>
    <col min="10" max="10" width="10.33203125" bestFit="1" customWidth="1"/>
    <col min="11" max="11" width="11" bestFit="1" customWidth="1"/>
    <col min="12" max="12" width="11.33203125" bestFit="1" customWidth="1"/>
    <col min="13" max="13" width="10.33203125" bestFit="1" customWidth="1"/>
    <col min="14" max="14" width="9.6640625" bestFit="1" customWidth="1"/>
    <col min="15" max="15" width="13.6640625" bestFit="1" customWidth="1"/>
    <col min="16" max="16" width="7.1640625" bestFit="1" customWidth="1"/>
    <col min="17" max="17" width="41.1640625" bestFit="1" customWidth="1"/>
    <col min="18" max="18" width="12.83203125" bestFit="1" customWidth="1"/>
    <col min="19" max="19" width="11.6640625" bestFit="1" customWidth="1"/>
    <col min="20" max="20" width="12.33203125" bestFit="1" customWidth="1"/>
    <col min="21" max="21" width="15.5" bestFit="1" customWidth="1"/>
    <col min="22" max="22" width="14.6640625" bestFit="1" customWidth="1"/>
    <col min="23" max="23" width="9.1640625" bestFit="1" customWidth="1"/>
    <col min="24" max="24" width="11.1640625" bestFit="1" customWidth="1"/>
    <col min="25" max="25" width="10" bestFit="1" customWidth="1"/>
    <col min="26" max="26" width="9.83203125" bestFit="1" customWidth="1"/>
    <col min="27" max="27" width="10.33203125" bestFit="1" customWidth="1"/>
    <col min="28" max="28" width="6.1640625" bestFit="1" customWidth="1"/>
    <col min="29" max="29" width="9.1640625" bestFit="1" customWidth="1"/>
    <col min="30" max="30" width="11" bestFit="1" customWidth="1"/>
    <col min="31" max="33" width="30.6640625" bestFit="1" customWidth="1"/>
    <col min="34" max="34" width="15.33203125" bestFit="1" customWidth="1"/>
    <col min="35" max="35" width="9.33203125" bestFit="1" customWidth="1"/>
    <col min="36" max="36" width="11.83203125" bestFit="1" customWidth="1"/>
    <col min="37" max="37" width="11.33203125" bestFit="1" customWidth="1"/>
    <col min="38" max="38" width="13" bestFit="1" customWidth="1"/>
    <col min="39" max="39" width="38.5" bestFit="1" customWidth="1"/>
  </cols>
  <sheetData>
    <row r="1" spans="1:42" x14ac:dyDescent="0.2">
      <c r="A1" s="14" t="s">
        <v>0</v>
      </c>
      <c r="B1" s="15" t="s">
        <v>22</v>
      </c>
      <c r="C1" s="16" t="s">
        <v>23</v>
      </c>
      <c r="D1" s="23" t="s">
        <v>24</v>
      </c>
      <c r="E1" s="24" t="s">
        <v>25</v>
      </c>
      <c r="F1" s="1" t="s">
        <v>1</v>
      </c>
      <c r="G1" s="16" t="s">
        <v>501</v>
      </c>
      <c r="H1" s="2" t="s">
        <v>2</v>
      </c>
      <c r="I1" s="18" t="s">
        <v>502</v>
      </c>
      <c r="J1" s="3" t="s">
        <v>3</v>
      </c>
      <c r="K1" s="3" t="s">
        <v>4</v>
      </c>
      <c r="L1" s="3" t="s">
        <v>5</v>
      </c>
      <c r="M1" s="3" t="s">
        <v>6</v>
      </c>
      <c r="N1" s="4" t="s">
        <v>7</v>
      </c>
      <c r="O1" s="5" t="s">
        <v>8</v>
      </c>
      <c r="P1" s="1" t="s">
        <v>9</v>
      </c>
      <c r="Q1" s="1" t="s">
        <v>10</v>
      </c>
      <c r="R1" s="1" t="s">
        <v>11</v>
      </c>
      <c r="S1" s="21" t="s">
        <v>12</v>
      </c>
      <c r="T1" s="6" t="s">
        <v>13</v>
      </c>
      <c r="U1" s="6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26</v>
      </c>
      <c r="AD1" s="1" t="s">
        <v>27</v>
      </c>
      <c r="AE1" s="1" t="s">
        <v>28</v>
      </c>
      <c r="AF1" s="1" t="s">
        <v>29</v>
      </c>
      <c r="AG1" s="16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t="s">
        <v>765</v>
      </c>
      <c r="AN1" s="28" t="s">
        <v>760</v>
      </c>
      <c r="AO1" s="28" t="s">
        <v>761</v>
      </c>
      <c r="AP1" t="s">
        <v>762</v>
      </c>
    </row>
    <row r="2" spans="1:42" x14ac:dyDescent="0.2">
      <c r="A2" s="14" t="s">
        <v>500</v>
      </c>
      <c r="B2" s="17">
        <v>9969370</v>
      </c>
      <c r="C2" s="14" t="s">
        <v>259</v>
      </c>
      <c r="D2" s="9">
        <v>21227105</v>
      </c>
      <c r="E2" s="9" t="s">
        <v>260</v>
      </c>
      <c r="F2" s="7">
        <v>45658</v>
      </c>
      <c r="G2" s="20" t="s">
        <v>36</v>
      </c>
      <c r="H2" s="8">
        <v>371229679</v>
      </c>
      <c r="I2" s="19">
        <v>371229679</v>
      </c>
      <c r="J2" s="10">
        <v>56243</v>
      </c>
      <c r="K2" s="10">
        <v>31151</v>
      </c>
      <c r="L2" s="10">
        <v>25092</v>
      </c>
      <c r="M2" s="10">
        <v>0</v>
      </c>
      <c r="N2" s="11">
        <v>25092</v>
      </c>
      <c r="O2" s="12">
        <v>371229679</v>
      </c>
      <c r="P2" s="9">
        <v>285123</v>
      </c>
      <c r="Q2" s="9" t="s">
        <v>37</v>
      </c>
      <c r="R2" s="13">
        <v>45688</v>
      </c>
      <c r="S2" s="22">
        <v>45688</v>
      </c>
      <c r="T2" s="13">
        <v>45688</v>
      </c>
      <c r="U2" s="13">
        <v>45688</v>
      </c>
      <c r="V2" s="9" t="s">
        <v>47</v>
      </c>
      <c r="W2" s="9">
        <v>22560993</v>
      </c>
      <c r="X2" s="9">
        <v>2040929</v>
      </c>
      <c r="Y2" s="9">
        <v>68810848</v>
      </c>
      <c r="Z2" s="9" t="s">
        <v>39</v>
      </c>
      <c r="AA2" s="9">
        <v>2022025</v>
      </c>
      <c r="AB2" s="9">
        <v>77562</v>
      </c>
      <c r="AC2" s="9" t="s">
        <v>41</v>
      </c>
      <c r="AD2" s="9" t="s">
        <v>132</v>
      </c>
      <c r="AE2" s="9" t="s">
        <v>133</v>
      </c>
      <c r="AF2" s="9" t="s">
        <v>133</v>
      </c>
      <c r="AG2" s="14" t="s">
        <v>133</v>
      </c>
      <c r="AH2" s="9" t="s">
        <v>758</v>
      </c>
      <c r="AI2" s="9">
        <v>0</v>
      </c>
      <c r="AJ2" s="9">
        <v>99573490</v>
      </c>
      <c r="AK2" s="9">
        <v>7</v>
      </c>
      <c r="AL2" s="9" t="s">
        <v>238</v>
      </c>
      <c r="AM2" t="str">
        <f>B2&amp;"|"&amp;AJ2&amp;"|"&amp;H2&amp;"|"&amp;I2</f>
        <v>9969370|99573490|371229679|371229679</v>
      </c>
      <c r="AN2" t="str">
        <f>VLOOKUP(AM2,'[1]Sabana 285113-285123'!$AQ:$AR,2,0)</f>
        <v>IMED SALUD</v>
      </c>
      <c r="AO2" t="b">
        <f>AN2=AH2</f>
        <v>1</v>
      </c>
      <c r="AP2" t="s">
        <v>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81F5A-E9D3-4244-B364-6201B016FF05}">
  <dimension ref="A3:B258"/>
  <sheetViews>
    <sheetView workbookViewId="0">
      <selection activeCell="A4" sqref="A4"/>
    </sheetView>
  </sheetViews>
  <sheetFormatPr baseColWidth="10" defaultRowHeight="15" x14ac:dyDescent="0.2"/>
  <cols>
    <col min="1" max="1" width="12.1640625" bestFit="1" customWidth="1"/>
    <col min="2" max="2" width="19.5" bestFit="1" customWidth="1"/>
  </cols>
  <sheetData>
    <row r="3" spans="1:2" x14ac:dyDescent="0.2">
      <c r="A3" s="29" t="s">
        <v>766</v>
      </c>
      <c r="B3" t="s">
        <v>768</v>
      </c>
    </row>
    <row r="4" spans="1:2" x14ac:dyDescent="0.2">
      <c r="A4" s="30">
        <v>10586495</v>
      </c>
      <c r="B4">
        <v>28</v>
      </c>
    </row>
    <row r="5" spans="1:2" x14ac:dyDescent="0.2">
      <c r="A5" s="30">
        <v>15510748</v>
      </c>
      <c r="B5">
        <v>26</v>
      </c>
    </row>
    <row r="6" spans="1:2" x14ac:dyDescent="0.2">
      <c r="A6" s="30">
        <v>26246811</v>
      </c>
      <c r="B6">
        <v>24</v>
      </c>
    </row>
    <row r="7" spans="1:2" x14ac:dyDescent="0.2">
      <c r="A7" s="30">
        <v>11739910</v>
      </c>
      <c r="B7">
        <v>20</v>
      </c>
    </row>
    <row r="8" spans="1:2" x14ac:dyDescent="0.2">
      <c r="A8" s="30">
        <v>8330037</v>
      </c>
      <c r="B8">
        <v>18</v>
      </c>
    </row>
    <row r="9" spans="1:2" x14ac:dyDescent="0.2">
      <c r="A9" s="30">
        <v>9401001</v>
      </c>
      <c r="B9">
        <v>18</v>
      </c>
    </row>
    <row r="10" spans="1:2" x14ac:dyDescent="0.2">
      <c r="A10" s="30">
        <v>15537243</v>
      </c>
      <c r="B10">
        <v>18</v>
      </c>
    </row>
    <row r="11" spans="1:2" x14ac:dyDescent="0.2">
      <c r="A11" s="30">
        <v>13281122</v>
      </c>
      <c r="B11">
        <v>18</v>
      </c>
    </row>
    <row r="12" spans="1:2" x14ac:dyDescent="0.2">
      <c r="A12" s="30">
        <v>13831839</v>
      </c>
      <c r="B12">
        <v>18</v>
      </c>
    </row>
    <row r="13" spans="1:2" x14ac:dyDescent="0.2">
      <c r="A13" s="30">
        <v>12892012</v>
      </c>
      <c r="B13">
        <v>18</v>
      </c>
    </row>
    <row r="14" spans="1:2" x14ac:dyDescent="0.2">
      <c r="A14" s="30">
        <v>16143311</v>
      </c>
      <c r="B14">
        <v>16</v>
      </c>
    </row>
    <row r="15" spans="1:2" x14ac:dyDescent="0.2">
      <c r="A15" s="30">
        <v>10458253</v>
      </c>
      <c r="B15">
        <v>16</v>
      </c>
    </row>
    <row r="16" spans="1:2" x14ac:dyDescent="0.2">
      <c r="A16" s="30">
        <v>14364605</v>
      </c>
      <c r="B16">
        <v>16</v>
      </c>
    </row>
    <row r="17" spans="1:2" x14ac:dyDescent="0.2">
      <c r="A17" s="30">
        <v>9583535</v>
      </c>
      <c r="B17">
        <v>16</v>
      </c>
    </row>
    <row r="18" spans="1:2" x14ac:dyDescent="0.2">
      <c r="A18" s="30">
        <v>18545062</v>
      </c>
      <c r="B18">
        <v>14</v>
      </c>
    </row>
    <row r="19" spans="1:2" x14ac:dyDescent="0.2">
      <c r="A19" s="30">
        <v>14259765</v>
      </c>
      <c r="B19">
        <v>14</v>
      </c>
    </row>
    <row r="20" spans="1:2" x14ac:dyDescent="0.2">
      <c r="A20" s="30">
        <v>8665623</v>
      </c>
      <c r="B20">
        <v>14</v>
      </c>
    </row>
    <row r="21" spans="1:2" x14ac:dyDescent="0.2">
      <c r="A21" s="30">
        <v>9004627</v>
      </c>
      <c r="B21">
        <v>14</v>
      </c>
    </row>
    <row r="22" spans="1:2" x14ac:dyDescent="0.2">
      <c r="A22" s="30">
        <v>10240460</v>
      </c>
      <c r="B22">
        <v>14</v>
      </c>
    </row>
    <row r="23" spans="1:2" x14ac:dyDescent="0.2">
      <c r="A23" s="30">
        <v>16771325</v>
      </c>
      <c r="B23">
        <v>14</v>
      </c>
    </row>
    <row r="24" spans="1:2" x14ac:dyDescent="0.2">
      <c r="A24" s="30">
        <v>15622250</v>
      </c>
      <c r="B24">
        <v>13</v>
      </c>
    </row>
    <row r="25" spans="1:2" x14ac:dyDescent="0.2">
      <c r="A25" s="30">
        <v>15400638</v>
      </c>
      <c r="B25">
        <v>13</v>
      </c>
    </row>
    <row r="26" spans="1:2" x14ac:dyDescent="0.2">
      <c r="A26" s="30">
        <v>8536609</v>
      </c>
      <c r="B26">
        <v>12</v>
      </c>
    </row>
    <row r="27" spans="1:2" x14ac:dyDescent="0.2">
      <c r="A27" s="30">
        <v>10295620</v>
      </c>
      <c r="B27">
        <v>12</v>
      </c>
    </row>
    <row r="28" spans="1:2" x14ac:dyDescent="0.2">
      <c r="A28" s="30">
        <v>14502516</v>
      </c>
      <c r="B28">
        <v>12</v>
      </c>
    </row>
    <row r="29" spans="1:2" x14ac:dyDescent="0.2">
      <c r="A29" s="30">
        <v>15178550</v>
      </c>
      <c r="B29">
        <v>12</v>
      </c>
    </row>
    <row r="30" spans="1:2" x14ac:dyDescent="0.2">
      <c r="A30" s="30">
        <v>17884354</v>
      </c>
      <c r="B30">
        <v>12</v>
      </c>
    </row>
    <row r="31" spans="1:2" x14ac:dyDescent="0.2">
      <c r="A31" s="30">
        <v>14011130</v>
      </c>
      <c r="B31">
        <v>12</v>
      </c>
    </row>
    <row r="32" spans="1:2" x14ac:dyDescent="0.2">
      <c r="A32" s="30">
        <v>15889855</v>
      </c>
      <c r="B32">
        <v>12</v>
      </c>
    </row>
    <row r="33" spans="1:2" x14ac:dyDescent="0.2">
      <c r="A33" s="30">
        <v>8378249</v>
      </c>
      <c r="B33">
        <v>12</v>
      </c>
    </row>
    <row r="34" spans="1:2" x14ac:dyDescent="0.2">
      <c r="A34" s="30">
        <v>10490905</v>
      </c>
      <c r="B34">
        <v>12</v>
      </c>
    </row>
    <row r="35" spans="1:2" x14ac:dyDescent="0.2">
      <c r="A35" s="30">
        <v>13071799</v>
      </c>
      <c r="B35">
        <v>12</v>
      </c>
    </row>
    <row r="36" spans="1:2" x14ac:dyDescent="0.2">
      <c r="A36" s="30">
        <v>7443214</v>
      </c>
      <c r="B36">
        <v>12</v>
      </c>
    </row>
    <row r="37" spans="1:2" x14ac:dyDescent="0.2">
      <c r="A37" s="30">
        <v>17780739</v>
      </c>
      <c r="B37">
        <v>11</v>
      </c>
    </row>
    <row r="38" spans="1:2" x14ac:dyDescent="0.2">
      <c r="A38" s="30">
        <v>7230416</v>
      </c>
      <c r="B38">
        <v>10</v>
      </c>
    </row>
    <row r="39" spans="1:2" x14ac:dyDescent="0.2">
      <c r="A39" s="30">
        <v>11551746</v>
      </c>
      <c r="B39">
        <v>10</v>
      </c>
    </row>
    <row r="40" spans="1:2" x14ac:dyDescent="0.2">
      <c r="A40" s="30">
        <v>11867573</v>
      </c>
      <c r="B40">
        <v>10</v>
      </c>
    </row>
    <row r="41" spans="1:2" x14ac:dyDescent="0.2">
      <c r="A41" s="30">
        <v>19517789</v>
      </c>
      <c r="B41">
        <v>10</v>
      </c>
    </row>
    <row r="42" spans="1:2" x14ac:dyDescent="0.2">
      <c r="A42" s="30">
        <v>16427949</v>
      </c>
      <c r="B42">
        <v>10</v>
      </c>
    </row>
    <row r="43" spans="1:2" x14ac:dyDescent="0.2">
      <c r="A43" s="30">
        <v>15543105</v>
      </c>
      <c r="B43">
        <v>10</v>
      </c>
    </row>
    <row r="44" spans="1:2" x14ac:dyDescent="0.2">
      <c r="A44" s="30">
        <v>15344033</v>
      </c>
      <c r="B44">
        <v>10</v>
      </c>
    </row>
    <row r="45" spans="1:2" x14ac:dyDescent="0.2">
      <c r="A45" s="30">
        <v>17562258</v>
      </c>
      <c r="B45">
        <v>10</v>
      </c>
    </row>
    <row r="46" spans="1:2" x14ac:dyDescent="0.2">
      <c r="A46" s="30">
        <v>11883982</v>
      </c>
      <c r="B46">
        <v>10</v>
      </c>
    </row>
    <row r="47" spans="1:2" x14ac:dyDescent="0.2">
      <c r="A47" s="30">
        <v>26464544</v>
      </c>
      <c r="B47">
        <v>10</v>
      </c>
    </row>
    <row r="48" spans="1:2" x14ac:dyDescent="0.2">
      <c r="A48" s="30">
        <v>19235091</v>
      </c>
      <c r="B48">
        <v>10</v>
      </c>
    </row>
    <row r="49" spans="1:2" x14ac:dyDescent="0.2">
      <c r="A49" s="30">
        <v>13937515</v>
      </c>
      <c r="B49">
        <v>10</v>
      </c>
    </row>
    <row r="50" spans="1:2" x14ac:dyDescent="0.2">
      <c r="A50" s="30">
        <v>21442073</v>
      </c>
      <c r="B50">
        <v>10</v>
      </c>
    </row>
    <row r="51" spans="1:2" x14ac:dyDescent="0.2">
      <c r="A51" s="30">
        <v>13999930</v>
      </c>
      <c r="B51">
        <v>10</v>
      </c>
    </row>
    <row r="52" spans="1:2" x14ac:dyDescent="0.2">
      <c r="A52" s="30">
        <v>13240926</v>
      </c>
      <c r="B52">
        <v>10</v>
      </c>
    </row>
    <row r="53" spans="1:2" x14ac:dyDescent="0.2">
      <c r="A53" s="30">
        <v>13297684</v>
      </c>
      <c r="B53">
        <v>9</v>
      </c>
    </row>
    <row r="54" spans="1:2" x14ac:dyDescent="0.2">
      <c r="A54" s="30">
        <v>18307619</v>
      </c>
      <c r="B54">
        <v>9</v>
      </c>
    </row>
    <row r="55" spans="1:2" x14ac:dyDescent="0.2">
      <c r="A55" s="30">
        <v>16966495</v>
      </c>
      <c r="B55">
        <v>8</v>
      </c>
    </row>
    <row r="56" spans="1:2" x14ac:dyDescent="0.2">
      <c r="A56" s="30">
        <v>26190532</v>
      </c>
      <c r="B56">
        <v>8</v>
      </c>
    </row>
    <row r="57" spans="1:2" x14ac:dyDescent="0.2">
      <c r="A57" s="30">
        <v>10242781</v>
      </c>
      <c r="B57">
        <v>8</v>
      </c>
    </row>
    <row r="58" spans="1:2" x14ac:dyDescent="0.2">
      <c r="A58" s="30">
        <v>11297522</v>
      </c>
      <c r="B58">
        <v>8</v>
      </c>
    </row>
    <row r="59" spans="1:2" x14ac:dyDescent="0.2">
      <c r="A59" s="30">
        <v>10225415</v>
      </c>
      <c r="B59">
        <v>8</v>
      </c>
    </row>
    <row r="60" spans="1:2" x14ac:dyDescent="0.2">
      <c r="A60" s="30">
        <v>13924168</v>
      </c>
      <c r="B60">
        <v>8</v>
      </c>
    </row>
    <row r="61" spans="1:2" x14ac:dyDescent="0.2">
      <c r="A61" s="30">
        <v>17585933</v>
      </c>
      <c r="B61">
        <v>8</v>
      </c>
    </row>
    <row r="62" spans="1:2" x14ac:dyDescent="0.2">
      <c r="A62" s="30">
        <v>13937747</v>
      </c>
      <c r="B62">
        <v>8</v>
      </c>
    </row>
    <row r="63" spans="1:2" x14ac:dyDescent="0.2">
      <c r="A63" s="30">
        <v>12240014</v>
      </c>
      <c r="B63">
        <v>8</v>
      </c>
    </row>
    <row r="64" spans="1:2" x14ac:dyDescent="0.2">
      <c r="A64" s="30">
        <v>9424037</v>
      </c>
      <c r="B64">
        <v>8</v>
      </c>
    </row>
    <row r="65" spans="1:2" x14ac:dyDescent="0.2">
      <c r="A65" s="30">
        <v>16695748</v>
      </c>
      <c r="B65">
        <v>8</v>
      </c>
    </row>
    <row r="66" spans="1:2" x14ac:dyDescent="0.2">
      <c r="A66" s="30">
        <v>14012986</v>
      </c>
      <c r="B66">
        <v>8</v>
      </c>
    </row>
    <row r="67" spans="1:2" x14ac:dyDescent="0.2">
      <c r="A67" s="30">
        <v>16933109</v>
      </c>
      <c r="B67">
        <v>8</v>
      </c>
    </row>
    <row r="68" spans="1:2" x14ac:dyDescent="0.2">
      <c r="A68" s="30">
        <v>9643668</v>
      </c>
      <c r="B68">
        <v>8</v>
      </c>
    </row>
    <row r="69" spans="1:2" x14ac:dyDescent="0.2">
      <c r="A69" s="30">
        <v>8376812</v>
      </c>
      <c r="B69">
        <v>8</v>
      </c>
    </row>
    <row r="70" spans="1:2" x14ac:dyDescent="0.2">
      <c r="A70" s="30">
        <v>14591267</v>
      </c>
      <c r="B70">
        <v>8</v>
      </c>
    </row>
    <row r="71" spans="1:2" x14ac:dyDescent="0.2">
      <c r="A71" s="30">
        <v>17729073</v>
      </c>
      <c r="B71">
        <v>8</v>
      </c>
    </row>
    <row r="72" spans="1:2" x14ac:dyDescent="0.2">
      <c r="A72" s="30">
        <v>7813243</v>
      </c>
      <c r="B72">
        <v>8</v>
      </c>
    </row>
    <row r="73" spans="1:2" x14ac:dyDescent="0.2">
      <c r="A73" s="30">
        <v>17816435</v>
      </c>
      <c r="B73">
        <v>8</v>
      </c>
    </row>
    <row r="74" spans="1:2" x14ac:dyDescent="0.2">
      <c r="A74" s="30">
        <v>18022530</v>
      </c>
      <c r="B74">
        <v>8</v>
      </c>
    </row>
    <row r="75" spans="1:2" x14ac:dyDescent="0.2">
      <c r="A75" s="30">
        <v>18706804</v>
      </c>
      <c r="B75">
        <v>8</v>
      </c>
    </row>
    <row r="76" spans="1:2" x14ac:dyDescent="0.2">
      <c r="A76" s="30">
        <v>9905386</v>
      </c>
      <c r="B76">
        <v>8</v>
      </c>
    </row>
    <row r="77" spans="1:2" x14ac:dyDescent="0.2">
      <c r="A77" s="30">
        <v>10315539</v>
      </c>
      <c r="B77">
        <v>8</v>
      </c>
    </row>
    <row r="78" spans="1:2" x14ac:dyDescent="0.2">
      <c r="A78" s="30">
        <v>9942550</v>
      </c>
      <c r="B78">
        <v>8</v>
      </c>
    </row>
    <row r="79" spans="1:2" x14ac:dyDescent="0.2">
      <c r="A79" s="30">
        <v>15933075</v>
      </c>
      <c r="B79">
        <v>8</v>
      </c>
    </row>
    <row r="80" spans="1:2" x14ac:dyDescent="0.2">
      <c r="A80" s="30">
        <v>14157190</v>
      </c>
      <c r="B80">
        <v>8</v>
      </c>
    </row>
    <row r="81" spans="1:2" x14ac:dyDescent="0.2">
      <c r="A81" s="30">
        <v>13266639</v>
      </c>
      <c r="B81">
        <v>7</v>
      </c>
    </row>
    <row r="82" spans="1:2" x14ac:dyDescent="0.2">
      <c r="A82" s="30">
        <v>12666564</v>
      </c>
      <c r="B82">
        <v>6</v>
      </c>
    </row>
    <row r="83" spans="1:2" x14ac:dyDescent="0.2">
      <c r="A83" s="30">
        <v>10125251</v>
      </c>
      <c r="B83">
        <v>6</v>
      </c>
    </row>
    <row r="84" spans="1:2" x14ac:dyDescent="0.2">
      <c r="A84" s="30">
        <v>12097117</v>
      </c>
      <c r="B84">
        <v>6</v>
      </c>
    </row>
    <row r="85" spans="1:2" x14ac:dyDescent="0.2">
      <c r="A85" s="30">
        <v>12752688</v>
      </c>
      <c r="B85">
        <v>6</v>
      </c>
    </row>
    <row r="86" spans="1:2" x14ac:dyDescent="0.2">
      <c r="A86" s="30">
        <v>11478198</v>
      </c>
      <c r="B86">
        <v>6</v>
      </c>
    </row>
    <row r="87" spans="1:2" x14ac:dyDescent="0.2">
      <c r="A87" s="30">
        <v>12875970</v>
      </c>
      <c r="B87">
        <v>6</v>
      </c>
    </row>
    <row r="88" spans="1:2" x14ac:dyDescent="0.2">
      <c r="A88" s="30">
        <v>25682071</v>
      </c>
      <c r="B88">
        <v>6</v>
      </c>
    </row>
    <row r="89" spans="1:2" x14ac:dyDescent="0.2">
      <c r="A89" s="30">
        <v>8249085</v>
      </c>
      <c r="B89">
        <v>6</v>
      </c>
    </row>
    <row r="90" spans="1:2" x14ac:dyDescent="0.2">
      <c r="A90" s="30">
        <v>15583792</v>
      </c>
      <c r="B90">
        <v>6</v>
      </c>
    </row>
    <row r="91" spans="1:2" x14ac:dyDescent="0.2">
      <c r="A91" s="30">
        <v>13024964</v>
      </c>
      <c r="B91">
        <v>6</v>
      </c>
    </row>
    <row r="92" spans="1:2" x14ac:dyDescent="0.2">
      <c r="A92" s="30">
        <v>8573655</v>
      </c>
      <c r="B92">
        <v>6</v>
      </c>
    </row>
    <row r="93" spans="1:2" x14ac:dyDescent="0.2">
      <c r="A93" s="30">
        <v>13245307</v>
      </c>
      <c r="B93">
        <v>6</v>
      </c>
    </row>
    <row r="94" spans="1:2" x14ac:dyDescent="0.2">
      <c r="A94" s="30">
        <v>17457276</v>
      </c>
      <c r="B94">
        <v>6</v>
      </c>
    </row>
    <row r="95" spans="1:2" x14ac:dyDescent="0.2">
      <c r="A95" s="30">
        <v>17833560</v>
      </c>
      <c r="B95">
        <v>6</v>
      </c>
    </row>
    <row r="96" spans="1:2" x14ac:dyDescent="0.2">
      <c r="A96" s="30">
        <v>12009863</v>
      </c>
      <c r="B96">
        <v>6</v>
      </c>
    </row>
    <row r="97" spans="1:2" x14ac:dyDescent="0.2">
      <c r="A97" s="30">
        <v>19747908</v>
      </c>
      <c r="B97">
        <v>6</v>
      </c>
    </row>
    <row r="98" spans="1:2" x14ac:dyDescent="0.2">
      <c r="A98" s="30">
        <v>13470864</v>
      </c>
      <c r="B98">
        <v>6</v>
      </c>
    </row>
    <row r="99" spans="1:2" x14ac:dyDescent="0.2">
      <c r="A99" s="30">
        <v>7820720</v>
      </c>
      <c r="B99">
        <v>6</v>
      </c>
    </row>
    <row r="100" spans="1:2" x14ac:dyDescent="0.2">
      <c r="A100" s="30">
        <v>6699584</v>
      </c>
      <c r="B100">
        <v>6</v>
      </c>
    </row>
    <row r="101" spans="1:2" x14ac:dyDescent="0.2">
      <c r="A101" s="30">
        <v>11161648</v>
      </c>
      <c r="B101">
        <v>6</v>
      </c>
    </row>
    <row r="102" spans="1:2" x14ac:dyDescent="0.2">
      <c r="A102" s="30">
        <v>6347523</v>
      </c>
      <c r="B102">
        <v>6</v>
      </c>
    </row>
    <row r="103" spans="1:2" x14ac:dyDescent="0.2">
      <c r="A103" s="30">
        <v>16116767</v>
      </c>
      <c r="B103">
        <v>6</v>
      </c>
    </row>
    <row r="104" spans="1:2" x14ac:dyDescent="0.2">
      <c r="A104" s="30">
        <v>10687543</v>
      </c>
      <c r="B104">
        <v>6</v>
      </c>
    </row>
    <row r="105" spans="1:2" x14ac:dyDescent="0.2">
      <c r="A105" s="30">
        <v>10151614</v>
      </c>
      <c r="B105">
        <v>6</v>
      </c>
    </row>
    <row r="106" spans="1:2" x14ac:dyDescent="0.2">
      <c r="A106" s="30">
        <v>13963498</v>
      </c>
      <c r="B106">
        <v>6</v>
      </c>
    </row>
    <row r="107" spans="1:2" x14ac:dyDescent="0.2">
      <c r="A107" s="30">
        <v>11385748</v>
      </c>
      <c r="B107">
        <v>6</v>
      </c>
    </row>
    <row r="108" spans="1:2" x14ac:dyDescent="0.2">
      <c r="A108" s="30">
        <v>13983202</v>
      </c>
      <c r="B108">
        <v>6</v>
      </c>
    </row>
    <row r="109" spans="1:2" x14ac:dyDescent="0.2">
      <c r="A109" s="30">
        <v>11513719</v>
      </c>
      <c r="B109">
        <v>6</v>
      </c>
    </row>
    <row r="110" spans="1:2" x14ac:dyDescent="0.2">
      <c r="A110" s="30">
        <v>10690510</v>
      </c>
      <c r="B110">
        <v>6</v>
      </c>
    </row>
    <row r="111" spans="1:2" x14ac:dyDescent="0.2">
      <c r="A111" s="30">
        <v>11841687</v>
      </c>
      <c r="B111">
        <v>6</v>
      </c>
    </row>
    <row r="112" spans="1:2" x14ac:dyDescent="0.2">
      <c r="A112" s="30">
        <v>14036485</v>
      </c>
      <c r="B112">
        <v>6</v>
      </c>
    </row>
    <row r="113" spans="1:2" x14ac:dyDescent="0.2">
      <c r="A113" s="30">
        <v>11946769</v>
      </c>
      <c r="B113">
        <v>6</v>
      </c>
    </row>
    <row r="114" spans="1:2" x14ac:dyDescent="0.2">
      <c r="A114" s="30">
        <v>9486641</v>
      </c>
      <c r="B114">
        <v>6</v>
      </c>
    </row>
    <row r="115" spans="1:2" x14ac:dyDescent="0.2">
      <c r="A115" s="30">
        <v>10402393</v>
      </c>
      <c r="B115">
        <v>6</v>
      </c>
    </row>
    <row r="116" spans="1:2" x14ac:dyDescent="0.2">
      <c r="A116" s="30">
        <v>14266557</v>
      </c>
      <c r="B116">
        <v>6</v>
      </c>
    </row>
    <row r="117" spans="1:2" x14ac:dyDescent="0.2">
      <c r="A117" s="30">
        <v>20107537</v>
      </c>
      <c r="B117">
        <v>6</v>
      </c>
    </row>
    <row r="118" spans="1:2" x14ac:dyDescent="0.2">
      <c r="A118" s="30">
        <v>10979169</v>
      </c>
      <c r="B118">
        <v>6</v>
      </c>
    </row>
    <row r="119" spans="1:2" x14ac:dyDescent="0.2">
      <c r="A119" s="30">
        <v>12026051</v>
      </c>
      <c r="B119">
        <v>6</v>
      </c>
    </row>
    <row r="120" spans="1:2" x14ac:dyDescent="0.2">
      <c r="A120" s="30">
        <v>9811159</v>
      </c>
      <c r="B120">
        <v>6</v>
      </c>
    </row>
    <row r="121" spans="1:2" x14ac:dyDescent="0.2">
      <c r="A121" s="30">
        <v>15321086</v>
      </c>
      <c r="B121">
        <v>6</v>
      </c>
    </row>
    <row r="122" spans="1:2" x14ac:dyDescent="0.2">
      <c r="A122" s="30">
        <v>8956787</v>
      </c>
      <c r="B122">
        <v>5</v>
      </c>
    </row>
    <row r="123" spans="1:2" x14ac:dyDescent="0.2">
      <c r="A123" s="30">
        <v>8090641</v>
      </c>
      <c r="B123">
        <v>5</v>
      </c>
    </row>
    <row r="124" spans="1:2" x14ac:dyDescent="0.2">
      <c r="A124" s="30">
        <v>15756857</v>
      </c>
      <c r="B124">
        <v>5</v>
      </c>
    </row>
    <row r="125" spans="1:2" x14ac:dyDescent="0.2">
      <c r="A125" s="30">
        <v>19745778</v>
      </c>
      <c r="B125">
        <v>5</v>
      </c>
    </row>
    <row r="126" spans="1:2" x14ac:dyDescent="0.2">
      <c r="A126" s="30">
        <v>11641940</v>
      </c>
      <c r="B126">
        <v>4</v>
      </c>
    </row>
    <row r="127" spans="1:2" x14ac:dyDescent="0.2">
      <c r="A127" s="30">
        <v>14733348</v>
      </c>
      <c r="B127">
        <v>4</v>
      </c>
    </row>
    <row r="128" spans="1:2" x14ac:dyDescent="0.2">
      <c r="A128" s="30">
        <v>8179361</v>
      </c>
      <c r="B128">
        <v>4</v>
      </c>
    </row>
    <row r="129" spans="1:2" x14ac:dyDescent="0.2">
      <c r="A129" s="30">
        <v>7233912</v>
      </c>
      <c r="B129">
        <v>4</v>
      </c>
    </row>
    <row r="130" spans="1:2" x14ac:dyDescent="0.2">
      <c r="A130" s="30">
        <v>17335923</v>
      </c>
      <c r="B130">
        <v>4</v>
      </c>
    </row>
    <row r="131" spans="1:2" x14ac:dyDescent="0.2">
      <c r="A131" s="30">
        <v>15276164</v>
      </c>
      <c r="B131">
        <v>4</v>
      </c>
    </row>
    <row r="132" spans="1:2" x14ac:dyDescent="0.2">
      <c r="A132" s="30">
        <v>8586053</v>
      </c>
      <c r="B132">
        <v>4</v>
      </c>
    </row>
    <row r="133" spans="1:2" x14ac:dyDescent="0.2">
      <c r="A133" s="30">
        <v>15308884</v>
      </c>
      <c r="B133">
        <v>4</v>
      </c>
    </row>
    <row r="134" spans="1:2" x14ac:dyDescent="0.2">
      <c r="A134" s="30">
        <v>18768930</v>
      </c>
      <c r="B134">
        <v>4</v>
      </c>
    </row>
    <row r="135" spans="1:2" x14ac:dyDescent="0.2">
      <c r="A135" s="30">
        <v>10564729</v>
      </c>
      <c r="B135">
        <v>4</v>
      </c>
    </row>
    <row r="136" spans="1:2" x14ac:dyDescent="0.2">
      <c r="A136" s="30">
        <v>14458519</v>
      </c>
      <c r="B136">
        <v>4</v>
      </c>
    </row>
    <row r="137" spans="1:2" x14ac:dyDescent="0.2">
      <c r="A137" s="30">
        <v>12722154</v>
      </c>
      <c r="B137">
        <v>4</v>
      </c>
    </row>
    <row r="138" spans="1:2" x14ac:dyDescent="0.2">
      <c r="A138" s="30">
        <v>9209607</v>
      </c>
      <c r="B138">
        <v>4</v>
      </c>
    </row>
    <row r="139" spans="1:2" x14ac:dyDescent="0.2">
      <c r="A139" s="30">
        <v>15348500</v>
      </c>
      <c r="B139">
        <v>4</v>
      </c>
    </row>
    <row r="140" spans="1:2" x14ac:dyDescent="0.2">
      <c r="A140" s="30">
        <v>17753710</v>
      </c>
      <c r="B140">
        <v>4</v>
      </c>
    </row>
    <row r="141" spans="1:2" x14ac:dyDescent="0.2">
      <c r="A141" s="30">
        <v>9859164</v>
      </c>
      <c r="B141">
        <v>4</v>
      </c>
    </row>
    <row r="142" spans="1:2" x14ac:dyDescent="0.2">
      <c r="A142" s="30">
        <v>10792213</v>
      </c>
      <c r="B142">
        <v>4</v>
      </c>
    </row>
    <row r="143" spans="1:2" x14ac:dyDescent="0.2">
      <c r="A143" s="30">
        <v>7693346</v>
      </c>
      <c r="B143">
        <v>4</v>
      </c>
    </row>
    <row r="144" spans="1:2" x14ac:dyDescent="0.2">
      <c r="A144" s="30">
        <v>7895144</v>
      </c>
      <c r="B144">
        <v>4</v>
      </c>
    </row>
    <row r="145" spans="1:2" x14ac:dyDescent="0.2">
      <c r="A145" s="30">
        <v>13686106</v>
      </c>
      <c r="B145">
        <v>4</v>
      </c>
    </row>
    <row r="146" spans="1:2" x14ac:dyDescent="0.2">
      <c r="A146" s="30">
        <v>19204324</v>
      </c>
      <c r="B146">
        <v>4</v>
      </c>
    </row>
    <row r="147" spans="1:2" x14ac:dyDescent="0.2">
      <c r="A147" s="30">
        <v>11166332</v>
      </c>
      <c r="B147">
        <v>4</v>
      </c>
    </row>
    <row r="148" spans="1:2" x14ac:dyDescent="0.2">
      <c r="A148" s="30">
        <v>25988041</v>
      </c>
      <c r="B148">
        <v>4</v>
      </c>
    </row>
    <row r="149" spans="1:2" x14ac:dyDescent="0.2">
      <c r="A149" s="30">
        <v>15549922</v>
      </c>
      <c r="B149">
        <v>4</v>
      </c>
    </row>
    <row r="150" spans="1:2" x14ac:dyDescent="0.2">
      <c r="A150" s="30">
        <v>17186397</v>
      </c>
      <c r="B150">
        <v>4</v>
      </c>
    </row>
    <row r="151" spans="1:2" x14ac:dyDescent="0.2">
      <c r="A151" s="30">
        <v>15552230</v>
      </c>
      <c r="B151">
        <v>4</v>
      </c>
    </row>
    <row r="152" spans="1:2" x14ac:dyDescent="0.2">
      <c r="A152" s="30">
        <v>17408534</v>
      </c>
      <c r="B152">
        <v>4</v>
      </c>
    </row>
    <row r="153" spans="1:2" x14ac:dyDescent="0.2">
      <c r="A153" s="30">
        <v>9304885</v>
      </c>
      <c r="B153">
        <v>4</v>
      </c>
    </row>
    <row r="154" spans="1:2" x14ac:dyDescent="0.2">
      <c r="A154" s="30">
        <v>8576939</v>
      </c>
      <c r="B154">
        <v>4</v>
      </c>
    </row>
    <row r="155" spans="1:2" x14ac:dyDescent="0.2">
      <c r="A155" s="30">
        <v>11227555</v>
      </c>
      <c r="B155">
        <v>4</v>
      </c>
    </row>
    <row r="156" spans="1:2" x14ac:dyDescent="0.2">
      <c r="A156" s="30">
        <v>11663256</v>
      </c>
      <c r="B156">
        <v>4</v>
      </c>
    </row>
    <row r="157" spans="1:2" x14ac:dyDescent="0.2">
      <c r="A157" s="30">
        <v>10553575</v>
      </c>
      <c r="B157">
        <v>4</v>
      </c>
    </row>
    <row r="158" spans="1:2" x14ac:dyDescent="0.2">
      <c r="A158" s="30">
        <v>17764749</v>
      </c>
      <c r="B158">
        <v>4</v>
      </c>
    </row>
    <row r="159" spans="1:2" x14ac:dyDescent="0.2">
      <c r="A159" s="30">
        <v>9999030</v>
      </c>
      <c r="B159">
        <v>4</v>
      </c>
    </row>
    <row r="160" spans="1:2" x14ac:dyDescent="0.2">
      <c r="A160" s="30">
        <v>9484485</v>
      </c>
      <c r="B160">
        <v>4</v>
      </c>
    </row>
    <row r="161" spans="1:2" x14ac:dyDescent="0.2">
      <c r="A161" s="30">
        <v>11266109</v>
      </c>
      <c r="B161">
        <v>4</v>
      </c>
    </row>
    <row r="162" spans="1:2" x14ac:dyDescent="0.2">
      <c r="A162" s="30">
        <v>10285711</v>
      </c>
      <c r="B162">
        <v>4</v>
      </c>
    </row>
    <row r="163" spans="1:2" x14ac:dyDescent="0.2">
      <c r="A163" s="30">
        <v>15961242</v>
      </c>
      <c r="B163">
        <v>4</v>
      </c>
    </row>
    <row r="164" spans="1:2" x14ac:dyDescent="0.2">
      <c r="A164" s="30">
        <v>11128784</v>
      </c>
      <c r="B164">
        <v>4</v>
      </c>
    </row>
    <row r="165" spans="1:2" x14ac:dyDescent="0.2">
      <c r="A165" s="30">
        <v>12259330</v>
      </c>
      <c r="B165">
        <v>4</v>
      </c>
    </row>
    <row r="166" spans="1:2" x14ac:dyDescent="0.2">
      <c r="A166" s="30">
        <v>13228306</v>
      </c>
      <c r="B166">
        <v>4</v>
      </c>
    </row>
    <row r="167" spans="1:2" x14ac:dyDescent="0.2">
      <c r="A167" s="30">
        <v>13930390</v>
      </c>
      <c r="B167">
        <v>4</v>
      </c>
    </row>
    <row r="168" spans="1:2" x14ac:dyDescent="0.2">
      <c r="A168" s="30">
        <v>18783812</v>
      </c>
      <c r="B168">
        <v>4</v>
      </c>
    </row>
    <row r="169" spans="1:2" x14ac:dyDescent="0.2">
      <c r="A169" s="30">
        <v>14551107</v>
      </c>
      <c r="B169">
        <v>4</v>
      </c>
    </row>
    <row r="170" spans="1:2" x14ac:dyDescent="0.2">
      <c r="A170" s="30">
        <v>14118544</v>
      </c>
      <c r="B170">
        <v>4</v>
      </c>
    </row>
    <row r="171" spans="1:2" x14ac:dyDescent="0.2">
      <c r="A171" s="30">
        <v>7849980</v>
      </c>
      <c r="B171">
        <v>4</v>
      </c>
    </row>
    <row r="172" spans="1:2" x14ac:dyDescent="0.2">
      <c r="A172" s="30">
        <v>10438932</v>
      </c>
      <c r="B172">
        <v>4</v>
      </c>
    </row>
    <row r="173" spans="1:2" x14ac:dyDescent="0.2">
      <c r="A173" s="30">
        <v>12287508</v>
      </c>
      <c r="B173">
        <v>4</v>
      </c>
    </row>
    <row r="174" spans="1:2" x14ac:dyDescent="0.2">
      <c r="A174" s="30">
        <v>12488563</v>
      </c>
      <c r="B174">
        <v>4</v>
      </c>
    </row>
    <row r="175" spans="1:2" x14ac:dyDescent="0.2">
      <c r="A175" s="30">
        <v>12407583</v>
      </c>
      <c r="B175">
        <v>4</v>
      </c>
    </row>
    <row r="176" spans="1:2" x14ac:dyDescent="0.2">
      <c r="A176" s="30">
        <v>14324544</v>
      </c>
      <c r="B176">
        <v>4</v>
      </c>
    </row>
    <row r="177" spans="1:2" x14ac:dyDescent="0.2">
      <c r="A177" s="30">
        <v>13939234</v>
      </c>
      <c r="B177">
        <v>4</v>
      </c>
    </row>
    <row r="178" spans="1:2" x14ac:dyDescent="0.2">
      <c r="A178" s="30">
        <v>6315763</v>
      </c>
      <c r="B178">
        <v>4</v>
      </c>
    </row>
    <row r="179" spans="1:2" x14ac:dyDescent="0.2">
      <c r="A179" s="30">
        <v>12956502</v>
      </c>
      <c r="B179">
        <v>4</v>
      </c>
    </row>
    <row r="180" spans="1:2" x14ac:dyDescent="0.2">
      <c r="A180" s="30">
        <v>12409984</v>
      </c>
      <c r="B180">
        <v>4</v>
      </c>
    </row>
    <row r="181" spans="1:2" x14ac:dyDescent="0.2">
      <c r="A181" s="30">
        <v>9830180</v>
      </c>
      <c r="B181">
        <v>4</v>
      </c>
    </row>
    <row r="182" spans="1:2" x14ac:dyDescent="0.2">
      <c r="A182" s="30">
        <v>12838615</v>
      </c>
      <c r="B182">
        <v>4</v>
      </c>
    </row>
    <row r="183" spans="1:2" x14ac:dyDescent="0.2">
      <c r="A183" s="30">
        <v>9177419</v>
      </c>
      <c r="B183">
        <v>3</v>
      </c>
    </row>
    <row r="184" spans="1:2" x14ac:dyDescent="0.2">
      <c r="A184" s="30">
        <v>15503930</v>
      </c>
      <c r="B184">
        <v>3</v>
      </c>
    </row>
    <row r="185" spans="1:2" x14ac:dyDescent="0.2">
      <c r="A185" s="30">
        <v>10179673</v>
      </c>
      <c r="B185">
        <v>3</v>
      </c>
    </row>
    <row r="186" spans="1:2" x14ac:dyDescent="0.2">
      <c r="A186" s="30">
        <v>10014102</v>
      </c>
      <c r="B186">
        <v>2</v>
      </c>
    </row>
    <row r="187" spans="1:2" x14ac:dyDescent="0.2">
      <c r="A187" s="30">
        <v>18196635</v>
      </c>
      <c r="B187">
        <v>2</v>
      </c>
    </row>
    <row r="188" spans="1:2" x14ac:dyDescent="0.2">
      <c r="A188" s="30">
        <v>7510562</v>
      </c>
      <c r="B188">
        <v>2</v>
      </c>
    </row>
    <row r="189" spans="1:2" x14ac:dyDescent="0.2">
      <c r="A189" s="30">
        <v>15315135</v>
      </c>
      <c r="B189">
        <v>2</v>
      </c>
    </row>
    <row r="190" spans="1:2" x14ac:dyDescent="0.2">
      <c r="A190" s="30">
        <v>10056123</v>
      </c>
      <c r="B190">
        <v>2</v>
      </c>
    </row>
    <row r="191" spans="1:2" x14ac:dyDescent="0.2">
      <c r="A191" s="30">
        <v>15375295</v>
      </c>
      <c r="B191">
        <v>2</v>
      </c>
    </row>
    <row r="192" spans="1:2" x14ac:dyDescent="0.2">
      <c r="A192" s="30">
        <v>17656664</v>
      </c>
      <c r="B192">
        <v>2</v>
      </c>
    </row>
    <row r="193" spans="1:2" x14ac:dyDescent="0.2">
      <c r="A193" s="30">
        <v>12952727</v>
      </c>
      <c r="B193">
        <v>2</v>
      </c>
    </row>
    <row r="194" spans="1:2" x14ac:dyDescent="0.2">
      <c r="A194" s="30">
        <v>9571406</v>
      </c>
      <c r="B194">
        <v>2</v>
      </c>
    </row>
    <row r="195" spans="1:2" x14ac:dyDescent="0.2">
      <c r="A195" s="30">
        <v>5666964</v>
      </c>
      <c r="B195">
        <v>2</v>
      </c>
    </row>
    <row r="196" spans="1:2" x14ac:dyDescent="0.2">
      <c r="A196" s="30">
        <v>9636764</v>
      </c>
      <c r="B196">
        <v>2</v>
      </c>
    </row>
    <row r="197" spans="1:2" x14ac:dyDescent="0.2">
      <c r="A197" s="30">
        <v>15506883</v>
      </c>
      <c r="B197">
        <v>2</v>
      </c>
    </row>
    <row r="198" spans="1:2" x14ac:dyDescent="0.2">
      <c r="A198" s="30">
        <v>15154446</v>
      </c>
      <c r="B198">
        <v>2</v>
      </c>
    </row>
    <row r="199" spans="1:2" x14ac:dyDescent="0.2">
      <c r="A199" s="30">
        <v>10131449</v>
      </c>
      <c r="B199">
        <v>2</v>
      </c>
    </row>
    <row r="200" spans="1:2" x14ac:dyDescent="0.2">
      <c r="A200" s="30">
        <v>11762547</v>
      </c>
      <c r="B200">
        <v>2</v>
      </c>
    </row>
    <row r="201" spans="1:2" x14ac:dyDescent="0.2">
      <c r="A201" s="30">
        <v>9183962</v>
      </c>
      <c r="B201">
        <v>2</v>
      </c>
    </row>
    <row r="202" spans="1:2" x14ac:dyDescent="0.2">
      <c r="A202" s="30">
        <v>11854294</v>
      </c>
      <c r="B202">
        <v>2</v>
      </c>
    </row>
    <row r="203" spans="1:2" x14ac:dyDescent="0.2">
      <c r="A203" s="30">
        <v>13031474</v>
      </c>
      <c r="B203">
        <v>2</v>
      </c>
    </row>
    <row r="204" spans="1:2" x14ac:dyDescent="0.2">
      <c r="A204" s="30">
        <v>8592614</v>
      </c>
      <c r="B204">
        <v>2</v>
      </c>
    </row>
    <row r="205" spans="1:2" x14ac:dyDescent="0.2">
      <c r="A205" s="30">
        <v>11394861</v>
      </c>
      <c r="B205">
        <v>2</v>
      </c>
    </row>
    <row r="206" spans="1:2" x14ac:dyDescent="0.2">
      <c r="A206" s="30">
        <v>14119217</v>
      </c>
      <c r="B206">
        <v>2</v>
      </c>
    </row>
    <row r="207" spans="1:2" x14ac:dyDescent="0.2">
      <c r="A207" s="30">
        <v>11398255</v>
      </c>
      <c r="B207">
        <v>2</v>
      </c>
    </row>
    <row r="208" spans="1:2" x14ac:dyDescent="0.2">
      <c r="A208" s="30">
        <v>18438475</v>
      </c>
      <c r="B208">
        <v>2</v>
      </c>
    </row>
    <row r="209" spans="1:2" x14ac:dyDescent="0.2">
      <c r="A209" s="30">
        <v>19069393</v>
      </c>
      <c r="B209">
        <v>2</v>
      </c>
    </row>
    <row r="210" spans="1:2" x14ac:dyDescent="0.2">
      <c r="A210" s="30">
        <v>7624195</v>
      </c>
      <c r="B210">
        <v>2</v>
      </c>
    </row>
    <row r="211" spans="1:2" x14ac:dyDescent="0.2">
      <c r="A211" s="30">
        <v>6193637</v>
      </c>
      <c r="B211">
        <v>2</v>
      </c>
    </row>
    <row r="212" spans="1:2" x14ac:dyDescent="0.2">
      <c r="A212" s="30">
        <v>12480709</v>
      </c>
      <c r="B212">
        <v>2</v>
      </c>
    </row>
    <row r="213" spans="1:2" x14ac:dyDescent="0.2">
      <c r="A213" s="30">
        <v>19609316</v>
      </c>
      <c r="B213">
        <v>2</v>
      </c>
    </row>
    <row r="214" spans="1:2" x14ac:dyDescent="0.2">
      <c r="A214" s="30">
        <v>11492055</v>
      </c>
      <c r="B214">
        <v>2</v>
      </c>
    </row>
    <row r="215" spans="1:2" x14ac:dyDescent="0.2">
      <c r="A215" s="30">
        <v>8112419</v>
      </c>
      <c r="B215">
        <v>2</v>
      </c>
    </row>
    <row r="216" spans="1:2" x14ac:dyDescent="0.2">
      <c r="A216" s="30">
        <v>15733515</v>
      </c>
      <c r="B216">
        <v>2</v>
      </c>
    </row>
    <row r="217" spans="1:2" x14ac:dyDescent="0.2">
      <c r="A217" s="30">
        <v>9153222</v>
      </c>
      <c r="B217">
        <v>2</v>
      </c>
    </row>
    <row r="218" spans="1:2" x14ac:dyDescent="0.2">
      <c r="A218" s="30">
        <v>11507708</v>
      </c>
      <c r="B218">
        <v>2</v>
      </c>
    </row>
    <row r="219" spans="1:2" x14ac:dyDescent="0.2">
      <c r="A219" s="30">
        <v>9347751</v>
      </c>
      <c r="B219">
        <v>2</v>
      </c>
    </row>
    <row r="220" spans="1:2" x14ac:dyDescent="0.2">
      <c r="A220" s="30">
        <v>15787825</v>
      </c>
      <c r="B220">
        <v>2</v>
      </c>
    </row>
    <row r="221" spans="1:2" x14ac:dyDescent="0.2">
      <c r="A221" s="30">
        <v>9382290</v>
      </c>
      <c r="B221">
        <v>2</v>
      </c>
    </row>
    <row r="222" spans="1:2" x14ac:dyDescent="0.2">
      <c r="A222" s="30">
        <v>10201208</v>
      </c>
      <c r="B222">
        <v>2</v>
      </c>
    </row>
    <row r="223" spans="1:2" x14ac:dyDescent="0.2">
      <c r="A223" s="30">
        <v>17703525</v>
      </c>
      <c r="B223">
        <v>2</v>
      </c>
    </row>
    <row r="224" spans="1:2" x14ac:dyDescent="0.2">
      <c r="A224" s="30">
        <v>6871191</v>
      </c>
      <c r="B224">
        <v>2</v>
      </c>
    </row>
    <row r="225" spans="1:2" x14ac:dyDescent="0.2">
      <c r="A225" s="30">
        <v>8577904</v>
      </c>
      <c r="B225">
        <v>2</v>
      </c>
    </row>
    <row r="226" spans="1:2" x14ac:dyDescent="0.2">
      <c r="A226" s="30">
        <v>11594083</v>
      </c>
      <c r="B226">
        <v>2</v>
      </c>
    </row>
    <row r="227" spans="1:2" x14ac:dyDescent="0.2">
      <c r="A227" s="30">
        <v>11898667</v>
      </c>
      <c r="B227">
        <v>2</v>
      </c>
    </row>
    <row r="228" spans="1:2" x14ac:dyDescent="0.2">
      <c r="A228" s="30">
        <v>13666280</v>
      </c>
      <c r="B228">
        <v>2</v>
      </c>
    </row>
    <row r="229" spans="1:2" x14ac:dyDescent="0.2">
      <c r="A229" s="30">
        <v>8622610</v>
      </c>
      <c r="B229">
        <v>2</v>
      </c>
    </row>
    <row r="230" spans="1:2" x14ac:dyDescent="0.2">
      <c r="A230" s="30">
        <v>16143227</v>
      </c>
      <c r="B230">
        <v>2</v>
      </c>
    </row>
    <row r="231" spans="1:2" x14ac:dyDescent="0.2">
      <c r="A231" s="30">
        <v>17897672</v>
      </c>
      <c r="B231">
        <v>2</v>
      </c>
    </row>
    <row r="232" spans="1:2" x14ac:dyDescent="0.2">
      <c r="A232" s="30">
        <v>11635877</v>
      </c>
      <c r="B232">
        <v>2</v>
      </c>
    </row>
    <row r="233" spans="1:2" x14ac:dyDescent="0.2">
      <c r="A233" s="30">
        <v>18111371</v>
      </c>
      <c r="B233">
        <v>2</v>
      </c>
    </row>
    <row r="234" spans="1:2" x14ac:dyDescent="0.2">
      <c r="A234" s="30">
        <v>16380701</v>
      </c>
      <c r="B234">
        <v>2</v>
      </c>
    </row>
    <row r="235" spans="1:2" x14ac:dyDescent="0.2">
      <c r="A235" s="30">
        <v>8656744</v>
      </c>
      <c r="B235">
        <v>2</v>
      </c>
    </row>
    <row r="236" spans="1:2" x14ac:dyDescent="0.2">
      <c r="A236" s="30">
        <v>13687859</v>
      </c>
      <c r="B236">
        <v>2</v>
      </c>
    </row>
    <row r="237" spans="1:2" x14ac:dyDescent="0.2">
      <c r="A237" s="30">
        <v>14166339</v>
      </c>
      <c r="B237">
        <v>2</v>
      </c>
    </row>
    <row r="238" spans="1:2" x14ac:dyDescent="0.2">
      <c r="A238" s="30">
        <v>16566260</v>
      </c>
      <c r="B238">
        <v>2</v>
      </c>
    </row>
    <row r="239" spans="1:2" x14ac:dyDescent="0.2">
      <c r="A239" s="30">
        <v>18730398</v>
      </c>
      <c r="B239">
        <v>2</v>
      </c>
    </row>
    <row r="240" spans="1:2" x14ac:dyDescent="0.2">
      <c r="A240" s="30">
        <v>16681059</v>
      </c>
      <c r="B240">
        <v>2</v>
      </c>
    </row>
    <row r="241" spans="1:2" x14ac:dyDescent="0.2">
      <c r="A241" s="30">
        <v>8850540</v>
      </c>
      <c r="B241">
        <v>2</v>
      </c>
    </row>
    <row r="242" spans="1:2" x14ac:dyDescent="0.2">
      <c r="A242" s="30">
        <v>13828290</v>
      </c>
      <c r="B242">
        <v>2</v>
      </c>
    </row>
    <row r="243" spans="1:2" x14ac:dyDescent="0.2">
      <c r="A243" s="30">
        <v>12289972</v>
      </c>
      <c r="B243">
        <v>2</v>
      </c>
    </row>
    <row r="244" spans="1:2" x14ac:dyDescent="0.2">
      <c r="A244" s="30">
        <v>13830329</v>
      </c>
      <c r="B244">
        <v>2</v>
      </c>
    </row>
    <row r="245" spans="1:2" x14ac:dyDescent="0.2">
      <c r="A245" s="30">
        <v>8995724</v>
      </c>
      <c r="B245">
        <v>2</v>
      </c>
    </row>
    <row r="246" spans="1:2" x14ac:dyDescent="0.2">
      <c r="A246" s="30">
        <v>16807810</v>
      </c>
      <c r="B246">
        <v>2</v>
      </c>
    </row>
    <row r="247" spans="1:2" x14ac:dyDescent="0.2">
      <c r="A247" s="30">
        <v>12462191</v>
      </c>
      <c r="B247">
        <v>2</v>
      </c>
    </row>
    <row r="248" spans="1:2" x14ac:dyDescent="0.2">
      <c r="A248" s="30">
        <v>13830966</v>
      </c>
      <c r="B248">
        <v>2</v>
      </c>
    </row>
    <row r="249" spans="1:2" x14ac:dyDescent="0.2">
      <c r="A249" s="30">
        <v>14720057</v>
      </c>
      <c r="B249">
        <v>2</v>
      </c>
    </row>
    <row r="250" spans="1:2" x14ac:dyDescent="0.2">
      <c r="A250" s="30">
        <v>9258274</v>
      </c>
      <c r="B250">
        <v>2</v>
      </c>
    </row>
    <row r="251" spans="1:2" x14ac:dyDescent="0.2">
      <c r="A251" s="30">
        <v>15106738</v>
      </c>
      <c r="B251">
        <v>2</v>
      </c>
    </row>
    <row r="252" spans="1:2" x14ac:dyDescent="0.2">
      <c r="A252" s="30">
        <v>17024209</v>
      </c>
      <c r="B252">
        <v>2</v>
      </c>
    </row>
    <row r="253" spans="1:2" x14ac:dyDescent="0.2">
      <c r="A253" s="30">
        <v>9120124</v>
      </c>
      <c r="B253">
        <v>2</v>
      </c>
    </row>
    <row r="254" spans="1:2" x14ac:dyDescent="0.2">
      <c r="A254" s="30">
        <v>11653820</v>
      </c>
      <c r="B254">
        <v>2</v>
      </c>
    </row>
    <row r="255" spans="1:2" x14ac:dyDescent="0.2">
      <c r="A255" s="30">
        <v>15297793</v>
      </c>
      <c r="B255">
        <v>2</v>
      </c>
    </row>
    <row r="256" spans="1:2" x14ac:dyDescent="0.2">
      <c r="A256" s="30">
        <v>7154522</v>
      </c>
      <c r="B256">
        <v>2</v>
      </c>
    </row>
    <row r="257" spans="1:2" x14ac:dyDescent="0.2">
      <c r="A257" s="30">
        <v>13931711</v>
      </c>
      <c r="B257">
        <v>2</v>
      </c>
    </row>
    <row r="258" spans="1:2" x14ac:dyDescent="0.2">
      <c r="A258" s="30" t="s">
        <v>767</v>
      </c>
      <c r="B258">
        <v>1547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56676-A58C-8A44-B09E-6BC698509FBE}">
  <dimension ref="A1:AQ1548"/>
  <sheetViews>
    <sheetView workbookViewId="0">
      <selection activeCell="A4" sqref="A4"/>
    </sheetView>
  </sheetViews>
  <sheetFormatPr baseColWidth="10" defaultRowHeight="15" x14ac:dyDescent="0.2"/>
  <sheetData>
    <row r="1" spans="1:43" x14ac:dyDescent="0.2">
      <c r="A1" s="14" t="s">
        <v>0</v>
      </c>
      <c r="B1" s="15" t="s">
        <v>22</v>
      </c>
      <c r="C1" s="16" t="s">
        <v>23</v>
      </c>
      <c r="D1" s="23" t="s">
        <v>24</v>
      </c>
      <c r="E1" s="24" t="s">
        <v>25</v>
      </c>
      <c r="F1" s="1" t="s">
        <v>1</v>
      </c>
      <c r="G1" s="16" t="s">
        <v>501</v>
      </c>
      <c r="H1" s="2" t="s">
        <v>2</v>
      </c>
      <c r="I1" s="18" t="s">
        <v>502</v>
      </c>
      <c r="J1" s="3" t="s">
        <v>3</v>
      </c>
      <c r="K1" s="3" t="s">
        <v>4</v>
      </c>
      <c r="L1" s="3" t="s">
        <v>5</v>
      </c>
      <c r="M1" s="3" t="s">
        <v>6</v>
      </c>
      <c r="N1" s="4" t="s">
        <v>7</v>
      </c>
      <c r="O1" s="5" t="s">
        <v>8</v>
      </c>
      <c r="P1" s="1" t="s">
        <v>9</v>
      </c>
      <c r="Q1" s="1" t="s">
        <v>10</v>
      </c>
      <c r="R1" s="1" t="s">
        <v>11</v>
      </c>
      <c r="S1" s="21" t="s">
        <v>12</v>
      </c>
      <c r="T1" s="6" t="s">
        <v>13</v>
      </c>
      <c r="U1" s="6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26</v>
      </c>
      <c r="AD1" s="1" t="s">
        <v>27</v>
      </c>
      <c r="AE1" s="1" t="s">
        <v>28</v>
      </c>
      <c r="AF1" s="1" t="s">
        <v>29</v>
      </c>
      <c r="AG1" s="16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25" t="s">
        <v>35</v>
      </c>
      <c r="AM1" s="14" t="s">
        <v>503</v>
      </c>
      <c r="AN1" t="s">
        <v>759</v>
      </c>
      <c r="AO1" s="28" t="s">
        <v>760</v>
      </c>
      <c r="AP1" s="28" t="s">
        <v>761</v>
      </c>
      <c r="AQ1" t="s">
        <v>762</v>
      </c>
    </row>
    <row r="2" spans="1:43" x14ac:dyDescent="0.2">
      <c r="A2" s="14" t="s">
        <v>500</v>
      </c>
      <c r="B2" s="17">
        <v>18111371</v>
      </c>
      <c r="C2" s="14" t="s">
        <v>40</v>
      </c>
      <c r="D2" s="9">
        <v>18111371</v>
      </c>
      <c r="E2" s="9" t="s">
        <v>40</v>
      </c>
      <c r="F2" s="7">
        <v>45809</v>
      </c>
      <c r="G2" s="20" t="s">
        <v>36</v>
      </c>
      <c r="H2" s="8">
        <v>8</v>
      </c>
      <c r="I2" s="19">
        <v>1040652</v>
      </c>
      <c r="J2" s="10">
        <v>120000</v>
      </c>
      <c r="K2" s="10">
        <v>0</v>
      </c>
      <c r="L2" s="10">
        <v>120000</v>
      </c>
      <c r="M2" s="10">
        <v>0</v>
      </c>
      <c r="N2" s="11">
        <v>90000</v>
      </c>
      <c r="O2" s="12">
        <v>8</v>
      </c>
      <c r="P2" s="9">
        <v>285123</v>
      </c>
      <c r="Q2" s="9" t="s">
        <v>37</v>
      </c>
      <c r="R2" s="13">
        <v>45833</v>
      </c>
      <c r="S2" s="22">
        <v>45833.670520833337</v>
      </c>
      <c r="T2" s="13">
        <v>45812</v>
      </c>
      <c r="U2" s="13">
        <v>45812</v>
      </c>
      <c r="V2" s="9"/>
      <c r="W2" s="9" t="s">
        <v>38</v>
      </c>
      <c r="X2" s="9" t="s">
        <v>38</v>
      </c>
      <c r="Y2" s="9" t="s">
        <v>38</v>
      </c>
      <c r="Z2" s="9" t="s">
        <v>39</v>
      </c>
      <c r="AA2" s="9" t="s">
        <v>38</v>
      </c>
      <c r="AB2" s="9" t="s">
        <v>38</v>
      </c>
      <c r="AC2" s="9" t="s">
        <v>41</v>
      </c>
      <c r="AD2" s="9" t="s">
        <v>42</v>
      </c>
      <c r="AE2" s="9" t="s">
        <v>43</v>
      </c>
      <c r="AF2" s="9" t="s">
        <v>43</v>
      </c>
      <c r="AG2" s="14" t="str">
        <f t="shared" ref="AG2:AG34" si="0">+AF2</f>
        <v xml:space="preserve">KINESITERAPIA </v>
      </c>
      <c r="AH2" s="9" t="s">
        <v>44</v>
      </c>
      <c r="AI2" s="9" t="s">
        <v>45</v>
      </c>
      <c r="AJ2" s="9">
        <v>18776367</v>
      </c>
      <c r="AK2" s="9" t="s">
        <v>38</v>
      </c>
      <c r="AL2" s="26" t="s">
        <v>38</v>
      </c>
      <c r="AM2" s="14" t="s">
        <v>504</v>
      </c>
      <c r="AN2" s="27" t="str">
        <f>B2&amp;"|"&amp;AJ2&amp;"|"&amp;H2&amp;"|"&amp;I2</f>
        <v>18111371|18776367|8|1040652</v>
      </c>
      <c r="AO2" t="s">
        <v>44</v>
      </c>
      <c r="AP2" t="b">
        <v>1</v>
      </c>
      <c r="AQ2" t="s">
        <v>763</v>
      </c>
    </row>
    <row r="3" spans="1:43" x14ac:dyDescent="0.2">
      <c r="A3" s="14" t="s">
        <v>500</v>
      </c>
      <c r="B3" s="17">
        <v>18111371</v>
      </c>
      <c r="C3" s="14" t="s">
        <v>48</v>
      </c>
      <c r="D3" s="9">
        <v>18111371</v>
      </c>
      <c r="E3" s="9" t="s">
        <v>48</v>
      </c>
      <c r="F3" s="7">
        <v>45839</v>
      </c>
      <c r="G3" s="20" t="s">
        <v>46</v>
      </c>
      <c r="H3" s="8">
        <v>8</v>
      </c>
      <c r="I3" s="19">
        <v>66381068</v>
      </c>
      <c r="J3" s="10">
        <v>90000</v>
      </c>
      <c r="K3" s="10">
        <v>0</v>
      </c>
      <c r="L3" s="10">
        <v>90000</v>
      </c>
      <c r="M3" s="10">
        <v>0</v>
      </c>
      <c r="N3" s="11">
        <v>90000</v>
      </c>
      <c r="O3" s="12">
        <v>8</v>
      </c>
      <c r="P3" s="9">
        <v>285123</v>
      </c>
      <c r="Q3" s="9" t="s">
        <v>37</v>
      </c>
      <c r="R3" s="13">
        <v>45839</v>
      </c>
      <c r="S3" s="22">
        <v>45839</v>
      </c>
      <c r="T3" s="13">
        <v>45812</v>
      </c>
      <c r="U3" s="13">
        <v>45812</v>
      </c>
      <c r="V3" s="9" t="s">
        <v>47</v>
      </c>
      <c r="W3" s="9">
        <v>23307198</v>
      </c>
      <c r="X3" s="9">
        <v>7241739</v>
      </c>
      <c r="Y3" s="9">
        <v>70359767</v>
      </c>
      <c r="Z3" s="9" t="s">
        <v>39</v>
      </c>
      <c r="AA3" s="9">
        <v>98173340</v>
      </c>
      <c r="AB3" s="9">
        <v>79359</v>
      </c>
      <c r="AC3" s="9" t="s">
        <v>41</v>
      </c>
      <c r="AD3" s="9" t="s">
        <v>49</v>
      </c>
      <c r="AE3" s="9" t="s">
        <v>50</v>
      </c>
      <c r="AF3" s="9" t="s">
        <v>51</v>
      </c>
      <c r="AG3" s="14" t="str">
        <f t="shared" si="0"/>
        <v>PROCEDIMIENTO DE DIAGNOSTICO</v>
      </c>
      <c r="AH3" s="9">
        <v>0</v>
      </c>
      <c r="AI3" s="9">
        <v>0</v>
      </c>
      <c r="AJ3" s="9">
        <v>18776367</v>
      </c>
      <c r="AK3" s="9">
        <v>3</v>
      </c>
      <c r="AL3" s="26" t="s">
        <v>52</v>
      </c>
      <c r="AM3" s="14" t="s">
        <v>504</v>
      </c>
      <c r="AN3" s="27" t="str">
        <f t="shared" ref="AN3:AN66" si="1">B3&amp;"|"&amp;AJ3&amp;"|"&amp;H3&amp;"|"&amp;I3</f>
        <v>18111371|18776367|8|66381068</v>
      </c>
      <c r="AO3" t="s">
        <v>44</v>
      </c>
      <c r="AP3" t="b">
        <v>0</v>
      </c>
      <c r="AQ3" t="s">
        <v>763</v>
      </c>
    </row>
    <row r="4" spans="1:43" x14ac:dyDescent="0.2">
      <c r="A4" s="14" t="s">
        <v>500</v>
      </c>
      <c r="B4" s="17">
        <v>16695748</v>
      </c>
      <c r="C4" s="14" t="s">
        <v>53</v>
      </c>
      <c r="D4" s="9">
        <v>16695748</v>
      </c>
      <c r="E4" s="9" t="s">
        <v>53</v>
      </c>
      <c r="F4" s="7">
        <v>45809</v>
      </c>
      <c r="G4" s="20" t="s">
        <v>36</v>
      </c>
      <c r="H4" s="8">
        <v>29</v>
      </c>
      <c r="I4" s="19">
        <v>1031761</v>
      </c>
      <c r="J4" s="10">
        <v>128660</v>
      </c>
      <c r="K4" s="10">
        <v>110871</v>
      </c>
      <c r="L4" s="10">
        <v>17789</v>
      </c>
      <c r="M4" s="10">
        <v>0</v>
      </c>
      <c r="N4" s="11">
        <v>17789</v>
      </c>
      <c r="O4" s="12">
        <v>29</v>
      </c>
      <c r="P4" s="9">
        <v>285123</v>
      </c>
      <c r="Q4" s="9" t="s">
        <v>37</v>
      </c>
      <c r="R4" s="13">
        <v>45813</v>
      </c>
      <c r="S4" s="22">
        <v>45819.621076388888</v>
      </c>
      <c r="T4" s="13">
        <v>45797</v>
      </c>
      <c r="U4" s="13">
        <v>45797</v>
      </c>
      <c r="V4" s="9"/>
      <c r="W4" s="9" t="s">
        <v>38</v>
      </c>
      <c r="X4" s="9" t="s">
        <v>38</v>
      </c>
      <c r="Y4" s="9" t="s">
        <v>38</v>
      </c>
      <c r="Z4" s="9" t="s">
        <v>39</v>
      </c>
      <c r="AA4" s="9" t="s">
        <v>38</v>
      </c>
      <c r="AB4" s="9" t="s">
        <v>38</v>
      </c>
      <c r="AC4" s="9" t="s">
        <v>41</v>
      </c>
      <c r="AD4" s="9" t="s">
        <v>54</v>
      </c>
      <c r="AE4" s="9" t="s">
        <v>55</v>
      </c>
      <c r="AF4" s="9" t="s">
        <v>55</v>
      </c>
      <c r="AG4" s="14" t="str">
        <f t="shared" si="0"/>
        <v>CONSULTA PSICOLOGICA</v>
      </c>
      <c r="AH4" s="9" t="s">
        <v>44</v>
      </c>
      <c r="AI4" s="9" t="s">
        <v>56</v>
      </c>
      <c r="AJ4" s="9">
        <v>18356483</v>
      </c>
      <c r="AK4" s="9" t="s">
        <v>38</v>
      </c>
      <c r="AL4" s="26" t="s">
        <v>38</v>
      </c>
      <c r="AM4" s="14" t="s">
        <v>505</v>
      </c>
      <c r="AN4" s="27" t="str">
        <f t="shared" si="1"/>
        <v>16695748|18356483|29|1031761</v>
      </c>
      <c r="AO4" t="s">
        <v>44</v>
      </c>
      <c r="AP4" t="b">
        <v>1</v>
      </c>
      <c r="AQ4" t="s">
        <v>763</v>
      </c>
    </row>
    <row r="5" spans="1:43" x14ac:dyDescent="0.2">
      <c r="A5" s="14" t="s">
        <v>500</v>
      </c>
      <c r="B5" s="17">
        <v>16695748</v>
      </c>
      <c r="C5" s="14" t="s">
        <v>57</v>
      </c>
      <c r="D5" s="9">
        <v>16695748</v>
      </c>
      <c r="E5" s="9" t="s">
        <v>57</v>
      </c>
      <c r="F5" s="7">
        <v>45839</v>
      </c>
      <c r="G5" s="20" t="s">
        <v>46</v>
      </c>
      <c r="H5" s="8">
        <v>29</v>
      </c>
      <c r="I5" s="19">
        <v>66381065</v>
      </c>
      <c r="J5" s="10">
        <v>17789</v>
      </c>
      <c r="K5" s="10">
        <v>0</v>
      </c>
      <c r="L5" s="10">
        <v>17789</v>
      </c>
      <c r="M5" s="10">
        <v>0</v>
      </c>
      <c r="N5" s="11">
        <v>17789</v>
      </c>
      <c r="O5" s="12">
        <v>29</v>
      </c>
      <c r="P5" s="9">
        <v>285123</v>
      </c>
      <c r="Q5" s="9" t="s">
        <v>37</v>
      </c>
      <c r="R5" s="13">
        <v>45839</v>
      </c>
      <c r="S5" s="22">
        <v>45839</v>
      </c>
      <c r="T5" s="13">
        <v>45804</v>
      </c>
      <c r="U5" s="13">
        <v>45804</v>
      </c>
      <c r="V5" s="9" t="s">
        <v>47</v>
      </c>
      <c r="W5" s="9">
        <v>23307176</v>
      </c>
      <c r="X5" s="9">
        <v>7241739</v>
      </c>
      <c r="Y5" s="9">
        <v>70359765</v>
      </c>
      <c r="Z5" s="9" t="s">
        <v>39</v>
      </c>
      <c r="AA5" s="9">
        <v>76659184</v>
      </c>
      <c r="AB5" s="9">
        <v>79359</v>
      </c>
      <c r="AC5" s="9" t="s">
        <v>41</v>
      </c>
      <c r="AD5" s="9" t="s">
        <v>49</v>
      </c>
      <c r="AE5" s="9" t="s">
        <v>50</v>
      </c>
      <c r="AF5" s="9" t="s">
        <v>51</v>
      </c>
      <c r="AG5" s="14" t="str">
        <f t="shared" si="0"/>
        <v>PROCEDIMIENTO DE DIAGNOSTICO</v>
      </c>
      <c r="AH5" s="9">
        <v>0</v>
      </c>
      <c r="AI5" s="9">
        <v>0</v>
      </c>
      <c r="AJ5" s="9">
        <v>18356483</v>
      </c>
      <c r="AK5" s="9">
        <v>8</v>
      </c>
      <c r="AL5" s="26" t="s">
        <v>52</v>
      </c>
      <c r="AM5" s="14" t="s">
        <v>505</v>
      </c>
      <c r="AN5" s="27" t="str">
        <f t="shared" si="1"/>
        <v>16695748|18356483|29|66381065</v>
      </c>
      <c r="AO5" t="s">
        <v>44</v>
      </c>
      <c r="AP5" t="b">
        <v>0</v>
      </c>
      <c r="AQ5" t="s">
        <v>763</v>
      </c>
    </row>
    <row r="6" spans="1:43" x14ac:dyDescent="0.2">
      <c r="A6" s="14" t="s">
        <v>500</v>
      </c>
      <c r="B6" s="17">
        <v>17729073</v>
      </c>
      <c r="C6" s="14" t="s">
        <v>59</v>
      </c>
      <c r="D6" s="9">
        <v>27141392</v>
      </c>
      <c r="E6" s="9" t="s">
        <v>60</v>
      </c>
      <c r="F6" s="7">
        <v>45689</v>
      </c>
      <c r="G6" s="20" t="s">
        <v>36</v>
      </c>
      <c r="H6" s="8">
        <v>64</v>
      </c>
      <c r="I6" s="19">
        <v>986663</v>
      </c>
      <c r="J6" s="10">
        <v>35000</v>
      </c>
      <c r="K6" s="10">
        <v>10500</v>
      </c>
      <c r="L6" s="10">
        <v>24500</v>
      </c>
      <c r="M6" s="10">
        <v>0</v>
      </c>
      <c r="N6" s="11">
        <v>24500</v>
      </c>
      <c r="O6" s="12">
        <v>64</v>
      </c>
      <c r="P6" s="9">
        <v>285123</v>
      </c>
      <c r="Q6" s="9" t="s">
        <v>37</v>
      </c>
      <c r="R6" s="13">
        <v>45707</v>
      </c>
      <c r="S6" s="22">
        <v>45716</v>
      </c>
      <c r="T6" s="13">
        <v>45665</v>
      </c>
      <c r="U6" s="13">
        <v>45665</v>
      </c>
      <c r="V6" s="9" t="s">
        <v>58</v>
      </c>
      <c r="W6" s="9">
        <v>22640372</v>
      </c>
      <c r="X6" s="9">
        <v>3031016</v>
      </c>
      <c r="Y6" s="9">
        <v>68930285</v>
      </c>
      <c r="Z6" s="9" t="s">
        <v>39</v>
      </c>
      <c r="AA6" s="9">
        <v>4012349701</v>
      </c>
      <c r="AB6" s="9">
        <v>77739</v>
      </c>
      <c r="AC6" s="9" t="s">
        <v>41</v>
      </c>
      <c r="AD6" s="9" t="s">
        <v>54</v>
      </c>
      <c r="AE6" s="9" t="s">
        <v>61</v>
      </c>
      <c r="AF6" s="9" t="s">
        <v>55</v>
      </c>
      <c r="AG6" s="14" t="str">
        <f t="shared" si="0"/>
        <v>CONSULTA PSICOLOGICA</v>
      </c>
      <c r="AH6" s="9">
        <v>0</v>
      </c>
      <c r="AI6" s="9">
        <v>0</v>
      </c>
      <c r="AJ6" s="9">
        <v>78076064</v>
      </c>
      <c r="AK6" s="9">
        <v>8</v>
      </c>
      <c r="AL6" s="26" t="s">
        <v>62</v>
      </c>
      <c r="AM6" s="14" t="s">
        <v>506</v>
      </c>
      <c r="AN6" s="27" t="str">
        <f t="shared" si="1"/>
        <v>17729073|78076064|64|986663</v>
      </c>
      <c r="AO6" t="s">
        <v>44</v>
      </c>
      <c r="AP6" t="b">
        <v>0</v>
      </c>
      <c r="AQ6" t="s">
        <v>763</v>
      </c>
    </row>
    <row r="7" spans="1:43" x14ac:dyDescent="0.2">
      <c r="A7" s="14" t="s">
        <v>500</v>
      </c>
      <c r="B7" s="17">
        <v>17729073</v>
      </c>
      <c r="C7" s="14" t="s">
        <v>59</v>
      </c>
      <c r="D7" s="9">
        <v>27141392</v>
      </c>
      <c r="E7" s="9" t="s">
        <v>60</v>
      </c>
      <c r="F7" s="7">
        <v>45717</v>
      </c>
      <c r="G7" s="20" t="s">
        <v>46</v>
      </c>
      <c r="H7" s="8">
        <v>64</v>
      </c>
      <c r="I7" s="19">
        <v>65213260</v>
      </c>
      <c r="J7" s="10">
        <v>34961</v>
      </c>
      <c r="K7" s="10">
        <v>0</v>
      </c>
      <c r="L7" s="10">
        <v>34961</v>
      </c>
      <c r="M7" s="10">
        <v>0</v>
      </c>
      <c r="N7" s="11">
        <v>34961</v>
      </c>
      <c r="O7" s="12">
        <v>64</v>
      </c>
      <c r="P7" s="9">
        <v>285123</v>
      </c>
      <c r="Q7" s="9" t="s">
        <v>37</v>
      </c>
      <c r="R7" s="13">
        <v>45717</v>
      </c>
      <c r="S7" s="22">
        <v>45733</v>
      </c>
      <c r="T7" s="13">
        <v>45665</v>
      </c>
      <c r="U7" s="13">
        <v>45665</v>
      </c>
      <c r="V7" s="9" t="s">
        <v>58</v>
      </c>
      <c r="W7" s="9">
        <v>22753583</v>
      </c>
      <c r="X7" s="9">
        <v>3251558</v>
      </c>
      <c r="Y7" s="9">
        <v>69156633</v>
      </c>
      <c r="Z7" s="9" t="s">
        <v>39</v>
      </c>
      <c r="AA7" s="9">
        <v>4012349701</v>
      </c>
      <c r="AB7" s="9">
        <v>78017</v>
      </c>
      <c r="AC7" s="9" t="s">
        <v>41</v>
      </c>
      <c r="AD7" s="9" t="s">
        <v>54</v>
      </c>
      <c r="AE7" s="9" t="s">
        <v>61</v>
      </c>
      <c r="AF7" s="9" t="s">
        <v>55</v>
      </c>
      <c r="AG7" s="14" t="str">
        <f t="shared" si="0"/>
        <v>CONSULTA PSICOLOGICA</v>
      </c>
      <c r="AH7" s="9">
        <v>0</v>
      </c>
      <c r="AI7" s="9">
        <v>0</v>
      </c>
      <c r="AJ7" s="9">
        <v>78076064</v>
      </c>
      <c r="AK7" s="9">
        <v>8</v>
      </c>
      <c r="AL7" s="26" t="s">
        <v>52</v>
      </c>
      <c r="AM7" s="14" t="s">
        <v>506</v>
      </c>
      <c r="AN7" s="27" t="str">
        <f t="shared" si="1"/>
        <v>17729073|78076064|64|65213260</v>
      </c>
      <c r="AO7" t="s">
        <v>44</v>
      </c>
      <c r="AP7" t="b">
        <v>0</v>
      </c>
      <c r="AQ7" t="s">
        <v>763</v>
      </c>
    </row>
    <row r="8" spans="1:43" x14ac:dyDescent="0.2">
      <c r="A8" s="14" t="s">
        <v>500</v>
      </c>
      <c r="B8" s="17">
        <v>15276164</v>
      </c>
      <c r="C8" s="14" t="s">
        <v>63</v>
      </c>
      <c r="D8" s="9">
        <v>27575983</v>
      </c>
      <c r="E8" s="9" t="s">
        <v>64</v>
      </c>
      <c r="F8" s="7">
        <v>45689</v>
      </c>
      <c r="G8" s="20" t="s">
        <v>36</v>
      </c>
      <c r="H8" s="8">
        <v>98</v>
      </c>
      <c r="I8" s="19">
        <v>986476</v>
      </c>
      <c r="J8" s="10">
        <v>25000</v>
      </c>
      <c r="K8" s="10">
        <v>6250</v>
      </c>
      <c r="L8" s="10">
        <v>18750</v>
      </c>
      <c r="M8" s="10">
        <v>0</v>
      </c>
      <c r="N8" s="11">
        <v>18750</v>
      </c>
      <c r="O8" s="12">
        <v>98</v>
      </c>
      <c r="P8" s="9">
        <v>285123</v>
      </c>
      <c r="Q8" s="9" t="s">
        <v>37</v>
      </c>
      <c r="R8" s="13">
        <v>45707</v>
      </c>
      <c r="S8" s="22">
        <v>45707</v>
      </c>
      <c r="T8" s="13">
        <v>45698</v>
      </c>
      <c r="U8" s="13">
        <v>45698</v>
      </c>
      <c r="V8" s="9" t="s">
        <v>47</v>
      </c>
      <c r="W8" s="9">
        <v>22616409</v>
      </c>
      <c r="X8" s="9">
        <v>2251257</v>
      </c>
      <c r="Y8" s="9">
        <v>68923091</v>
      </c>
      <c r="Z8" s="9" t="s">
        <v>39</v>
      </c>
      <c r="AA8" s="9">
        <v>45919038</v>
      </c>
      <c r="AB8" s="9">
        <v>77692</v>
      </c>
      <c r="AC8" s="9" t="s">
        <v>41</v>
      </c>
      <c r="AD8" s="9" t="s">
        <v>65</v>
      </c>
      <c r="AE8" s="9" t="s">
        <v>66</v>
      </c>
      <c r="AF8" s="9" t="s">
        <v>66</v>
      </c>
      <c r="AG8" s="14" t="str">
        <f t="shared" si="0"/>
        <v>PROCEDIMIENTOS TERAPEUTICOS</v>
      </c>
      <c r="AH8" s="9">
        <v>0</v>
      </c>
      <c r="AI8" s="9">
        <v>0</v>
      </c>
      <c r="AJ8" s="9">
        <v>15591056</v>
      </c>
      <c r="AK8" s="9">
        <v>9</v>
      </c>
      <c r="AL8" s="26" t="s">
        <v>62</v>
      </c>
      <c r="AM8" s="14" t="s">
        <v>507</v>
      </c>
      <c r="AN8" s="27" t="str">
        <f t="shared" si="1"/>
        <v>15276164|15591056|98|986476</v>
      </c>
      <c r="AO8" t="s">
        <v>44</v>
      </c>
      <c r="AP8" t="b">
        <v>0</v>
      </c>
      <c r="AQ8" t="s">
        <v>763</v>
      </c>
    </row>
    <row r="9" spans="1:43" x14ac:dyDescent="0.2">
      <c r="A9" s="14" t="s">
        <v>500</v>
      </c>
      <c r="B9" s="17">
        <v>15276164</v>
      </c>
      <c r="C9" s="14" t="s">
        <v>63</v>
      </c>
      <c r="D9" s="9">
        <v>27575983</v>
      </c>
      <c r="E9" s="9" t="s">
        <v>64</v>
      </c>
      <c r="F9" s="7">
        <v>45748</v>
      </c>
      <c r="G9" s="20" t="s">
        <v>46</v>
      </c>
      <c r="H9" s="8">
        <v>98</v>
      </c>
      <c r="I9" s="19">
        <v>65423813</v>
      </c>
      <c r="J9" s="10">
        <v>24945</v>
      </c>
      <c r="K9" s="10">
        <v>0</v>
      </c>
      <c r="L9" s="10">
        <v>24945</v>
      </c>
      <c r="M9" s="10">
        <v>0</v>
      </c>
      <c r="N9" s="11">
        <v>24945</v>
      </c>
      <c r="O9" s="12">
        <v>98</v>
      </c>
      <c r="P9" s="9">
        <v>285123</v>
      </c>
      <c r="Q9" s="9" t="s">
        <v>37</v>
      </c>
      <c r="R9" s="13">
        <v>45748</v>
      </c>
      <c r="S9" s="22">
        <v>45748</v>
      </c>
      <c r="T9" s="13">
        <v>45698</v>
      </c>
      <c r="U9" s="13">
        <v>45698</v>
      </c>
      <c r="V9" s="9" t="s">
        <v>47</v>
      </c>
      <c r="W9" s="9">
        <v>22805951</v>
      </c>
      <c r="X9" s="9">
        <v>4071325</v>
      </c>
      <c r="Y9" s="9">
        <v>69335980</v>
      </c>
      <c r="Z9" s="9" t="s">
        <v>39</v>
      </c>
      <c r="AA9" s="9">
        <v>45919038</v>
      </c>
      <c r="AB9" s="9">
        <v>78193</v>
      </c>
      <c r="AC9" s="9" t="s">
        <v>41</v>
      </c>
      <c r="AD9" s="9" t="s">
        <v>49</v>
      </c>
      <c r="AE9" s="9" t="s">
        <v>50</v>
      </c>
      <c r="AF9" s="9" t="s">
        <v>51</v>
      </c>
      <c r="AG9" s="14" t="str">
        <f t="shared" si="0"/>
        <v>PROCEDIMIENTO DE DIAGNOSTICO</v>
      </c>
      <c r="AH9" s="9">
        <v>0</v>
      </c>
      <c r="AI9" s="9">
        <v>0</v>
      </c>
      <c r="AJ9" s="9">
        <v>15591056</v>
      </c>
      <c r="AK9" s="9">
        <v>9</v>
      </c>
      <c r="AL9" s="26" t="s">
        <v>52</v>
      </c>
      <c r="AM9" s="14" t="s">
        <v>507</v>
      </c>
      <c r="AN9" s="27" t="str">
        <f t="shared" si="1"/>
        <v>15276164|15591056|98|65423813</v>
      </c>
      <c r="AO9" t="s">
        <v>44</v>
      </c>
      <c r="AP9" t="b">
        <v>0</v>
      </c>
      <c r="AQ9" t="s">
        <v>763</v>
      </c>
    </row>
    <row r="10" spans="1:43" x14ac:dyDescent="0.2">
      <c r="A10" s="14" t="s">
        <v>500</v>
      </c>
      <c r="B10" s="17">
        <v>13297684</v>
      </c>
      <c r="C10" s="14" t="s">
        <v>67</v>
      </c>
      <c r="D10" s="9">
        <v>21402957</v>
      </c>
      <c r="E10" s="9" t="s">
        <v>68</v>
      </c>
      <c r="F10" s="7">
        <v>45689</v>
      </c>
      <c r="G10" s="20" t="s">
        <v>36</v>
      </c>
      <c r="H10" s="8">
        <v>109</v>
      </c>
      <c r="I10" s="19">
        <v>986504</v>
      </c>
      <c r="J10" s="10">
        <v>25000</v>
      </c>
      <c r="K10" s="10">
        <v>22000</v>
      </c>
      <c r="L10" s="10">
        <v>3000</v>
      </c>
      <c r="M10" s="10">
        <v>0</v>
      </c>
      <c r="N10" s="11">
        <v>3000</v>
      </c>
      <c r="O10" s="12">
        <v>109</v>
      </c>
      <c r="P10" s="9">
        <v>285123</v>
      </c>
      <c r="Q10" s="9" t="s">
        <v>37</v>
      </c>
      <c r="R10" s="13">
        <v>45707</v>
      </c>
      <c r="S10" s="22">
        <v>45708</v>
      </c>
      <c r="T10" s="13">
        <v>45666</v>
      </c>
      <c r="U10" s="13">
        <v>45666</v>
      </c>
      <c r="V10" s="9" t="s">
        <v>58</v>
      </c>
      <c r="W10" s="9">
        <v>22616407</v>
      </c>
      <c r="X10" s="9">
        <v>2251257</v>
      </c>
      <c r="Y10" s="9">
        <v>68923100</v>
      </c>
      <c r="Z10" s="9" t="s">
        <v>39</v>
      </c>
      <c r="AA10" s="9">
        <v>1420170364</v>
      </c>
      <c r="AB10" s="9">
        <v>77692</v>
      </c>
      <c r="AC10" s="9" t="s">
        <v>41</v>
      </c>
      <c r="AD10" s="9" t="s">
        <v>54</v>
      </c>
      <c r="AE10" s="9" t="s">
        <v>61</v>
      </c>
      <c r="AF10" s="9" t="s">
        <v>55</v>
      </c>
      <c r="AG10" s="14" t="str">
        <f t="shared" si="0"/>
        <v>CONSULTA PSICOLOGICA</v>
      </c>
      <c r="AH10" s="9">
        <v>0</v>
      </c>
      <c r="AI10" s="9">
        <v>0</v>
      </c>
      <c r="AJ10" s="9">
        <v>19892445</v>
      </c>
      <c r="AK10" s="9">
        <v>8</v>
      </c>
      <c r="AL10" s="26" t="s">
        <v>69</v>
      </c>
      <c r="AM10" s="14" t="s">
        <v>508</v>
      </c>
      <c r="AN10" s="27" t="str">
        <f t="shared" si="1"/>
        <v>13297684|19892445|109|986504</v>
      </c>
      <c r="AO10" t="s">
        <v>44</v>
      </c>
      <c r="AP10" t="b">
        <v>0</v>
      </c>
      <c r="AQ10" t="s">
        <v>763</v>
      </c>
    </row>
    <row r="11" spans="1:43" x14ac:dyDescent="0.2">
      <c r="A11" s="14" t="s">
        <v>500</v>
      </c>
      <c r="B11" s="17">
        <v>13297684</v>
      </c>
      <c r="C11" s="14" t="s">
        <v>67</v>
      </c>
      <c r="D11" s="9">
        <v>21402957</v>
      </c>
      <c r="E11" s="9" t="s">
        <v>68</v>
      </c>
      <c r="F11" s="7">
        <v>45689</v>
      </c>
      <c r="G11" s="20" t="s">
        <v>36</v>
      </c>
      <c r="H11" s="8">
        <v>109</v>
      </c>
      <c r="I11" s="19">
        <v>986504</v>
      </c>
      <c r="J11" s="10">
        <v>25000</v>
      </c>
      <c r="K11" s="10">
        <v>19303</v>
      </c>
      <c r="L11" s="10">
        <v>5697</v>
      </c>
      <c r="M11" s="10">
        <v>0</v>
      </c>
      <c r="N11" s="11">
        <v>5697</v>
      </c>
      <c r="O11" s="12">
        <v>109</v>
      </c>
      <c r="P11" s="9">
        <v>285123</v>
      </c>
      <c r="Q11" s="9" t="s">
        <v>37</v>
      </c>
      <c r="R11" s="13">
        <v>45707</v>
      </c>
      <c r="S11" s="22">
        <v>45708</v>
      </c>
      <c r="T11" s="13">
        <v>45666</v>
      </c>
      <c r="U11" s="13">
        <v>45672</v>
      </c>
      <c r="V11" s="9" t="s">
        <v>58</v>
      </c>
      <c r="W11" s="9">
        <v>22616407</v>
      </c>
      <c r="X11" s="9">
        <v>2251257</v>
      </c>
      <c r="Y11" s="9">
        <v>68923100</v>
      </c>
      <c r="Z11" s="9" t="s">
        <v>39</v>
      </c>
      <c r="AA11" s="9">
        <v>1420170364</v>
      </c>
      <c r="AB11" s="9">
        <v>77692</v>
      </c>
      <c r="AC11" s="9" t="s">
        <v>41</v>
      </c>
      <c r="AD11" s="9" t="s">
        <v>54</v>
      </c>
      <c r="AE11" s="9" t="s">
        <v>61</v>
      </c>
      <c r="AF11" s="9" t="s">
        <v>55</v>
      </c>
      <c r="AG11" s="14" t="str">
        <f t="shared" si="0"/>
        <v>CONSULTA PSICOLOGICA</v>
      </c>
      <c r="AH11" s="9">
        <v>0</v>
      </c>
      <c r="AI11" s="9">
        <v>0</v>
      </c>
      <c r="AJ11" s="9">
        <v>19892445</v>
      </c>
      <c r="AK11" s="9">
        <v>8</v>
      </c>
      <c r="AL11" s="26" t="s">
        <v>69</v>
      </c>
      <c r="AM11" s="14" t="s">
        <v>508</v>
      </c>
      <c r="AN11" s="27" t="str">
        <f t="shared" si="1"/>
        <v>13297684|19892445|109|986504</v>
      </c>
      <c r="AO11" t="s">
        <v>44</v>
      </c>
      <c r="AP11" t="b">
        <v>0</v>
      </c>
      <c r="AQ11" t="s">
        <v>763</v>
      </c>
    </row>
    <row r="12" spans="1:43" x14ac:dyDescent="0.2">
      <c r="A12" s="14" t="s">
        <v>500</v>
      </c>
      <c r="B12" s="17">
        <v>13297684</v>
      </c>
      <c r="C12" s="14" t="s">
        <v>67</v>
      </c>
      <c r="D12" s="9">
        <v>21402957</v>
      </c>
      <c r="E12" s="9" t="s">
        <v>68</v>
      </c>
      <c r="F12" s="7">
        <v>45717</v>
      </c>
      <c r="G12" s="20" t="s">
        <v>46</v>
      </c>
      <c r="H12" s="8">
        <v>109</v>
      </c>
      <c r="I12" s="19">
        <v>65213095</v>
      </c>
      <c r="J12" s="10">
        <v>21875</v>
      </c>
      <c r="K12" s="10">
        <v>0</v>
      </c>
      <c r="L12" s="10">
        <v>21875</v>
      </c>
      <c r="M12" s="10">
        <v>0</v>
      </c>
      <c r="N12" s="11">
        <v>21875</v>
      </c>
      <c r="O12" s="12">
        <v>109</v>
      </c>
      <c r="P12" s="9">
        <v>285123</v>
      </c>
      <c r="Q12" s="9" t="s">
        <v>37</v>
      </c>
      <c r="R12" s="13">
        <v>45717</v>
      </c>
      <c r="S12" s="22">
        <v>45733</v>
      </c>
      <c r="T12" s="13">
        <v>45666</v>
      </c>
      <c r="U12" s="13">
        <v>45666</v>
      </c>
      <c r="V12" s="9" t="s">
        <v>58</v>
      </c>
      <c r="W12" s="9">
        <v>22753738</v>
      </c>
      <c r="X12" s="9">
        <v>3251558</v>
      </c>
      <c r="Y12" s="9">
        <v>69156491</v>
      </c>
      <c r="Z12" s="9" t="s">
        <v>39</v>
      </c>
      <c r="AA12" s="9">
        <v>1420170364</v>
      </c>
      <c r="AB12" s="9">
        <v>78017</v>
      </c>
      <c r="AC12" s="9" t="s">
        <v>41</v>
      </c>
      <c r="AD12" s="9" t="s">
        <v>54</v>
      </c>
      <c r="AE12" s="9" t="s">
        <v>61</v>
      </c>
      <c r="AF12" s="9" t="s">
        <v>55</v>
      </c>
      <c r="AG12" s="14" t="str">
        <f t="shared" si="0"/>
        <v>CONSULTA PSICOLOGICA</v>
      </c>
      <c r="AH12" s="9">
        <v>0</v>
      </c>
      <c r="AI12" s="9">
        <v>0</v>
      </c>
      <c r="AJ12" s="9">
        <v>19892445</v>
      </c>
      <c r="AK12" s="9">
        <v>8</v>
      </c>
      <c r="AL12" s="26" t="s">
        <v>52</v>
      </c>
      <c r="AM12" s="14" t="s">
        <v>508</v>
      </c>
      <c r="AN12" s="27" t="str">
        <f t="shared" si="1"/>
        <v>13297684|19892445|109|65213095</v>
      </c>
      <c r="AO12" t="s">
        <v>44</v>
      </c>
      <c r="AP12" t="b">
        <v>0</v>
      </c>
      <c r="AQ12" t="s">
        <v>763</v>
      </c>
    </row>
    <row r="13" spans="1:43" x14ac:dyDescent="0.2">
      <c r="A13" s="14" t="s">
        <v>500</v>
      </c>
      <c r="B13" s="17">
        <v>20107537</v>
      </c>
      <c r="C13" s="14" t="s">
        <v>70</v>
      </c>
      <c r="D13" s="9">
        <v>20107537</v>
      </c>
      <c r="E13" s="9" t="s">
        <v>70</v>
      </c>
      <c r="F13" s="7">
        <v>45689</v>
      </c>
      <c r="G13" s="20" t="s">
        <v>36</v>
      </c>
      <c r="H13" s="8">
        <v>665</v>
      </c>
      <c r="I13" s="19">
        <v>983141</v>
      </c>
      <c r="J13" s="10">
        <v>70000</v>
      </c>
      <c r="K13" s="10">
        <v>6143</v>
      </c>
      <c r="L13" s="10">
        <v>63857</v>
      </c>
      <c r="M13" s="10">
        <v>0</v>
      </c>
      <c r="N13" s="11">
        <v>63857</v>
      </c>
      <c r="O13" s="12">
        <v>665</v>
      </c>
      <c r="P13" s="9">
        <v>285123</v>
      </c>
      <c r="Q13" s="9" t="s">
        <v>37</v>
      </c>
      <c r="R13" s="13">
        <v>45698</v>
      </c>
      <c r="S13" s="22">
        <v>45707</v>
      </c>
      <c r="T13" s="13">
        <v>45664</v>
      </c>
      <c r="U13" s="13">
        <v>45664</v>
      </c>
      <c r="V13" s="9" t="s">
        <v>58</v>
      </c>
      <c r="W13" s="9">
        <v>22616330</v>
      </c>
      <c r="X13" s="9">
        <v>2251257</v>
      </c>
      <c r="Y13" s="9">
        <v>68921710</v>
      </c>
      <c r="Z13" s="9" t="s">
        <v>39</v>
      </c>
      <c r="AA13" s="9">
        <v>20107537</v>
      </c>
      <c r="AB13" s="9">
        <v>77692</v>
      </c>
      <c r="AC13" s="9" t="s">
        <v>41</v>
      </c>
      <c r="AD13" s="9" t="s">
        <v>71</v>
      </c>
      <c r="AE13" s="9" t="s">
        <v>72</v>
      </c>
      <c r="AF13" s="9" t="s">
        <v>73</v>
      </c>
      <c r="AG13" s="14" t="str">
        <f t="shared" si="0"/>
        <v>CONSULTA PSIQUIATRICA</v>
      </c>
      <c r="AH13" s="9">
        <v>0</v>
      </c>
      <c r="AI13" s="9">
        <v>0</v>
      </c>
      <c r="AJ13" s="9">
        <v>77964384</v>
      </c>
      <c r="AK13" s="9">
        <v>0</v>
      </c>
      <c r="AL13" s="26" t="s">
        <v>62</v>
      </c>
      <c r="AM13" s="14" t="s">
        <v>509</v>
      </c>
      <c r="AN13" s="27" t="str">
        <f t="shared" si="1"/>
        <v>20107537|77964384|665|983141</v>
      </c>
      <c r="AO13" t="s">
        <v>44</v>
      </c>
      <c r="AP13" t="b">
        <v>0</v>
      </c>
      <c r="AQ13" t="s">
        <v>763</v>
      </c>
    </row>
    <row r="14" spans="1:43" x14ac:dyDescent="0.2">
      <c r="A14" s="14" t="s">
        <v>500</v>
      </c>
      <c r="B14" s="17">
        <v>20107537</v>
      </c>
      <c r="C14" s="14" t="s">
        <v>70</v>
      </c>
      <c r="D14" s="9">
        <v>20107537</v>
      </c>
      <c r="E14" s="9" t="s">
        <v>70</v>
      </c>
      <c r="F14" s="7">
        <v>45717</v>
      </c>
      <c r="G14" s="20" t="s">
        <v>46</v>
      </c>
      <c r="H14" s="8">
        <v>665</v>
      </c>
      <c r="I14" s="19">
        <v>65213305</v>
      </c>
      <c r="J14" s="10">
        <v>63747</v>
      </c>
      <c r="K14" s="10">
        <v>0</v>
      </c>
      <c r="L14" s="10">
        <v>63747</v>
      </c>
      <c r="M14" s="10">
        <v>0</v>
      </c>
      <c r="N14" s="11">
        <v>63747</v>
      </c>
      <c r="O14" s="12">
        <v>665</v>
      </c>
      <c r="P14" s="9">
        <v>285123</v>
      </c>
      <c r="Q14" s="9" t="s">
        <v>37</v>
      </c>
      <c r="R14" s="13">
        <v>45717</v>
      </c>
      <c r="S14" s="22">
        <v>45733</v>
      </c>
      <c r="T14" s="13">
        <v>45664</v>
      </c>
      <c r="U14" s="13">
        <v>45664</v>
      </c>
      <c r="V14" s="9" t="s">
        <v>58</v>
      </c>
      <c r="W14" s="9">
        <v>22753639</v>
      </c>
      <c r="X14" s="9">
        <v>3251558</v>
      </c>
      <c r="Y14" s="9">
        <v>69156672</v>
      </c>
      <c r="Z14" s="9" t="s">
        <v>39</v>
      </c>
      <c r="AA14" s="9">
        <v>20107537</v>
      </c>
      <c r="AB14" s="9">
        <v>78017</v>
      </c>
      <c r="AC14" s="9" t="s">
        <v>41</v>
      </c>
      <c r="AD14" s="9" t="s">
        <v>71</v>
      </c>
      <c r="AE14" s="9" t="s">
        <v>72</v>
      </c>
      <c r="AF14" s="9" t="s">
        <v>73</v>
      </c>
      <c r="AG14" s="14" t="str">
        <f t="shared" si="0"/>
        <v>CONSULTA PSIQUIATRICA</v>
      </c>
      <c r="AH14" s="9">
        <v>0</v>
      </c>
      <c r="AI14" s="9">
        <v>0</v>
      </c>
      <c r="AJ14" s="9">
        <v>77964384</v>
      </c>
      <c r="AK14" s="9">
        <v>0</v>
      </c>
      <c r="AL14" s="26" t="s">
        <v>52</v>
      </c>
      <c r="AM14" s="14" t="s">
        <v>509</v>
      </c>
      <c r="AN14" s="27" t="str">
        <f t="shared" si="1"/>
        <v>20107537|77964384|665|65213305</v>
      </c>
      <c r="AO14" t="s">
        <v>44</v>
      </c>
      <c r="AP14" t="b">
        <v>0</v>
      </c>
      <c r="AQ14" t="s">
        <v>763</v>
      </c>
    </row>
    <row r="15" spans="1:43" x14ac:dyDescent="0.2">
      <c r="A15" s="14" t="s">
        <v>500</v>
      </c>
      <c r="B15" s="17">
        <v>19235091</v>
      </c>
      <c r="C15" s="14" t="s">
        <v>74</v>
      </c>
      <c r="D15" s="9">
        <v>19235091</v>
      </c>
      <c r="E15" s="9" t="s">
        <v>74</v>
      </c>
      <c r="F15" s="7">
        <v>45717</v>
      </c>
      <c r="G15" s="20" t="s">
        <v>36</v>
      </c>
      <c r="H15" s="8">
        <v>1094</v>
      </c>
      <c r="I15" s="19">
        <v>987180</v>
      </c>
      <c r="J15" s="10">
        <v>350000</v>
      </c>
      <c r="K15" s="10">
        <v>241782</v>
      </c>
      <c r="L15" s="10">
        <v>108218</v>
      </c>
      <c r="M15" s="10">
        <v>0</v>
      </c>
      <c r="N15" s="11">
        <v>108218</v>
      </c>
      <c r="O15" s="12">
        <v>1094</v>
      </c>
      <c r="P15" s="9">
        <v>285123</v>
      </c>
      <c r="Q15" s="9" t="s">
        <v>37</v>
      </c>
      <c r="R15" s="13">
        <v>45717</v>
      </c>
      <c r="S15" s="22">
        <v>45716</v>
      </c>
      <c r="T15" s="13">
        <v>45686</v>
      </c>
      <c r="U15" s="13">
        <v>45686</v>
      </c>
      <c r="V15" s="9" t="s">
        <v>47</v>
      </c>
      <c r="W15" s="9">
        <v>22669543</v>
      </c>
      <c r="X15" s="9">
        <v>3101250</v>
      </c>
      <c r="Y15" s="9">
        <v>68970579</v>
      </c>
      <c r="Z15" s="9" t="s">
        <v>39</v>
      </c>
      <c r="AA15" s="9">
        <v>8011312806</v>
      </c>
      <c r="AB15" s="9">
        <v>77859</v>
      </c>
      <c r="AC15" s="9" t="s">
        <v>41</v>
      </c>
      <c r="AD15" s="9" t="s">
        <v>65</v>
      </c>
      <c r="AE15" s="9" t="s">
        <v>66</v>
      </c>
      <c r="AF15" s="9" t="s">
        <v>66</v>
      </c>
      <c r="AG15" s="14" t="str">
        <f t="shared" si="0"/>
        <v>PROCEDIMIENTOS TERAPEUTICOS</v>
      </c>
      <c r="AH15" s="9">
        <v>0</v>
      </c>
      <c r="AI15" s="9">
        <v>0</v>
      </c>
      <c r="AJ15" s="9">
        <v>77203222</v>
      </c>
      <c r="AK15" s="9">
        <v>6</v>
      </c>
      <c r="AL15" s="26" t="s">
        <v>69</v>
      </c>
      <c r="AM15" s="14" t="s">
        <v>510</v>
      </c>
      <c r="AN15" s="27" t="str">
        <f t="shared" si="1"/>
        <v>19235091|77203222|1094|987180</v>
      </c>
      <c r="AO15" t="s">
        <v>44</v>
      </c>
      <c r="AP15" t="b">
        <v>0</v>
      </c>
      <c r="AQ15" t="s">
        <v>763</v>
      </c>
    </row>
    <row r="16" spans="1:43" x14ac:dyDescent="0.2">
      <c r="A16" s="14" t="s">
        <v>500</v>
      </c>
      <c r="B16" s="17">
        <v>19235091</v>
      </c>
      <c r="C16" s="14" t="s">
        <v>74</v>
      </c>
      <c r="D16" s="9">
        <v>19235091</v>
      </c>
      <c r="E16" s="9" t="s">
        <v>74</v>
      </c>
      <c r="F16" s="7">
        <v>45748</v>
      </c>
      <c r="G16" s="20" t="s">
        <v>46</v>
      </c>
      <c r="H16" s="8">
        <v>1094</v>
      </c>
      <c r="I16" s="19">
        <v>65423840</v>
      </c>
      <c r="J16" s="10">
        <v>121302</v>
      </c>
      <c r="K16" s="10">
        <v>0</v>
      </c>
      <c r="L16" s="10">
        <v>121302</v>
      </c>
      <c r="M16" s="10">
        <v>0</v>
      </c>
      <c r="N16" s="11">
        <v>121302</v>
      </c>
      <c r="O16" s="12">
        <v>1094</v>
      </c>
      <c r="P16" s="9">
        <v>285123</v>
      </c>
      <c r="Q16" s="9" t="s">
        <v>37</v>
      </c>
      <c r="R16" s="13">
        <v>45748</v>
      </c>
      <c r="S16" s="22">
        <v>45748</v>
      </c>
      <c r="T16" s="13">
        <v>45686</v>
      </c>
      <c r="U16" s="13">
        <v>45686</v>
      </c>
      <c r="V16" s="9" t="s">
        <v>47</v>
      </c>
      <c r="W16" s="9">
        <v>22805940</v>
      </c>
      <c r="X16" s="9">
        <v>4071325</v>
      </c>
      <c r="Y16" s="9">
        <v>69335996</v>
      </c>
      <c r="Z16" s="9" t="s">
        <v>39</v>
      </c>
      <c r="AA16" s="9">
        <v>8011312806</v>
      </c>
      <c r="AB16" s="9">
        <v>78193</v>
      </c>
      <c r="AC16" s="9" t="s">
        <v>41</v>
      </c>
      <c r="AD16" s="9" t="s">
        <v>49</v>
      </c>
      <c r="AE16" s="9" t="s">
        <v>50</v>
      </c>
      <c r="AF16" s="9" t="s">
        <v>51</v>
      </c>
      <c r="AG16" s="14" t="str">
        <f t="shared" si="0"/>
        <v>PROCEDIMIENTO DE DIAGNOSTICO</v>
      </c>
      <c r="AH16" s="9">
        <v>0</v>
      </c>
      <c r="AI16" s="9">
        <v>0</v>
      </c>
      <c r="AJ16" s="9">
        <v>77203222</v>
      </c>
      <c r="AK16" s="9">
        <v>6</v>
      </c>
      <c r="AL16" s="26" t="s">
        <v>52</v>
      </c>
      <c r="AM16" s="14" t="s">
        <v>510</v>
      </c>
      <c r="AN16" s="27" t="str">
        <f t="shared" si="1"/>
        <v>19235091|77203222|1094|65423840</v>
      </c>
      <c r="AO16" t="s">
        <v>44</v>
      </c>
      <c r="AP16" t="b">
        <v>0</v>
      </c>
      <c r="AQ16" t="s">
        <v>763</v>
      </c>
    </row>
    <row r="17" spans="1:43" x14ac:dyDescent="0.2">
      <c r="A17" s="14" t="s">
        <v>500</v>
      </c>
      <c r="B17" s="17">
        <v>25988041</v>
      </c>
      <c r="C17" s="14" t="s">
        <v>75</v>
      </c>
      <c r="D17" s="9">
        <v>25988041</v>
      </c>
      <c r="E17" s="9" t="s">
        <v>75</v>
      </c>
      <c r="F17" s="7">
        <v>45689</v>
      </c>
      <c r="G17" s="20" t="s">
        <v>36</v>
      </c>
      <c r="H17" s="8">
        <v>1201</v>
      </c>
      <c r="I17" s="19">
        <v>984117</v>
      </c>
      <c r="J17" s="10">
        <v>38000</v>
      </c>
      <c r="K17" s="10">
        <v>26600</v>
      </c>
      <c r="L17" s="10">
        <v>11400</v>
      </c>
      <c r="M17" s="10">
        <v>0</v>
      </c>
      <c r="N17" s="11">
        <v>11400</v>
      </c>
      <c r="O17" s="12">
        <v>1201</v>
      </c>
      <c r="P17" s="9">
        <v>285123</v>
      </c>
      <c r="Q17" s="9" t="s">
        <v>37</v>
      </c>
      <c r="R17" s="13">
        <v>45700</v>
      </c>
      <c r="S17" s="22">
        <v>45708</v>
      </c>
      <c r="T17" s="13">
        <v>45665</v>
      </c>
      <c r="U17" s="13">
        <v>45665</v>
      </c>
      <c r="V17" s="9" t="s">
        <v>58</v>
      </c>
      <c r="W17" s="9">
        <v>22616360</v>
      </c>
      <c r="X17" s="9">
        <v>2251257</v>
      </c>
      <c r="Y17" s="9">
        <v>68922218</v>
      </c>
      <c r="Z17" s="9" t="s">
        <v>39</v>
      </c>
      <c r="AA17" s="9">
        <v>982694515</v>
      </c>
      <c r="AB17" s="9">
        <v>77692</v>
      </c>
      <c r="AC17" s="9" t="s">
        <v>41</v>
      </c>
      <c r="AD17" s="9" t="s">
        <v>54</v>
      </c>
      <c r="AE17" s="9" t="s">
        <v>61</v>
      </c>
      <c r="AF17" s="9" t="s">
        <v>55</v>
      </c>
      <c r="AG17" s="14" t="str">
        <f t="shared" si="0"/>
        <v>CONSULTA PSICOLOGICA</v>
      </c>
      <c r="AH17" s="9">
        <v>0</v>
      </c>
      <c r="AI17" s="9">
        <v>0</v>
      </c>
      <c r="AJ17" s="9">
        <v>15783031</v>
      </c>
      <c r="AK17" s="9">
        <v>7</v>
      </c>
      <c r="AL17" s="26" t="s">
        <v>76</v>
      </c>
      <c r="AM17" s="14" t="s">
        <v>511</v>
      </c>
      <c r="AN17" s="27" t="str">
        <f t="shared" si="1"/>
        <v>25988041|15783031|1201|984117</v>
      </c>
      <c r="AO17" t="s">
        <v>44</v>
      </c>
      <c r="AP17" t="b">
        <v>0</v>
      </c>
      <c r="AQ17" t="s">
        <v>763</v>
      </c>
    </row>
    <row r="18" spans="1:43" x14ac:dyDescent="0.2">
      <c r="A18" s="14" t="s">
        <v>500</v>
      </c>
      <c r="B18" s="17">
        <v>25988041</v>
      </c>
      <c r="C18" s="14" t="s">
        <v>75</v>
      </c>
      <c r="D18" s="9">
        <v>25988041</v>
      </c>
      <c r="E18" s="9" t="s">
        <v>75</v>
      </c>
      <c r="F18" s="7">
        <v>45717</v>
      </c>
      <c r="G18" s="20" t="s">
        <v>46</v>
      </c>
      <c r="H18" s="8">
        <v>1201</v>
      </c>
      <c r="I18" s="19">
        <v>65213313</v>
      </c>
      <c r="J18" s="10">
        <v>11526</v>
      </c>
      <c r="K18" s="10">
        <v>0</v>
      </c>
      <c r="L18" s="10">
        <v>11526</v>
      </c>
      <c r="M18" s="10">
        <v>0</v>
      </c>
      <c r="N18" s="11">
        <v>11526</v>
      </c>
      <c r="O18" s="12">
        <v>1201</v>
      </c>
      <c r="P18" s="9">
        <v>285123</v>
      </c>
      <c r="Q18" s="9" t="s">
        <v>37</v>
      </c>
      <c r="R18" s="13">
        <v>45717</v>
      </c>
      <c r="S18" s="22">
        <v>45733</v>
      </c>
      <c r="T18" s="13">
        <v>45665</v>
      </c>
      <c r="U18" s="13">
        <v>45665</v>
      </c>
      <c r="V18" s="9" t="s">
        <v>58</v>
      </c>
      <c r="W18" s="9">
        <v>22753586</v>
      </c>
      <c r="X18" s="9">
        <v>3251558</v>
      </c>
      <c r="Y18" s="9">
        <v>69156679</v>
      </c>
      <c r="Z18" s="9" t="s">
        <v>39</v>
      </c>
      <c r="AA18" s="9">
        <v>982694515</v>
      </c>
      <c r="AB18" s="9">
        <v>78017</v>
      </c>
      <c r="AC18" s="9" t="s">
        <v>41</v>
      </c>
      <c r="AD18" s="9" t="s">
        <v>54</v>
      </c>
      <c r="AE18" s="9" t="s">
        <v>61</v>
      </c>
      <c r="AF18" s="9" t="s">
        <v>55</v>
      </c>
      <c r="AG18" s="14" t="str">
        <f t="shared" si="0"/>
        <v>CONSULTA PSICOLOGICA</v>
      </c>
      <c r="AH18" s="9">
        <v>0</v>
      </c>
      <c r="AI18" s="9">
        <v>0</v>
      </c>
      <c r="AJ18" s="9">
        <v>15783031</v>
      </c>
      <c r="AK18" s="9">
        <v>7</v>
      </c>
      <c r="AL18" s="26" t="s">
        <v>52</v>
      </c>
      <c r="AM18" s="14" t="s">
        <v>511</v>
      </c>
      <c r="AN18" s="27" t="str">
        <f t="shared" si="1"/>
        <v>25988041|15783031|1201|65213313</v>
      </c>
      <c r="AO18" t="s">
        <v>44</v>
      </c>
      <c r="AP18" t="b">
        <v>0</v>
      </c>
      <c r="AQ18" t="s">
        <v>763</v>
      </c>
    </row>
    <row r="19" spans="1:43" x14ac:dyDescent="0.2">
      <c r="A19" s="14" t="s">
        <v>500</v>
      </c>
      <c r="B19" s="17">
        <v>25988041</v>
      </c>
      <c r="C19" s="14" t="s">
        <v>75</v>
      </c>
      <c r="D19" s="9">
        <v>25988041</v>
      </c>
      <c r="E19" s="9" t="s">
        <v>75</v>
      </c>
      <c r="F19" s="7">
        <v>45689</v>
      </c>
      <c r="G19" s="20" t="s">
        <v>36</v>
      </c>
      <c r="H19" s="8">
        <v>1213</v>
      </c>
      <c r="I19" s="19">
        <v>984118</v>
      </c>
      <c r="J19" s="10">
        <v>38000</v>
      </c>
      <c r="K19" s="10">
        <v>31160</v>
      </c>
      <c r="L19" s="10">
        <v>6840</v>
      </c>
      <c r="M19" s="10">
        <v>0</v>
      </c>
      <c r="N19" s="11">
        <v>6840</v>
      </c>
      <c r="O19" s="12">
        <v>1213</v>
      </c>
      <c r="P19" s="9">
        <v>285123</v>
      </c>
      <c r="Q19" s="9" t="s">
        <v>37</v>
      </c>
      <c r="R19" s="13">
        <v>45700</v>
      </c>
      <c r="S19" s="22">
        <v>45708</v>
      </c>
      <c r="T19" s="13">
        <v>45678</v>
      </c>
      <c r="U19" s="13">
        <v>45678</v>
      </c>
      <c r="V19" s="9" t="s">
        <v>58</v>
      </c>
      <c r="W19" s="9">
        <v>22616360</v>
      </c>
      <c r="X19" s="9">
        <v>2251257</v>
      </c>
      <c r="Y19" s="9">
        <v>68922219</v>
      </c>
      <c r="Z19" s="9" t="s">
        <v>39</v>
      </c>
      <c r="AA19" s="9">
        <v>982694515</v>
      </c>
      <c r="AB19" s="9">
        <v>77692</v>
      </c>
      <c r="AC19" s="9" t="s">
        <v>41</v>
      </c>
      <c r="AD19" s="9" t="s">
        <v>54</v>
      </c>
      <c r="AE19" s="9" t="s">
        <v>61</v>
      </c>
      <c r="AF19" s="9" t="s">
        <v>55</v>
      </c>
      <c r="AG19" s="14" t="str">
        <f t="shared" si="0"/>
        <v>CONSULTA PSICOLOGICA</v>
      </c>
      <c r="AH19" s="9">
        <v>0</v>
      </c>
      <c r="AI19" s="9">
        <v>0</v>
      </c>
      <c r="AJ19" s="9">
        <v>15783031</v>
      </c>
      <c r="AK19" s="9">
        <v>7</v>
      </c>
      <c r="AL19" s="26" t="s">
        <v>76</v>
      </c>
      <c r="AM19" s="14" t="s">
        <v>511</v>
      </c>
      <c r="AN19" s="27" t="str">
        <f t="shared" si="1"/>
        <v>25988041|15783031|1213|984118</v>
      </c>
      <c r="AO19" t="s">
        <v>44</v>
      </c>
      <c r="AP19" t="b">
        <v>0</v>
      </c>
      <c r="AQ19" t="s">
        <v>763</v>
      </c>
    </row>
    <row r="20" spans="1:43" x14ac:dyDescent="0.2">
      <c r="A20" s="14" t="s">
        <v>500</v>
      </c>
      <c r="B20" s="17">
        <v>25988041</v>
      </c>
      <c r="C20" s="14" t="s">
        <v>75</v>
      </c>
      <c r="D20" s="9">
        <v>25988041</v>
      </c>
      <c r="E20" s="9" t="s">
        <v>75</v>
      </c>
      <c r="F20" s="7">
        <v>45717</v>
      </c>
      <c r="G20" s="20" t="s">
        <v>46</v>
      </c>
      <c r="H20" s="8">
        <v>1213</v>
      </c>
      <c r="I20" s="19">
        <v>65213314</v>
      </c>
      <c r="J20" s="10">
        <v>11522</v>
      </c>
      <c r="K20" s="10">
        <v>0</v>
      </c>
      <c r="L20" s="10">
        <v>11522</v>
      </c>
      <c r="M20" s="10">
        <v>0</v>
      </c>
      <c r="N20" s="11">
        <v>11522</v>
      </c>
      <c r="O20" s="12">
        <v>1213</v>
      </c>
      <c r="P20" s="9">
        <v>285123</v>
      </c>
      <c r="Q20" s="9" t="s">
        <v>37</v>
      </c>
      <c r="R20" s="13">
        <v>45717</v>
      </c>
      <c r="S20" s="22">
        <v>45733</v>
      </c>
      <c r="T20" s="13">
        <v>45678</v>
      </c>
      <c r="U20" s="13">
        <v>45678</v>
      </c>
      <c r="V20" s="9" t="s">
        <v>58</v>
      </c>
      <c r="W20" s="9">
        <v>22753631</v>
      </c>
      <c r="X20" s="9">
        <v>3251558</v>
      </c>
      <c r="Y20" s="9">
        <v>69156680</v>
      </c>
      <c r="Z20" s="9" t="s">
        <v>39</v>
      </c>
      <c r="AA20" s="9">
        <v>982694515</v>
      </c>
      <c r="AB20" s="9">
        <v>78017</v>
      </c>
      <c r="AC20" s="9" t="s">
        <v>41</v>
      </c>
      <c r="AD20" s="9" t="s">
        <v>54</v>
      </c>
      <c r="AE20" s="9" t="s">
        <v>61</v>
      </c>
      <c r="AF20" s="9" t="s">
        <v>55</v>
      </c>
      <c r="AG20" s="14" t="str">
        <f t="shared" si="0"/>
        <v>CONSULTA PSICOLOGICA</v>
      </c>
      <c r="AH20" s="9">
        <v>0</v>
      </c>
      <c r="AI20" s="9">
        <v>0</v>
      </c>
      <c r="AJ20" s="9">
        <v>15783031</v>
      </c>
      <c r="AK20" s="9">
        <v>7</v>
      </c>
      <c r="AL20" s="26" t="s">
        <v>52</v>
      </c>
      <c r="AM20" s="14" t="s">
        <v>511</v>
      </c>
      <c r="AN20" s="27" t="str">
        <f t="shared" si="1"/>
        <v>25988041|15783031|1213|65213314</v>
      </c>
      <c r="AO20" t="s">
        <v>44</v>
      </c>
      <c r="AP20" t="b">
        <v>0</v>
      </c>
      <c r="AQ20" t="s">
        <v>763</v>
      </c>
    </row>
    <row r="21" spans="1:43" x14ac:dyDescent="0.2">
      <c r="A21" s="14" t="s">
        <v>500</v>
      </c>
      <c r="B21" s="17">
        <v>15348500</v>
      </c>
      <c r="C21" s="14" t="s">
        <v>77</v>
      </c>
      <c r="D21" s="9">
        <v>21648533</v>
      </c>
      <c r="E21" s="9" t="s">
        <v>78</v>
      </c>
      <c r="F21" s="7">
        <v>45809</v>
      </c>
      <c r="G21" s="20" t="s">
        <v>36</v>
      </c>
      <c r="H21" s="8">
        <v>1347</v>
      </c>
      <c r="I21" s="19">
        <v>1036616</v>
      </c>
      <c r="J21" s="10">
        <v>10000</v>
      </c>
      <c r="K21" s="10">
        <v>0</v>
      </c>
      <c r="L21" s="10">
        <v>10000</v>
      </c>
      <c r="M21" s="10">
        <v>0</v>
      </c>
      <c r="N21" s="11">
        <v>10000</v>
      </c>
      <c r="O21" s="12">
        <v>1347</v>
      </c>
      <c r="P21" s="9">
        <v>285123</v>
      </c>
      <c r="Q21" s="9" t="s">
        <v>37</v>
      </c>
      <c r="R21" s="13">
        <v>45824</v>
      </c>
      <c r="S21" s="22">
        <v>45827.572650462964</v>
      </c>
      <c r="T21" s="13">
        <v>45811</v>
      </c>
      <c r="U21" s="13">
        <v>45811</v>
      </c>
      <c r="V21" s="9"/>
      <c r="W21" s="9" t="s">
        <v>38</v>
      </c>
      <c r="X21" s="9" t="s">
        <v>38</v>
      </c>
      <c r="Y21" s="9" t="s">
        <v>38</v>
      </c>
      <c r="Z21" s="9" t="s">
        <v>39</v>
      </c>
      <c r="AA21" s="9" t="s">
        <v>38</v>
      </c>
      <c r="AB21" s="9" t="s">
        <v>38</v>
      </c>
      <c r="AC21" s="9" t="s">
        <v>41</v>
      </c>
      <c r="AD21" s="9" t="s">
        <v>54</v>
      </c>
      <c r="AE21" s="9" t="s">
        <v>55</v>
      </c>
      <c r="AF21" s="9" t="s">
        <v>55</v>
      </c>
      <c r="AG21" s="14" t="str">
        <f t="shared" si="0"/>
        <v>CONSULTA PSICOLOGICA</v>
      </c>
      <c r="AH21" s="9" t="s">
        <v>44</v>
      </c>
      <c r="AI21" s="9" t="s">
        <v>79</v>
      </c>
      <c r="AJ21" s="9">
        <v>13103870</v>
      </c>
      <c r="AK21" s="9" t="s">
        <v>38</v>
      </c>
      <c r="AL21" s="26" t="s">
        <v>38</v>
      </c>
      <c r="AM21" s="14" t="s">
        <v>512</v>
      </c>
      <c r="AN21" s="27" t="str">
        <f t="shared" si="1"/>
        <v>15348500|13103870|1347|1036616</v>
      </c>
      <c r="AO21" t="s">
        <v>44</v>
      </c>
      <c r="AP21" t="b">
        <v>1</v>
      </c>
      <c r="AQ21" t="s">
        <v>763</v>
      </c>
    </row>
    <row r="22" spans="1:43" x14ac:dyDescent="0.2">
      <c r="A22" s="14" t="s">
        <v>500</v>
      </c>
      <c r="B22" s="17">
        <v>15348500</v>
      </c>
      <c r="C22" s="14" t="s">
        <v>80</v>
      </c>
      <c r="D22" s="9">
        <v>21648533</v>
      </c>
      <c r="E22" s="9" t="s">
        <v>81</v>
      </c>
      <c r="F22" s="7">
        <v>45839</v>
      </c>
      <c r="G22" s="20" t="s">
        <v>46</v>
      </c>
      <c r="H22" s="8">
        <v>1347</v>
      </c>
      <c r="I22" s="19">
        <v>66380936</v>
      </c>
      <c r="J22" s="10">
        <v>20000</v>
      </c>
      <c r="K22" s="10">
        <v>0</v>
      </c>
      <c r="L22" s="10">
        <v>20000</v>
      </c>
      <c r="M22" s="10">
        <v>0</v>
      </c>
      <c r="N22" s="11">
        <v>20000</v>
      </c>
      <c r="O22" s="12">
        <v>1347</v>
      </c>
      <c r="P22" s="9">
        <v>285123</v>
      </c>
      <c r="Q22" s="9" t="s">
        <v>37</v>
      </c>
      <c r="R22" s="13">
        <v>45839</v>
      </c>
      <c r="S22" s="22">
        <v>45839</v>
      </c>
      <c r="T22" s="13">
        <v>45811</v>
      </c>
      <c r="U22" s="13">
        <v>45811</v>
      </c>
      <c r="V22" s="9" t="s">
        <v>47</v>
      </c>
      <c r="W22" s="9">
        <v>23307162</v>
      </c>
      <c r="X22" s="9">
        <v>7241739</v>
      </c>
      <c r="Y22" s="9">
        <v>70359723</v>
      </c>
      <c r="Z22" s="9" t="s">
        <v>39</v>
      </c>
      <c r="AA22" s="9">
        <v>5400013332</v>
      </c>
      <c r="AB22" s="9">
        <v>79359</v>
      </c>
      <c r="AC22" s="9" t="s">
        <v>41</v>
      </c>
      <c r="AD22" s="9" t="s">
        <v>49</v>
      </c>
      <c r="AE22" s="9" t="s">
        <v>50</v>
      </c>
      <c r="AF22" s="9" t="s">
        <v>51</v>
      </c>
      <c r="AG22" s="14" t="str">
        <f t="shared" si="0"/>
        <v>PROCEDIMIENTO DE DIAGNOSTICO</v>
      </c>
      <c r="AH22" s="9">
        <v>0</v>
      </c>
      <c r="AI22" s="9">
        <v>0</v>
      </c>
      <c r="AJ22" s="9">
        <v>13103870</v>
      </c>
      <c r="AK22" s="9">
        <v>4</v>
      </c>
      <c r="AL22" s="26" t="s">
        <v>52</v>
      </c>
      <c r="AM22" s="14" t="s">
        <v>512</v>
      </c>
      <c r="AN22" s="27" t="str">
        <f t="shared" si="1"/>
        <v>15348500|13103870|1347|66380936</v>
      </c>
      <c r="AO22" t="s">
        <v>44</v>
      </c>
      <c r="AP22" t="b">
        <v>0</v>
      </c>
      <c r="AQ22" t="s">
        <v>763</v>
      </c>
    </row>
    <row r="23" spans="1:43" x14ac:dyDescent="0.2">
      <c r="A23" s="14" t="s">
        <v>500</v>
      </c>
      <c r="B23" s="17">
        <v>17703525</v>
      </c>
      <c r="C23" s="14" t="s">
        <v>82</v>
      </c>
      <c r="D23" s="9">
        <v>17703525</v>
      </c>
      <c r="E23" s="9" t="s">
        <v>82</v>
      </c>
      <c r="F23" s="7">
        <v>45689</v>
      </c>
      <c r="G23" s="20" t="s">
        <v>36</v>
      </c>
      <c r="H23" s="8">
        <v>1363</v>
      </c>
      <c r="I23" s="19">
        <v>983664</v>
      </c>
      <c r="J23" s="10">
        <v>40000</v>
      </c>
      <c r="K23" s="10">
        <v>26408</v>
      </c>
      <c r="L23" s="10">
        <v>13592</v>
      </c>
      <c r="M23" s="10">
        <v>0</v>
      </c>
      <c r="N23" s="11">
        <v>13592</v>
      </c>
      <c r="O23" s="12">
        <v>1363</v>
      </c>
      <c r="P23" s="9">
        <v>285123</v>
      </c>
      <c r="Q23" s="9" t="s">
        <v>37</v>
      </c>
      <c r="R23" s="13">
        <v>45699</v>
      </c>
      <c r="S23" s="22">
        <v>45699</v>
      </c>
      <c r="T23" s="13">
        <v>45670</v>
      </c>
      <c r="U23" s="13">
        <v>45670</v>
      </c>
      <c r="V23" s="9" t="s">
        <v>58</v>
      </c>
      <c r="W23" s="9">
        <v>22590872</v>
      </c>
      <c r="X23" s="9">
        <v>2171726</v>
      </c>
      <c r="Y23" s="9">
        <v>68884986</v>
      </c>
      <c r="Z23" s="9" t="s">
        <v>39</v>
      </c>
      <c r="AA23" s="9">
        <v>19998479218</v>
      </c>
      <c r="AB23" s="9">
        <v>77628</v>
      </c>
      <c r="AC23" s="9" t="s">
        <v>41</v>
      </c>
      <c r="AD23" s="9" t="s">
        <v>54</v>
      </c>
      <c r="AE23" s="9" t="s">
        <v>61</v>
      </c>
      <c r="AF23" s="9" t="s">
        <v>55</v>
      </c>
      <c r="AG23" s="14" t="str">
        <f t="shared" si="0"/>
        <v>CONSULTA PSICOLOGICA</v>
      </c>
      <c r="AH23" s="9">
        <v>0</v>
      </c>
      <c r="AI23" s="9">
        <v>0</v>
      </c>
      <c r="AJ23" s="9">
        <v>77559874</v>
      </c>
      <c r="AK23" s="9">
        <v>3</v>
      </c>
      <c r="AL23" s="26" t="s">
        <v>83</v>
      </c>
      <c r="AM23" s="14" t="s">
        <v>513</v>
      </c>
      <c r="AN23" s="27" t="str">
        <f t="shared" si="1"/>
        <v>17703525|77559874|1363|983664</v>
      </c>
      <c r="AO23" t="s">
        <v>44</v>
      </c>
      <c r="AP23" t="b">
        <v>0</v>
      </c>
      <c r="AQ23" t="s">
        <v>763</v>
      </c>
    </row>
    <row r="24" spans="1:43" x14ac:dyDescent="0.2">
      <c r="A24" s="14" t="s">
        <v>500</v>
      </c>
      <c r="B24" s="17">
        <v>17703525</v>
      </c>
      <c r="C24" s="14" t="s">
        <v>82</v>
      </c>
      <c r="D24" s="9">
        <v>17703525</v>
      </c>
      <c r="E24" s="9" t="s">
        <v>82</v>
      </c>
      <c r="F24" s="7">
        <v>45717</v>
      </c>
      <c r="G24" s="20" t="s">
        <v>46</v>
      </c>
      <c r="H24" s="8">
        <v>1363</v>
      </c>
      <c r="I24" s="19">
        <v>65213257</v>
      </c>
      <c r="J24" s="10">
        <v>13812</v>
      </c>
      <c r="K24" s="10">
        <v>0</v>
      </c>
      <c r="L24" s="10">
        <v>13812</v>
      </c>
      <c r="M24" s="10">
        <v>0</v>
      </c>
      <c r="N24" s="11">
        <v>13812</v>
      </c>
      <c r="O24" s="12">
        <v>1363</v>
      </c>
      <c r="P24" s="9">
        <v>285123</v>
      </c>
      <c r="Q24" s="9" t="s">
        <v>37</v>
      </c>
      <c r="R24" s="13">
        <v>45717</v>
      </c>
      <c r="S24" s="22">
        <v>45733</v>
      </c>
      <c r="T24" s="13">
        <v>45670</v>
      </c>
      <c r="U24" s="13">
        <v>45670</v>
      </c>
      <c r="V24" s="9" t="s">
        <v>58</v>
      </c>
      <c r="W24" s="9">
        <v>22753721</v>
      </c>
      <c r="X24" s="9">
        <v>3251558</v>
      </c>
      <c r="Y24" s="9">
        <v>69156632</v>
      </c>
      <c r="Z24" s="9" t="s">
        <v>39</v>
      </c>
      <c r="AA24" s="9">
        <v>19998479218</v>
      </c>
      <c r="AB24" s="9">
        <v>78017</v>
      </c>
      <c r="AC24" s="9" t="s">
        <v>41</v>
      </c>
      <c r="AD24" s="9" t="s">
        <v>54</v>
      </c>
      <c r="AE24" s="9" t="s">
        <v>61</v>
      </c>
      <c r="AF24" s="9" t="s">
        <v>55</v>
      </c>
      <c r="AG24" s="14" t="str">
        <f t="shared" si="0"/>
        <v>CONSULTA PSICOLOGICA</v>
      </c>
      <c r="AH24" s="9">
        <v>0</v>
      </c>
      <c r="AI24" s="9">
        <v>0</v>
      </c>
      <c r="AJ24" s="9">
        <v>77559874</v>
      </c>
      <c r="AK24" s="9">
        <v>3</v>
      </c>
      <c r="AL24" s="26" t="s">
        <v>52</v>
      </c>
      <c r="AM24" s="14" t="s">
        <v>513</v>
      </c>
      <c r="AN24" s="27" t="str">
        <f t="shared" si="1"/>
        <v>17703525|77559874|1363|65213257</v>
      </c>
      <c r="AO24" t="s">
        <v>44</v>
      </c>
      <c r="AP24" t="b">
        <v>0</v>
      </c>
      <c r="AQ24" t="s">
        <v>763</v>
      </c>
    </row>
    <row r="25" spans="1:43" x14ac:dyDescent="0.2">
      <c r="A25" s="14" t="s">
        <v>500</v>
      </c>
      <c r="B25" s="17">
        <v>12009863</v>
      </c>
      <c r="C25" s="14" t="s">
        <v>84</v>
      </c>
      <c r="D25" s="9">
        <v>12096295</v>
      </c>
      <c r="E25" s="9" t="s">
        <v>85</v>
      </c>
      <c r="F25" s="7">
        <v>45717</v>
      </c>
      <c r="G25" s="20" t="s">
        <v>36</v>
      </c>
      <c r="H25" s="8">
        <v>2364</v>
      </c>
      <c r="I25" s="19">
        <v>987215</v>
      </c>
      <c r="J25" s="10">
        <v>19233</v>
      </c>
      <c r="K25" s="10">
        <v>4753</v>
      </c>
      <c r="L25" s="10">
        <v>14480</v>
      </c>
      <c r="M25" s="10">
        <v>0</v>
      </c>
      <c r="N25" s="11">
        <v>14480</v>
      </c>
      <c r="O25" s="12">
        <v>2364</v>
      </c>
      <c r="P25" s="9">
        <v>285123</v>
      </c>
      <c r="Q25" s="9" t="s">
        <v>37</v>
      </c>
      <c r="R25" s="13">
        <v>45717</v>
      </c>
      <c r="S25" s="22">
        <v>45720</v>
      </c>
      <c r="T25" s="13">
        <v>45674</v>
      </c>
      <c r="U25" s="13">
        <v>45674</v>
      </c>
      <c r="V25" s="9" t="s">
        <v>47</v>
      </c>
      <c r="W25" s="9">
        <v>22669538</v>
      </c>
      <c r="X25" s="9">
        <v>3101250</v>
      </c>
      <c r="Y25" s="9">
        <v>68970586</v>
      </c>
      <c r="Z25" s="9" t="s">
        <v>39</v>
      </c>
      <c r="AA25" s="9">
        <v>27500073611</v>
      </c>
      <c r="AB25" s="9">
        <v>77859</v>
      </c>
      <c r="AC25" s="9" t="s">
        <v>41</v>
      </c>
      <c r="AD25" s="9" t="s">
        <v>49</v>
      </c>
      <c r="AE25" s="9" t="s">
        <v>50</v>
      </c>
      <c r="AF25" s="9" t="s">
        <v>51</v>
      </c>
      <c r="AG25" s="14" t="str">
        <f t="shared" si="0"/>
        <v>PROCEDIMIENTO DE DIAGNOSTICO</v>
      </c>
      <c r="AH25" s="9">
        <v>0</v>
      </c>
      <c r="AI25" s="9">
        <v>0</v>
      </c>
      <c r="AJ25" s="9">
        <v>76660480</v>
      </c>
      <c r="AK25" s="9">
        <v>3</v>
      </c>
      <c r="AL25" s="26" t="s">
        <v>86</v>
      </c>
      <c r="AM25" s="14" t="s">
        <v>514</v>
      </c>
      <c r="AN25" s="27" t="str">
        <f t="shared" si="1"/>
        <v>12009863|76660480|2364|987215</v>
      </c>
      <c r="AO25" t="s">
        <v>44</v>
      </c>
      <c r="AP25" t="b">
        <v>0</v>
      </c>
      <c r="AQ25" t="s">
        <v>763</v>
      </c>
    </row>
    <row r="26" spans="1:43" x14ac:dyDescent="0.2">
      <c r="A26" s="14" t="s">
        <v>500</v>
      </c>
      <c r="B26" s="17">
        <v>12009863</v>
      </c>
      <c r="C26" s="14" t="s">
        <v>84</v>
      </c>
      <c r="D26" s="9">
        <v>12096295</v>
      </c>
      <c r="E26" s="9" t="s">
        <v>85</v>
      </c>
      <c r="F26" s="7">
        <v>45717</v>
      </c>
      <c r="G26" s="20" t="s">
        <v>46</v>
      </c>
      <c r="H26" s="8">
        <v>2364</v>
      </c>
      <c r="I26" s="19">
        <v>65213058</v>
      </c>
      <c r="J26" s="10">
        <v>14596</v>
      </c>
      <c r="K26" s="10">
        <v>0</v>
      </c>
      <c r="L26" s="10">
        <v>14596</v>
      </c>
      <c r="M26" s="10">
        <v>0</v>
      </c>
      <c r="N26" s="11">
        <v>14596</v>
      </c>
      <c r="O26" s="12">
        <v>2364</v>
      </c>
      <c r="P26" s="9">
        <v>285123</v>
      </c>
      <c r="Q26" s="9" t="s">
        <v>37</v>
      </c>
      <c r="R26" s="13">
        <v>45717</v>
      </c>
      <c r="S26" s="22">
        <v>45733</v>
      </c>
      <c r="T26" s="13">
        <v>45674</v>
      </c>
      <c r="U26" s="13">
        <v>45674</v>
      </c>
      <c r="V26" s="9" t="s">
        <v>47</v>
      </c>
      <c r="W26" s="9">
        <v>22753598</v>
      </c>
      <c r="X26" s="9">
        <v>3251558</v>
      </c>
      <c r="Y26" s="9">
        <v>69156457</v>
      </c>
      <c r="Z26" s="9" t="s">
        <v>39</v>
      </c>
      <c r="AA26" s="9">
        <v>27500073611</v>
      </c>
      <c r="AB26" s="9">
        <v>78017</v>
      </c>
      <c r="AC26" s="9" t="s">
        <v>41</v>
      </c>
      <c r="AD26" s="9" t="s">
        <v>49</v>
      </c>
      <c r="AE26" s="9" t="s">
        <v>50</v>
      </c>
      <c r="AF26" s="9" t="s">
        <v>51</v>
      </c>
      <c r="AG26" s="14" t="str">
        <f t="shared" si="0"/>
        <v>PROCEDIMIENTO DE DIAGNOSTICO</v>
      </c>
      <c r="AH26" s="9">
        <v>0</v>
      </c>
      <c r="AI26" s="9">
        <v>0</v>
      </c>
      <c r="AJ26" s="9">
        <v>76660480</v>
      </c>
      <c r="AK26" s="9">
        <v>3</v>
      </c>
      <c r="AL26" s="26" t="s">
        <v>52</v>
      </c>
      <c r="AM26" s="14" t="s">
        <v>514</v>
      </c>
      <c r="AN26" s="27" t="str">
        <f t="shared" si="1"/>
        <v>12009863|76660480|2364|65213058</v>
      </c>
      <c r="AO26" t="s">
        <v>44</v>
      </c>
      <c r="AP26" t="b">
        <v>0</v>
      </c>
      <c r="AQ26" t="s">
        <v>763</v>
      </c>
    </row>
    <row r="27" spans="1:43" x14ac:dyDescent="0.2">
      <c r="A27" s="14" t="s">
        <v>500</v>
      </c>
      <c r="B27" s="17">
        <v>17562258</v>
      </c>
      <c r="C27" s="14" t="s">
        <v>87</v>
      </c>
      <c r="D27" s="9">
        <v>17562258</v>
      </c>
      <c r="E27" s="9" t="s">
        <v>87</v>
      </c>
      <c r="F27" s="7">
        <v>45689</v>
      </c>
      <c r="G27" s="20" t="s">
        <v>36</v>
      </c>
      <c r="H27" s="8">
        <v>3095</v>
      </c>
      <c r="I27" s="19">
        <v>985750</v>
      </c>
      <c r="J27" s="10">
        <v>50000</v>
      </c>
      <c r="K27" s="10">
        <v>24166</v>
      </c>
      <c r="L27" s="10">
        <v>25834</v>
      </c>
      <c r="M27" s="10">
        <v>0</v>
      </c>
      <c r="N27" s="11">
        <v>25834</v>
      </c>
      <c r="O27" s="12">
        <v>3095</v>
      </c>
      <c r="P27" s="9">
        <v>285123</v>
      </c>
      <c r="Q27" s="9" t="s">
        <v>37</v>
      </c>
      <c r="R27" s="13">
        <v>45705</v>
      </c>
      <c r="S27" s="22">
        <v>45712</v>
      </c>
      <c r="T27" s="13">
        <v>45664</v>
      </c>
      <c r="U27" s="13">
        <v>45664</v>
      </c>
      <c r="V27" s="9" t="s">
        <v>58</v>
      </c>
      <c r="W27" s="9">
        <v>22640335</v>
      </c>
      <c r="X27" s="9">
        <v>3031016</v>
      </c>
      <c r="Y27" s="9">
        <v>68929718</v>
      </c>
      <c r="Z27" s="9" t="s">
        <v>39</v>
      </c>
      <c r="AA27" s="9">
        <v>410049078</v>
      </c>
      <c r="AB27" s="9">
        <v>77739</v>
      </c>
      <c r="AC27" s="9" t="s">
        <v>41</v>
      </c>
      <c r="AD27" s="9" t="s">
        <v>54</v>
      </c>
      <c r="AE27" s="9" t="s">
        <v>61</v>
      </c>
      <c r="AF27" s="9" t="s">
        <v>55</v>
      </c>
      <c r="AG27" s="14" t="str">
        <f t="shared" si="0"/>
        <v>CONSULTA PSICOLOGICA</v>
      </c>
      <c r="AH27" s="9">
        <v>0</v>
      </c>
      <c r="AI27" s="9">
        <v>0</v>
      </c>
      <c r="AJ27" s="9">
        <v>6779929</v>
      </c>
      <c r="AK27" s="9">
        <v>1</v>
      </c>
      <c r="AL27" s="26" t="s">
        <v>86</v>
      </c>
      <c r="AM27" s="14" t="s">
        <v>515</v>
      </c>
      <c r="AN27" s="27" t="str">
        <f t="shared" si="1"/>
        <v>17562258|6779929|3095|985750</v>
      </c>
      <c r="AO27" t="s">
        <v>44</v>
      </c>
      <c r="AP27" t="b">
        <v>0</v>
      </c>
      <c r="AQ27" t="s">
        <v>763</v>
      </c>
    </row>
    <row r="28" spans="1:43" x14ac:dyDescent="0.2">
      <c r="A28" s="14" t="s">
        <v>500</v>
      </c>
      <c r="B28" s="17">
        <v>17562258</v>
      </c>
      <c r="C28" s="14" t="s">
        <v>87</v>
      </c>
      <c r="D28" s="9">
        <v>17562258</v>
      </c>
      <c r="E28" s="9" t="s">
        <v>87</v>
      </c>
      <c r="F28" s="7">
        <v>45717</v>
      </c>
      <c r="G28" s="20" t="s">
        <v>46</v>
      </c>
      <c r="H28" s="8">
        <v>3095</v>
      </c>
      <c r="I28" s="19">
        <v>65213245</v>
      </c>
      <c r="J28" s="10">
        <v>43041</v>
      </c>
      <c r="K28" s="10">
        <v>0</v>
      </c>
      <c r="L28" s="10">
        <v>43041</v>
      </c>
      <c r="M28" s="10">
        <v>0</v>
      </c>
      <c r="N28" s="11">
        <v>43041</v>
      </c>
      <c r="O28" s="12">
        <v>3095</v>
      </c>
      <c r="P28" s="9">
        <v>285123</v>
      </c>
      <c r="Q28" s="9" t="s">
        <v>37</v>
      </c>
      <c r="R28" s="13">
        <v>45717</v>
      </c>
      <c r="S28" s="22">
        <v>45733</v>
      </c>
      <c r="T28" s="13">
        <v>45664</v>
      </c>
      <c r="U28" s="13">
        <v>45664</v>
      </c>
      <c r="V28" s="9" t="s">
        <v>58</v>
      </c>
      <c r="W28" s="9">
        <v>22753548</v>
      </c>
      <c r="X28" s="9">
        <v>3251558</v>
      </c>
      <c r="Y28" s="9">
        <v>69156620</v>
      </c>
      <c r="Z28" s="9" t="s">
        <v>39</v>
      </c>
      <c r="AA28" s="9">
        <v>410049078</v>
      </c>
      <c r="AB28" s="9">
        <v>78017</v>
      </c>
      <c r="AC28" s="9" t="s">
        <v>41</v>
      </c>
      <c r="AD28" s="9" t="s">
        <v>54</v>
      </c>
      <c r="AE28" s="9" t="s">
        <v>61</v>
      </c>
      <c r="AF28" s="9" t="s">
        <v>55</v>
      </c>
      <c r="AG28" s="14" t="str">
        <f t="shared" si="0"/>
        <v>CONSULTA PSICOLOGICA</v>
      </c>
      <c r="AH28" s="9">
        <v>0</v>
      </c>
      <c r="AI28" s="9">
        <v>0</v>
      </c>
      <c r="AJ28" s="9">
        <v>6779929</v>
      </c>
      <c r="AK28" s="9">
        <v>1</v>
      </c>
      <c r="AL28" s="26" t="s">
        <v>52</v>
      </c>
      <c r="AM28" s="14" t="s">
        <v>515</v>
      </c>
      <c r="AN28" s="27" t="str">
        <f t="shared" si="1"/>
        <v>17562258|6779929|3095|65213245</v>
      </c>
      <c r="AO28" t="s">
        <v>44</v>
      </c>
      <c r="AP28" t="b">
        <v>0</v>
      </c>
      <c r="AQ28" t="s">
        <v>763</v>
      </c>
    </row>
    <row r="29" spans="1:43" x14ac:dyDescent="0.2">
      <c r="A29" s="14" t="s">
        <v>500</v>
      </c>
      <c r="B29" s="17">
        <v>17562258</v>
      </c>
      <c r="C29" s="14" t="s">
        <v>87</v>
      </c>
      <c r="D29" s="9">
        <v>17562258</v>
      </c>
      <c r="E29" s="9" t="s">
        <v>87</v>
      </c>
      <c r="F29" s="7">
        <v>45689</v>
      </c>
      <c r="G29" s="20" t="s">
        <v>36</v>
      </c>
      <c r="H29" s="8">
        <v>3113</v>
      </c>
      <c r="I29" s="19">
        <v>985758</v>
      </c>
      <c r="J29" s="10">
        <v>50000</v>
      </c>
      <c r="K29" s="10">
        <v>32777</v>
      </c>
      <c r="L29" s="10">
        <v>17223</v>
      </c>
      <c r="M29" s="10">
        <v>0</v>
      </c>
      <c r="N29" s="11">
        <v>17223</v>
      </c>
      <c r="O29" s="12">
        <v>3113</v>
      </c>
      <c r="P29" s="9">
        <v>285123</v>
      </c>
      <c r="Q29" s="9" t="s">
        <v>37</v>
      </c>
      <c r="R29" s="13">
        <v>45705</v>
      </c>
      <c r="S29" s="22">
        <v>45712</v>
      </c>
      <c r="T29" s="13">
        <v>45677</v>
      </c>
      <c r="U29" s="13">
        <v>45677</v>
      </c>
      <c r="V29" s="9" t="s">
        <v>58</v>
      </c>
      <c r="W29" s="9">
        <v>22640335</v>
      </c>
      <c r="X29" s="9">
        <v>3031016</v>
      </c>
      <c r="Y29" s="9">
        <v>68929721</v>
      </c>
      <c r="Z29" s="9" t="s">
        <v>39</v>
      </c>
      <c r="AA29" s="9">
        <v>410049078</v>
      </c>
      <c r="AB29" s="9">
        <v>77739</v>
      </c>
      <c r="AC29" s="9" t="s">
        <v>41</v>
      </c>
      <c r="AD29" s="9" t="s">
        <v>54</v>
      </c>
      <c r="AE29" s="9" t="s">
        <v>61</v>
      </c>
      <c r="AF29" s="9" t="s">
        <v>55</v>
      </c>
      <c r="AG29" s="14" t="str">
        <f t="shared" si="0"/>
        <v>CONSULTA PSICOLOGICA</v>
      </c>
      <c r="AH29" s="9">
        <v>0</v>
      </c>
      <c r="AI29" s="9">
        <v>0</v>
      </c>
      <c r="AJ29" s="9">
        <v>6779929</v>
      </c>
      <c r="AK29" s="9">
        <v>1</v>
      </c>
      <c r="AL29" s="26" t="s">
        <v>86</v>
      </c>
      <c r="AM29" s="14" t="s">
        <v>515</v>
      </c>
      <c r="AN29" s="27" t="str">
        <f t="shared" si="1"/>
        <v>17562258|6779929|3113|985758</v>
      </c>
      <c r="AO29" t="s">
        <v>44</v>
      </c>
      <c r="AP29" t="b">
        <v>0</v>
      </c>
      <c r="AQ29" t="s">
        <v>763</v>
      </c>
    </row>
    <row r="30" spans="1:43" x14ac:dyDescent="0.2">
      <c r="A30" s="14" t="s">
        <v>500</v>
      </c>
      <c r="B30" s="17">
        <v>17562258</v>
      </c>
      <c r="C30" s="14" t="s">
        <v>87</v>
      </c>
      <c r="D30" s="9">
        <v>17562258</v>
      </c>
      <c r="E30" s="9" t="s">
        <v>87</v>
      </c>
      <c r="F30" s="7">
        <v>45717</v>
      </c>
      <c r="G30" s="20" t="s">
        <v>46</v>
      </c>
      <c r="H30" s="8">
        <v>3113</v>
      </c>
      <c r="I30" s="19">
        <v>65213247</v>
      </c>
      <c r="J30" s="10">
        <v>43394</v>
      </c>
      <c r="K30" s="10">
        <v>0</v>
      </c>
      <c r="L30" s="10">
        <v>43394</v>
      </c>
      <c r="M30" s="10">
        <v>0</v>
      </c>
      <c r="N30" s="11">
        <v>43394</v>
      </c>
      <c r="O30" s="12">
        <v>3113</v>
      </c>
      <c r="P30" s="9">
        <v>285123</v>
      </c>
      <c r="Q30" s="9" t="s">
        <v>37</v>
      </c>
      <c r="R30" s="13">
        <v>45717</v>
      </c>
      <c r="S30" s="22">
        <v>45733</v>
      </c>
      <c r="T30" s="13">
        <v>45677</v>
      </c>
      <c r="U30" s="13">
        <v>45677</v>
      </c>
      <c r="V30" s="9" t="s">
        <v>58</v>
      </c>
      <c r="W30" s="9">
        <v>22753638</v>
      </c>
      <c r="X30" s="9">
        <v>3251558</v>
      </c>
      <c r="Y30" s="9">
        <v>69156622</v>
      </c>
      <c r="Z30" s="9" t="s">
        <v>39</v>
      </c>
      <c r="AA30" s="9">
        <v>410049078</v>
      </c>
      <c r="AB30" s="9">
        <v>78017</v>
      </c>
      <c r="AC30" s="9" t="s">
        <v>41</v>
      </c>
      <c r="AD30" s="9" t="s">
        <v>54</v>
      </c>
      <c r="AE30" s="9" t="s">
        <v>61</v>
      </c>
      <c r="AF30" s="9" t="s">
        <v>55</v>
      </c>
      <c r="AG30" s="14" t="str">
        <f t="shared" si="0"/>
        <v>CONSULTA PSICOLOGICA</v>
      </c>
      <c r="AH30" s="9">
        <v>0</v>
      </c>
      <c r="AI30" s="9">
        <v>0</v>
      </c>
      <c r="AJ30" s="9">
        <v>6779929</v>
      </c>
      <c r="AK30" s="9">
        <v>1</v>
      </c>
      <c r="AL30" s="26" t="s">
        <v>52</v>
      </c>
      <c r="AM30" s="14" t="s">
        <v>515</v>
      </c>
      <c r="AN30" s="27" t="str">
        <f t="shared" si="1"/>
        <v>17562258|6779929|3113|65213247</v>
      </c>
      <c r="AO30" t="s">
        <v>44</v>
      </c>
      <c r="AP30" t="b">
        <v>0</v>
      </c>
      <c r="AQ30" t="s">
        <v>763</v>
      </c>
    </row>
    <row r="31" spans="1:43" x14ac:dyDescent="0.2">
      <c r="A31" s="14" t="s">
        <v>500</v>
      </c>
      <c r="B31" s="17">
        <v>17562258</v>
      </c>
      <c r="C31" s="14" t="s">
        <v>87</v>
      </c>
      <c r="D31" s="9">
        <v>17562258</v>
      </c>
      <c r="E31" s="9" t="s">
        <v>87</v>
      </c>
      <c r="F31" s="7">
        <v>45689</v>
      </c>
      <c r="G31" s="20" t="s">
        <v>36</v>
      </c>
      <c r="H31" s="8">
        <v>3123</v>
      </c>
      <c r="I31" s="19">
        <v>985760</v>
      </c>
      <c r="J31" s="10">
        <v>50000</v>
      </c>
      <c r="K31" s="10">
        <v>6943</v>
      </c>
      <c r="L31" s="10">
        <v>43057</v>
      </c>
      <c r="M31" s="10">
        <v>0</v>
      </c>
      <c r="N31" s="11">
        <v>43057</v>
      </c>
      <c r="O31" s="12">
        <v>3123</v>
      </c>
      <c r="P31" s="9">
        <v>285123</v>
      </c>
      <c r="Q31" s="9" t="s">
        <v>37</v>
      </c>
      <c r="R31" s="13">
        <v>45705</v>
      </c>
      <c r="S31" s="22">
        <v>45706</v>
      </c>
      <c r="T31" s="13">
        <v>45692</v>
      </c>
      <c r="U31" s="13">
        <v>45692</v>
      </c>
      <c r="V31" s="9" t="s">
        <v>58</v>
      </c>
      <c r="W31" s="9">
        <v>22616389</v>
      </c>
      <c r="X31" s="9">
        <v>2251257</v>
      </c>
      <c r="Y31" s="9">
        <v>68922864</v>
      </c>
      <c r="Z31" s="9" t="s">
        <v>39</v>
      </c>
      <c r="AA31" s="9">
        <v>410049078</v>
      </c>
      <c r="AB31" s="9">
        <v>77692</v>
      </c>
      <c r="AC31" s="9" t="s">
        <v>41</v>
      </c>
      <c r="AD31" s="9" t="s">
        <v>54</v>
      </c>
      <c r="AE31" s="9" t="s">
        <v>61</v>
      </c>
      <c r="AF31" s="9" t="s">
        <v>55</v>
      </c>
      <c r="AG31" s="14" t="str">
        <f t="shared" si="0"/>
        <v>CONSULTA PSICOLOGICA</v>
      </c>
      <c r="AH31" s="9">
        <v>0</v>
      </c>
      <c r="AI31" s="9">
        <v>0</v>
      </c>
      <c r="AJ31" s="9">
        <v>6779929</v>
      </c>
      <c r="AK31" s="9">
        <v>1</v>
      </c>
      <c r="AL31" s="26" t="s">
        <v>86</v>
      </c>
      <c r="AM31" s="14" t="s">
        <v>515</v>
      </c>
      <c r="AN31" s="27" t="str">
        <f t="shared" si="1"/>
        <v>17562258|6779929|3123|985760</v>
      </c>
      <c r="AO31" t="s">
        <v>44</v>
      </c>
      <c r="AP31" t="b">
        <v>0</v>
      </c>
      <c r="AQ31" t="s">
        <v>763</v>
      </c>
    </row>
    <row r="32" spans="1:43" x14ac:dyDescent="0.2">
      <c r="A32" s="14" t="s">
        <v>500</v>
      </c>
      <c r="B32" s="17">
        <v>17562258</v>
      </c>
      <c r="C32" s="14" t="s">
        <v>87</v>
      </c>
      <c r="D32" s="9">
        <v>17562258</v>
      </c>
      <c r="E32" s="9" t="s">
        <v>87</v>
      </c>
      <c r="F32" s="7">
        <v>45717</v>
      </c>
      <c r="G32" s="20" t="s">
        <v>46</v>
      </c>
      <c r="H32" s="8">
        <v>3123</v>
      </c>
      <c r="I32" s="19">
        <v>65213248</v>
      </c>
      <c r="J32" s="10">
        <v>21873</v>
      </c>
      <c r="K32" s="10">
        <v>0</v>
      </c>
      <c r="L32" s="10">
        <v>21873</v>
      </c>
      <c r="M32" s="10">
        <v>0</v>
      </c>
      <c r="N32" s="11">
        <v>21873</v>
      </c>
      <c r="O32" s="12">
        <v>3123</v>
      </c>
      <c r="P32" s="9">
        <v>285123</v>
      </c>
      <c r="Q32" s="9" t="s">
        <v>37</v>
      </c>
      <c r="R32" s="13">
        <v>45717</v>
      </c>
      <c r="S32" s="22">
        <v>45733</v>
      </c>
      <c r="T32" s="13">
        <v>45691</v>
      </c>
      <c r="U32" s="13">
        <v>45691</v>
      </c>
      <c r="V32" s="9" t="s">
        <v>58</v>
      </c>
      <c r="W32" s="9">
        <v>22753708</v>
      </c>
      <c r="X32" s="9">
        <v>3251558</v>
      </c>
      <c r="Y32" s="9">
        <v>69156623</v>
      </c>
      <c r="Z32" s="9" t="s">
        <v>39</v>
      </c>
      <c r="AA32" s="9">
        <v>410049078</v>
      </c>
      <c r="AB32" s="9">
        <v>78017</v>
      </c>
      <c r="AC32" s="9" t="s">
        <v>41</v>
      </c>
      <c r="AD32" s="9" t="s">
        <v>54</v>
      </c>
      <c r="AE32" s="9" t="s">
        <v>61</v>
      </c>
      <c r="AF32" s="9" t="s">
        <v>55</v>
      </c>
      <c r="AG32" s="14" t="str">
        <f t="shared" si="0"/>
        <v>CONSULTA PSICOLOGICA</v>
      </c>
      <c r="AH32" s="9">
        <v>0</v>
      </c>
      <c r="AI32" s="9">
        <v>0</v>
      </c>
      <c r="AJ32" s="9">
        <v>6779929</v>
      </c>
      <c r="AK32" s="9">
        <v>1</v>
      </c>
      <c r="AL32" s="26" t="s">
        <v>52</v>
      </c>
      <c r="AM32" s="14" t="s">
        <v>515</v>
      </c>
      <c r="AN32" s="27" t="str">
        <f t="shared" si="1"/>
        <v>17562258|6779929|3123|65213248</v>
      </c>
      <c r="AO32" t="s">
        <v>44</v>
      </c>
      <c r="AP32" t="b">
        <v>0</v>
      </c>
      <c r="AQ32" t="s">
        <v>763</v>
      </c>
    </row>
    <row r="33" spans="1:43" x14ac:dyDescent="0.2">
      <c r="A33" s="14" t="s">
        <v>500</v>
      </c>
      <c r="B33" s="17">
        <v>17562258</v>
      </c>
      <c r="C33" s="14" t="s">
        <v>87</v>
      </c>
      <c r="D33" s="9">
        <v>17562258</v>
      </c>
      <c r="E33" s="9" t="s">
        <v>87</v>
      </c>
      <c r="F33" s="7">
        <v>45689</v>
      </c>
      <c r="G33" s="20" t="s">
        <v>36</v>
      </c>
      <c r="H33" s="8">
        <v>4172</v>
      </c>
      <c r="I33" s="19">
        <v>978413</v>
      </c>
      <c r="J33" s="10">
        <v>55000</v>
      </c>
      <c r="K33" s="10">
        <v>42308</v>
      </c>
      <c r="L33" s="10">
        <v>12692</v>
      </c>
      <c r="M33" s="10">
        <v>0</v>
      </c>
      <c r="N33" s="11">
        <v>12692</v>
      </c>
      <c r="O33" s="12">
        <v>4172</v>
      </c>
      <c r="P33" s="9">
        <v>285123</v>
      </c>
      <c r="Q33" s="9" t="s">
        <v>37</v>
      </c>
      <c r="R33" s="13">
        <v>45689</v>
      </c>
      <c r="S33" s="22">
        <v>45694</v>
      </c>
      <c r="T33" s="13">
        <v>45660</v>
      </c>
      <c r="U33" s="13">
        <v>45660</v>
      </c>
      <c r="V33" s="9" t="s">
        <v>58</v>
      </c>
      <c r="W33" s="9">
        <v>22562391</v>
      </c>
      <c r="X33" s="9">
        <v>2111044</v>
      </c>
      <c r="Y33" s="9">
        <v>68847703</v>
      </c>
      <c r="Z33" s="9" t="s">
        <v>39</v>
      </c>
      <c r="AA33" s="9">
        <v>410049078</v>
      </c>
      <c r="AB33" s="9">
        <v>77579</v>
      </c>
      <c r="AC33" s="9" t="s">
        <v>41</v>
      </c>
      <c r="AD33" s="9" t="s">
        <v>71</v>
      </c>
      <c r="AE33" s="9" t="s">
        <v>72</v>
      </c>
      <c r="AF33" s="9" t="s">
        <v>73</v>
      </c>
      <c r="AG33" s="14" t="str">
        <f t="shared" si="0"/>
        <v>CONSULTA PSIQUIATRICA</v>
      </c>
      <c r="AH33" s="9">
        <v>0</v>
      </c>
      <c r="AI33" s="9">
        <v>0</v>
      </c>
      <c r="AJ33" s="9">
        <v>77427951</v>
      </c>
      <c r="AK33" s="9">
        <v>2</v>
      </c>
      <c r="AL33" s="26" t="s">
        <v>86</v>
      </c>
      <c r="AM33" s="14" t="s">
        <v>515</v>
      </c>
      <c r="AN33" s="27" t="str">
        <f t="shared" si="1"/>
        <v>17562258|77427951|4172|978413</v>
      </c>
      <c r="AO33" t="s">
        <v>44</v>
      </c>
      <c r="AP33" t="b">
        <v>0</v>
      </c>
      <c r="AQ33" t="s">
        <v>763</v>
      </c>
    </row>
    <row r="34" spans="1:43" x14ac:dyDescent="0.2">
      <c r="A34" s="14" t="s">
        <v>500</v>
      </c>
      <c r="B34" s="17">
        <v>17562258</v>
      </c>
      <c r="C34" s="14" t="s">
        <v>87</v>
      </c>
      <c r="D34" s="9">
        <v>17562258</v>
      </c>
      <c r="E34" s="9" t="s">
        <v>87</v>
      </c>
      <c r="F34" s="7">
        <v>45717</v>
      </c>
      <c r="G34" s="20" t="s">
        <v>46</v>
      </c>
      <c r="H34" s="8">
        <v>4172</v>
      </c>
      <c r="I34" s="19">
        <v>65213246</v>
      </c>
      <c r="J34" s="10">
        <v>12681</v>
      </c>
      <c r="K34" s="10">
        <v>0</v>
      </c>
      <c r="L34" s="10">
        <v>12681</v>
      </c>
      <c r="M34" s="10">
        <v>0</v>
      </c>
      <c r="N34" s="11">
        <v>12681</v>
      </c>
      <c r="O34" s="12">
        <v>4172</v>
      </c>
      <c r="P34" s="9">
        <v>285123</v>
      </c>
      <c r="Q34" s="9" t="s">
        <v>37</v>
      </c>
      <c r="R34" s="13">
        <v>45717</v>
      </c>
      <c r="S34" s="22">
        <v>45733</v>
      </c>
      <c r="T34" s="13">
        <v>45660</v>
      </c>
      <c r="U34" s="13">
        <v>45660</v>
      </c>
      <c r="V34" s="9" t="s">
        <v>58</v>
      </c>
      <c r="W34" s="9">
        <v>22753556</v>
      </c>
      <c r="X34" s="9">
        <v>3251558</v>
      </c>
      <c r="Y34" s="9">
        <v>69156621</v>
      </c>
      <c r="Z34" s="9" t="s">
        <v>39</v>
      </c>
      <c r="AA34" s="9">
        <v>410049078</v>
      </c>
      <c r="AB34" s="9">
        <v>78017</v>
      </c>
      <c r="AC34" s="9" t="s">
        <v>41</v>
      </c>
      <c r="AD34" s="9" t="s">
        <v>71</v>
      </c>
      <c r="AE34" s="9" t="s">
        <v>72</v>
      </c>
      <c r="AF34" s="9" t="s">
        <v>73</v>
      </c>
      <c r="AG34" s="14" t="str">
        <f t="shared" si="0"/>
        <v>CONSULTA PSIQUIATRICA</v>
      </c>
      <c r="AH34" s="9">
        <v>0</v>
      </c>
      <c r="AI34" s="9">
        <v>0</v>
      </c>
      <c r="AJ34" s="9">
        <v>77427951</v>
      </c>
      <c r="AK34" s="9">
        <v>2</v>
      </c>
      <c r="AL34" s="26" t="s">
        <v>52</v>
      </c>
      <c r="AM34" s="14" t="s">
        <v>515</v>
      </c>
      <c r="AN34" s="27" t="str">
        <f t="shared" si="1"/>
        <v>17562258|77427951|4172|65213246</v>
      </c>
      <c r="AO34" t="s">
        <v>44</v>
      </c>
      <c r="AP34" t="b">
        <v>0</v>
      </c>
      <c r="AQ34" t="s">
        <v>763</v>
      </c>
    </row>
    <row r="35" spans="1:43" x14ac:dyDescent="0.2">
      <c r="A35" s="14" t="s">
        <v>500</v>
      </c>
      <c r="B35" s="17">
        <v>16695748</v>
      </c>
      <c r="C35" s="14" t="s">
        <v>53</v>
      </c>
      <c r="D35" s="9">
        <v>16695748</v>
      </c>
      <c r="E35" s="9" t="s">
        <v>53</v>
      </c>
      <c r="F35" s="7">
        <v>45809</v>
      </c>
      <c r="G35" s="20" t="s">
        <v>36</v>
      </c>
      <c r="H35" s="8">
        <v>6049</v>
      </c>
      <c r="I35" s="19">
        <v>1034827</v>
      </c>
      <c r="J35" s="10">
        <v>42500</v>
      </c>
      <c r="K35" s="10">
        <v>21250</v>
      </c>
      <c r="L35" s="10">
        <v>21250</v>
      </c>
      <c r="M35" s="10">
        <v>0</v>
      </c>
      <c r="N35" s="11">
        <v>21250</v>
      </c>
      <c r="O35" s="12">
        <v>6049</v>
      </c>
      <c r="P35" s="9">
        <v>285123</v>
      </c>
      <c r="Q35" s="9" t="s">
        <v>37</v>
      </c>
      <c r="R35" s="13">
        <v>45819</v>
      </c>
      <c r="S35" s="22">
        <v>45819.947789351849</v>
      </c>
      <c r="T35" s="13">
        <v>45805</v>
      </c>
      <c r="U35" s="13">
        <v>45805</v>
      </c>
      <c r="V35" s="9"/>
      <c r="W35" s="9" t="s">
        <v>38</v>
      </c>
      <c r="X35" s="9" t="s">
        <v>38</v>
      </c>
      <c r="Y35" s="9" t="s">
        <v>38</v>
      </c>
      <c r="Z35" s="9" t="s">
        <v>39</v>
      </c>
      <c r="AA35" s="9" t="s">
        <v>38</v>
      </c>
      <c r="AB35" s="9" t="s">
        <v>38</v>
      </c>
      <c r="AC35" s="9" t="s">
        <v>88</v>
      </c>
      <c r="AD35" s="9" t="s">
        <v>89</v>
      </c>
      <c r="AE35" s="9" t="s">
        <v>90</v>
      </c>
      <c r="AF35" s="9" t="s">
        <v>90</v>
      </c>
      <c r="AG35" s="14" t="s">
        <v>91</v>
      </c>
      <c r="AH35" s="9" t="s">
        <v>44</v>
      </c>
      <c r="AI35" s="9" t="s">
        <v>92</v>
      </c>
      <c r="AJ35" s="9">
        <v>77532798</v>
      </c>
      <c r="AK35" s="9" t="s">
        <v>38</v>
      </c>
      <c r="AL35" s="26" t="s">
        <v>38</v>
      </c>
      <c r="AM35" s="14" t="s">
        <v>505</v>
      </c>
      <c r="AN35" s="27" t="str">
        <f t="shared" si="1"/>
        <v>16695748|77532798|6049|1034827</v>
      </c>
      <c r="AO35" t="s">
        <v>44</v>
      </c>
      <c r="AP35" t="b">
        <v>1</v>
      </c>
      <c r="AQ35" t="s">
        <v>763</v>
      </c>
    </row>
    <row r="36" spans="1:43" x14ac:dyDescent="0.2">
      <c r="A36" s="14" t="s">
        <v>500</v>
      </c>
      <c r="B36" s="17">
        <v>16695748</v>
      </c>
      <c r="C36" s="14" t="s">
        <v>57</v>
      </c>
      <c r="D36" s="9">
        <v>16695748</v>
      </c>
      <c r="E36" s="9" t="s">
        <v>57</v>
      </c>
      <c r="F36" s="7">
        <v>45839</v>
      </c>
      <c r="G36" s="20" t="s">
        <v>46</v>
      </c>
      <c r="H36" s="8">
        <v>6049</v>
      </c>
      <c r="I36" s="19">
        <v>66381046</v>
      </c>
      <c r="J36" s="10">
        <v>21250</v>
      </c>
      <c r="K36" s="10">
        <v>0</v>
      </c>
      <c r="L36" s="10">
        <v>21250</v>
      </c>
      <c r="M36" s="10">
        <v>0</v>
      </c>
      <c r="N36" s="11">
        <v>21250</v>
      </c>
      <c r="O36" s="12">
        <v>6049</v>
      </c>
      <c r="P36" s="9">
        <v>285123</v>
      </c>
      <c r="Q36" s="9" t="s">
        <v>37</v>
      </c>
      <c r="R36" s="13">
        <v>45839</v>
      </c>
      <c r="S36" s="22">
        <v>45849</v>
      </c>
      <c r="T36" s="13">
        <v>45805</v>
      </c>
      <c r="U36" s="13">
        <v>45805</v>
      </c>
      <c r="V36" s="9" t="s">
        <v>90</v>
      </c>
      <c r="W36" s="9">
        <v>23307919</v>
      </c>
      <c r="X36" s="9">
        <v>7241739</v>
      </c>
      <c r="Y36" s="9">
        <v>70359758</v>
      </c>
      <c r="Z36" s="9" t="s">
        <v>39</v>
      </c>
      <c r="AA36" s="9">
        <v>76659184</v>
      </c>
      <c r="AB36" s="9">
        <v>79359</v>
      </c>
      <c r="AC36" s="9" t="s">
        <v>88</v>
      </c>
      <c r="AD36" s="9" t="s">
        <v>89</v>
      </c>
      <c r="AE36" s="9" t="s">
        <v>90</v>
      </c>
      <c r="AF36" s="9" t="s">
        <v>90</v>
      </c>
      <c r="AG36" s="14" t="s">
        <v>91</v>
      </c>
      <c r="AH36" s="9">
        <v>0</v>
      </c>
      <c r="AI36" s="9">
        <v>0</v>
      </c>
      <c r="AJ36" s="9">
        <v>77532798</v>
      </c>
      <c r="AK36" s="9">
        <v>7</v>
      </c>
      <c r="AL36" s="26" t="s">
        <v>52</v>
      </c>
      <c r="AM36" s="14" t="s">
        <v>505</v>
      </c>
      <c r="AN36" s="27" t="str">
        <f t="shared" si="1"/>
        <v>16695748|77532798|6049|66381046</v>
      </c>
      <c r="AO36" t="s">
        <v>44</v>
      </c>
      <c r="AP36" t="b">
        <v>0</v>
      </c>
      <c r="AQ36" t="s">
        <v>763</v>
      </c>
    </row>
    <row r="37" spans="1:43" x14ac:dyDescent="0.2">
      <c r="A37" s="14" t="s">
        <v>500</v>
      </c>
      <c r="B37" s="17">
        <v>12009863</v>
      </c>
      <c r="C37" s="14" t="s">
        <v>84</v>
      </c>
      <c r="D37" s="9">
        <v>20788711</v>
      </c>
      <c r="E37" s="9" t="s">
        <v>93</v>
      </c>
      <c r="F37" s="7">
        <v>45717</v>
      </c>
      <c r="G37" s="20" t="s">
        <v>36</v>
      </c>
      <c r="H37" s="8">
        <v>7576</v>
      </c>
      <c r="I37" s="19">
        <v>994540</v>
      </c>
      <c r="J37" s="10">
        <v>90000</v>
      </c>
      <c r="K37" s="10">
        <v>72425</v>
      </c>
      <c r="L37" s="10">
        <v>17575</v>
      </c>
      <c r="M37" s="10">
        <v>0</v>
      </c>
      <c r="N37" s="11">
        <v>17575</v>
      </c>
      <c r="O37" s="12">
        <v>7576</v>
      </c>
      <c r="P37" s="9">
        <v>285123</v>
      </c>
      <c r="Q37" s="9" t="s">
        <v>37</v>
      </c>
      <c r="R37" s="13">
        <v>45729</v>
      </c>
      <c r="S37" s="22">
        <v>45734</v>
      </c>
      <c r="T37" s="13">
        <v>45709</v>
      </c>
      <c r="U37" s="13">
        <v>45709</v>
      </c>
      <c r="V37" s="9" t="s">
        <v>58</v>
      </c>
      <c r="W37" s="9">
        <v>22755317</v>
      </c>
      <c r="X37" s="9">
        <v>3251558</v>
      </c>
      <c r="Y37" s="9">
        <v>69155418</v>
      </c>
      <c r="Z37" s="9" t="s">
        <v>39</v>
      </c>
      <c r="AA37" s="9">
        <v>27500073611</v>
      </c>
      <c r="AB37" s="9">
        <v>78017</v>
      </c>
      <c r="AC37" s="9" t="s">
        <v>41</v>
      </c>
      <c r="AD37" s="9" t="s">
        <v>54</v>
      </c>
      <c r="AE37" s="9" t="s">
        <v>61</v>
      </c>
      <c r="AF37" s="9" t="s">
        <v>55</v>
      </c>
      <c r="AG37" s="14" t="str">
        <f>+AF37</f>
        <v>CONSULTA PSICOLOGICA</v>
      </c>
      <c r="AH37" s="9">
        <v>0</v>
      </c>
      <c r="AI37" s="9">
        <v>0</v>
      </c>
      <c r="AJ37" s="9">
        <v>12692603</v>
      </c>
      <c r="AK37" s="9">
        <v>0</v>
      </c>
      <c r="AL37" s="26" t="s">
        <v>86</v>
      </c>
      <c r="AM37" s="14" t="s">
        <v>514</v>
      </c>
      <c r="AN37" s="27" t="str">
        <f t="shared" si="1"/>
        <v>12009863|12692603|7576|994540</v>
      </c>
      <c r="AO37" t="s">
        <v>44</v>
      </c>
      <c r="AP37" t="b">
        <v>0</v>
      </c>
      <c r="AQ37" t="s">
        <v>763</v>
      </c>
    </row>
    <row r="38" spans="1:43" x14ac:dyDescent="0.2">
      <c r="A38" s="14" t="s">
        <v>500</v>
      </c>
      <c r="B38" s="17">
        <v>12009863</v>
      </c>
      <c r="C38" s="14" t="s">
        <v>84</v>
      </c>
      <c r="D38" s="9">
        <v>20788711</v>
      </c>
      <c r="E38" s="9" t="s">
        <v>93</v>
      </c>
      <c r="F38" s="7">
        <v>45717</v>
      </c>
      <c r="G38" s="20" t="s">
        <v>46</v>
      </c>
      <c r="H38" s="8">
        <v>7576</v>
      </c>
      <c r="I38" s="19">
        <v>65383983</v>
      </c>
      <c r="J38" s="10">
        <v>43774</v>
      </c>
      <c r="K38" s="10">
        <v>0</v>
      </c>
      <c r="L38" s="10">
        <v>43774</v>
      </c>
      <c r="M38" s="10">
        <v>0</v>
      </c>
      <c r="N38" s="11">
        <v>43774</v>
      </c>
      <c r="O38" s="12">
        <v>7576</v>
      </c>
      <c r="P38" s="9">
        <v>285123</v>
      </c>
      <c r="Q38" s="9" t="s">
        <v>37</v>
      </c>
      <c r="R38" s="13">
        <v>45722</v>
      </c>
      <c r="S38" s="22">
        <v>45742</v>
      </c>
      <c r="T38" s="13">
        <v>45721</v>
      </c>
      <c r="U38" s="13">
        <v>45721</v>
      </c>
      <c r="V38" s="9" t="s">
        <v>58</v>
      </c>
      <c r="W38" s="9">
        <v>22772427</v>
      </c>
      <c r="X38" s="9">
        <v>3311105</v>
      </c>
      <c r="Y38" s="9">
        <v>69250871</v>
      </c>
      <c r="Z38" s="9" t="s">
        <v>39</v>
      </c>
      <c r="AA38" s="9">
        <v>27500073611</v>
      </c>
      <c r="AB38" s="9">
        <v>78070</v>
      </c>
      <c r="AC38" s="9" t="s">
        <v>41</v>
      </c>
      <c r="AD38" s="9" t="s">
        <v>54</v>
      </c>
      <c r="AE38" s="9" t="s">
        <v>61</v>
      </c>
      <c r="AF38" s="9" t="s">
        <v>55</v>
      </c>
      <c r="AG38" s="14" t="str">
        <f>+AF38</f>
        <v>CONSULTA PSICOLOGICA</v>
      </c>
      <c r="AH38" s="9">
        <v>0</v>
      </c>
      <c r="AI38" s="9">
        <v>0</v>
      </c>
      <c r="AJ38" s="9">
        <v>12692603</v>
      </c>
      <c r="AK38" s="9">
        <v>0</v>
      </c>
      <c r="AL38" s="26" t="s">
        <v>52</v>
      </c>
      <c r="AM38" s="14" t="s">
        <v>514</v>
      </c>
      <c r="AN38" s="27" t="str">
        <f t="shared" si="1"/>
        <v>12009863|12692603|7576|65383983</v>
      </c>
      <c r="AO38" t="s">
        <v>44</v>
      </c>
      <c r="AP38" t="b">
        <v>0</v>
      </c>
      <c r="AQ38" t="s">
        <v>763</v>
      </c>
    </row>
    <row r="39" spans="1:43" x14ac:dyDescent="0.2">
      <c r="A39" s="14" t="s">
        <v>500</v>
      </c>
      <c r="B39" s="17">
        <v>10285711</v>
      </c>
      <c r="C39" s="14" t="s">
        <v>94</v>
      </c>
      <c r="D39" s="9">
        <v>10285711</v>
      </c>
      <c r="E39" s="9" t="s">
        <v>94</v>
      </c>
      <c r="F39" s="7">
        <v>45809</v>
      </c>
      <c r="G39" s="20" t="s">
        <v>36</v>
      </c>
      <c r="H39" s="8">
        <v>7873</v>
      </c>
      <c r="I39" s="19">
        <v>1034272</v>
      </c>
      <c r="J39" s="10">
        <v>48000</v>
      </c>
      <c r="K39" s="10">
        <v>24000</v>
      </c>
      <c r="L39" s="10">
        <v>24000</v>
      </c>
      <c r="M39" s="10">
        <v>0</v>
      </c>
      <c r="N39" s="11">
        <v>24000</v>
      </c>
      <c r="O39" s="12">
        <v>7873</v>
      </c>
      <c r="P39" s="9">
        <v>285123</v>
      </c>
      <c r="Q39" s="9" t="s">
        <v>37</v>
      </c>
      <c r="R39" s="13">
        <v>45818</v>
      </c>
      <c r="S39" s="22">
        <v>45818.971643518518</v>
      </c>
      <c r="T39" s="13">
        <v>45792</v>
      </c>
      <c r="U39" s="13">
        <v>45792</v>
      </c>
      <c r="V39" s="9"/>
      <c r="W39" s="9" t="s">
        <v>38</v>
      </c>
      <c r="X39" s="9" t="s">
        <v>38</v>
      </c>
      <c r="Y39" s="9" t="s">
        <v>38</v>
      </c>
      <c r="Z39" s="9" t="s">
        <v>39</v>
      </c>
      <c r="AA39" s="9" t="s">
        <v>38</v>
      </c>
      <c r="AB39" s="9" t="s">
        <v>38</v>
      </c>
      <c r="AC39" s="9" t="s">
        <v>88</v>
      </c>
      <c r="AD39" s="9" t="s">
        <v>95</v>
      </c>
      <c r="AE39" s="9" t="s">
        <v>96</v>
      </c>
      <c r="AF39" s="9" t="s">
        <v>96</v>
      </c>
      <c r="AG39" s="14" t="s">
        <v>91</v>
      </c>
      <c r="AH39" s="9" t="s">
        <v>44</v>
      </c>
      <c r="AI39" s="9" t="s">
        <v>97</v>
      </c>
      <c r="AJ39" s="9">
        <v>76076353</v>
      </c>
      <c r="AK39" s="9" t="s">
        <v>38</v>
      </c>
      <c r="AL39" s="26" t="s">
        <v>38</v>
      </c>
      <c r="AM39" s="14" t="s">
        <v>516</v>
      </c>
      <c r="AN39" s="27" t="str">
        <f t="shared" si="1"/>
        <v>10285711|76076353|7873|1034272</v>
      </c>
      <c r="AO39" t="s">
        <v>44</v>
      </c>
      <c r="AP39" t="b">
        <v>1</v>
      </c>
      <c r="AQ39" t="s">
        <v>763</v>
      </c>
    </row>
    <row r="40" spans="1:43" x14ac:dyDescent="0.2">
      <c r="A40" s="14" t="s">
        <v>500</v>
      </c>
      <c r="B40" s="17">
        <v>10285711</v>
      </c>
      <c r="C40" s="14" t="s">
        <v>99</v>
      </c>
      <c r="D40" s="9">
        <v>10285711</v>
      </c>
      <c r="E40" s="9" t="s">
        <v>99</v>
      </c>
      <c r="F40" s="7">
        <v>45839</v>
      </c>
      <c r="G40" s="20" t="s">
        <v>46</v>
      </c>
      <c r="H40" s="8">
        <v>7873</v>
      </c>
      <c r="I40" s="19">
        <v>66380978</v>
      </c>
      <c r="J40" s="10">
        <v>48000</v>
      </c>
      <c r="K40" s="10">
        <v>0</v>
      </c>
      <c r="L40" s="10">
        <v>48000</v>
      </c>
      <c r="M40" s="10">
        <v>0</v>
      </c>
      <c r="N40" s="11">
        <v>48000</v>
      </c>
      <c r="O40" s="12">
        <v>7873</v>
      </c>
      <c r="P40" s="9">
        <v>285123</v>
      </c>
      <c r="Q40" s="9" t="s">
        <v>37</v>
      </c>
      <c r="R40" s="13">
        <v>45839</v>
      </c>
      <c r="S40" s="22">
        <v>45849</v>
      </c>
      <c r="T40" s="13">
        <v>45792</v>
      </c>
      <c r="U40" s="13">
        <v>45792</v>
      </c>
      <c r="V40" s="9" t="s">
        <v>98</v>
      </c>
      <c r="W40" s="9">
        <v>23307898</v>
      </c>
      <c r="X40" s="9">
        <v>7241739</v>
      </c>
      <c r="Y40" s="9">
        <v>70359746</v>
      </c>
      <c r="Z40" s="9" t="s">
        <v>39</v>
      </c>
      <c r="AA40" s="9">
        <v>83599740</v>
      </c>
      <c r="AB40" s="9">
        <v>79359</v>
      </c>
      <c r="AC40" s="9" t="s">
        <v>88</v>
      </c>
      <c r="AD40" s="9" t="s">
        <v>95</v>
      </c>
      <c r="AE40" s="9" t="s">
        <v>96</v>
      </c>
      <c r="AF40" s="9" t="s">
        <v>96</v>
      </c>
      <c r="AG40" s="14" t="s">
        <v>91</v>
      </c>
      <c r="AH40" s="9">
        <v>0</v>
      </c>
      <c r="AI40" s="9">
        <v>0</v>
      </c>
      <c r="AJ40" s="9">
        <v>76076353</v>
      </c>
      <c r="AK40" s="9">
        <v>5</v>
      </c>
      <c r="AL40" s="26" t="s">
        <v>52</v>
      </c>
      <c r="AM40" s="14" t="s">
        <v>516</v>
      </c>
      <c r="AN40" s="27" t="str">
        <f t="shared" si="1"/>
        <v>10285711|76076353|7873|66380978</v>
      </c>
      <c r="AO40" t="s">
        <v>44</v>
      </c>
      <c r="AP40" t="b">
        <v>0</v>
      </c>
      <c r="AQ40" t="s">
        <v>763</v>
      </c>
    </row>
    <row r="41" spans="1:43" x14ac:dyDescent="0.2">
      <c r="A41" s="14" t="s">
        <v>500</v>
      </c>
      <c r="B41" s="17">
        <v>10285711</v>
      </c>
      <c r="C41" s="14" t="s">
        <v>94</v>
      </c>
      <c r="D41" s="9">
        <v>23752741</v>
      </c>
      <c r="E41" s="9" t="s">
        <v>100</v>
      </c>
      <c r="F41" s="7">
        <v>45809</v>
      </c>
      <c r="G41" s="20" t="s">
        <v>36</v>
      </c>
      <c r="H41" s="8">
        <v>8000</v>
      </c>
      <c r="I41" s="19">
        <v>1034274</v>
      </c>
      <c r="J41" s="10">
        <v>30000</v>
      </c>
      <c r="K41" s="10">
        <v>15000</v>
      </c>
      <c r="L41" s="10">
        <v>15000</v>
      </c>
      <c r="M41" s="10">
        <v>0</v>
      </c>
      <c r="N41" s="11">
        <v>15000</v>
      </c>
      <c r="O41" s="12">
        <v>8000</v>
      </c>
      <c r="P41" s="9">
        <v>285123</v>
      </c>
      <c r="Q41" s="9" t="s">
        <v>37</v>
      </c>
      <c r="R41" s="13">
        <v>45818</v>
      </c>
      <c r="S41" s="22">
        <v>45818.974872685183</v>
      </c>
      <c r="T41" s="13">
        <v>45805</v>
      </c>
      <c r="U41" s="13">
        <v>45805</v>
      </c>
      <c r="V41" s="9"/>
      <c r="W41" s="9" t="s">
        <v>38</v>
      </c>
      <c r="X41" s="9" t="s">
        <v>38</v>
      </c>
      <c r="Y41" s="9" t="s">
        <v>38</v>
      </c>
      <c r="Z41" s="9" t="s">
        <v>39</v>
      </c>
      <c r="AA41" s="9" t="s">
        <v>38</v>
      </c>
      <c r="AB41" s="9" t="s">
        <v>38</v>
      </c>
      <c r="AC41" s="9" t="s">
        <v>88</v>
      </c>
      <c r="AD41" s="9" t="s">
        <v>101</v>
      </c>
      <c r="AE41" s="9" t="s">
        <v>102</v>
      </c>
      <c r="AF41" s="9" t="s">
        <v>103</v>
      </c>
      <c r="AG41" s="14" t="s">
        <v>91</v>
      </c>
      <c r="AH41" s="9" t="s">
        <v>44</v>
      </c>
      <c r="AI41" s="9" t="s">
        <v>97</v>
      </c>
      <c r="AJ41" s="9">
        <v>76076353</v>
      </c>
      <c r="AK41" s="9" t="s">
        <v>38</v>
      </c>
      <c r="AL41" s="26" t="s">
        <v>38</v>
      </c>
      <c r="AM41" s="14" t="s">
        <v>516</v>
      </c>
      <c r="AN41" s="27" t="str">
        <f t="shared" si="1"/>
        <v>10285711|76076353|8000|1034274</v>
      </c>
      <c r="AO41" t="s">
        <v>44</v>
      </c>
      <c r="AP41" t="b">
        <v>1</v>
      </c>
      <c r="AQ41" t="s">
        <v>763</v>
      </c>
    </row>
    <row r="42" spans="1:43" x14ac:dyDescent="0.2">
      <c r="A42" s="14" t="s">
        <v>500</v>
      </c>
      <c r="B42" s="17">
        <v>10285711</v>
      </c>
      <c r="C42" s="14" t="s">
        <v>99</v>
      </c>
      <c r="D42" s="9">
        <v>23752741</v>
      </c>
      <c r="E42" s="9" t="s">
        <v>104</v>
      </c>
      <c r="F42" s="7">
        <v>45839</v>
      </c>
      <c r="G42" s="20" t="s">
        <v>46</v>
      </c>
      <c r="H42" s="8">
        <v>8000</v>
      </c>
      <c r="I42" s="19">
        <v>66380977</v>
      </c>
      <c r="J42" s="10">
        <v>30000</v>
      </c>
      <c r="K42" s="10">
        <v>0</v>
      </c>
      <c r="L42" s="10">
        <v>30000</v>
      </c>
      <c r="M42" s="10">
        <v>0</v>
      </c>
      <c r="N42" s="11">
        <v>30000</v>
      </c>
      <c r="O42" s="12">
        <v>8000</v>
      </c>
      <c r="P42" s="9">
        <v>285123</v>
      </c>
      <c r="Q42" s="9" t="s">
        <v>37</v>
      </c>
      <c r="R42" s="13">
        <v>45839</v>
      </c>
      <c r="S42" s="22">
        <v>45849</v>
      </c>
      <c r="T42" s="13">
        <v>45805</v>
      </c>
      <c r="U42" s="13">
        <v>45805</v>
      </c>
      <c r="V42" s="9" t="s">
        <v>98</v>
      </c>
      <c r="W42" s="9">
        <v>23307899</v>
      </c>
      <c r="X42" s="9">
        <v>7241739</v>
      </c>
      <c r="Y42" s="9">
        <v>70359745</v>
      </c>
      <c r="Z42" s="9" t="s">
        <v>39</v>
      </c>
      <c r="AA42" s="9">
        <v>83599740</v>
      </c>
      <c r="AB42" s="9">
        <v>79359</v>
      </c>
      <c r="AC42" s="9" t="s">
        <v>88</v>
      </c>
      <c r="AD42" s="9" t="s">
        <v>101</v>
      </c>
      <c r="AE42" s="9" t="s">
        <v>102</v>
      </c>
      <c r="AF42" s="9" t="s">
        <v>103</v>
      </c>
      <c r="AG42" s="14" t="s">
        <v>91</v>
      </c>
      <c r="AH42" s="9">
        <v>0</v>
      </c>
      <c r="AI42" s="9">
        <v>0</v>
      </c>
      <c r="AJ42" s="9">
        <v>76076353</v>
      </c>
      <c r="AK42" s="9">
        <v>5</v>
      </c>
      <c r="AL42" s="26" t="s">
        <v>52</v>
      </c>
      <c r="AM42" s="14" t="s">
        <v>516</v>
      </c>
      <c r="AN42" s="27" t="str">
        <f t="shared" si="1"/>
        <v>10285711|76076353|8000|66380977</v>
      </c>
      <c r="AO42" t="s">
        <v>44</v>
      </c>
      <c r="AP42" t="b">
        <v>0</v>
      </c>
      <c r="AQ42" t="s">
        <v>763</v>
      </c>
    </row>
    <row r="43" spans="1:43" x14ac:dyDescent="0.2">
      <c r="A43" s="14" t="s">
        <v>500</v>
      </c>
      <c r="B43" s="17">
        <v>13266639</v>
      </c>
      <c r="C43" s="14" t="s">
        <v>105</v>
      </c>
      <c r="D43" s="9">
        <v>13266639</v>
      </c>
      <c r="E43" s="9" t="s">
        <v>105</v>
      </c>
      <c r="F43" s="7">
        <v>45809</v>
      </c>
      <c r="G43" s="20" t="s">
        <v>36</v>
      </c>
      <c r="H43" s="8">
        <v>37030</v>
      </c>
      <c r="I43" s="19">
        <v>1037879</v>
      </c>
      <c r="J43" s="10">
        <v>6000</v>
      </c>
      <c r="K43" s="10">
        <v>0</v>
      </c>
      <c r="L43" s="10">
        <v>6000</v>
      </c>
      <c r="M43" s="10">
        <v>0</v>
      </c>
      <c r="N43" s="11">
        <v>6000</v>
      </c>
      <c r="O43" s="12">
        <v>37030</v>
      </c>
      <c r="P43" s="9">
        <v>285123</v>
      </c>
      <c r="Q43" s="9" t="s">
        <v>37</v>
      </c>
      <c r="R43" s="13">
        <v>45826</v>
      </c>
      <c r="S43" s="22">
        <v>45826.646215277775</v>
      </c>
      <c r="T43" s="13">
        <v>45800</v>
      </c>
      <c r="U43" s="13">
        <v>45800</v>
      </c>
      <c r="V43" s="9"/>
      <c r="W43" s="9" t="s">
        <v>38</v>
      </c>
      <c r="X43" s="9" t="s">
        <v>38</v>
      </c>
      <c r="Y43" s="9" t="s">
        <v>38</v>
      </c>
      <c r="Z43" s="9" t="s">
        <v>39</v>
      </c>
      <c r="AA43" s="9" t="s">
        <v>38</v>
      </c>
      <c r="AB43" s="9" t="s">
        <v>38</v>
      </c>
      <c r="AC43" s="9" t="s">
        <v>88</v>
      </c>
      <c r="AD43" s="9" t="s">
        <v>106</v>
      </c>
      <c r="AE43" s="9" t="s">
        <v>107</v>
      </c>
      <c r="AF43" s="9" t="s">
        <v>107</v>
      </c>
      <c r="AG43" s="14" t="s">
        <v>91</v>
      </c>
      <c r="AH43" s="9" t="s">
        <v>44</v>
      </c>
      <c r="AI43" s="9" t="s">
        <v>108</v>
      </c>
      <c r="AJ43" s="9">
        <v>76197293</v>
      </c>
      <c r="AK43" s="9" t="s">
        <v>38</v>
      </c>
      <c r="AL43" s="26" t="s">
        <v>38</v>
      </c>
      <c r="AM43" s="14" t="s">
        <v>517</v>
      </c>
      <c r="AN43" s="27" t="str">
        <f t="shared" si="1"/>
        <v>13266639|76197293|37030|1037879</v>
      </c>
      <c r="AO43" t="s">
        <v>44</v>
      </c>
      <c r="AP43" t="b">
        <v>1</v>
      </c>
      <c r="AQ43" t="s">
        <v>763</v>
      </c>
    </row>
    <row r="44" spans="1:43" x14ac:dyDescent="0.2">
      <c r="A44" s="14" t="s">
        <v>500</v>
      </c>
      <c r="B44" s="17">
        <v>13266639</v>
      </c>
      <c r="C44" s="14" t="s">
        <v>105</v>
      </c>
      <c r="D44" s="9">
        <v>13266639</v>
      </c>
      <c r="E44" s="9" t="s">
        <v>105</v>
      </c>
      <c r="F44" s="7">
        <v>45809</v>
      </c>
      <c r="G44" s="20" t="s">
        <v>36</v>
      </c>
      <c r="H44" s="8">
        <v>37030</v>
      </c>
      <c r="I44" s="19">
        <v>1037879</v>
      </c>
      <c r="J44" s="10">
        <v>20000</v>
      </c>
      <c r="K44" s="10">
        <v>0</v>
      </c>
      <c r="L44" s="10">
        <v>20000</v>
      </c>
      <c r="M44" s="10">
        <v>0</v>
      </c>
      <c r="N44" s="11">
        <v>20000</v>
      </c>
      <c r="O44" s="12">
        <v>37030</v>
      </c>
      <c r="P44" s="9">
        <v>285123</v>
      </c>
      <c r="Q44" s="9" t="s">
        <v>37</v>
      </c>
      <c r="R44" s="13">
        <v>45826</v>
      </c>
      <c r="S44" s="22">
        <v>45826.646215277775</v>
      </c>
      <c r="T44" s="13">
        <v>45800</v>
      </c>
      <c r="U44" s="13">
        <v>45800</v>
      </c>
      <c r="V44" s="9"/>
      <c r="W44" s="9" t="s">
        <v>38</v>
      </c>
      <c r="X44" s="9" t="s">
        <v>38</v>
      </c>
      <c r="Y44" s="9" t="s">
        <v>38</v>
      </c>
      <c r="Z44" s="9" t="s">
        <v>39</v>
      </c>
      <c r="AA44" s="9" t="s">
        <v>38</v>
      </c>
      <c r="AB44" s="9" t="s">
        <v>38</v>
      </c>
      <c r="AC44" s="9" t="s">
        <v>88</v>
      </c>
      <c r="AD44" s="9" t="s">
        <v>106</v>
      </c>
      <c r="AE44" s="9" t="s">
        <v>107</v>
      </c>
      <c r="AF44" s="9" t="s">
        <v>107</v>
      </c>
      <c r="AG44" s="14" t="s">
        <v>91</v>
      </c>
      <c r="AH44" s="9" t="s">
        <v>44</v>
      </c>
      <c r="AI44" s="9" t="s">
        <v>108</v>
      </c>
      <c r="AJ44" s="9">
        <v>76197293</v>
      </c>
      <c r="AK44" s="9" t="s">
        <v>38</v>
      </c>
      <c r="AL44" s="26" t="s">
        <v>38</v>
      </c>
      <c r="AM44" s="14" t="s">
        <v>517</v>
      </c>
      <c r="AN44" s="27" t="str">
        <f t="shared" si="1"/>
        <v>13266639|76197293|37030|1037879</v>
      </c>
      <c r="AO44" t="s">
        <v>44</v>
      </c>
      <c r="AP44" t="b">
        <v>1</v>
      </c>
      <c r="AQ44" t="s">
        <v>763</v>
      </c>
    </row>
    <row r="45" spans="1:43" x14ac:dyDescent="0.2">
      <c r="A45" s="14" t="s">
        <v>500</v>
      </c>
      <c r="B45" s="17">
        <v>13266639</v>
      </c>
      <c r="C45" s="14" t="s">
        <v>105</v>
      </c>
      <c r="D45" s="9">
        <v>13266639</v>
      </c>
      <c r="E45" s="9" t="s">
        <v>105</v>
      </c>
      <c r="F45" s="7">
        <v>45809</v>
      </c>
      <c r="G45" s="20" t="s">
        <v>36</v>
      </c>
      <c r="H45" s="8">
        <v>37030</v>
      </c>
      <c r="I45" s="19">
        <v>1037879</v>
      </c>
      <c r="J45" s="10">
        <v>16000</v>
      </c>
      <c r="K45" s="10">
        <v>2196</v>
      </c>
      <c r="L45" s="10">
        <v>13804</v>
      </c>
      <c r="M45" s="10">
        <v>0</v>
      </c>
      <c r="N45" s="11">
        <v>13804</v>
      </c>
      <c r="O45" s="12">
        <v>37030</v>
      </c>
      <c r="P45" s="9">
        <v>285123</v>
      </c>
      <c r="Q45" s="9" t="s">
        <v>37</v>
      </c>
      <c r="R45" s="13">
        <v>45826</v>
      </c>
      <c r="S45" s="22">
        <v>45826.646215277775</v>
      </c>
      <c r="T45" s="13">
        <v>45800</v>
      </c>
      <c r="U45" s="13">
        <v>45800</v>
      </c>
      <c r="V45" s="9"/>
      <c r="W45" s="9" t="s">
        <v>38</v>
      </c>
      <c r="X45" s="9" t="s">
        <v>38</v>
      </c>
      <c r="Y45" s="9" t="s">
        <v>38</v>
      </c>
      <c r="Z45" s="9" t="s">
        <v>39</v>
      </c>
      <c r="AA45" s="9" t="s">
        <v>38</v>
      </c>
      <c r="AB45" s="9" t="s">
        <v>38</v>
      </c>
      <c r="AC45" s="9" t="s">
        <v>88</v>
      </c>
      <c r="AD45" s="9" t="s">
        <v>106</v>
      </c>
      <c r="AE45" s="9" t="s">
        <v>107</v>
      </c>
      <c r="AF45" s="9" t="s">
        <v>107</v>
      </c>
      <c r="AG45" s="14" t="s">
        <v>91</v>
      </c>
      <c r="AH45" s="9" t="s">
        <v>44</v>
      </c>
      <c r="AI45" s="9" t="s">
        <v>108</v>
      </c>
      <c r="AJ45" s="9">
        <v>76197293</v>
      </c>
      <c r="AK45" s="9" t="s">
        <v>38</v>
      </c>
      <c r="AL45" s="26" t="s">
        <v>38</v>
      </c>
      <c r="AM45" s="14" t="s">
        <v>517</v>
      </c>
      <c r="AN45" s="27" t="str">
        <f t="shared" si="1"/>
        <v>13266639|76197293|37030|1037879</v>
      </c>
      <c r="AO45" t="s">
        <v>44</v>
      </c>
      <c r="AP45" t="b">
        <v>1</v>
      </c>
      <c r="AQ45" t="s">
        <v>763</v>
      </c>
    </row>
    <row r="46" spans="1:43" x14ac:dyDescent="0.2">
      <c r="A46" s="14" t="s">
        <v>500</v>
      </c>
      <c r="B46" s="17">
        <v>13266639</v>
      </c>
      <c r="C46" s="14" t="s">
        <v>110</v>
      </c>
      <c r="D46" s="9">
        <v>13266639</v>
      </c>
      <c r="E46" s="9" t="s">
        <v>110</v>
      </c>
      <c r="F46" s="7">
        <v>45839</v>
      </c>
      <c r="G46" s="20" t="s">
        <v>46</v>
      </c>
      <c r="H46" s="8">
        <v>37030</v>
      </c>
      <c r="I46" s="19">
        <v>66379952</v>
      </c>
      <c r="J46" s="10">
        <v>39804</v>
      </c>
      <c r="K46" s="10">
        <v>0</v>
      </c>
      <c r="L46" s="10">
        <v>39804</v>
      </c>
      <c r="M46" s="10">
        <v>0</v>
      </c>
      <c r="N46" s="11">
        <v>37306</v>
      </c>
      <c r="O46" s="12">
        <v>37030</v>
      </c>
      <c r="P46" s="9">
        <v>285123</v>
      </c>
      <c r="Q46" s="9" t="s">
        <v>37</v>
      </c>
      <c r="R46" s="13">
        <v>45839</v>
      </c>
      <c r="S46" s="22">
        <v>45849</v>
      </c>
      <c r="T46" s="13">
        <v>45800</v>
      </c>
      <c r="U46" s="13">
        <v>45800</v>
      </c>
      <c r="V46" s="9" t="s">
        <v>109</v>
      </c>
      <c r="W46" s="9">
        <v>23307909</v>
      </c>
      <c r="X46" s="9">
        <v>7241739</v>
      </c>
      <c r="Y46" s="9">
        <v>70359643</v>
      </c>
      <c r="Z46" s="9" t="s">
        <v>39</v>
      </c>
      <c r="AA46" s="9">
        <v>81591390</v>
      </c>
      <c r="AB46" s="9">
        <v>79359</v>
      </c>
      <c r="AC46" s="9" t="s">
        <v>88</v>
      </c>
      <c r="AD46" s="9" t="s">
        <v>106</v>
      </c>
      <c r="AE46" s="9" t="s">
        <v>111</v>
      </c>
      <c r="AF46" s="9" t="s">
        <v>107</v>
      </c>
      <c r="AG46" s="14" t="s">
        <v>91</v>
      </c>
      <c r="AH46" s="9">
        <v>0</v>
      </c>
      <c r="AI46" s="9">
        <v>0</v>
      </c>
      <c r="AJ46" s="9">
        <v>76197293</v>
      </c>
      <c r="AK46" s="9">
        <v>6</v>
      </c>
      <c r="AL46" s="26" t="s">
        <v>52</v>
      </c>
      <c r="AM46" s="14" t="s">
        <v>517</v>
      </c>
      <c r="AN46" s="27" t="str">
        <f t="shared" si="1"/>
        <v>13266639|76197293|37030|66379952</v>
      </c>
      <c r="AO46" t="s">
        <v>44</v>
      </c>
      <c r="AP46" t="b">
        <v>0</v>
      </c>
      <c r="AQ46" t="s">
        <v>763</v>
      </c>
    </row>
    <row r="47" spans="1:43" x14ac:dyDescent="0.2">
      <c r="A47" s="14" t="s">
        <v>500</v>
      </c>
      <c r="B47" s="17">
        <v>15400638</v>
      </c>
      <c r="C47" s="14" t="s">
        <v>112</v>
      </c>
      <c r="D47" s="9">
        <v>25665186</v>
      </c>
      <c r="E47" s="9" t="s">
        <v>113</v>
      </c>
      <c r="F47" s="7">
        <v>45809</v>
      </c>
      <c r="G47" s="20" t="s">
        <v>36</v>
      </c>
      <c r="H47" s="8">
        <v>53923</v>
      </c>
      <c r="I47" s="19">
        <v>1034254</v>
      </c>
      <c r="J47" s="10">
        <v>30000</v>
      </c>
      <c r="K47" s="10">
        <v>0</v>
      </c>
      <c r="L47" s="10">
        <v>30000</v>
      </c>
      <c r="M47" s="10">
        <v>0</v>
      </c>
      <c r="N47" s="11">
        <v>30000</v>
      </c>
      <c r="O47" s="12">
        <v>53923</v>
      </c>
      <c r="P47" s="9">
        <v>285123</v>
      </c>
      <c r="Q47" s="9" t="s">
        <v>37</v>
      </c>
      <c r="R47" s="13">
        <v>45818</v>
      </c>
      <c r="S47" s="22">
        <v>45818.892766203702</v>
      </c>
      <c r="T47" s="13">
        <v>45808</v>
      </c>
      <c r="U47" s="13">
        <v>45808</v>
      </c>
      <c r="V47" s="9"/>
      <c r="W47" s="9" t="s">
        <v>38</v>
      </c>
      <c r="X47" s="9" t="s">
        <v>38</v>
      </c>
      <c r="Y47" s="9" t="s">
        <v>38</v>
      </c>
      <c r="Z47" s="9" t="s">
        <v>39</v>
      </c>
      <c r="AA47" s="9" t="s">
        <v>38</v>
      </c>
      <c r="AB47" s="9" t="s">
        <v>38</v>
      </c>
      <c r="AC47" s="9" t="s">
        <v>41</v>
      </c>
      <c r="AD47" s="9" t="s">
        <v>114</v>
      </c>
      <c r="AE47" s="9" t="s">
        <v>115</v>
      </c>
      <c r="AF47" s="9" t="s">
        <v>115</v>
      </c>
      <c r="AG47" s="14" t="str">
        <f>+AF47</f>
        <v>CRISTALES OPTICOS ( GRUPO )</v>
      </c>
      <c r="AH47" s="9" t="s">
        <v>44</v>
      </c>
      <c r="AI47" s="9" t="s">
        <v>116</v>
      </c>
      <c r="AJ47" s="9">
        <v>77418913</v>
      </c>
      <c r="AK47" s="9" t="s">
        <v>38</v>
      </c>
      <c r="AL47" s="26" t="s">
        <v>38</v>
      </c>
      <c r="AM47" s="14" t="s">
        <v>518</v>
      </c>
      <c r="AN47" s="27" t="str">
        <f t="shared" si="1"/>
        <v>15400638|77418913|53923|1034254</v>
      </c>
      <c r="AO47" t="s">
        <v>44</v>
      </c>
      <c r="AP47" t="b">
        <v>1</v>
      </c>
      <c r="AQ47" t="s">
        <v>763</v>
      </c>
    </row>
    <row r="48" spans="1:43" x14ac:dyDescent="0.2">
      <c r="A48" s="14" t="s">
        <v>500</v>
      </c>
      <c r="B48" s="17">
        <v>15400638</v>
      </c>
      <c r="C48" s="14" t="s">
        <v>112</v>
      </c>
      <c r="D48" s="9">
        <v>25665186</v>
      </c>
      <c r="E48" s="9" t="s">
        <v>113</v>
      </c>
      <c r="F48" s="7">
        <v>45809</v>
      </c>
      <c r="G48" s="20" t="s">
        <v>36</v>
      </c>
      <c r="H48" s="8">
        <v>53923</v>
      </c>
      <c r="I48" s="19">
        <v>1034254</v>
      </c>
      <c r="J48" s="10">
        <v>12450</v>
      </c>
      <c r="K48" s="10">
        <v>0</v>
      </c>
      <c r="L48" s="10">
        <v>12450</v>
      </c>
      <c r="M48" s="10">
        <v>0</v>
      </c>
      <c r="N48" s="11">
        <v>12450</v>
      </c>
      <c r="O48" s="12">
        <v>53923</v>
      </c>
      <c r="P48" s="9">
        <v>285123</v>
      </c>
      <c r="Q48" s="9" t="s">
        <v>37</v>
      </c>
      <c r="R48" s="13">
        <v>45818</v>
      </c>
      <c r="S48" s="22">
        <v>45818.892766203702</v>
      </c>
      <c r="T48" s="13">
        <v>45808</v>
      </c>
      <c r="U48" s="13">
        <v>45808</v>
      </c>
      <c r="V48" s="9"/>
      <c r="W48" s="9" t="s">
        <v>38</v>
      </c>
      <c r="X48" s="9" t="s">
        <v>38</v>
      </c>
      <c r="Y48" s="9" t="s">
        <v>38</v>
      </c>
      <c r="Z48" s="9" t="s">
        <v>39</v>
      </c>
      <c r="AA48" s="9" t="s">
        <v>38</v>
      </c>
      <c r="AB48" s="9" t="s">
        <v>38</v>
      </c>
      <c r="AC48" s="9" t="s">
        <v>41</v>
      </c>
      <c r="AD48" s="9" t="s">
        <v>114</v>
      </c>
      <c r="AE48" s="9" t="s">
        <v>117</v>
      </c>
      <c r="AF48" s="9" t="s">
        <v>115</v>
      </c>
      <c r="AG48" s="14" t="str">
        <f>+AF48</f>
        <v>CRISTALES OPTICOS ( GRUPO )</v>
      </c>
      <c r="AH48" s="9" t="s">
        <v>44</v>
      </c>
      <c r="AI48" s="9" t="s">
        <v>116</v>
      </c>
      <c r="AJ48" s="9">
        <v>77418913</v>
      </c>
      <c r="AK48" s="9" t="s">
        <v>38</v>
      </c>
      <c r="AL48" s="26" t="s">
        <v>38</v>
      </c>
      <c r="AM48" s="14" t="s">
        <v>518</v>
      </c>
      <c r="AN48" s="27" t="str">
        <f t="shared" si="1"/>
        <v>15400638|77418913|53923|1034254</v>
      </c>
      <c r="AO48" t="s">
        <v>44</v>
      </c>
      <c r="AP48" t="b">
        <v>1</v>
      </c>
      <c r="AQ48" t="s">
        <v>763</v>
      </c>
    </row>
    <row r="49" spans="1:43" x14ac:dyDescent="0.2">
      <c r="A49" s="14" t="s">
        <v>500</v>
      </c>
      <c r="B49" s="17">
        <v>15400638</v>
      </c>
      <c r="C49" s="14" t="s">
        <v>119</v>
      </c>
      <c r="D49" s="9">
        <v>25665186</v>
      </c>
      <c r="E49" s="9" t="s">
        <v>120</v>
      </c>
      <c r="F49" s="7">
        <v>45839</v>
      </c>
      <c r="G49" s="20" t="s">
        <v>46</v>
      </c>
      <c r="H49" s="8">
        <v>53923</v>
      </c>
      <c r="I49" s="19">
        <v>66380940</v>
      </c>
      <c r="J49" s="10">
        <v>42450</v>
      </c>
      <c r="K49" s="10">
        <v>0</v>
      </c>
      <c r="L49" s="10">
        <v>42450</v>
      </c>
      <c r="M49" s="10">
        <v>0</v>
      </c>
      <c r="N49" s="11">
        <v>42450</v>
      </c>
      <c r="O49" s="12">
        <v>53923</v>
      </c>
      <c r="P49" s="9">
        <v>285123</v>
      </c>
      <c r="Q49" s="9" t="s">
        <v>37</v>
      </c>
      <c r="R49" s="13">
        <v>45839</v>
      </c>
      <c r="S49" s="22">
        <v>45839</v>
      </c>
      <c r="T49" s="13">
        <v>45808</v>
      </c>
      <c r="U49" s="13">
        <v>45808</v>
      </c>
      <c r="V49" s="9" t="s">
        <v>118</v>
      </c>
      <c r="W49" s="9">
        <v>23307163</v>
      </c>
      <c r="X49" s="9">
        <v>7241739</v>
      </c>
      <c r="Y49" s="9">
        <v>70359726</v>
      </c>
      <c r="Z49" s="9" t="s">
        <v>39</v>
      </c>
      <c r="AA49" s="9">
        <v>1693122302</v>
      </c>
      <c r="AB49" s="9">
        <v>79359</v>
      </c>
      <c r="AC49" s="9" t="s">
        <v>41</v>
      </c>
      <c r="AD49" s="9" t="s">
        <v>114</v>
      </c>
      <c r="AE49" s="9" t="s">
        <v>121</v>
      </c>
      <c r="AF49" s="9" t="s">
        <v>115</v>
      </c>
      <c r="AG49" s="14" t="str">
        <f>+AF49</f>
        <v>CRISTALES OPTICOS ( GRUPO )</v>
      </c>
      <c r="AH49" s="9">
        <v>0</v>
      </c>
      <c r="AI49" s="9">
        <v>0</v>
      </c>
      <c r="AJ49" s="9">
        <v>77418913</v>
      </c>
      <c r="AK49" s="9">
        <v>0</v>
      </c>
      <c r="AL49" s="26" t="s">
        <v>52</v>
      </c>
      <c r="AM49" s="14" t="s">
        <v>518</v>
      </c>
      <c r="AN49" s="27" t="str">
        <f t="shared" si="1"/>
        <v>15400638|77418913|53923|66380940</v>
      </c>
      <c r="AO49" t="s">
        <v>44</v>
      </c>
      <c r="AP49" t="b">
        <v>0</v>
      </c>
      <c r="AQ49" t="s">
        <v>763</v>
      </c>
    </row>
    <row r="50" spans="1:43" x14ac:dyDescent="0.2">
      <c r="A50" s="14" t="s">
        <v>500</v>
      </c>
      <c r="B50" s="17">
        <v>12956502</v>
      </c>
      <c r="C50" s="14" t="s">
        <v>122</v>
      </c>
      <c r="D50" s="9">
        <v>12956502</v>
      </c>
      <c r="E50" s="9" t="s">
        <v>122</v>
      </c>
      <c r="F50" s="7">
        <v>45809</v>
      </c>
      <c r="G50" s="20" t="s">
        <v>36</v>
      </c>
      <c r="H50" s="8">
        <v>64445</v>
      </c>
      <c r="I50" s="19">
        <v>1035521</v>
      </c>
      <c r="J50" s="10">
        <v>5814</v>
      </c>
      <c r="K50" s="10">
        <v>0</v>
      </c>
      <c r="L50" s="10">
        <v>5814</v>
      </c>
      <c r="M50" s="10">
        <v>0</v>
      </c>
      <c r="N50" s="11">
        <v>5814</v>
      </c>
      <c r="O50" s="12">
        <v>64445</v>
      </c>
      <c r="P50" s="9">
        <v>285123</v>
      </c>
      <c r="Q50" s="9" t="s">
        <v>37</v>
      </c>
      <c r="R50" s="13">
        <v>45821</v>
      </c>
      <c r="S50" s="22">
        <v>45826.366574074076</v>
      </c>
      <c r="T50" s="13">
        <v>45808</v>
      </c>
      <c r="U50" s="13">
        <v>45808</v>
      </c>
      <c r="V50" s="9"/>
      <c r="W50" s="9" t="s">
        <v>38</v>
      </c>
      <c r="X50" s="9" t="s">
        <v>38</v>
      </c>
      <c r="Y50" s="9" t="s">
        <v>38</v>
      </c>
      <c r="Z50" s="9" t="s">
        <v>39</v>
      </c>
      <c r="AA50" s="9" t="s">
        <v>38</v>
      </c>
      <c r="AB50" s="9" t="s">
        <v>38</v>
      </c>
      <c r="AC50" s="9" t="s">
        <v>41</v>
      </c>
      <c r="AD50" s="9" t="s">
        <v>123</v>
      </c>
      <c r="AE50" s="9" t="s">
        <v>124</v>
      </c>
      <c r="AF50" s="9" t="s">
        <v>124</v>
      </c>
      <c r="AG50" s="14" t="s">
        <v>125</v>
      </c>
      <c r="AH50" s="9" t="s">
        <v>44</v>
      </c>
      <c r="AI50" s="9" t="s">
        <v>126</v>
      </c>
      <c r="AJ50" s="9">
        <v>77312614</v>
      </c>
      <c r="AK50" s="9" t="s">
        <v>38</v>
      </c>
      <c r="AL50" s="26" t="s">
        <v>38</v>
      </c>
      <c r="AM50" s="14" t="s">
        <v>519</v>
      </c>
      <c r="AN50" s="27" t="str">
        <f t="shared" si="1"/>
        <v>12956502|77312614|64445|1035521</v>
      </c>
      <c r="AO50" t="s">
        <v>44</v>
      </c>
      <c r="AP50" t="b">
        <v>1</v>
      </c>
      <c r="AQ50" t="s">
        <v>763</v>
      </c>
    </row>
    <row r="51" spans="1:43" x14ac:dyDescent="0.2">
      <c r="A51" s="14" t="s">
        <v>500</v>
      </c>
      <c r="B51" s="17">
        <v>12956502</v>
      </c>
      <c r="C51" s="14" t="s">
        <v>127</v>
      </c>
      <c r="D51" s="9">
        <v>12956502</v>
      </c>
      <c r="E51" s="9" t="s">
        <v>127</v>
      </c>
      <c r="F51" s="7">
        <v>45839</v>
      </c>
      <c r="G51" s="20" t="s">
        <v>46</v>
      </c>
      <c r="H51" s="8">
        <v>64445</v>
      </c>
      <c r="I51" s="19">
        <v>66380972</v>
      </c>
      <c r="J51" s="10">
        <v>5814</v>
      </c>
      <c r="K51" s="10">
        <v>0</v>
      </c>
      <c r="L51" s="10">
        <v>5814</v>
      </c>
      <c r="M51" s="10">
        <v>0</v>
      </c>
      <c r="N51" s="11">
        <v>5814</v>
      </c>
      <c r="O51" s="12">
        <v>64445</v>
      </c>
      <c r="P51" s="9">
        <v>285123</v>
      </c>
      <c r="Q51" s="9" t="s">
        <v>37</v>
      </c>
      <c r="R51" s="13">
        <v>45839</v>
      </c>
      <c r="S51" s="22">
        <v>45839</v>
      </c>
      <c r="T51" s="13">
        <v>45808</v>
      </c>
      <c r="U51" s="13">
        <v>45808</v>
      </c>
      <c r="V51" s="9" t="s">
        <v>47</v>
      </c>
      <c r="W51" s="9">
        <v>23307127</v>
      </c>
      <c r="X51" s="9">
        <v>7241739</v>
      </c>
      <c r="Y51" s="9">
        <v>70359743</v>
      </c>
      <c r="Z51" s="9" t="s">
        <v>39</v>
      </c>
      <c r="AA51" s="9">
        <v>4041021424</v>
      </c>
      <c r="AB51" s="9">
        <v>79359</v>
      </c>
      <c r="AC51" s="9" t="s">
        <v>41</v>
      </c>
      <c r="AD51" s="9" t="s">
        <v>128</v>
      </c>
      <c r="AE51" s="9" t="s">
        <v>129</v>
      </c>
      <c r="AF51" s="9" t="s">
        <v>124</v>
      </c>
      <c r="AG51" s="14" t="s">
        <v>125</v>
      </c>
      <c r="AH51" s="9">
        <v>0</v>
      </c>
      <c r="AI51" s="9">
        <v>0</v>
      </c>
      <c r="AJ51" s="9">
        <v>77312614</v>
      </c>
      <c r="AK51" s="9">
        <v>3</v>
      </c>
      <c r="AL51" s="26" t="s">
        <v>52</v>
      </c>
      <c r="AM51" s="14" t="s">
        <v>519</v>
      </c>
      <c r="AN51" s="27" t="str">
        <f t="shared" si="1"/>
        <v>12956502|77312614|64445|66380972</v>
      </c>
      <c r="AO51" t="s">
        <v>44</v>
      </c>
      <c r="AP51" t="b">
        <v>0</v>
      </c>
      <c r="AQ51" t="s">
        <v>763</v>
      </c>
    </row>
    <row r="52" spans="1:43" x14ac:dyDescent="0.2">
      <c r="A52" s="14" t="s">
        <v>500</v>
      </c>
      <c r="B52" s="17">
        <v>12009863</v>
      </c>
      <c r="C52" s="14" t="s">
        <v>84</v>
      </c>
      <c r="D52" s="9">
        <v>12096295</v>
      </c>
      <c r="E52" s="9" t="s">
        <v>85</v>
      </c>
      <c r="F52" s="7">
        <v>45717</v>
      </c>
      <c r="G52" s="20" t="s">
        <v>36</v>
      </c>
      <c r="H52" s="8">
        <v>69741</v>
      </c>
      <c r="I52" s="19">
        <v>987228</v>
      </c>
      <c r="J52" s="10">
        <v>13134</v>
      </c>
      <c r="K52" s="10">
        <v>0</v>
      </c>
      <c r="L52" s="10">
        <v>13134</v>
      </c>
      <c r="M52" s="10">
        <v>0</v>
      </c>
      <c r="N52" s="11">
        <v>13134</v>
      </c>
      <c r="O52" s="12">
        <v>69741</v>
      </c>
      <c r="P52" s="9">
        <v>285123</v>
      </c>
      <c r="Q52" s="9" t="s">
        <v>37</v>
      </c>
      <c r="R52" s="13">
        <v>45717</v>
      </c>
      <c r="S52" s="22">
        <v>45716</v>
      </c>
      <c r="T52" s="13">
        <v>45686</v>
      </c>
      <c r="U52" s="13">
        <v>45686</v>
      </c>
      <c r="V52" s="9" t="s">
        <v>47</v>
      </c>
      <c r="W52" s="9">
        <v>22669538</v>
      </c>
      <c r="X52" s="9">
        <v>3101250</v>
      </c>
      <c r="Y52" s="9">
        <v>68970590</v>
      </c>
      <c r="Z52" s="9" t="s">
        <v>39</v>
      </c>
      <c r="AA52" s="9">
        <v>27500073611</v>
      </c>
      <c r="AB52" s="9">
        <v>77859</v>
      </c>
      <c r="AC52" s="9" t="s">
        <v>41</v>
      </c>
      <c r="AD52" s="9" t="s">
        <v>128</v>
      </c>
      <c r="AE52" s="9" t="s">
        <v>129</v>
      </c>
      <c r="AF52" s="9" t="s">
        <v>124</v>
      </c>
      <c r="AG52" s="14" t="s">
        <v>125</v>
      </c>
      <c r="AH52" s="9">
        <v>0</v>
      </c>
      <c r="AI52" s="9">
        <v>0</v>
      </c>
      <c r="AJ52" s="9">
        <v>76423422</v>
      </c>
      <c r="AK52" s="9">
        <v>7</v>
      </c>
      <c r="AL52" s="26" t="s">
        <v>52</v>
      </c>
      <c r="AM52" s="14" t="s">
        <v>514</v>
      </c>
      <c r="AN52" s="27" t="str">
        <f t="shared" si="1"/>
        <v>12009863|76423422|69741|987228</v>
      </c>
      <c r="AO52" t="s">
        <v>44</v>
      </c>
      <c r="AP52" t="b">
        <v>0</v>
      </c>
      <c r="AQ52" t="s">
        <v>763</v>
      </c>
    </row>
    <row r="53" spans="1:43" x14ac:dyDescent="0.2">
      <c r="A53" s="14" t="s">
        <v>500</v>
      </c>
      <c r="B53" s="17">
        <v>12009863</v>
      </c>
      <c r="C53" s="14" t="s">
        <v>84</v>
      </c>
      <c r="D53" s="9">
        <v>12096295</v>
      </c>
      <c r="E53" s="9" t="s">
        <v>85</v>
      </c>
      <c r="F53" s="7">
        <v>45717</v>
      </c>
      <c r="G53" s="20" t="s">
        <v>46</v>
      </c>
      <c r="H53" s="8">
        <v>69741</v>
      </c>
      <c r="I53" s="19">
        <v>65213059</v>
      </c>
      <c r="J53" s="10">
        <v>21873</v>
      </c>
      <c r="K53" s="10">
        <v>0</v>
      </c>
      <c r="L53" s="10">
        <v>21873</v>
      </c>
      <c r="M53" s="10">
        <v>0</v>
      </c>
      <c r="N53" s="11">
        <v>21873</v>
      </c>
      <c r="O53" s="12">
        <v>69741</v>
      </c>
      <c r="P53" s="9">
        <v>285123</v>
      </c>
      <c r="Q53" s="9" t="s">
        <v>37</v>
      </c>
      <c r="R53" s="13">
        <v>45717</v>
      </c>
      <c r="S53" s="22">
        <v>45733</v>
      </c>
      <c r="T53" s="13">
        <v>45686</v>
      </c>
      <c r="U53" s="13">
        <v>45686</v>
      </c>
      <c r="V53" s="9" t="s">
        <v>47</v>
      </c>
      <c r="W53" s="9">
        <v>22753705</v>
      </c>
      <c r="X53" s="9">
        <v>3251558</v>
      </c>
      <c r="Y53" s="9">
        <v>69156458</v>
      </c>
      <c r="Z53" s="9" t="s">
        <v>39</v>
      </c>
      <c r="AA53" s="9">
        <v>27500073611</v>
      </c>
      <c r="AB53" s="9">
        <v>78017</v>
      </c>
      <c r="AC53" s="9" t="s">
        <v>41</v>
      </c>
      <c r="AD53" s="9" t="s">
        <v>128</v>
      </c>
      <c r="AE53" s="9" t="s">
        <v>129</v>
      </c>
      <c r="AF53" s="9" t="s">
        <v>124</v>
      </c>
      <c r="AG53" s="14" t="s">
        <v>125</v>
      </c>
      <c r="AH53" s="9">
        <v>0</v>
      </c>
      <c r="AI53" s="9">
        <v>0</v>
      </c>
      <c r="AJ53" s="9">
        <v>76423422</v>
      </c>
      <c r="AK53" s="9">
        <v>7</v>
      </c>
      <c r="AL53" s="26" t="s">
        <v>52</v>
      </c>
      <c r="AM53" s="14" t="s">
        <v>514</v>
      </c>
      <c r="AN53" s="27" t="str">
        <f t="shared" si="1"/>
        <v>12009863|76423422|69741|65213059</v>
      </c>
      <c r="AO53" t="s">
        <v>44</v>
      </c>
      <c r="AP53" t="b">
        <v>0</v>
      </c>
      <c r="AQ53" t="s">
        <v>763</v>
      </c>
    </row>
    <row r="54" spans="1:43" x14ac:dyDescent="0.2">
      <c r="A54" s="14" t="s">
        <v>500</v>
      </c>
      <c r="B54" s="17">
        <v>18022530</v>
      </c>
      <c r="C54" s="14" t="s">
        <v>130</v>
      </c>
      <c r="D54" s="9">
        <v>18022530</v>
      </c>
      <c r="E54" s="9" t="s">
        <v>130</v>
      </c>
      <c r="F54" s="7">
        <v>45689</v>
      </c>
      <c r="G54" s="20" t="s">
        <v>36</v>
      </c>
      <c r="H54" s="8">
        <v>88083</v>
      </c>
      <c r="I54" s="19">
        <v>979499</v>
      </c>
      <c r="J54" s="10">
        <v>72332</v>
      </c>
      <c r="K54" s="10">
        <v>61482</v>
      </c>
      <c r="L54" s="10">
        <v>10850</v>
      </c>
      <c r="M54" s="10">
        <v>0</v>
      </c>
      <c r="N54" s="11">
        <v>10850</v>
      </c>
      <c r="O54" s="12">
        <v>88083</v>
      </c>
      <c r="P54" s="9">
        <v>285123</v>
      </c>
      <c r="Q54" s="9" t="s">
        <v>37</v>
      </c>
      <c r="R54" s="13">
        <v>45689</v>
      </c>
      <c r="S54" s="22">
        <v>45698</v>
      </c>
      <c r="T54" s="13">
        <v>45667</v>
      </c>
      <c r="U54" s="13">
        <v>45667</v>
      </c>
      <c r="V54" s="9" t="s">
        <v>47</v>
      </c>
      <c r="W54" s="9">
        <v>22589733</v>
      </c>
      <c r="X54" s="9">
        <v>2171726</v>
      </c>
      <c r="Y54" s="9">
        <v>68883096</v>
      </c>
      <c r="Z54" s="9" t="s">
        <v>39</v>
      </c>
      <c r="AA54" s="9">
        <v>987579102</v>
      </c>
      <c r="AB54" s="9">
        <v>77628</v>
      </c>
      <c r="AC54" s="9" t="s">
        <v>41</v>
      </c>
      <c r="AD54" s="9" t="s">
        <v>49</v>
      </c>
      <c r="AE54" s="9" t="s">
        <v>50</v>
      </c>
      <c r="AF54" s="9" t="s">
        <v>51</v>
      </c>
      <c r="AG54" s="14" t="str">
        <f t="shared" ref="AG54:AG59" si="2">+AF54</f>
        <v>PROCEDIMIENTO DE DIAGNOSTICO</v>
      </c>
      <c r="AH54" s="9">
        <v>0</v>
      </c>
      <c r="AI54" s="9">
        <v>0</v>
      </c>
      <c r="AJ54" s="9">
        <v>78730160</v>
      </c>
      <c r="AK54" s="9">
        <v>6</v>
      </c>
      <c r="AL54" s="26" t="s">
        <v>76</v>
      </c>
      <c r="AM54" s="14" t="s">
        <v>520</v>
      </c>
      <c r="AN54" s="27" t="str">
        <f t="shared" si="1"/>
        <v>18022530|78730160|88083|979499</v>
      </c>
      <c r="AO54" t="s">
        <v>44</v>
      </c>
      <c r="AP54" t="b">
        <v>0</v>
      </c>
      <c r="AQ54" t="s">
        <v>763</v>
      </c>
    </row>
    <row r="55" spans="1:43" x14ac:dyDescent="0.2">
      <c r="A55" s="14" t="s">
        <v>500</v>
      </c>
      <c r="B55" s="17">
        <v>18022530</v>
      </c>
      <c r="C55" s="14" t="s">
        <v>131</v>
      </c>
      <c r="D55" s="9">
        <v>18022530</v>
      </c>
      <c r="E55" s="9" t="s">
        <v>131</v>
      </c>
      <c r="F55" s="7">
        <v>45717</v>
      </c>
      <c r="G55" s="20" t="s">
        <v>46</v>
      </c>
      <c r="H55" s="8">
        <v>88083</v>
      </c>
      <c r="I55" s="19">
        <v>65213278</v>
      </c>
      <c r="J55" s="10">
        <v>11134</v>
      </c>
      <c r="K55" s="10">
        <v>0</v>
      </c>
      <c r="L55" s="10">
        <v>11134</v>
      </c>
      <c r="M55" s="10">
        <v>0</v>
      </c>
      <c r="N55" s="11">
        <v>11134</v>
      </c>
      <c r="O55" s="12">
        <v>88083</v>
      </c>
      <c r="P55" s="9">
        <v>285123</v>
      </c>
      <c r="Q55" s="9" t="s">
        <v>37</v>
      </c>
      <c r="R55" s="13">
        <v>45717</v>
      </c>
      <c r="S55" s="22">
        <v>45733</v>
      </c>
      <c r="T55" s="13">
        <v>45667</v>
      </c>
      <c r="U55" s="13">
        <v>45667</v>
      </c>
      <c r="V55" s="9" t="s">
        <v>47</v>
      </c>
      <c r="W55" s="9">
        <v>22753651</v>
      </c>
      <c r="X55" s="9">
        <v>3251558</v>
      </c>
      <c r="Y55" s="9">
        <v>69156649</v>
      </c>
      <c r="Z55" s="9" t="s">
        <v>39</v>
      </c>
      <c r="AA55" s="9">
        <v>987579102</v>
      </c>
      <c r="AB55" s="9">
        <v>78017</v>
      </c>
      <c r="AC55" s="9" t="s">
        <v>41</v>
      </c>
      <c r="AD55" s="9" t="s">
        <v>49</v>
      </c>
      <c r="AE55" s="9" t="s">
        <v>50</v>
      </c>
      <c r="AF55" s="9" t="s">
        <v>51</v>
      </c>
      <c r="AG55" s="14" t="str">
        <f t="shared" si="2"/>
        <v>PROCEDIMIENTO DE DIAGNOSTICO</v>
      </c>
      <c r="AH55" s="9">
        <v>0</v>
      </c>
      <c r="AI55" s="9">
        <v>0</v>
      </c>
      <c r="AJ55" s="9">
        <v>78730160</v>
      </c>
      <c r="AK55" s="9">
        <v>6</v>
      </c>
      <c r="AL55" s="26" t="s">
        <v>52</v>
      </c>
      <c r="AM55" s="14" t="s">
        <v>520</v>
      </c>
      <c r="AN55" s="27" t="str">
        <f t="shared" si="1"/>
        <v>18022530|78730160|88083|65213278</v>
      </c>
      <c r="AO55" t="s">
        <v>44</v>
      </c>
      <c r="AP55" t="b">
        <v>0</v>
      </c>
      <c r="AQ55" t="s">
        <v>763</v>
      </c>
    </row>
    <row r="56" spans="1:43" x14ac:dyDescent="0.2">
      <c r="A56" s="14" t="s">
        <v>500</v>
      </c>
      <c r="B56" s="17">
        <v>18022530</v>
      </c>
      <c r="C56" s="14" t="s">
        <v>130</v>
      </c>
      <c r="D56" s="9">
        <v>18022530</v>
      </c>
      <c r="E56" s="9" t="s">
        <v>130</v>
      </c>
      <c r="F56" s="7">
        <v>45689</v>
      </c>
      <c r="G56" s="20" t="s">
        <v>36</v>
      </c>
      <c r="H56" s="8">
        <v>88085</v>
      </c>
      <c r="I56" s="19">
        <v>979498</v>
      </c>
      <c r="J56" s="10">
        <v>54174</v>
      </c>
      <c r="K56" s="10">
        <v>13544</v>
      </c>
      <c r="L56" s="10">
        <v>40630</v>
      </c>
      <c r="M56" s="10">
        <v>0</v>
      </c>
      <c r="N56" s="11">
        <v>40630</v>
      </c>
      <c r="O56" s="12">
        <v>88085</v>
      </c>
      <c r="P56" s="9">
        <v>285123</v>
      </c>
      <c r="Q56" s="9" t="s">
        <v>37</v>
      </c>
      <c r="R56" s="13">
        <v>45689</v>
      </c>
      <c r="S56" s="22">
        <v>45696</v>
      </c>
      <c r="T56" s="13">
        <v>45667</v>
      </c>
      <c r="U56" s="13">
        <v>45667</v>
      </c>
      <c r="V56" s="9" t="s">
        <v>47</v>
      </c>
      <c r="W56" s="9">
        <v>22589733</v>
      </c>
      <c r="X56" s="9">
        <v>2171726</v>
      </c>
      <c r="Y56" s="9">
        <v>68883095</v>
      </c>
      <c r="Z56" s="9" t="s">
        <v>39</v>
      </c>
      <c r="AA56" s="9">
        <v>987579102</v>
      </c>
      <c r="AB56" s="9">
        <v>77628</v>
      </c>
      <c r="AC56" s="9" t="s">
        <v>41</v>
      </c>
      <c r="AD56" s="9" t="s">
        <v>49</v>
      </c>
      <c r="AE56" s="9" t="s">
        <v>50</v>
      </c>
      <c r="AF56" s="9" t="s">
        <v>51</v>
      </c>
      <c r="AG56" s="14" t="str">
        <f t="shared" si="2"/>
        <v>PROCEDIMIENTO DE DIAGNOSTICO</v>
      </c>
      <c r="AH56" s="9">
        <v>0</v>
      </c>
      <c r="AI56" s="9">
        <v>0</v>
      </c>
      <c r="AJ56" s="9">
        <v>78730160</v>
      </c>
      <c r="AK56" s="9">
        <v>6</v>
      </c>
      <c r="AL56" s="26" t="s">
        <v>76</v>
      </c>
      <c r="AM56" s="14" t="s">
        <v>520</v>
      </c>
      <c r="AN56" s="27" t="str">
        <f t="shared" si="1"/>
        <v>18022530|78730160|88085|979498</v>
      </c>
      <c r="AO56" t="s">
        <v>44</v>
      </c>
      <c r="AP56" t="b">
        <v>0</v>
      </c>
      <c r="AQ56" t="s">
        <v>763</v>
      </c>
    </row>
    <row r="57" spans="1:43" x14ac:dyDescent="0.2">
      <c r="A57" s="14" t="s">
        <v>500</v>
      </c>
      <c r="B57" s="17">
        <v>18022530</v>
      </c>
      <c r="C57" s="14" t="s">
        <v>131</v>
      </c>
      <c r="D57" s="9">
        <v>18022530</v>
      </c>
      <c r="E57" s="9" t="s">
        <v>131</v>
      </c>
      <c r="F57" s="7">
        <v>45717</v>
      </c>
      <c r="G57" s="20" t="s">
        <v>46</v>
      </c>
      <c r="H57" s="8">
        <v>88085</v>
      </c>
      <c r="I57" s="19">
        <v>65213276</v>
      </c>
      <c r="J57" s="10">
        <v>40695</v>
      </c>
      <c r="K57" s="10">
        <v>0</v>
      </c>
      <c r="L57" s="10">
        <v>40695</v>
      </c>
      <c r="M57" s="10">
        <v>0</v>
      </c>
      <c r="N57" s="11">
        <v>40695</v>
      </c>
      <c r="O57" s="12">
        <v>88085</v>
      </c>
      <c r="P57" s="9">
        <v>285123</v>
      </c>
      <c r="Q57" s="9" t="s">
        <v>37</v>
      </c>
      <c r="R57" s="13">
        <v>45717</v>
      </c>
      <c r="S57" s="22">
        <v>45733</v>
      </c>
      <c r="T57" s="13">
        <v>45670</v>
      </c>
      <c r="U57" s="13">
        <v>45670</v>
      </c>
      <c r="V57" s="9" t="s">
        <v>47</v>
      </c>
      <c r="W57" s="9">
        <v>22753651</v>
      </c>
      <c r="X57" s="9">
        <v>3251558</v>
      </c>
      <c r="Y57" s="9">
        <v>69156647</v>
      </c>
      <c r="Z57" s="9" t="s">
        <v>39</v>
      </c>
      <c r="AA57" s="9">
        <v>987579102</v>
      </c>
      <c r="AB57" s="9">
        <v>78017</v>
      </c>
      <c r="AC57" s="9" t="s">
        <v>41</v>
      </c>
      <c r="AD57" s="9" t="s">
        <v>132</v>
      </c>
      <c r="AE57" s="9" t="s">
        <v>133</v>
      </c>
      <c r="AF57" s="9" t="s">
        <v>133</v>
      </c>
      <c r="AG57" s="14" t="str">
        <f t="shared" si="2"/>
        <v>EXAMENES DE LABORATORIO</v>
      </c>
      <c r="AH57" s="9">
        <v>0</v>
      </c>
      <c r="AI57" s="9">
        <v>0</v>
      </c>
      <c r="AJ57" s="9">
        <v>78730160</v>
      </c>
      <c r="AK57" s="9">
        <v>6</v>
      </c>
      <c r="AL57" s="26" t="s">
        <v>52</v>
      </c>
      <c r="AM57" s="14" t="s">
        <v>520</v>
      </c>
      <c r="AN57" s="27" t="str">
        <f t="shared" si="1"/>
        <v>18022530|78730160|88085|65213276</v>
      </c>
      <c r="AO57" t="s">
        <v>44</v>
      </c>
      <c r="AP57" t="b">
        <v>0</v>
      </c>
      <c r="AQ57" t="s">
        <v>763</v>
      </c>
    </row>
    <row r="58" spans="1:43" x14ac:dyDescent="0.2">
      <c r="A58" s="14" t="s">
        <v>500</v>
      </c>
      <c r="B58" s="17">
        <v>18022530</v>
      </c>
      <c r="C58" s="14" t="s">
        <v>130</v>
      </c>
      <c r="D58" s="9">
        <v>18022530</v>
      </c>
      <c r="E58" s="9" t="s">
        <v>130</v>
      </c>
      <c r="F58" s="7">
        <v>45689</v>
      </c>
      <c r="G58" s="20" t="s">
        <v>36</v>
      </c>
      <c r="H58" s="8">
        <v>88099</v>
      </c>
      <c r="I58" s="19">
        <v>984410</v>
      </c>
      <c r="J58" s="10">
        <v>189000</v>
      </c>
      <c r="K58" s="10">
        <v>18624</v>
      </c>
      <c r="L58" s="10">
        <v>123126</v>
      </c>
      <c r="M58" s="10">
        <v>0</v>
      </c>
      <c r="N58" s="11">
        <v>123126</v>
      </c>
      <c r="O58" s="12">
        <v>88099</v>
      </c>
      <c r="P58" s="9">
        <v>285123</v>
      </c>
      <c r="Q58" s="9" t="s">
        <v>37</v>
      </c>
      <c r="R58" s="13">
        <v>45701</v>
      </c>
      <c r="S58" s="22">
        <v>45701</v>
      </c>
      <c r="T58" s="13">
        <v>45667</v>
      </c>
      <c r="U58" s="13">
        <v>45667</v>
      </c>
      <c r="V58" s="9" t="s">
        <v>47</v>
      </c>
      <c r="W58" s="9">
        <v>22590891</v>
      </c>
      <c r="X58" s="9">
        <v>2171726</v>
      </c>
      <c r="Y58" s="9">
        <v>68885243</v>
      </c>
      <c r="Z58" s="9" t="s">
        <v>39</v>
      </c>
      <c r="AA58" s="9">
        <v>987579102</v>
      </c>
      <c r="AB58" s="9">
        <v>77628</v>
      </c>
      <c r="AC58" s="9" t="s">
        <v>41</v>
      </c>
      <c r="AD58" s="9" t="s">
        <v>134</v>
      </c>
      <c r="AE58" s="9" t="s">
        <v>135</v>
      </c>
      <c r="AF58" s="9" t="s">
        <v>135</v>
      </c>
      <c r="AG58" s="14" t="str">
        <f t="shared" si="2"/>
        <v>EXAMENES RADIOLOGICOS</v>
      </c>
      <c r="AH58" s="9">
        <v>0</v>
      </c>
      <c r="AI58" s="9">
        <v>0</v>
      </c>
      <c r="AJ58" s="9">
        <v>78730160</v>
      </c>
      <c r="AK58" s="9">
        <v>6</v>
      </c>
      <c r="AL58" s="26" t="s">
        <v>76</v>
      </c>
      <c r="AM58" s="14" t="s">
        <v>520</v>
      </c>
      <c r="AN58" s="27" t="str">
        <f t="shared" si="1"/>
        <v>18022530|78730160|88099|984410</v>
      </c>
      <c r="AO58" t="s">
        <v>44</v>
      </c>
      <c r="AP58" t="b">
        <v>0</v>
      </c>
      <c r="AQ58" t="s">
        <v>763</v>
      </c>
    </row>
    <row r="59" spans="1:43" x14ac:dyDescent="0.2">
      <c r="A59" s="14" t="s">
        <v>500</v>
      </c>
      <c r="B59" s="17">
        <v>18022530</v>
      </c>
      <c r="C59" s="14" t="s">
        <v>131</v>
      </c>
      <c r="D59" s="9">
        <v>18022530</v>
      </c>
      <c r="E59" s="9" t="s">
        <v>131</v>
      </c>
      <c r="F59" s="7">
        <v>45717</v>
      </c>
      <c r="G59" s="20" t="s">
        <v>46</v>
      </c>
      <c r="H59" s="8">
        <v>88099</v>
      </c>
      <c r="I59" s="19">
        <v>65213277</v>
      </c>
      <c r="J59" s="10">
        <v>123238</v>
      </c>
      <c r="K59" s="10">
        <v>0</v>
      </c>
      <c r="L59" s="10">
        <v>123238</v>
      </c>
      <c r="M59" s="10">
        <v>0</v>
      </c>
      <c r="N59" s="11">
        <v>60275</v>
      </c>
      <c r="O59" s="12">
        <v>88099</v>
      </c>
      <c r="P59" s="9">
        <v>285123</v>
      </c>
      <c r="Q59" s="9" t="s">
        <v>37</v>
      </c>
      <c r="R59" s="13">
        <v>45717</v>
      </c>
      <c r="S59" s="22">
        <v>45733</v>
      </c>
      <c r="T59" s="13">
        <v>45667</v>
      </c>
      <c r="U59" s="13">
        <v>45667</v>
      </c>
      <c r="V59" s="9" t="s">
        <v>47</v>
      </c>
      <c r="W59" s="9">
        <v>22753651</v>
      </c>
      <c r="X59" s="9">
        <v>3251558</v>
      </c>
      <c r="Y59" s="9">
        <v>69156648</v>
      </c>
      <c r="Z59" s="9" t="s">
        <v>39</v>
      </c>
      <c r="AA59" s="9">
        <v>987579102</v>
      </c>
      <c r="AB59" s="9">
        <v>78017</v>
      </c>
      <c r="AC59" s="9" t="s">
        <v>41</v>
      </c>
      <c r="AD59" s="9" t="s">
        <v>134</v>
      </c>
      <c r="AE59" s="9" t="s">
        <v>135</v>
      </c>
      <c r="AF59" s="9" t="s">
        <v>135</v>
      </c>
      <c r="AG59" s="14" t="str">
        <f t="shared" si="2"/>
        <v>EXAMENES RADIOLOGICOS</v>
      </c>
      <c r="AH59" s="9">
        <v>0</v>
      </c>
      <c r="AI59" s="9">
        <v>0</v>
      </c>
      <c r="AJ59" s="9">
        <v>78730160</v>
      </c>
      <c r="AK59" s="9">
        <v>6</v>
      </c>
      <c r="AL59" s="26" t="s">
        <v>52</v>
      </c>
      <c r="AM59" s="14" t="s">
        <v>520</v>
      </c>
      <c r="AN59" s="27" t="str">
        <f t="shared" si="1"/>
        <v>18022530|78730160|88099|65213277</v>
      </c>
      <c r="AO59" t="s">
        <v>44</v>
      </c>
      <c r="AP59" t="b">
        <v>0</v>
      </c>
      <c r="AQ59" t="s">
        <v>763</v>
      </c>
    </row>
    <row r="60" spans="1:43" x14ac:dyDescent="0.2">
      <c r="A60" s="14" t="s">
        <v>500</v>
      </c>
      <c r="B60" s="17">
        <v>17408534</v>
      </c>
      <c r="C60" s="14" t="s">
        <v>136</v>
      </c>
      <c r="D60" s="9">
        <v>17408534</v>
      </c>
      <c r="E60" s="9" t="s">
        <v>136</v>
      </c>
      <c r="F60" s="7">
        <v>45717</v>
      </c>
      <c r="G60" s="20" t="s">
        <v>36</v>
      </c>
      <c r="H60" s="8">
        <v>170764</v>
      </c>
      <c r="I60" s="19">
        <v>991222</v>
      </c>
      <c r="J60" s="10">
        <v>38700</v>
      </c>
      <c r="K60" s="10">
        <v>0</v>
      </c>
      <c r="L60" s="10">
        <v>38700</v>
      </c>
      <c r="M60" s="10">
        <v>0</v>
      </c>
      <c r="N60" s="11">
        <v>38700</v>
      </c>
      <c r="O60" s="12">
        <v>170764</v>
      </c>
      <c r="P60" s="9">
        <v>285123</v>
      </c>
      <c r="Q60" s="9" t="s">
        <v>37</v>
      </c>
      <c r="R60" s="13">
        <v>45720</v>
      </c>
      <c r="S60" s="22">
        <v>45720</v>
      </c>
      <c r="T60" s="13">
        <v>45661</v>
      </c>
      <c r="U60" s="13">
        <v>45661</v>
      </c>
      <c r="V60" s="9" t="s">
        <v>47</v>
      </c>
      <c r="W60" s="9">
        <v>22670156</v>
      </c>
      <c r="X60" s="9">
        <v>3101250</v>
      </c>
      <c r="Y60" s="9">
        <v>68973124</v>
      </c>
      <c r="Z60" s="9" t="s">
        <v>39</v>
      </c>
      <c r="AA60" s="9">
        <v>65704633</v>
      </c>
      <c r="AB60" s="9">
        <v>77859</v>
      </c>
      <c r="AC60" s="9" t="s">
        <v>41</v>
      </c>
      <c r="AD60" s="9" t="s">
        <v>128</v>
      </c>
      <c r="AE60" s="9" t="s">
        <v>129</v>
      </c>
      <c r="AF60" s="9" t="s">
        <v>124</v>
      </c>
      <c r="AG60" s="14" t="s">
        <v>125</v>
      </c>
      <c r="AH60" s="9">
        <v>0</v>
      </c>
      <c r="AI60" s="9">
        <v>0</v>
      </c>
      <c r="AJ60" s="9">
        <v>76628399</v>
      </c>
      <c r="AK60" s="9">
        <v>3</v>
      </c>
      <c r="AL60" s="26" t="s">
        <v>52</v>
      </c>
      <c r="AM60" s="14" t="s">
        <v>521</v>
      </c>
      <c r="AN60" s="27" t="str">
        <f t="shared" si="1"/>
        <v>17408534|76628399|170764|991222</v>
      </c>
      <c r="AO60" t="s">
        <v>44</v>
      </c>
      <c r="AP60" t="b">
        <v>0</v>
      </c>
      <c r="AQ60" t="s">
        <v>763</v>
      </c>
    </row>
    <row r="61" spans="1:43" x14ac:dyDescent="0.2">
      <c r="A61" s="14" t="s">
        <v>500</v>
      </c>
      <c r="B61" s="17">
        <v>17408534</v>
      </c>
      <c r="C61" s="14" t="s">
        <v>136</v>
      </c>
      <c r="D61" s="9">
        <v>17408534</v>
      </c>
      <c r="E61" s="9" t="s">
        <v>136</v>
      </c>
      <c r="F61" s="7">
        <v>45717</v>
      </c>
      <c r="G61" s="20" t="s">
        <v>46</v>
      </c>
      <c r="H61" s="8">
        <v>170764</v>
      </c>
      <c r="I61" s="19">
        <v>65213242</v>
      </c>
      <c r="J61" s="10">
        <v>38775</v>
      </c>
      <c r="K61" s="10">
        <v>0</v>
      </c>
      <c r="L61" s="10">
        <v>38775</v>
      </c>
      <c r="M61" s="10">
        <v>0</v>
      </c>
      <c r="N61" s="11">
        <v>38775</v>
      </c>
      <c r="O61" s="12">
        <v>170764</v>
      </c>
      <c r="P61" s="9">
        <v>285123</v>
      </c>
      <c r="Q61" s="9" t="s">
        <v>37</v>
      </c>
      <c r="R61" s="13">
        <v>45717</v>
      </c>
      <c r="S61" s="22">
        <v>45733</v>
      </c>
      <c r="T61" s="13">
        <v>45661</v>
      </c>
      <c r="U61" s="13">
        <v>45661</v>
      </c>
      <c r="V61" s="9" t="s">
        <v>47</v>
      </c>
      <c r="W61" s="9">
        <v>22753650</v>
      </c>
      <c r="X61" s="9">
        <v>3251558</v>
      </c>
      <c r="Y61" s="9">
        <v>69156617</v>
      </c>
      <c r="Z61" s="9" t="s">
        <v>39</v>
      </c>
      <c r="AA61" s="9">
        <v>65704633</v>
      </c>
      <c r="AB61" s="9">
        <v>78017</v>
      </c>
      <c r="AC61" s="9" t="s">
        <v>41</v>
      </c>
      <c r="AD61" s="9" t="s">
        <v>128</v>
      </c>
      <c r="AE61" s="9" t="s">
        <v>129</v>
      </c>
      <c r="AF61" s="9" t="s">
        <v>124</v>
      </c>
      <c r="AG61" s="14" t="s">
        <v>125</v>
      </c>
      <c r="AH61" s="9">
        <v>0</v>
      </c>
      <c r="AI61" s="9">
        <v>0</v>
      </c>
      <c r="AJ61" s="9">
        <v>76628399</v>
      </c>
      <c r="AK61" s="9">
        <v>3</v>
      </c>
      <c r="AL61" s="26" t="s">
        <v>52</v>
      </c>
      <c r="AM61" s="14" t="s">
        <v>521</v>
      </c>
      <c r="AN61" s="27" t="str">
        <f t="shared" si="1"/>
        <v>17408534|76628399|170764|65213242</v>
      </c>
      <c r="AO61" t="s">
        <v>44</v>
      </c>
      <c r="AP61" t="b">
        <v>0</v>
      </c>
      <c r="AQ61" t="s">
        <v>763</v>
      </c>
    </row>
    <row r="62" spans="1:43" x14ac:dyDescent="0.2">
      <c r="A62" s="14" t="s">
        <v>500</v>
      </c>
      <c r="B62" s="17">
        <v>11653820</v>
      </c>
      <c r="C62" s="14" t="s">
        <v>137</v>
      </c>
      <c r="D62" s="9">
        <v>22688366</v>
      </c>
      <c r="E62" s="9" t="s">
        <v>138</v>
      </c>
      <c r="F62" s="7">
        <v>45689</v>
      </c>
      <c r="G62" s="20" t="s">
        <v>36</v>
      </c>
      <c r="H62" s="8">
        <v>179599</v>
      </c>
      <c r="I62" s="19">
        <v>985689</v>
      </c>
      <c r="J62" s="10">
        <v>75000</v>
      </c>
      <c r="K62" s="10">
        <v>38367</v>
      </c>
      <c r="L62" s="10">
        <v>36633</v>
      </c>
      <c r="M62" s="10">
        <v>0</v>
      </c>
      <c r="N62" s="11">
        <v>36633</v>
      </c>
      <c r="O62" s="12">
        <v>179599</v>
      </c>
      <c r="P62" s="9">
        <v>285123</v>
      </c>
      <c r="Q62" s="9" t="s">
        <v>37</v>
      </c>
      <c r="R62" s="13">
        <v>45705</v>
      </c>
      <c r="S62" s="22">
        <v>45705</v>
      </c>
      <c r="T62" s="13">
        <v>45692</v>
      </c>
      <c r="U62" s="13">
        <v>45692</v>
      </c>
      <c r="V62" s="9" t="s">
        <v>58</v>
      </c>
      <c r="W62" s="9">
        <v>22616379</v>
      </c>
      <c r="X62" s="9">
        <v>2251257</v>
      </c>
      <c r="Y62" s="9">
        <v>68922838</v>
      </c>
      <c r="Z62" s="9" t="s">
        <v>39</v>
      </c>
      <c r="AA62" s="9">
        <v>19996827504</v>
      </c>
      <c r="AB62" s="9">
        <v>77692</v>
      </c>
      <c r="AC62" s="9" t="s">
        <v>41</v>
      </c>
      <c r="AD62" s="9" t="s">
        <v>71</v>
      </c>
      <c r="AE62" s="9" t="s">
        <v>72</v>
      </c>
      <c r="AF62" s="9" t="s">
        <v>73</v>
      </c>
      <c r="AG62" s="14" t="str">
        <f>+AF62</f>
        <v>CONSULTA PSIQUIATRICA</v>
      </c>
      <c r="AH62" s="9">
        <v>0</v>
      </c>
      <c r="AI62" s="9">
        <v>0</v>
      </c>
      <c r="AJ62" s="9">
        <v>76225357</v>
      </c>
      <c r="AK62" s="9">
        <v>7</v>
      </c>
      <c r="AL62" s="26" t="s">
        <v>62</v>
      </c>
      <c r="AM62" s="14" t="s">
        <v>522</v>
      </c>
      <c r="AN62" s="27" t="str">
        <f t="shared" si="1"/>
        <v>11653820|76225357|179599|985689</v>
      </c>
      <c r="AO62" t="s">
        <v>44</v>
      </c>
      <c r="AP62" t="b">
        <v>0</v>
      </c>
      <c r="AQ62" t="s">
        <v>763</v>
      </c>
    </row>
    <row r="63" spans="1:43" x14ac:dyDescent="0.2">
      <c r="A63" s="14" t="s">
        <v>500</v>
      </c>
      <c r="B63" s="17">
        <v>11653820</v>
      </c>
      <c r="C63" s="14" t="s">
        <v>137</v>
      </c>
      <c r="D63" s="9">
        <v>22688366</v>
      </c>
      <c r="E63" s="9" t="s">
        <v>138</v>
      </c>
      <c r="F63" s="7">
        <v>45717</v>
      </c>
      <c r="G63" s="20" t="s">
        <v>46</v>
      </c>
      <c r="H63" s="8">
        <v>179599</v>
      </c>
      <c r="I63" s="19">
        <v>65213039</v>
      </c>
      <c r="J63" s="10">
        <v>29926</v>
      </c>
      <c r="K63" s="10">
        <v>0</v>
      </c>
      <c r="L63" s="10">
        <v>29926</v>
      </c>
      <c r="M63" s="10">
        <v>0</v>
      </c>
      <c r="N63" s="11">
        <v>29926</v>
      </c>
      <c r="O63" s="12">
        <v>179599</v>
      </c>
      <c r="P63" s="9">
        <v>285123</v>
      </c>
      <c r="Q63" s="9" t="s">
        <v>37</v>
      </c>
      <c r="R63" s="13">
        <v>45717</v>
      </c>
      <c r="S63" s="22">
        <v>45733</v>
      </c>
      <c r="T63" s="13">
        <v>45692</v>
      </c>
      <c r="U63" s="13">
        <v>45692</v>
      </c>
      <c r="V63" s="9" t="s">
        <v>58</v>
      </c>
      <c r="W63" s="9">
        <v>22753715</v>
      </c>
      <c r="X63" s="9">
        <v>3251558</v>
      </c>
      <c r="Y63" s="9">
        <v>69156440</v>
      </c>
      <c r="Z63" s="9" t="s">
        <v>39</v>
      </c>
      <c r="AA63" s="9">
        <v>19996827504</v>
      </c>
      <c r="AB63" s="9">
        <v>78017</v>
      </c>
      <c r="AC63" s="9" t="s">
        <v>41</v>
      </c>
      <c r="AD63" s="9" t="s">
        <v>71</v>
      </c>
      <c r="AE63" s="9" t="s">
        <v>72</v>
      </c>
      <c r="AF63" s="9" t="s">
        <v>73</v>
      </c>
      <c r="AG63" s="14" t="str">
        <f>+AF63</f>
        <v>CONSULTA PSIQUIATRICA</v>
      </c>
      <c r="AH63" s="9">
        <v>0</v>
      </c>
      <c r="AI63" s="9">
        <v>0</v>
      </c>
      <c r="AJ63" s="9">
        <v>76225357</v>
      </c>
      <c r="AK63" s="9">
        <v>7</v>
      </c>
      <c r="AL63" s="26" t="s">
        <v>52</v>
      </c>
      <c r="AM63" s="14" t="s">
        <v>522</v>
      </c>
      <c r="AN63" s="27" t="str">
        <f t="shared" si="1"/>
        <v>11653820|76225357|179599|65213039</v>
      </c>
      <c r="AO63" t="s">
        <v>44</v>
      </c>
      <c r="AP63" t="b">
        <v>0</v>
      </c>
      <c r="AQ63" t="s">
        <v>763</v>
      </c>
    </row>
    <row r="64" spans="1:43" x14ac:dyDescent="0.2">
      <c r="A64" s="14" t="s">
        <v>500</v>
      </c>
      <c r="B64" s="17">
        <v>8249085</v>
      </c>
      <c r="C64" s="14" t="s">
        <v>139</v>
      </c>
      <c r="D64" s="9">
        <v>8249085</v>
      </c>
      <c r="E64" s="9" t="s">
        <v>139</v>
      </c>
      <c r="F64" s="7">
        <v>45717</v>
      </c>
      <c r="G64" s="20" t="s">
        <v>36</v>
      </c>
      <c r="H64" s="8">
        <v>245205</v>
      </c>
      <c r="I64" s="19">
        <v>992454</v>
      </c>
      <c r="J64" s="10">
        <v>1764</v>
      </c>
      <c r="K64" s="10">
        <v>706</v>
      </c>
      <c r="L64" s="10">
        <v>1058</v>
      </c>
      <c r="M64" s="10">
        <v>0</v>
      </c>
      <c r="N64" s="11">
        <v>1058</v>
      </c>
      <c r="O64" s="12">
        <v>245205</v>
      </c>
      <c r="P64" s="9">
        <v>285123</v>
      </c>
      <c r="Q64" s="9" t="s">
        <v>37</v>
      </c>
      <c r="R64" s="13">
        <v>45723</v>
      </c>
      <c r="S64" s="22">
        <v>45723</v>
      </c>
      <c r="T64" s="13">
        <v>45701</v>
      </c>
      <c r="U64" s="13">
        <v>45701</v>
      </c>
      <c r="V64" s="9" t="s">
        <v>47</v>
      </c>
      <c r="W64" s="9">
        <v>22670187</v>
      </c>
      <c r="X64" s="9">
        <v>3101250</v>
      </c>
      <c r="Y64" s="9">
        <v>68973483</v>
      </c>
      <c r="Z64" s="9" t="s">
        <v>39</v>
      </c>
      <c r="AA64" s="9">
        <v>5691826</v>
      </c>
      <c r="AB64" s="9">
        <v>77859</v>
      </c>
      <c r="AC64" s="9" t="s">
        <v>41</v>
      </c>
      <c r="AD64" s="9" t="s">
        <v>140</v>
      </c>
      <c r="AE64" s="9" t="s">
        <v>141</v>
      </c>
      <c r="AF64" s="9" t="s">
        <v>124</v>
      </c>
      <c r="AG64" s="14" t="s">
        <v>125</v>
      </c>
      <c r="AH64" s="9">
        <v>0</v>
      </c>
      <c r="AI64" s="9">
        <v>0</v>
      </c>
      <c r="AJ64" s="9">
        <v>70835200</v>
      </c>
      <c r="AK64" s="9">
        <v>4</v>
      </c>
      <c r="AL64" s="26" t="s">
        <v>86</v>
      </c>
      <c r="AM64" s="14" t="s">
        <v>523</v>
      </c>
      <c r="AN64" s="27" t="str">
        <f t="shared" si="1"/>
        <v>8249085|70835200|245205|992454</v>
      </c>
      <c r="AO64" t="s">
        <v>44</v>
      </c>
      <c r="AP64" t="b">
        <v>0</v>
      </c>
      <c r="AQ64" t="s">
        <v>763</v>
      </c>
    </row>
    <row r="65" spans="1:43" x14ac:dyDescent="0.2">
      <c r="A65" s="14" t="s">
        <v>500</v>
      </c>
      <c r="B65" s="17">
        <v>8249085</v>
      </c>
      <c r="C65" s="14" t="s">
        <v>139</v>
      </c>
      <c r="D65" s="9">
        <v>8249085</v>
      </c>
      <c r="E65" s="9" t="s">
        <v>139</v>
      </c>
      <c r="F65" s="7">
        <v>45717</v>
      </c>
      <c r="G65" s="20" t="s">
        <v>36</v>
      </c>
      <c r="H65" s="8">
        <v>245205</v>
      </c>
      <c r="I65" s="19">
        <v>992454</v>
      </c>
      <c r="J65" s="10">
        <v>37260</v>
      </c>
      <c r="K65" s="10">
        <v>14904</v>
      </c>
      <c r="L65" s="10">
        <v>22356</v>
      </c>
      <c r="M65" s="10">
        <v>0</v>
      </c>
      <c r="N65" s="11">
        <v>22356</v>
      </c>
      <c r="O65" s="12">
        <v>245205</v>
      </c>
      <c r="P65" s="9">
        <v>285123</v>
      </c>
      <c r="Q65" s="9" t="s">
        <v>37</v>
      </c>
      <c r="R65" s="13">
        <v>45723</v>
      </c>
      <c r="S65" s="22">
        <v>45723</v>
      </c>
      <c r="T65" s="13">
        <v>45701</v>
      </c>
      <c r="U65" s="13">
        <v>45701</v>
      </c>
      <c r="V65" s="9" t="s">
        <v>47</v>
      </c>
      <c r="W65" s="9">
        <v>22670187</v>
      </c>
      <c r="X65" s="9">
        <v>3101250</v>
      </c>
      <c r="Y65" s="9">
        <v>68973483</v>
      </c>
      <c r="Z65" s="9" t="s">
        <v>39</v>
      </c>
      <c r="AA65" s="9">
        <v>5691826</v>
      </c>
      <c r="AB65" s="9">
        <v>77859</v>
      </c>
      <c r="AC65" s="9" t="s">
        <v>41</v>
      </c>
      <c r="AD65" s="9" t="s">
        <v>128</v>
      </c>
      <c r="AE65" s="9" t="s">
        <v>129</v>
      </c>
      <c r="AF65" s="9" t="s">
        <v>124</v>
      </c>
      <c r="AG65" s="14" t="s">
        <v>125</v>
      </c>
      <c r="AH65" s="9">
        <v>0</v>
      </c>
      <c r="AI65" s="9">
        <v>0</v>
      </c>
      <c r="AJ65" s="9">
        <v>70835200</v>
      </c>
      <c r="AK65" s="9">
        <v>4</v>
      </c>
      <c r="AL65" s="26" t="s">
        <v>86</v>
      </c>
      <c r="AM65" s="14" t="s">
        <v>523</v>
      </c>
      <c r="AN65" s="27" t="str">
        <f t="shared" si="1"/>
        <v>8249085|70835200|245205|992454</v>
      </c>
      <c r="AO65" t="s">
        <v>44</v>
      </c>
      <c r="AP65" t="b">
        <v>0</v>
      </c>
      <c r="AQ65" t="s">
        <v>763</v>
      </c>
    </row>
    <row r="66" spans="1:43" x14ac:dyDescent="0.2">
      <c r="A66" s="14" t="s">
        <v>500</v>
      </c>
      <c r="B66" s="17">
        <v>8249085</v>
      </c>
      <c r="C66" s="14" t="s">
        <v>139</v>
      </c>
      <c r="D66" s="9">
        <v>8249085</v>
      </c>
      <c r="E66" s="9" t="s">
        <v>139</v>
      </c>
      <c r="F66" s="7">
        <v>45717</v>
      </c>
      <c r="G66" s="20" t="s">
        <v>36</v>
      </c>
      <c r="H66" s="8">
        <v>245205</v>
      </c>
      <c r="I66" s="19">
        <v>994313</v>
      </c>
      <c r="J66" s="10">
        <v>706</v>
      </c>
      <c r="K66" s="10">
        <v>0</v>
      </c>
      <c r="L66" s="10">
        <v>706</v>
      </c>
      <c r="M66" s="10">
        <v>0</v>
      </c>
      <c r="N66" s="11">
        <v>706</v>
      </c>
      <c r="O66" s="12">
        <v>245205</v>
      </c>
      <c r="P66" s="9">
        <v>285123</v>
      </c>
      <c r="Q66" s="9" t="s">
        <v>37</v>
      </c>
      <c r="R66" s="13">
        <v>45728</v>
      </c>
      <c r="S66" s="22">
        <v>45729</v>
      </c>
      <c r="T66" s="13">
        <v>45701</v>
      </c>
      <c r="U66" s="13">
        <v>45701</v>
      </c>
      <c r="V66" s="9" t="s">
        <v>47</v>
      </c>
      <c r="W66" s="9">
        <v>22705350</v>
      </c>
      <c r="X66" s="9">
        <v>3171658</v>
      </c>
      <c r="Y66" s="9">
        <v>69028189</v>
      </c>
      <c r="Z66" s="9" t="s">
        <v>39</v>
      </c>
      <c r="AA66" s="9">
        <v>5691826</v>
      </c>
      <c r="AB66" s="9">
        <v>77929</v>
      </c>
      <c r="AC66" s="9" t="s">
        <v>41</v>
      </c>
      <c r="AD66" s="9" t="s">
        <v>140</v>
      </c>
      <c r="AE66" s="9" t="s">
        <v>141</v>
      </c>
      <c r="AF66" s="9" t="s">
        <v>124</v>
      </c>
      <c r="AG66" s="14" t="s">
        <v>125</v>
      </c>
      <c r="AH66" s="9">
        <v>0</v>
      </c>
      <c r="AI66" s="9">
        <v>0</v>
      </c>
      <c r="AJ66" s="9">
        <v>70835200</v>
      </c>
      <c r="AK66" s="9">
        <v>4</v>
      </c>
      <c r="AL66" s="26" t="s">
        <v>86</v>
      </c>
      <c r="AM66" s="14" t="s">
        <v>523</v>
      </c>
      <c r="AN66" s="27" t="str">
        <f t="shared" si="1"/>
        <v>8249085|70835200|245205|994313</v>
      </c>
      <c r="AO66" t="s">
        <v>44</v>
      </c>
      <c r="AP66" t="b">
        <v>0</v>
      </c>
      <c r="AQ66" t="s">
        <v>763</v>
      </c>
    </row>
    <row r="67" spans="1:43" x14ac:dyDescent="0.2">
      <c r="A67" s="14" t="s">
        <v>500</v>
      </c>
      <c r="B67" s="17">
        <v>8249085</v>
      </c>
      <c r="C67" s="14" t="s">
        <v>139</v>
      </c>
      <c r="D67" s="9">
        <v>8249085</v>
      </c>
      <c r="E67" s="9" t="s">
        <v>139</v>
      </c>
      <c r="F67" s="7">
        <v>45717</v>
      </c>
      <c r="G67" s="20" t="s">
        <v>36</v>
      </c>
      <c r="H67" s="8">
        <v>245205</v>
      </c>
      <c r="I67" s="19">
        <v>994313</v>
      </c>
      <c r="J67" s="10">
        <v>14904</v>
      </c>
      <c r="K67" s="10">
        <v>0</v>
      </c>
      <c r="L67" s="10">
        <v>14904</v>
      </c>
      <c r="M67" s="10">
        <v>0</v>
      </c>
      <c r="N67" s="11">
        <v>14904</v>
      </c>
      <c r="O67" s="12">
        <v>245205</v>
      </c>
      <c r="P67" s="9">
        <v>285123</v>
      </c>
      <c r="Q67" s="9" t="s">
        <v>37</v>
      </c>
      <c r="R67" s="13">
        <v>45728</v>
      </c>
      <c r="S67" s="22">
        <v>45729</v>
      </c>
      <c r="T67" s="13">
        <v>45701</v>
      </c>
      <c r="U67" s="13">
        <v>45701</v>
      </c>
      <c r="V67" s="9" t="s">
        <v>47</v>
      </c>
      <c r="W67" s="9">
        <v>22705350</v>
      </c>
      <c r="X67" s="9">
        <v>3171658</v>
      </c>
      <c r="Y67" s="9">
        <v>69028189</v>
      </c>
      <c r="Z67" s="9" t="s">
        <v>39</v>
      </c>
      <c r="AA67" s="9">
        <v>5691826</v>
      </c>
      <c r="AB67" s="9">
        <v>77929</v>
      </c>
      <c r="AC67" s="9" t="s">
        <v>41</v>
      </c>
      <c r="AD67" s="9" t="s">
        <v>128</v>
      </c>
      <c r="AE67" s="9" t="s">
        <v>129</v>
      </c>
      <c r="AF67" s="9" t="s">
        <v>124</v>
      </c>
      <c r="AG67" s="14" t="s">
        <v>125</v>
      </c>
      <c r="AH67" s="9">
        <v>0</v>
      </c>
      <c r="AI67" s="9">
        <v>0</v>
      </c>
      <c r="AJ67" s="9">
        <v>70835200</v>
      </c>
      <c r="AK67" s="9">
        <v>4</v>
      </c>
      <c r="AL67" s="26" t="s">
        <v>86</v>
      </c>
      <c r="AM67" s="14" t="s">
        <v>523</v>
      </c>
      <c r="AN67" s="27" t="str">
        <f t="shared" ref="AN67:AN130" si="3">B67&amp;"|"&amp;AJ67&amp;"|"&amp;H67&amp;"|"&amp;I67</f>
        <v>8249085|70835200|245205|994313</v>
      </c>
      <c r="AO67" t="s">
        <v>44</v>
      </c>
      <c r="AP67" t="b">
        <v>0</v>
      </c>
      <c r="AQ67" t="s">
        <v>763</v>
      </c>
    </row>
    <row r="68" spans="1:43" x14ac:dyDescent="0.2">
      <c r="A68" s="14" t="s">
        <v>500</v>
      </c>
      <c r="B68" s="17">
        <v>8249085</v>
      </c>
      <c r="C68" s="14" t="s">
        <v>139</v>
      </c>
      <c r="D68" s="9">
        <v>8249085</v>
      </c>
      <c r="E68" s="9" t="s">
        <v>139</v>
      </c>
      <c r="F68" s="7">
        <v>45717</v>
      </c>
      <c r="G68" s="20" t="s">
        <v>46</v>
      </c>
      <c r="H68" s="8">
        <v>245205</v>
      </c>
      <c r="I68" s="19">
        <v>65383646</v>
      </c>
      <c r="J68" s="10">
        <v>1935</v>
      </c>
      <c r="K68" s="10">
        <v>0</v>
      </c>
      <c r="L68" s="10">
        <v>1935</v>
      </c>
      <c r="M68" s="10">
        <v>0</v>
      </c>
      <c r="N68" s="11">
        <v>1935</v>
      </c>
      <c r="O68" s="12">
        <v>245205</v>
      </c>
      <c r="P68" s="9">
        <v>285123</v>
      </c>
      <c r="Q68" s="9" t="s">
        <v>37</v>
      </c>
      <c r="R68" s="13">
        <v>45720</v>
      </c>
      <c r="S68" s="22">
        <v>45742</v>
      </c>
      <c r="T68" s="13">
        <v>45701</v>
      </c>
      <c r="U68" s="13">
        <v>45701</v>
      </c>
      <c r="V68" s="9" t="s">
        <v>47</v>
      </c>
      <c r="W68" s="9">
        <v>22772381</v>
      </c>
      <c r="X68" s="9">
        <v>3311105</v>
      </c>
      <c r="Y68" s="9">
        <v>69250537</v>
      </c>
      <c r="Z68" s="9" t="s">
        <v>39</v>
      </c>
      <c r="AA68" s="9">
        <v>5691826</v>
      </c>
      <c r="AB68" s="9">
        <v>78070</v>
      </c>
      <c r="AC68" s="9" t="s">
        <v>41</v>
      </c>
      <c r="AD68" s="9" t="s">
        <v>140</v>
      </c>
      <c r="AE68" s="9" t="s">
        <v>141</v>
      </c>
      <c r="AF68" s="9" t="s">
        <v>124</v>
      </c>
      <c r="AG68" s="14" t="s">
        <v>125</v>
      </c>
      <c r="AH68" s="9">
        <v>0</v>
      </c>
      <c r="AI68" s="9">
        <v>0</v>
      </c>
      <c r="AJ68" s="9">
        <v>70835200</v>
      </c>
      <c r="AK68" s="9">
        <v>4</v>
      </c>
      <c r="AL68" s="26" t="s">
        <v>52</v>
      </c>
      <c r="AM68" s="14" t="s">
        <v>523</v>
      </c>
      <c r="AN68" s="27" t="str">
        <f t="shared" si="3"/>
        <v>8249085|70835200|245205|65383646</v>
      </c>
      <c r="AO68" t="s">
        <v>44</v>
      </c>
      <c r="AP68" t="b">
        <v>0</v>
      </c>
      <c r="AQ68" t="s">
        <v>763</v>
      </c>
    </row>
    <row r="69" spans="1:43" x14ac:dyDescent="0.2">
      <c r="A69" s="14" t="s">
        <v>500</v>
      </c>
      <c r="B69" s="17">
        <v>8249085</v>
      </c>
      <c r="C69" s="14" t="s">
        <v>139</v>
      </c>
      <c r="D69" s="9">
        <v>8249085</v>
      </c>
      <c r="E69" s="9" t="s">
        <v>139</v>
      </c>
      <c r="F69" s="7">
        <v>45717</v>
      </c>
      <c r="G69" s="20" t="s">
        <v>46</v>
      </c>
      <c r="H69" s="8">
        <v>245205</v>
      </c>
      <c r="I69" s="19">
        <v>65383646</v>
      </c>
      <c r="J69" s="10">
        <v>37160</v>
      </c>
      <c r="K69" s="10">
        <v>0</v>
      </c>
      <c r="L69" s="10">
        <v>37160</v>
      </c>
      <c r="M69" s="10">
        <v>0</v>
      </c>
      <c r="N69" s="11">
        <v>37160</v>
      </c>
      <c r="O69" s="12">
        <v>245205</v>
      </c>
      <c r="P69" s="9">
        <v>285123</v>
      </c>
      <c r="Q69" s="9" t="s">
        <v>37</v>
      </c>
      <c r="R69" s="13">
        <v>45720</v>
      </c>
      <c r="S69" s="22">
        <v>45742</v>
      </c>
      <c r="T69" s="13">
        <v>45701</v>
      </c>
      <c r="U69" s="13">
        <v>45701</v>
      </c>
      <c r="V69" s="9" t="s">
        <v>47</v>
      </c>
      <c r="W69" s="9">
        <v>22772381</v>
      </c>
      <c r="X69" s="9">
        <v>3311105</v>
      </c>
      <c r="Y69" s="9">
        <v>69250537</v>
      </c>
      <c r="Z69" s="9" t="s">
        <v>39</v>
      </c>
      <c r="AA69" s="9">
        <v>5691826</v>
      </c>
      <c r="AB69" s="9">
        <v>78070</v>
      </c>
      <c r="AC69" s="9" t="s">
        <v>41</v>
      </c>
      <c r="AD69" s="9" t="s">
        <v>128</v>
      </c>
      <c r="AE69" s="9" t="s">
        <v>129</v>
      </c>
      <c r="AF69" s="9" t="s">
        <v>124</v>
      </c>
      <c r="AG69" s="14" t="s">
        <v>125</v>
      </c>
      <c r="AH69" s="9">
        <v>0</v>
      </c>
      <c r="AI69" s="9">
        <v>0</v>
      </c>
      <c r="AJ69" s="9">
        <v>70835200</v>
      </c>
      <c r="AK69" s="9">
        <v>4</v>
      </c>
      <c r="AL69" s="26" t="s">
        <v>52</v>
      </c>
      <c r="AM69" s="14" t="s">
        <v>523</v>
      </c>
      <c r="AN69" s="27" t="str">
        <f t="shared" si="3"/>
        <v>8249085|70835200|245205|65383646</v>
      </c>
      <c r="AO69" t="s">
        <v>44</v>
      </c>
      <c r="AP69" t="b">
        <v>0</v>
      </c>
      <c r="AQ69" t="s">
        <v>763</v>
      </c>
    </row>
    <row r="70" spans="1:43" x14ac:dyDescent="0.2">
      <c r="A70" s="14" t="s">
        <v>500</v>
      </c>
      <c r="B70" s="17">
        <v>13266639</v>
      </c>
      <c r="C70" s="14" t="s">
        <v>110</v>
      </c>
      <c r="D70" s="9">
        <v>13266639</v>
      </c>
      <c r="E70" s="9" t="s">
        <v>110</v>
      </c>
      <c r="F70" s="7">
        <v>45689</v>
      </c>
      <c r="G70" s="20" t="s">
        <v>36</v>
      </c>
      <c r="H70" s="8">
        <v>302735</v>
      </c>
      <c r="I70" s="19">
        <v>978331</v>
      </c>
      <c r="J70" s="10">
        <v>4990</v>
      </c>
      <c r="K70" s="10">
        <v>0</v>
      </c>
      <c r="L70" s="10">
        <v>4990</v>
      </c>
      <c r="M70" s="10">
        <v>0</v>
      </c>
      <c r="N70" s="11">
        <v>4990</v>
      </c>
      <c r="O70" s="12">
        <v>302735</v>
      </c>
      <c r="P70" s="9">
        <v>285123</v>
      </c>
      <c r="Q70" s="9" t="s">
        <v>37</v>
      </c>
      <c r="R70" s="13">
        <v>45689</v>
      </c>
      <c r="S70" s="22">
        <v>45694</v>
      </c>
      <c r="T70" s="13">
        <v>45667</v>
      </c>
      <c r="U70" s="13">
        <v>45667</v>
      </c>
      <c r="V70" s="9" t="s">
        <v>47</v>
      </c>
      <c r="W70" s="9">
        <v>22562387</v>
      </c>
      <c r="X70" s="9">
        <v>2111044</v>
      </c>
      <c r="Y70" s="9">
        <v>68847665</v>
      </c>
      <c r="Z70" s="9" t="s">
        <v>39</v>
      </c>
      <c r="AA70" s="9">
        <v>81591390</v>
      </c>
      <c r="AB70" s="9">
        <v>77579</v>
      </c>
      <c r="AC70" s="9" t="s">
        <v>41</v>
      </c>
      <c r="AD70" s="9" t="s">
        <v>142</v>
      </c>
      <c r="AE70" s="9" t="s">
        <v>143</v>
      </c>
      <c r="AF70" s="9" t="s">
        <v>144</v>
      </c>
      <c r="AG70" s="14" t="s">
        <v>125</v>
      </c>
      <c r="AH70" s="9">
        <v>0</v>
      </c>
      <c r="AI70" s="9">
        <v>0</v>
      </c>
      <c r="AJ70" s="9">
        <v>78122820</v>
      </c>
      <c r="AK70" s="9">
        <v>6</v>
      </c>
      <c r="AL70" s="26" t="s">
        <v>52</v>
      </c>
      <c r="AM70" s="14" t="s">
        <v>517</v>
      </c>
      <c r="AN70" s="27" t="str">
        <f t="shared" si="3"/>
        <v>13266639|78122820|302735|978331</v>
      </c>
      <c r="AO70" t="s">
        <v>44</v>
      </c>
      <c r="AP70" t="b">
        <v>0</v>
      </c>
      <c r="AQ70" t="s">
        <v>763</v>
      </c>
    </row>
    <row r="71" spans="1:43" x14ac:dyDescent="0.2">
      <c r="A71" s="14" t="s">
        <v>500</v>
      </c>
      <c r="B71" s="17">
        <v>13266639</v>
      </c>
      <c r="C71" s="14" t="s">
        <v>110</v>
      </c>
      <c r="D71" s="9">
        <v>13266639</v>
      </c>
      <c r="E71" s="9" t="s">
        <v>110</v>
      </c>
      <c r="F71" s="7">
        <v>45689</v>
      </c>
      <c r="G71" s="20" t="s">
        <v>36</v>
      </c>
      <c r="H71" s="8">
        <v>302735</v>
      </c>
      <c r="I71" s="19">
        <v>978331</v>
      </c>
      <c r="J71" s="10">
        <v>12890</v>
      </c>
      <c r="K71" s="10">
        <v>0</v>
      </c>
      <c r="L71" s="10">
        <v>12890</v>
      </c>
      <c r="M71" s="10">
        <v>0</v>
      </c>
      <c r="N71" s="11">
        <v>12890</v>
      </c>
      <c r="O71" s="12">
        <v>302735</v>
      </c>
      <c r="P71" s="9">
        <v>285123</v>
      </c>
      <c r="Q71" s="9" t="s">
        <v>37</v>
      </c>
      <c r="R71" s="13">
        <v>45689</v>
      </c>
      <c r="S71" s="22">
        <v>45694</v>
      </c>
      <c r="T71" s="13">
        <v>45667</v>
      </c>
      <c r="U71" s="13">
        <v>45667</v>
      </c>
      <c r="V71" s="9" t="s">
        <v>47</v>
      </c>
      <c r="W71" s="9">
        <v>22562387</v>
      </c>
      <c r="X71" s="9">
        <v>2111044</v>
      </c>
      <c r="Y71" s="9">
        <v>68847665</v>
      </c>
      <c r="Z71" s="9" t="s">
        <v>39</v>
      </c>
      <c r="AA71" s="9">
        <v>81591390</v>
      </c>
      <c r="AB71" s="9">
        <v>77579</v>
      </c>
      <c r="AC71" s="9" t="s">
        <v>41</v>
      </c>
      <c r="AD71" s="9" t="s">
        <v>128</v>
      </c>
      <c r="AE71" s="9" t="s">
        <v>129</v>
      </c>
      <c r="AF71" s="9" t="s">
        <v>124</v>
      </c>
      <c r="AG71" s="14" t="s">
        <v>125</v>
      </c>
      <c r="AH71" s="9">
        <v>0</v>
      </c>
      <c r="AI71" s="9">
        <v>0</v>
      </c>
      <c r="AJ71" s="9">
        <v>78122820</v>
      </c>
      <c r="AK71" s="9">
        <v>6</v>
      </c>
      <c r="AL71" s="26" t="s">
        <v>52</v>
      </c>
      <c r="AM71" s="14" t="s">
        <v>517</v>
      </c>
      <c r="AN71" s="27" t="str">
        <f t="shared" si="3"/>
        <v>13266639|78122820|302735|978331</v>
      </c>
      <c r="AO71" t="s">
        <v>44</v>
      </c>
      <c r="AP71" t="b">
        <v>0</v>
      </c>
      <c r="AQ71" t="s">
        <v>763</v>
      </c>
    </row>
    <row r="72" spans="1:43" x14ac:dyDescent="0.2">
      <c r="A72" s="14" t="s">
        <v>500</v>
      </c>
      <c r="B72" s="17">
        <v>13266639</v>
      </c>
      <c r="C72" s="14" t="s">
        <v>110</v>
      </c>
      <c r="D72" s="9">
        <v>13266639</v>
      </c>
      <c r="E72" s="9" t="s">
        <v>110</v>
      </c>
      <c r="F72" s="7">
        <v>45717</v>
      </c>
      <c r="G72" s="20" t="s">
        <v>46</v>
      </c>
      <c r="H72" s="8">
        <v>302735</v>
      </c>
      <c r="I72" s="19">
        <v>65213091</v>
      </c>
      <c r="J72" s="10">
        <v>18060</v>
      </c>
      <c r="K72" s="10">
        <v>0</v>
      </c>
      <c r="L72" s="10">
        <v>18060</v>
      </c>
      <c r="M72" s="10">
        <v>0</v>
      </c>
      <c r="N72" s="11">
        <v>18060</v>
      </c>
      <c r="O72" s="12">
        <v>302735</v>
      </c>
      <c r="P72" s="9">
        <v>285123</v>
      </c>
      <c r="Q72" s="9" t="s">
        <v>37</v>
      </c>
      <c r="R72" s="13">
        <v>45717</v>
      </c>
      <c r="S72" s="22">
        <v>45733</v>
      </c>
      <c r="T72" s="13">
        <v>45667</v>
      </c>
      <c r="U72" s="13">
        <v>45667</v>
      </c>
      <c r="V72" s="9" t="s">
        <v>47</v>
      </c>
      <c r="W72" s="9">
        <v>22753553</v>
      </c>
      <c r="X72" s="9">
        <v>3251558</v>
      </c>
      <c r="Y72" s="9">
        <v>69156487</v>
      </c>
      <c r="Z72" s="9" t="s">
        <v>39</v>
      </c>
      <c r="AA72" s="9">
        <v>81591390</v>
      </c>
      <c r="AB72" s="9">
        <v>78017</v>
      </c>
      <c r="AC72" s="9" t="s">
        <v>41</v>
      </c>
      <c r="AD72" s="9" t="s">
        <v>128</v>
      </c>
      <c r="AE72" s="9" t="s">
        <v>129</v>
      </c>
      <c r="AF72" s="9" t="s">
        <v>124</v>
      </c>
      <c r="AG72" s="14" t="s">
        <v>125</v>
      </c>
      <c r="AH72" s="9">
        <v>0</v>
      </c>
      <c r="AI72" s="9">
        <v>0</v>
      </c>
      <c r="AJ72" s="9">
        <v>78122820</v>
      </c>
      <c r="AK72" s="9">
        <v>6</v>
      </c>
      <c r="AL72" s="26" t="s">
        <v>52</v>
      </c>
      <c r="AM72" s="14" t="s">
        <v>517</v>
      </c>
      <c r="AN72" s="27" t="str">
        <f t="shared" si="3"/>
        <v>13266639|78122820|302735|65213091</v>
      </c>
      <c r="AO72" t="s">
        <v>44</v>
      </c>
      <c r="AP72" t="b">
        <v>0</v>
      </c>
      <c r="AQ72" t="s">
        <v>763</v>
      </c>
    </row>
    <row r="73" spans="1:43" x14ac:dyDescent="0.2">
      <c r="A73" s="14" t="s">
        <v>500</v>
      </c>
      <c r="B73" s="17">
        <v>15756857</v>
      </c>
      <c r="C73" s="14" t="s">
        <v>145</v>
      </c>
      <c r="D73" s="9">
        <v>15756857</v>
      </c>
      <c r="E73" s="9" t="s">
        <v>145</v>
      </c>
      <c r="F73" s="7">
        <v>45809</v>
      </c>
      <c r="G73" s="20" t="s">
        <v>36</v>
      </c>
      <c r="H73" s="8">
        <v>308304</v>
      </c>
      <c r="I73" s="19">
        <v>1036462</v>
      </c>
      <c r="J73" s="10">
        <v>24200</v>
      </c>
      <c r="K73" s="10">
        <v>0</v>
      </c>
      <c r="L73" s="10">
        <v>24200</v>
      </c>
      <c r="M73" s="10">
        <v>0</v>
      </c>
      <c r="N73" s="11">
        <v>14520</v>
      </c>
      <c r="O73" s="12">
        <v>308304</v>
      </c>
      <c r="P73" s="9">
        <v>285123</v>
      </c>
      <c r="Q73" s="9" t="s">
        <v>37</v>
      </c>
      <c r="R73" s="13">
        <v>45824</v>
      </c>
      <c r="S73" s="22">
        <v>45824.510717592595</v>
      </c>
      <c r="T73" s="13">
        <v>45796</v>
      </c>
      <c r="U73" s="13">
        <v>45796</v>
      </c>
      <c r="V73" s="9"/>
      <c r="W73" s="9" t="s">
        <v>38</v>
      </c>
      <c r="X73" s="9" t="s">
        <v>38</v>
      </c>
      <c r="Y73" s="9" t="s">
        <v>38</v>
      </c>
      <c r="Z73" s="9" t="s">
        <v>39</v>
      </c>
      <c r="AA73" s="9" t="s">
        <v>38</v>
      </c>
      <c r="AB73" s="9" t="s">
        <v>38</v>
      </c>
      <c r="AC73" s="9" t="s">
        <v>41</v>
      </c>
      <c r="AD73" s="9" t="s">
        <v>123</v>
      </c>
      <c r="AE73" s="9" t="s">
        <v>124</v>
      </c>
      <c r="AF73" s="9" t="s">
        <v>124</v>
      </c>
      <c r="AG73" s="14" t="s">
        <v>125</v>
      </c>
      <c r="AH73" s="9" t="s">
        <v>44</v>
      </c>
      <c r="AI73" s="9" t="s">
        <v>146</v>
      </c>
      <c r="AJ73" s="9">
        <v>76515070</v>
      </c>
      <c r="AK73" s="9" t="s">
        <v>38</v>
      </c>
      <c r="AL73" s="26" t="s">
        <v>38</v>
      </c>
      <c r="AM73" s="14" t="s">
        <v>524</v>
      </c>
      <c r="AN73" s="27" t="str">
        <f t="shared" si="3"/>
        <v>15756857|76515070|308304|1036462</v>
      </c>
      <c r="AO73" t="s">
        <v>44</v>
      </c>
      <c r="AP73" t="b">
        <v>1</v>
      </c>
      <c r="AQ73" t="s">
        <v>763</v>
      </c>
    </row>
    <row r="74" spans="1:43" x14ac:dyDescent="0.2">
      <c r="A74" s="14" t="s">
        <v>500</v>
      </c>
      <c r="B74" s="17">
        <v>15756857</v>
      </c>
      <c r="C74" s="14" t="s">
        <v>145</v>
      </c>
      <c r="D74" s="9">
        <v>15756857</v>
      </c>
      <c r="E74" s="9" t="s">
        <v>145</v>
      </c>
      <c r="F74" s="7">
        <v>45809</v>
      </c>
      <c r="G74" s="20" t="s">
        <v>36</v>
      </c>
      <c r="H74" s="8">
        <v>308304</v>
      </c>
      <c r="I74" s="19">
        <v>1036462</v>
      </c>
      <c r="J74" s="10">
        <v>14990</v>
      </c>
      <c r="K74" s="10">
        <v>0</v>
      </c>
      <c r="L74" s="10">
        <v>14990</v>
      </c>
      <c r="M74" s="10">
        <v>0</v>
      </c>
      <c r="N74" s="11">
        <v>8994</v>
      </c>
      <c r="O74" s="12">
        <v>308304</v>
      </c>
      <c r="P74" s="9">
        <v>285123</v>
      </c>
      <c r="Q74" s="9" t="s">
        <v>37</v>
      </c>
      <c r="R74" s="13">
        <v>45824</v>
      </c>
      <c r="S74" s="22">
        <v>45824.510717592595</v>
      </c>
      <c r="T74" s="13">
        <v>45796</v>
      </c>
      <c r="U74" s="13">
        <v>45796</v>
      </c>
      <c r="V74" s="9"/>
      <c r="W74" s="9" t="s">
        <v>38</v>
      </c>
      <c r="X74" s="9" t="s">
        <v>38</v>
      </c>
      <c r="Y74" s="9" t="s">
        <v>38</v>
      </c>
      <c r="Z74" s="9" t="s">
        <v>39</v>
      </c>
      <c r="AA74" s="9" t="s">
        <v>38</v>
      </c>
      <c r="AB74" s="9" t="s">
        <v>38</v>
      </c>
      <c r="AC74" s="9" t="s">
        <v>41</v>
      </c>
      <c r="AD74" s="9" t="s">
        <v>123</v>
      </c>
      <c r="AE74" s="9" t="s">
        <v>124</v>
      </c>
      <c r="AF74" s="9" t="s">
        <v>124</v>
      </c>
      <c r="AG74" s="14" t="s">
        <v>125</v>
      </c>
      <c r="AH74" s="9" t="s">
        <v>44</v>
      </c>
      <c r="AI74" s="9" t="s">
        <v>146</v>
      </c>
      <c r="AJ74" s="9">
        <v>76515070</v>
      </c>
      <c r="AK74" s="9" t="s">
        <v>38</v>
      </c>
      <c r="AL74" s="26" t="s">
        <v>38</v>
      </c>
      <c r="AM74" s="14" t="s">
        <v>524</v>
      </c>
      <c r="AN74" s="27" t="str">
        <f t="shared" si="3"/>
        <v>15756857|76515070|308304|1036462</v>
      </c>
      <c r="AO74" t="s">
        <v>44</v>
      </c>
      <c r="AP74" t="b">
        <v>1</v>
      </c>
      <c r="AQ74" t="s">
        <v>763</v>
      </c>
    </row>
    <row r="75" spans="1:43" x14ac:dyDescent="0.2">
      <c r="A75" s="14" t="s">
        <v>500</v>
      </c>
      <c r="B75" s="17">
        <v>15756857</v>
      </c>
      <c r="C75" s="14" t="s">
        <v>147</v>
      </c>
      <c r="D75" s="9">
        <v>15756857</v>
      </c>
      <c r="E75" s="9" t="s">
        <v>147</v>
      </c>
      <c r="F75" s="7">
        <v>45839</v>
      </c>
      <c r="G75" s="20" t="s">
        <v>46</v>
      </c>
      <c r="H75" s="8">
        <v>308304</v>
      </c>
      <c r="I75" s="19">
        <v>66379974</v>
      </c>
      <c r="J75" s="10">
        <v>23514</v>
      </c>
      <c r="K75" s="10">
        <v>0</v>
      </c>
      <c r="L75" s="10">
        <v>23514</v>
      </c>
      <c r="M75" s="10">
        <v>0</v>
      </c>
      <c r="N75" s="11">
        <v>23514</v>
      </c>
      <c r="O75" s="12">
        <v>308304</v>
      </c>
      <c r="P75" s="9">
        <v>285123</v>
      </c>
      <c r="Q75" s="9" t="s">
        <v>37</v>
      </c>
      <c r="R75" s="13">
        <v>45839</v>
      </c>
      <c r="S75" s="22">
        <v>45839</v>
      </c>
      <c r="T75" s="13">
        <v>45796</v>
      </c>
      <c r="U75" s="13">
        <v>45796</v>
      </c>
      <c r="V75" s="9" t="s">
        <v>47</v>
      </c>
      <c r="W75" s="9">
        <v>23307170</v>
      </c>
      <c r="X75" s="9">
        <v>7241739</v>
      </c>
      <c r="Y75" s="9">
        <v>70359545</v>
      </c>
      <c r="Z75" s="9" t="s">
        <v>39</v>
      </c>
      <c r="AA75" s="9">
        <v>214616093</v>
      </c>
      <c r="AB75" s="9">
        <v>79359</v>
      </c>
      <c r="AC75" s="9" t="s">
        <v>41</v>
      </c>
      <c r="AD75" s="9" t="s">
        <v>128</v>
      </c>
      <c r="AE75" s="9" t="s">
        <v>129</v>
      </c>
      <c r="AF75" s="9" t="s">
        <v>124</v>
      </c>
      <c r="AG75" s="14" t="s">
        <v>125</v>
      </c>
      <c r="AH75" s="9">
        <v>0</v>
      </c>
      <c r="AI75" s="9">
        <v>0</v>
      </c>
      <c r="AJ75" s="9">
        <v>76515070</v>
      </c>
      <c r="AK75" s="9">
        <v>1</v>
      </c>
      <c r="AL75" s="26" t="s">
        <v>52</v>
      </c>
      <c r="AM75" s="14" t="s">
        <v>524</v>
      </c>
      <c r="AN75" s="27" t="str">
        <f t="shared" si="3"/>
        <v>15756857|76515070|308304|66379974</v>
      </c>
      <c r="AO75" t="s">
        <v>44</v>
      </c>
      <c r="AP75" t="b">
        <v>0</v>
      </c>
      <c r="AQ75" t="s">
        <v>763</v>
      </c>
    </row>
    <row r="76" spans="1:43" x14ac:dyDescent="0.2">
      <c r="A76" s="14" t="s">
        <v>500</v>
      </c>
      <c r="B76" s="17">
        <v>14012986</v>
      </c>
      <c r="C76" s="14" t="s">
        <v>148</v>
      </c>
      <c r="D76" s="9">
        <v>14012986</v>
      </c>
      <c r="E76" s="9" t="s">
        <v>148</v>
      </c>
      <c r="F76" s="7">
        <v>45658</v>
      </c>
      <c r="G76" s="20" t="s">
        <v>36</v>
      </c>
      <c r="H76" s="8">
        <v>970932</v>
      </c>
      <c r="I76" s="19">
        <v>970932</v>
      </c>
      <c r="J76" s="10">
        <v>128644</v>
      </c>
      <c r="K76" s="10">
        <v>77187</v>
      </c>
      <c r="L76" s="10">
        <v>51457</v>
      </c>
      <c r="M76" s="10">
        <v>0</v>
      </c>
      <c r="N76" s="11">
        <v>51457</v>
      </c>
      <c r="O76" s="12">
        <v>970932</v>
      </c>
      <c r="P76" s="9">
        <v>285123</v>
      </c>
      <c r="Q76" s="9" t="s">
        <v>37</v>
      </c>
      <c r="R76" s="13">
        <v>45680</v>
      </c>
      <c r="S76" s="22">
        <v>45680</v>
      </c>
      <c r="T76" s="13">
        <v>45680</v>
      </c>
      <c r="U76" s="13">
        <v>45680</v>
      </c>
      <c r="V76" s="9" t="s">
        <v>47</v>
      </c>
      <c r="W76" s="9">
        <v>22524762</v>
      </c>
      <c r="X76" s="9">
        <v>1271320</v>
      </c>
      <c r="Y76" s="9">
        <v>68708174</v>
      </c>
      <c r="Z76" s="9" t="s">
        <v>39</v>
      </c>
      <c r="AA76" s="9">
        <v>26012025</v>
      </c>
      <c r="AB76" s="9">
        <v>77442</v>
      </c>
      <c r="AC76" s="9" t="s">
        <v>41</v>
      </c>
      <c r="AD76" s="9" t="s">
        <v>132</v>
      </c>
      <c r="AE76" s="9" t="s">
        <v>133</v>
      </c>
      <c r="AF76" s="9" t="s">
        <v>133</v>
      </c>
      <c r="AG76" s="14" t="str">
        <f t="shared" ref="AG76:AG87" si="4">+AF76</f>
        <v>EXAMENES DE LABORATORIO</v>
      </c>
      <c r="AH76" s="9" t="s">
        <v>758</v>
      </c>
      <c r="AI76" s="9">
        <v>0</v>
      </c>
      <c r="AJ76" s="9">
        <v>96770100</v>
      </c>
      <c r="AK76" s="9">
        <v>9</v>
      </c>
      <c r="AL76" s="26" t="s">
        <v>149</v>
      </c>
      <c r="AM76" s="14" t="s">
        <v>525</v>
      </c>
      <c r="AN76" s="27" t="str">
        <f t="shared" si="3"/>
        <v>14012986|96770100|970932|970932</v>
      </c>
      <c r="AO76" t="s">
        <v>758</v>
      </c>
      <c r="AP76" t="b">
        <v>1</v>
      </c>
      <c r="AQ76" t="s">
        <v>764</v>
      </c>
    </row>
    <row r="77" spans="1:43" x14ac:dyDescent="0.2">
      <c r="A77" s="14" t="s">
        <v>500</v>
      </c>
      <c r="B77" s="17">
        <v>14012986</v>
      </c>
      <c r="C77" s="14" t="s">
        <v>148</v>
      </c>
      <c r="D77" s="9">
        <v>14012986</v>
      </c>
      <c r="E77" s="9" t="s">
        <v>148</v>
      </c>
      <c r="F77" s="7">
        <v>45717</v>
      </c>
      <c r="G77" s="20" t="s">
        <v>46</v>
      </c>
      <c r="H77" s="8">
        <v>970932</v>
      </c>
      <c r="I77" s="19">
        <v>65384193</v>
      </c>
      <c r="J77" s="10">
        <v>51460</v>
      </c>
      <c r="K77" s="10">
        <v>0</v>
      </c>
      <c r="L77" s="10">
        <v>51460</v>
      </c>
      <c r="M77" s="10">
        <v>0</v>
      </c>
      <c r="N77" s="11">
        <v>51460</v>
      </c>
      <c r="O77" s="12">
        <v>970932</v>
      </c>
      <c r="P77" s="9">
        <v>285123</v>
      </c>
      <c r="Q77" s="9" t="s">
        <v>37</v>
      </c>
      <c r="R77" s="13">
        <v>45717</v>
      </c>
      <c r="S77" s="22">
        <v>45742</v>
      </c>
      <c r="T77" s="13">
        <v>45680</v>
      </c>
      <c r="U77" s="13">
        <v>45680</v>
      </c>
      <c r="V77" s="9" t="s">
        <v>47</v>
      </c>
      <c r="W77" s="9">
        <v>22770423</v>
      </c>
      <c r="X77" s="9">
        <v>3311105</v>
      </c>
      <c r="Y77" s="9">
        <v>69251069</v>
      </c>
      <c r="Z77" s="9" t="s">
        <v>39</v>
      </c>
      <c r="AA77" s="9">
        <v>2650102760435</v>
      </c>
      <c r="AB77" s="9">
        <v>78070</v>
      </c>
      <c r="AC77" s="9" t="s">
        <v>41</v>
      </c>
      <c r="AD77" s="9" t="s">
        <v>132</v>
      </c>
      <c r="AE77" s="9" t="s">
        <v>133</v>
      </c>
      <c r="AF77" s="9" t="s">
        <v>133</v>
      </c>
      <c r="AG77" s="14" t="str">
        <f t="shared" si="4"/>
        <v>EXAMENES DE LABORATORIO</v>
      </c>
      <c r="AH77" s="9">
        <v>0</v>
      </c>
      <c r="AI77" s="9">
        <v>0</v>
      </c>
      <c r="AJ77" s="9">
        <v>96770100</v>
      </c>
      <c r="AK77" s="9">
        <v>9</v>
      </c>
      <c r="AL77" s="26" t="s">
        <v>52</v>
      </c>
      <c r="AM77" s="14" t="s">
        <v>525</v>
      </c>
      <c r="AN77" s="27" t="str">
        <f t="shared" si="3"/>
        <v>14012986|96770100|970932|65384193</v>
      </c>
      <c r="AO77" t="s">
        <v>44</v>
      </c>
      <c r="AP77" t="b">
        <v>0</v>
      </c>
      <c r="AQ77" t="s">
        <v>763</v>
      </c>
    </row>
    <row r="78" spans="1:43" x14ac:dyDescent="0.2">
      <c r="A78" s="14" t="s">
        <v>500</v>
      </c>
      <c r="B78" s="17">
        <v>14012986</v>
      </c>
      <c r="C78" s="14" t="s">
        <v>148</v>
      </c>
      <c r="D78" s="9">
        <v>14012986</v>
      </c>
      <c r="E78" s="9" t="s">
        <v>148</v>
      </c>
      <c r="F78" s="7">
        <v>45658</v>
      </c>
      <c r="G78" s="20" t="s">
        <v>36</v>
      </c>
      <c r="H78" s="8">
        <v>970933</v>
      </c>
      <c r="I78" s="19">
        <v>970933</v>
      </c>
      <c r="J78" s="10">
        <v>262190</v>
      </c>
      <c r="K78" s="10">
        <v>197078</v>
      </c>
      <c r="L78" s="10">
        <v>65112</v>
      </c>
      <c r="M78" s="10">
        <v>0</v>
      </c>
      <c r="N78" s="11">
        <v>65112</v>
      </c>
      <c r="O78" s="12">
        <v>970933</v>
      </c>
      <c r="P78" s="9">
        <v>285123</v>
      </c>
      <c r="Q78" s="9" t="s">
        <v>37</v>
      </c>
      <c r="R78" s="13">
        <v>45680</v>
      </c>
      <c r="S78" s="22">
        <v>45680</v>
      </c>
      <c r="T78" s="13">
        <v>45680</v>
      </c>
      <c r="U78" s="13">
        <v>45680</v>
      </c>
      <c r="V78" s="9" t="s">
        <v>47</v>
      </c>
      <c r="W78" s="9">
        <v>22524762</v>
      </c>
      <c r="X78" s="9">
        <v>1271320</v>
      </c>
      <c r="Y78" s="9">
        <v>68708173</v>
      </c>
      <c r="Z78" s="9" t="s">
        <v>39</v>
      </c>
      <c r="AA78" s="9">
        <v>26012025</v>
      </c>
      <c r="AB78" s="9">
        <v>77442</v>
      </c>
      <c r="AC78" s="9" t="s">
        <v>41</v>
      </c>
      <c r="AD78" s="9" t="s">
        <v>132</v>
      </c>
      <c r="AE78" s="9" t="s">
        <v>133</v>
      </c>
      <c r="AF78" s="9" t="s">
        <v>133</v>
      </c>
      <c r="AG78" s="14" t="str">
        <f t="shared" si="4"/>
        <v>EXAMENES DE LABORATORIO</v>
      </c>
      <c r="AH78" s="9" t="s">
        <v>758</v>
      </c>
      <c r="AI78" s="9">
        <v>0</v>
      </c>
      <c r="AJ78" s="9">
        <v>96770100</v>
      </c>
      <c r="AK78" s="9">
        <v>9</v>
      </c>
      <c r="AL78" s="26" t="s">
        <v>149</v>
      </c>
      <c r="AM78" s="14" t="s">
        <v>525</v>
      </c>
      <c r="AN78" s="27" t="str">
        <f t="shared" si="3"/>
        <v>14012986|96770100|970933|970933</v>
      </c>
      <c r="AO78" t="s">
        <v>758</v>
      </c>
      <c r="AP78" t="b">
        <v>1</v>
      </c>
      <c r="AQ78" t="s">
        <v>764</v>
      </c>
    </row>
    <row r="79" spans="1:43" x14ac:dyDescent="0.2">
      <c r="A79" s="14" t="s">
        <v>500</v>
      </c>
      <c r="B79" s="17">
        <v>14012986</v>
      </c>
      <c r="C79" s="14" t="s">
        <v>148</v>
      </c>
      <c r="D79" s="9">
        <v>14012986</v>
      </c>
      <c r="E79" s="9" t="s">
        <v>148</v>
      </c>
      <c r="F79" s="7">
        <v>45717</v>
      </c>
      <c r="G79" s="20" t="s">
        <v>46</v>
      </c>
      <c r="H79" s="8">
        <v>970933</v>
      </c>
      <c r="I79" s="19">
        <v>65384194</v>
      </c>
      <c r="J79" s="10">
        <v>65285</v>
      </c>
      <c r="K79" s="10">
        <v>0</v>
      </c>
      <c r="L79" s="10">
        <v>65285</v>
      </c>
      <c r="M79" s="10">
        <v>0</v>
      </c>
      <c r="N79" s="11">
        <v>65285</v>
      </c>
      <c r="O79" s="12">
        <v>970933</v>
      </c>
      <c r="P79" s="9">
        <v>285123</v>
      </c>
      <c r="Q79" s="9" t="s">
        <v>37</v>
      </c>
      <c r="R79" s="13">
        <v>45717</v>
      </c>
      <c r="S79" s="22">
        <v>45742</v>
      </c>
      <c r="T79" s="13">
        <v>45680</v>
      </c>
      <c r="U79" s="13">
        <v>45680</v>
      </c>
      <c r="V79" s="9" t="s">
        <v>47</v>
      </c>
      <c r="W79" s="9">
        <v>22770423</v>
      </c>
      <c r="X79" s="9">
        <v>3311105</v>
      </c>
      <c r="Y79" s="9">
        <v>69251070</v>
      </c>
      <c r="Z79" s="9" t="s">
        <v>39</v>
      </c>
      <c r="AA79" s="9">
        <v>2650102760435</v>
      </c>
      <c r="AB79" s="9">
        <v>78070</v>
      </c>
      <c r="AC79" s="9" t="s">
        <v>41</v>
      </c>
      <c r="AD79" s="9" t="s">
        <v>132</v>
      </c>
      <c r="AE79" s="9" t="s">
        <v>133</v>
      </c>
      <c r="AF79" s="9" t="s">
        <v>133</v>
      </c>
      <c r="AG79" s="14" t="str">
        <f t="shared" si="4"/>
        <v>EXAMENES DE LABORATORIO</v>
      </c>
      <c r="AH79" s="9">
        <v>0</v>
      </c>
      <c r="AI79" s="9">
        <v>0</v>
      </c>
      <c r="AJ79" s="9">
        <v>96770100</v>
      </c>
      <c r="AK79" s="9">
        <v>9</v>
      </c>
      <c r="AL79" s="26" t="s">
        <v>52</v>
      </c>
      <c r="AM79" s="14" t="s">
        <v>525</v>
      </c>
      <c r="AN79" s="27" t="str">
        <f t="shared" si="3"/>
        <v>14012986|96770100|970933|65384194</v>
      </c>
      <c r="AO79" t="s">
        <v>44</v>
      </c>
      <c r="AP79" t="b">
        <v>0</v>
      </c>
      <c r="AQ79" t="s">
        <v>763</v>
      </c>
    </row>
    <row r="80" spans="1:43" x14ac:dyDescent="0.2">
      <c r="A80" s="14" t="s">
        <v>500</v>
      </c>
      <c r="B80" s="17">
        <v>14012986</v>
      </c>
      <c r="C80" s="14" t="s">
        <v>148</v>
      </c>
      <c r="D80" s="9">
        <v>14012986</v>
      </c>
      <c r="E80" s="9" t="s">
        <v>148</v>
      </c>
      <c r="F80" s="7">
        <v>45658</v>
      </c>
      <c r="G80" s="20" t="s">
        <v>36</v>
      </c>
      <c r="H80" s="8">
        <v>971121</v>
      </c>
      <c r="I80" s="19">
        <v>971121</v>
      </c>
      <c r="J80" s="10">
        <v>45491</v>
      </c>
      <c r="K80" s="10">
        <v>36393</v>
      </c>
      <c r="L80" s="10">
        <v>9098</v>
      </c>
      <c r="M80" s="10">
        <v>0</v>
      </c>
      <c r="N80" s="11">
        <v>9098</v>
      </c>
      <c r="O80" s="12">
        <v>971121</v>
      </c>
      <c r="P80" s="9">
        <v>285123</v>
      </c>
      <c r="Q80" s="9" t="s">
        <v>37</v>
      </c>
      <c r="R80" s="13">
        <v>45680</v>
      </c>
      <c r="S80" s="22">
        <v>45680</v>
      </c>
      <c r="T80" s="13">
        <v>45680</v>
      </c>
      <c r="U80" s="13">
        <v>45680</v>
      </c>
      <c r="V80" s="9" t="s">
        <v>47</v>
      </c>
      <c r="W80" s="9">
        <v>22524762</v>
      </c>
      <c r="X80" s="9">
        <v>1271320</v>
      </c>
      <c r="Y80" s="9">
        <v>68708261</v>
      </c>
      <c r="Z80" s="9" t="s">
        <v>39</v>
      </c>
      <c r="AA80" s="9">
        <v>26012025</v>
      </c>
      <c r="AB80" s="9">
        <v>77442</v>
      </c>
      <c r="AC80" s="9" t="s">
        <v>41</v>
      </c>
      <c r="AD80" s="9" t="s">
        <v>65</v>
      </c>
      <c r="AE80" s="9" t="s">
        <v>66</v>
      </c>
      <c r="AF80" s="9" t="s">
        <v>66</v>
      </c>
      <c r="AG80" s="14" t="str">
        <f t="shared" si="4"/>
        <v>PROCEDIMIENTOS TERAPEUTICOS</v>
      </c>
      <c r="AH80" s="9" t="s">
        <v>758</v>
      </c>
      <c r="AI80" s="9">
        <v>0</v>
      </c>
      <c r="AJ80" s="9">
        <v>76436880</v>
      </c>
      <c r="AK80" s="9">
        <v>0</v>
      </c>
      <c r="AL80" s="26" t="s">
        <v>149</v>
      </c>
      <c r="AM80" s="14" t="s">
        <v>525</v>
      </c>
      <c r="AN80" s="27" t="str">
        <f t="shared" si="3"/>
        <v>14012986|76436880|971121|971121</v>
      </c>
      <c r="AO80" t="s">
        <v>758</v>
      </c>
      <c r="AP80" t="b">
        <v>1</v>
      </c>
      <c r="AQ80" t="s">
        <v>764</v>
      </c>
    </row>
    <row r="81" spans="1:43" x14ac:dyDescent="0.2">
      <c r="A81" s="14" t="s">
        <v>500</v>
      </c>
      <c r="B81" s="17">
        <v>14012986</v>
      </c>
      <c r="C81" s="14" t="s">
        <v>148</v>
      </c>
      <c r="D81" s="9">
        <v>14012986</v>
      </c>
      <c r="E81" s="9" t="s">
        <v>148</v>
      </c>
      <c r="F81" s="7">
        <v>45717</v>
      </c>
      <c r="G81" s="20" t="s">
        <v>46</v>
      </c>
      <c r="H81" s="8">
        <v>971121</v>
      </c>
      <c r="I81" s="19">
        <v>65384195</v>
      </c>
      <c r="J81" s="10">
        <v>8832</v>
      </c>
      <c r="K81" s="10">
        <v>0</v>
      </c>
      <c r="L81" s="10">
        <v>8832</v>
      </c>
      <c r="M81" s="10">
        <v>0</v>
      </c>
      <c r="N81" s="11">
        <v>8832</v>
      </c>
      <c r="O81" s="12">
        <v>971121</v>
      </c>
      <c r="P81" s="9">
        <v>285123</v>
      </c>
      <c r="Q81" s="9" t="s">
        <v>37</v>
      </c>
      <c r="R81" s="13">
        <v>45717</v>
      </c>
      <c r="S81" s="22">
        <v>45742</v>
      </c>
      <c r="T81" s="13">
        <v>45680</v>
      </c>
      <c r="U81" s="13">
        <v>45680</v>
      </c>
      <c r="V81" s="9" t="s">
        <v>47</v>
      </c>
      <c r="W81" s="9">
        <v>22770423</v>
      </c>
      <c r="X81" s="9">
        <v>3311105</v>
      </c>
      <c r="Y81" s="9">
        <v>69251071</v>
      </c>
      <c r="Z81" s="9" t="s">
        <v>39</v>
      </c>
      <c r="AA81" s="9">
        <v>2650102760435</v>
      </c>
      <c r="AB81" s="9">
        <v>78070</v>
      </c>
      <c r="AC81" s="9" t="s">
        <v>41</v>
      </c>
      <c r="AD81" s="9" t="s">
        <v>65</v>
      </c>
      <c r="AE81" s="9" t="s">
        <v>66</v>
      </c>
      <c r="AF81" s="9" t="s">
        <v>66</v>
      </c>
      <c r="AG81" s="14" t="str">
        <f t="shared" si="4"/>
        <v>PROCEDIMIENTOS TERAPEUTICOS</v>
      </c>
      <c r="AH81" s="9">
        <v>0</v>
      </c>
      <c r="AI81" s="9">
        <v>0</v>
      </c>
      <c r="AJ81" s="9">
        <v>76436880</v>
      </c>
      <c r="AK81" s="9">
        <v>0</v>
      </c>
      <c r="AL81" s="26" t="s">
        <v>52</v>
      </c>
      <c r="AM81" s="14" t="s">
        <v>525</v>
      </c>
      <c r="AN81" s="27" t="str">
        <f t="shared" si="3"/>
        <v>14012986|76436880|971121|65384195</v>
      </c>
      <c r="AO81" t="s">
        <v>44</v>
      </c>
      <c r="AP81" t="b">
        <v>0</v>
      </c>
      <c r="AQ81" t="s">
        <v>763</v>
      </c>
    </row>
    <row r="82" spans="1:43" x14ac:dyDescent="0.2">
      <c r="A82" s="14" t="s">
        <v>500</v>
      </c>
      <c r="B82" s="17">
        <v>14012986</v>
      </c>
      <c r="C82" s="14" t="s">
        <v>148</v>
      </c>
      <c r="D82" s="9">
        <v>14012986</v>
      </c>
      <c r="E82" s="9" t="s">
        <v>148</v>
      </c>
      <c r="F82" s="7">
        <v>45658</v>
      </c>
      <c r="G82" s="20" t="s">
        <v>36</v>
      </c>
      <c r="H82" s="8">
        <v>983507</v>
      </c>
      <c r="I82" s="19">
        <v>983507</v>
      </c>
      <c r="J82" s="10">
        <v>258512</v>
      </c>
      <c r="K82" s="10">
        <v>206810</v>
      </c>
      <c r="L82" s="10">
        <v>51702</v>
      </c>
      <c r="M82" s="10">
        <v>0</v>
      </c>
      <c r="N82" s="11">
        <v>51702</v>
      </c>
      <c r="O82" s="12">
        <v>983507</v>
      </c>
      <c r="P82" s="9">
        <v>285123</v>
      </c>
      <c r="Q82" s="9" t="s">
        <v>37</v>
      </c>
      <c r="R82" s="13">
        <v>45687</v>
      </c>
      <c r="S82" s="22">
        <v>45687</v>
      </c>
      <c r="T82" s="13">
        <v>45687</v>
      </c>
      <c r="U82" s="13">
        <v>45687</v>
      </c>
      <c r="V82" s="9" t="s">
        <v>47</v>
      </c>
      <c r="W82" s="9">
        <v>22560966</v>
      </c>
      <c r="X82" s="9">
        <v>2040929</v>
      </c>
      <c r="Y82" s="9">
        <v>68810013</v>
      </c>
      <c r="Z82" s="9" t="s">
        <v>39</v>
      </c>
      <c r="AA82" s="9">
        <v>2022025</v>
      </c>
      <c r="AB82" s="9">
        <v>77562</v>
      </c>
      <c r="AC82" s="9" t="s">
        <v>41</v>
      </c>
      <c r="AD82" s="9" t="s">
        <v>134</v>
      </c>
      <c r="AE82" s="9" t="s">
        <v>135</v>
      </c>
      <c r="AF82" s="9" t="s">
        <v>135</v>
      </c>
      <c r="AG82" s="14" t="str">
        <f t="shared" si="4"/>
        <v>EXAMENES RADIOLOGICOS</v>
      </c>
      <c r="AH82" s="9" t="s">
        <v>758</v>
      </c>
      <c r="AI82" s="9">
        <v>0</v>
      </c>
      <c r="AJ82" s="9">
        <v>76436880</v>
      </c>
      <c r="AK82" s="9">
        <v>0</v>
      </c>
      <c r="AL82" s="26" t="s">
        <v>149</v>
      </c>
      <c r="AM82" s="14" t="s">
        <v>525</v>
      </c>
      <c r="AN82" s="27" t="str">
        <f t="shared" si="3"/>
        <v>14012986|76436880|983507|983507</v>
      </c>
      <c r="AO82" t="s">
        <v>758</v>
      </c>
      <c r="AP82" t="b">
        <v>1</v>
      </c>
      <c r="AQ82" t="s">
        <v>764</v>
      </c>
    </row>
    <row r="83" spans="1:43" x14ac:dyDescent="0.2">
      <c r="A83" s="14" t="s">
        <v>500</v>
      </c>
      <c r="B83" s="17">
        <v>14012986</v>
      </c>
      <c r="C83" s="14" t="s">
        <v>148</v>
      </c>
      <c r="D83" s="9">
        <v>14012986</v>
      </c>
      <c r="E83" s="9" t="s">
        <v>148</v>
      </c>
      <c r="F83" s="7">
        <v>45717</v>
      </c>
      <c r="G83" s="20" t="s">
        <v>46</v>
      </c>
      <c r="H83" s="8">
        <v>983507</v>
      </c>
      <c r="I83" s="19">
        <v>65384196</v>
      </c>
      <c r="J83" s="10">
        <v>51438</v>
      </c>
      <c r="K83" s="10">
        <v>0</v>
      </c>
      <c r="L83" s="10">
        <v>51438</v>
      </c>
      <c r="M83" s="10">
        <v>0</v>
      </c>
      <c r="N83" s="11">
        <v>13435</v>
      </c>
      <c r="O83" s="12">
        <v>983507</v>
      </c>
      <c r="P83" s="9">
        <v>285123</v>
      </c>
      <c r="Q83" s="9" t="s">
        <v>37</v>
      </c>
      <c r="R83" s="13">
        <v>45717</v>
      </c>
      <c r="S83" s="22">
        <v>45742</v>
      </c>
      <c r="T83" s="13">
        <v>45687</v>
      </c>
      <c r="U83" s="13">
        <v>45687</v>
      </c>
      <c r="V83" s="9" t="s">
        <v>47</v>
      </c>
      <c r="W83" s="9">
        <v>22770473</v>
      </c>
      <c r="X83" s="9">
        <v>3311105</v>
      </c>
      <c r="Y83" s="9">
        <v>69251072</v>
      </c>
      <c r="Z83" s="9" t="s">
        <v>39</v>
      </c>
      <c r="AA83" s="9">
        <v>2650102760435</v>
      </c>
      <c r="AB83" s="9">
        <v>78070</v>
      </c>
      <c r="AC83" s="9" t="s">
        <v>41</v>
      </c>
      <c r="AD83" s="9" t="s">
        <v>134</v>
      </c>
      <c r="AE83" s="9" t="s">
        <v>135</v>
      </c>
      <c r="AF83" s="9" t="s">
        <v>135</v>
      </c>
      <c r="AG83" s="14" t="str">
        <f t="shared" si="4"/>
        <v>EXAMENES RADIOLOGICOS</v>
      </c>
      <c r="AH83" s="9">
        <v>0</v>
      </c>
      <c r="AI83" s="9">
        <v>0</v>
      </c>
      <c r="AJ83" s="9">
        <v>76436880</v>
      </c>
      <c r="AK83" s="9">
        <v>0</v>
      </c>
      <c r="AL83" s="26" t="s">
        <v>52</v>
      </c>
      <c r="AM83" s="14" t="s">
        <v>525</v>
      </c>
      <c r="AN83" s="27" t="str">
        <f t="shared" si="3"/>
        <v>14012986|76436880|983507|65384196</v>
      </c>
      <c r="AO83" t="s">
        <v>44</v>
      </c>
      <c r="AP83" t="b">
        <v>0</v>
      </c>
      <c r="AQ83" t="s">
        <v>763</v>
      </c>
    </row>
    <row r="84" spans="1:43" x14ac:dyDescent="0.2">
      <c r="A84" s="14" t="s">
        <v>500</v>
      </c>
      <c r="B84" s="17">
        <v>14118544</v>
      </c>
      <c r="C84" s="14" t="s">
        <v>150</v>
      </c>
      <c r="D84" s="9">
        <v>14118544</v>
      </c>
      <c r="E84" s="9" t="s">
        <v>150</v>
      </c>
      <c r="F84" s="7">
        <v>45689</v>
      </c>
      <c r="G84" s="20" t="s">
        <v>36</v>
      </c>
      <c r="H84" s="8">
        <v>988248</v>
      </c>
      <c r="I84" s="19">
        <v>988248</v>
      </c>
      <c r="J84" s="10">
        <v>677864</v>
      </c>
      <c r="K84" s="10">
        <v>546978</v>
      </c>
      <c r="L84" s="10">
        <v>130886</v>
      </c>
      <c r="M84" s="10">
        <v>0</v>
      </c>
      <c r="N84" s="11">
        <v>130886</v>
      </c>
      <c r="O84" s="12">
        <v>988248</v>
      </c>
      <c r="P84" s="9">
        <v>285123</v>
      </c>
      <c r="Q84" s="9" t="s">
        <v>37</v>
      </c>
      <c r="R84" s="13">
        <v>45689</v>
      </c>
      <c r="S84" s="22">
        <v>45689</v>
      </c>
      <c r="T84" s="13">
        <v>45689</v>
      </c>
      <c r="U84" s="13">
        <v>45689</v>
      </c>
      <c r="V84" s="9" t="s">
        <v>47</v>
      </c>
      <c r="W84" s="9">
        <v>22566108</v>
      </c>
      <c r="X84" s="9">
        <v>2101551</v>
      </c>
      <c r="Y84" s="9">
        <v>68819853</v>
      </c>
      <c r="Z84" s="9" t="s">
        <v>39</v>
      </c>
      <c r="AA84" s="9">
        <v>9022025</v>
      </c>
      <c r="AB84" s="9">
        <v>77586</v>
      </c>
      <c r="AC84" s="9" t="s">
        <v>41</v>
      </c>
      <c r="AD84" s="9" t="s">
        <v>134</v>
      </c>
      <c r="AE84" s="9" t="s">
        <v>135</v>
      </c>
      <c r="AF84" s="9" t="s">
        <v>135</v>
      </c>
      <c r="AG84" s="14" t="str">
        <f t="shared" si="4"/>
        <v>EXAMENES RADIOLOGICOS</v>
      </c>
      <c r="AH84" s="9" t="s">
        <v>758</v>
      </c>
      <c r="AI84" s="9">
        <v>0</v>
      </c>
      <c r="AJ84" s="9">
        <v>76436880</v>
      </c>
      <c r="AK84" s="9">
        <v>0</v>
      </c>
      <c r="AL84" s="26" t="s">
        <v>149</v>
      </c>
      <c r="AM84" s="14" t="s">
        <v>526</v>
      </c>
      <c r="AN84" s="27" t="str">
        <f t="shared" si="3"/>
        <v>14118544|76436880|988248|988248</v>
      </c>
      <c r="AO84" t="s">
        <v>758</v>
      </c>
      <c r="AP84" t="b">
        <v>1</v>
      </c>
      <c r="AQ84" t="s">
        <v>764</v>
      </c>
    </row>
    <row r="85" spans="1:43" x14ac:dyDescent="0.2">
      <c r="A85" s="14" t="s">
        <v>500</v>
      </c>
      <c r="B85" s="17">
        <v>14118544</v>
      </c>
      <c r="C85" s="14" t="s">
        <v>150</v>
      </c>
      <c r="D85" s="9">
        <v>14118544</v>
      </c>
      <c r="E85" s="9" t="s">
        <v>150</v>
      </c>
      <c r="F85" s="7">
        <v>45717</v>
      </c>
      <c r="G85" s="20" t="s">
        <v>46</v>
      </c>
      <c r="H85" s="8">
        <v>988248</v>
      </c>
      <c r="I85" s="19">
        <v>65384204</v>
      </c>
      <c r="J85" s="10">
        <v>130882</v>
      </c>
      <c r="K85" s="10">
        <v>0</v>
      </c>
      <c r="L85" s="10">
        <v>130882</v>
      </c>
      <c r="M85" s="10">
        <v>0</v>
      </c>
      <c r="N85" s="11">
        <v>130882</v>
      </c>
      <c r="O85" s="12">
        <v>988248</v>
      </c>
      <c r="P85" s="9">
        <v>285123</v>
      </c>
      <c r="Q85" s="9" t="s">
        <v>37</v>
      </c>
      <c r="R85" s="13">
        <v>45717</v>
      </c>
      <c r="S85" s="22">
        <v>45742</v>
      </c>
      <c r="T85" s="13">
        <v>45689</v>
      </c>
      <c r="U85" s="13">
        <v>45689</v>
      </c>
      <c r="V85" s="9" t="s">
        <v>47</v>
      </c>
      <c r="W85" s="9">
        <v>22770509</v>
      </c>
      <c r="X85" s="9">
        <v>3311105</v>
      </c>
      <c r="Y85" s="9">
        <v>69251079</v>
      </c>
      <c r="Z85" s="9" t="s">
        <v>39</v>
      </c>
      <c r="AA85" s="9">
        <v>976051386</v>
      </c>
      <c r="AB85" s="9">
        <v>78070</v>
      </c>
      <c r="AC85" s="9" t="s">
        <v>41</v>
      </c>
      <c r="AD85" s="9" t="s">
        <v>134</v>
      </c>
      <c r="AE85" s="9" t="s">
        <v>135</v>
      </c>
      <c r="AF85" s="9" t="s">
        <v>135</v>
      </c>
      <c r="AG85" s="14" t="str">
        <f t="shared" si="4"/>
        <v>EXAMENES RADIOLOGICOS</v>
      </c>
      <c r="AH85" s="9">
        <v>0</v>
      </c>
      <c r="AI85" s="9">
        <v>0</v>
      </c>
      <c r="AJ85" s="9">
        <v>76436880</v>
      </c>
      <c r="AK85" s="9">
        <v>0</v>
      </c>
      <c r="AL85" s="26" t="s">
        <v>52</v>
      </c>
      <c r="AM85" s="14" t="s">
        <v>526</v>
      </c>
      <c r="AN85" s="27" t="str">
        <f t="shared" si="3"/>
        <v>14118544|76436880|988248|65384204</v>
      </c>
      <c r="AO85" t="s">
        <v>44</v>
      </c>
      <c r="AP85" t="b">
        <v>0</v>
      </c>
      <c r="AQ85" t="s">
        <v>763</v>
      </c>
    </row>
    <row r="86" spans="1:43" x14ac:dyDescent="0.2">
      <c r="A86" s="14" t="s">
        <v>500</v>
      </c>
      <c r="B86" s="17">
        <v>14118544</v>
      </c>
      <c r="C86" s="14" t="s">
        <v>150</v>
      </c>
      <c r="D86" s="9">
        <v>14118544</v>
      </c>
      <c r="E86" s="9" t="s">
        <v>150</v>
      </c>
      <c r="F86" s="7">
        <v>45689</v>
      </c>
      <c r="G86" s="20" t="s">
        <v>36</v>
      </c>
      <c r="H86" s="8">
        <v>988309</v>
      </c>
      <c r="I86" s="19">
        <v>988309</v>
      </c>
      <c r="J86" s="10">
        <v>217259</v>
      </c>
      <c r="K86" s="10">
        <v>184671</v>
      </c>
      <c r="L86" s="10">
        <v>32588</v>
      </c>
      <c r="M86" s="10">
        <v>0</v>
      </c>
      <c r="N86" s="11">
        <v>32588</v>
      </c>
      <c r="O86" s="12">
        <v>988309</v>
      </c>
      <c r="P86" s="9">
        <v>285123</v>
      </c>
      <c r="Q86" s="9" t="s">
        <v>37</v>
      </c>
      <c r="R86" s="13">
        <v>45689</v>
      </c>
      <c r="S86" s="22">
        <v>45689</v>
      </c>
      <c r="T86" s="13">
        <v>45689</v>
      </c>
      <c r="U86" s="13">
        <v>45689</v>
      </c>
      <c r="V86" s="9" t="s">
        <v>47</v>
      </c>
      <c r="W86" s="9">
        <v>22566108</v>
      </c>
      <c r="X86" s="9">
        <v>2101551</v>
      </c>
      <c r="Y86" s="9">
        <v>68819903</v>
      </c>
      <c r="Z86" s="9" t="s">
        <v>39</v>
      </c>
      <c r="AA86" s="9">
        <v>9022025</v>
      </c>
      <c r="AB86" s="9">
        <v>77586</v>
      </c>
      <c r="AC86" s="9" t="s">
        <v>41</v>
      </c>
      <c r="AD86" s="9" t="s">
        <v>134</v>
      </c>
      <c r="AE86" s="9" t="s">
        <v>135</v>
      </c>
      <c r="AF86" s="9" t="s">
        <v>135</v>
      </c>
      <c r="AG86" s="14" t="str">
        <f t="shared" si="4"/>
        <v>EXAMENES RADIOLOGICOS</v>
      </c>
      <c r="AH86" s="9" t="s">
        <v>758</v>
      </c>
      <c r="AI86" s="9">
        <v>0</v>
      </c>
      <c r="AJ86" s="9">
        <v>76436880</v>
      </c>
      <c r="AK86" s="9">
        <v>0</v>
      </c>
      <c r="AL86" s="26" t="s">
        <v>149</v>
      </c>
      <c r="AM86" s="14" t="s">
        <v>526</v>
      </c>
      <c r="AN86" s="27" t="str">
        <f t="shared" si="3"/>
        <v>14118544|76436880|988309|988309</v>
      </c>
      <c r="AO86" t="s">
        <v>758</v>
      </c>
      <c r="AP86" t="b">
        <v>1</v>
      </c>
      <c r="AQ86" t="s">
        <v>764</v>
      </c>
    </row>
    <row r="87" spans="1:43" x14ac:dyDescent="0.2">
      <c r="A87" s="14" t="s">
        <v>500</v>
      </c>
      <c r="B87" s="17">
        <v>14118544</v>
      </c>
      <c r="C87" s="14" t="s">
        <v>150</v>
      </c>
      <c r="D87" s="9">
        <v>14118544</v>
      </c>
      <c r="E87" s="9" t="s">
        <v>150</v>
      </c>
      <c r="F87" s="7">
        <v>45717</v>
      </c>
      <c r="G87" s="20" t="s">
        <v>46</v>
      </c>
      <c r="H87" s="8">
        <v>988309</v>
      </c>
      <c r="I87" s="19">
        <v>65384205</v>
      </c>
      <c r="J87" s="10">
        <v>32240</v>
      </c>
      <c r="K87" s="10">
        <v>0</v>
      </c>
      <c r="L87" s="10">
        <v>32240</v>
      </c>
      <c r="M87" s="10">
        <v>0</v>
      </c>
      <c r="N87" s="11">
        <v>32240</v>
      </c>
      <c r="O87" s="12">
        <v>988309</v>
      </c>
      <c r="P87" s="9">
        <v>285123</v>
      </c>
      <c r="Q87" s="9" t="s">
        <v>37</v>
      </c>
      <c r="R87" s="13">
        <v>45717</v>
      </c>
      <c r="S87" s="22">
        <v>45742</v>
      </c>
      <c r="T87" s="13">
        <v>45689</v>
      </c>
      <c r="U87" s="13">
        <v>45689</v>
      </c>
      <c r="V87" s="9" t="s">
        <v>47</v>
      </c>
      <c r="W87" s="9">
        <v>22770509</v>
      </c>
      <c r="X87" s="9">
        <v>3311105</v>
      </c>
      <c r="Y87" s="9">
        <v>69251080</v>
      </c>
      <c r="Z87" s="9" t="s">
        <v>39</v>
      </c>
      <c r="AA87" s="9">
        <v>976051386</v>
      </c>
      <c r="AB87" s="9">
        <v>78070</v>
      </c>
      <c r="AC87" s="9" t="s">
        <v>41</v>
      </c>
      <c r="AD87" s="9" t="s">
        <v>134</v>
      </c>
      <c r="AE87" s="9" t="s">
        <v>135</v>
      </c>
      <c r="AF87" s="9" t="s">
        <v>135</v>
      </c>
      <c r="AG87" s="14" t="str">
        <f t="shared" si="4"/>
        <v>EXAMENES RADIOLOGICOS</v>
      </c>
      <c r="AH87" s="9">
        <v>0</v>
      </c>
      <c r="AI87" s="9">
        <v>0</v>
      </c>
      <c r="AJ87" s="9">
        <v>76436880</v>
      </c>
      <c r="AK87" s="9">
        <v>0</v>
      </c>
      <c r="AL87" s="26" t="s">
        <v>52</v>
      </c>
      <c r="AM87" s="14" t="s">
        <v>526</v>
      </c>
      <c r="AN87" s="27" t="str">
        <f t="shared" si="3"/>
        <v>14118544|76436880|988309|65384205</v>
      </c>
      <c r="AO87" t="s">
        <v>44</v>
      </c>
      <c r="AP87" t="b">
        <v>0</v>
      </c>
      <c r="AQ87" t="s">
        <v>763</v>
      </c>
    </row>
    <row r="88" spans="1:43" x14ac:dyDescent="0.2">
      <c r="A88" s="14" t="s">
        <v>500</v>
      </c>
      <c r="B88" s="17">
        <v>11478198</v>
      </c>
      <c r="C88" s="14" t="s">
        <v>151</v>
      </c>
      <c r="D88" s="9">
        <v>21465621</v>
      </c>
      <c r="E88" s="9" t="s">
        <v>152</v>
      </c>
      <c r="F88" s="7">
        <v>45809</v>
      </c>
      <c r="G88" s="20" t="s">
        <v>36</v>
      </c>
      <c r="H88" s="8">
        <v>1128157</v>
      </c>
      <c r="I88" s="19">
        <v>1036471</v>
      </c>
      <c r="J88" s="10">
        <v>14413</v>
      </c>
      <c r="K88" s="10">
        <v>0</v>
      </c>
      <c r="L88" s="10">
        <v>14413</v>
      </c>
      <c r="M88" s="10">
        <v>0</v>
      </c>
      <c r="N88" s="11">
        <v>14413</v>
      </c>
      <c r="O88" s="12">
        <v>1128157</v>
      </c>
      <c r="P88" s="9">
        <v>285123</v>
      </c>
      <c r="Q88" s="9" t="s">
        <v>37</v>
      </c>
      <c r="R88" s="13">
        <v>45824</v>
      </c>
      <c r="S88" s="22">
        <v>45824.497245370374</v>
      </c>
      <c r="T88" s="13">
        <v>45801</v>
      </c>
      <c r="U88" s="13">
        <v>45801</v>
      </c>
      <c r="V88" s="9"/>
      <c r="W88" s="9" t="s">
        <v>38</v>
      </c>
      <c r="X88" s="9" t="s">
        <v>38</v>
      </c>
      <c r="Y88" s="9" t="s">
        <v>38</v>
      </c>
      <c r="Z88" s="9" t="s">
        <v>39</v>
      </c>
      <c r="AA88" s="9" t="s">
        <v>38</v>
      </c>
      <c r="AB88" s="9" t="s">
        <v>38</v>
      </c>
      <c r="AC88" s="9" t="s">
        <v>41</v>
      </c>
      <c r="AD88" s="9" t="s">
        <v>128</v>
      </c>
      <c r="AE88" s="9" t="s">
        <v>153</v>
      </c>
      <c r="AF88" s="9" t="s">
        <v>124</v>
      </c>
      <c r="AG88" s="14" t="s">
        <v>125</v>
      </c>
      <c r="AH88" s="9" t="s">
        <v>44</v>
      </c>
      <c r="AI88" s="9" t="s">
        <v>154</v>
      </c>
      <c r="AJ88" s="9">
        <v>76098454</v>
      </c>
      <c r="AK88" s="9" t="s">
        <v>38</v>
      </c>
      <c r="AL88" s="26" t="s">
        <v>38</v>
      </c>
      <c r="AM88" s="14" t="s">
        <v>527</v>
      </c>
      <c r="AN88" s="27" t="str">
        <f t="shared" si="3"/>
        <v>11478198|76098454|1128157|1036471</v>
      </c>
      <c r="AO88" t="s">
        <v>44</v>
      </c>
      <c r="AP88" t="b">
        <v>1</v>
      </c>
      <c r="AQ88" t="s">
        <v>763</v>
      </c>
    </row>
    <row r="89" spans="1:43" x14ac:dyDescent="0.2">
      <c r="A89" s="14" t="s">
        <v>500</v>
      </c>
      <c r="B89" s="17">
        <v>11478198</v>
      </c>
      <c r="C89" s="14" t="s">
        <v>156</v>
      </c>
      <c r="D89" s="9">
        <v>21465621</v>
      </c>
      <c r="E89" s="9" t="s">
        <v>157</v>
      </c>
      <c r="F89" s="7">
        <v>45839</v>
      </c>
      <c r="G89" s="20" t="s">
        <v>46</v>
      </c>
      <c r="H89" s="8">
        <v>1128157</v>
      </c>
      <c r="I89" s="19">
        <v>66380297</v>
      </c>
      <c r="J89" s="10">
        <v>14413</v>
      </c>
      <c r="K89" s="10">
        <v>0</v>
      </c>
      <c r="L89" s="10">
        <v>14413</v>
      </c>
      <c r="M89" s="10">
        <v>0</v>
      </c>
      <c r="N89" s="11">
        <v>14413</v>
      </c>
      <c r="O89" s="12">
        <v>1128157</v>
      </c>
      <c r="P89" s="9">
        <v>285123</v>
      </c>
      <c r="Q89" s="9" t="s">
        <v>37</v>
      </c>
      <c r="R89" s="13">
        <v>45839</v>
      </c>
      <c r="S89" s="22">
        <v>45839</v>
      </c>
      <c r="T89" s="13">
        <v>45801</v>
      </c>
      <c r="U89" s="13">
        <v>45801</v>
      </c>
      <c r="V89" s="9" t="s">
        <v>155</v>
      </c>
      <c r="W89" s="9">
        <v>23307108</v>
      </c>
      <c r="X89" s="9">
        <v>7241739</v>
      </c>
      <c r="Y89" s="9">
        <v>70359601</v>
      </c>
      <c r="Z89" s="9" t="s">
        <v>39</v>
      </c>
      <c r="AA89" s="9">
        <v>11478198</v>
      </c>
      <c r="AB89" s="9">
        <v>79359</v>
      </c>
      <c r="AC89" s="9" t="s">
        <v>41</v>
      </c>
      <c r="AD89" s="9" t="s">
        <v>158</v>
      </c>
      <c r="AE89" s="9" t="s">
        <v>159</v>
      </c>
      <c r="AF89" s="9" t="s">
        <v>160</v>
      </c>
      <c r="AG89" s="14" t="str">
        <f>+AF89</f>
        <v xml:space="preserve">H.M.Q. Y SERVICIOS HOSPITALARIOS </v>
      </c>
      <c r="AH89" s="9">
        <v>0</v>
      </c>
      <c r="AI89" s="9">
        <v>0</v>
      </c>
      <c r="AJ89" s="9">
        <v>76098454</v>
      </c>
      <c r="AK89" s="9" t="s">
        <v>161</v>
      </c>
      <c r="AL89" s="26" t="s">
        <v>52</v>
      </c>
      <c r="AM89" s="14" t="s">
        <v>527</v>
      </c>
      <c r="AN89" s="27" t="str">
        <f t="shared" si="3"/>
        <v>11478198|76098454|1128157|66380297</v>
      </c>
      <c r="AO89" t="s">
        <v>44</v>
      </c>
      <c r="AP89" t="b">
        <v>0</v>
      </c>
      <c r="AQ89" t="s">
        <v>763</v>
      </c>
    </row>
    <row r="90" spans="1:43" x14ac:dyDescent="0.2">
      <c r="A90" s="14" t="s">
        <v>500</v>
      </c>
      <c r="B90" s="17">
        <v>12407583</v>
      </c>
      <c r="C90" s="14" t="s">
        <v>162</v>
      </c>
      <c r="D90" s="9">
        <v>12407583</v>
      </c>
      <c r="E90" s="9" t="s">
        <v>162</v>
      </c>
      <c r="F90" s="7">
        <v>45689</v>
      </c>
      <c r="G90" s="20" t="s">
        <v>36</v>
      </c>
      <c r="H90" s="8">
        <v>2131977</v>
      </c>
      <c r="I90" s="19">
        <v>978113</v>
      </c>
      <c r="J90" s="10">
        <v>19640</v>
      </c>
      <c r="K90" s="10">
        <v>0</v>
      </c>
      <c r="L90" s="10">
        <v>19640</v>
      </c>
      <c r="M90" s="10">
        <v>0</v>
      </c>
      <c r="N90" s="11">
        <v>19640</v>
      </c>
      <c r="O90" s="12">
        <v>2131977</v>
      </c>
      <c r="P90" s="9">
        <v>285123</v>
      </c>
      <c r="Q90" s="9" t="s">
        <v>37</v>
      </c>
      <c r="R90" s="13">
        <v>45689</v>
      </c>
      <c r="S90" s="22">
        <v>45694</v>
      </c>
      <c r="T90" s="13">
        <v>45673</v>
      </c>
      <c r="U90" s="13">
        <v>45673</v>
      </c>
      <c r="V90" s="9" t="s">
        <v>47</v>
      </c>
      <c r="W90" s="9">
        <v>22562386</v>
      </c>
      <c r="X90" s="9">
        <v>2111044</v>
      </c>
      <c r="Y90" s="9">
        <v>68847539</v>
      </c>
      <c r="Z90" s="9" t="s">
        <v>39</v>
      </c>
      <c r="AA90" s="9">
        <v>2030804</v>
      </c>
      <c r="AB90" s="9">
        <v>77579</v>
      </c>
      <c r="AC90" s="9" t="s">
        <v>41</v>
      </c>
      <c r="AD90" s="9" t="s">
        <v>163</v>
      </c>
      <c r="AE90" s="9" t="s">
        <v>164</v>
      </c>
      <c r="AF90" s="9" t="s">
        <v>124</v>
      </c>
      <c r="AG90" s="14" t="s">
        <v>125</v>
      </c>
      <c r="AH90" s="9">
        <v>0</v>
      </c>
      <c r="AI90" s="9">
        <v>0</v>
      </c>
      <c r="AJ90" s="9">
        <v>76573076</v>
      </c>
      <c r="AK90" s="9">
        <v>7</v>
      </c>
      <c r="AL90" s="26" t="s">
        <v>52</v>
      </c>
      <c r="AM90" s="14" t="s">
        <v>528</v>
      </c>
      <c r="AN90" s="27" t="str">
        <f t="shared" si="3"/>
        <v>12407583|76573076|2131977|978113</v>
      </c>
      <c r="AO90" t="s">
        <v>44</v>
      </c>
      <c r="AP90" t="b">
        <v>0</v>
      </c>
      <c r="AQ90" t="s">
        <v>763</v>
      </c>
    </row>
    <row r="91" spans="1:43" x14ac:dyDescent="0.2">
      <c r="A91" s="14" t="s">
        <v>500</v>
      </c>
      <c r="B91" s="17">
        <v>12407583</v>
      </c>
      <c r="C91" s="14" t="s">
        <v>162</v>
      </c>
      <c r="D91" s="9">
        <v>12407583</v>
      </c>
      <c r="E91" s="9" t="s">
        <v>162</v>
      </c>
      <c r="F91" s="7">
        <v>45689</v>
      </c>
      <c r="G91" s="20" t="s">
        <v>36</v>
      </c>
      <c r="H91" s="8">
        <v>2131977</v>
      </c>
      <c r="I91" s="19">
        <v>978113</v>
      </c>
      <c r="J91" s="10">
        <v>21060</v>
      </c>
      <c r="K91" s="10">
        <v>0</v>
      </c>
      <c r="L91" s="10">
        <v>21060</v>
      </c>
      <c r="M91" s="10">
        <v>0</v>
      </c>
      <c r="N91" s="11">
        <v>21060</v>
      </c>
      <c r="O91" s="12">
        <v>2131977</v>
      </c>
      <c r="P91" s="9">
        <v>285123</v>
      </c>
      <c r="Q91" s="9" t="s">
        <v>37</v>
      </c>
      <c r="R91" s="13">
        <v>45689</v>
      </c>
      <c r="S91" s="22">
        <v>45694</v>
      </c>
      <c r="T91" s="13">
        <v>45673</v>
      </c>
      <c r="U91" s="13">
        <v>45673</v>
      </c>
      <c r="V91" s="9" t="s">
        <v>47</v>
      </c>
      <c r="W91" s="9">
        <v>22562386</v>
      </c>
      <c r="X91" s="9">
        <v>2111044</v>
      </c>
      <c r="Y91" s="9">
        <v>68847539</v>
      </c>
      <c r="Z91" s="9" t="s">
        <v>39</v>
      </c>
      <c r="AA91" s="9">
        <v>2030804</v>
      </c>
      <c r="AB91" s="9">
        <v>77579</v>
      </c>
      <c r="AC91" s="9" t="s">
        <v>41</v>
      </c>
      <c r="AD91" s="9" t="s">
        <v>165</v>
      </c>
      <c r="AE91" s="9" t="s">
        <v>166</v>
      </c>
      <c r="AF91" s="9" t="s">
        <v>124</v>
      </c>
      <c r="AG91" s="14" t="s">
        <v>125</v>
      </c>
      <c r="AH91" s="9">
        <v>0</v>
      </c>
      <c r="AI91" s="9">
        <v>0</v>
      </c>
      <c r="AJ91" s="9">
        <v>76573076</v>
      </c>
      <c r="AK91" s="9">
        <v>7</v>
      </c>
      <c r="AL91" s="26" t="s">
        <v>52</v>
      </c>
      <c r="AM91" s="14" t="s">
        <v>528</v>
      </c>
      <c r="AN91" s="27" t="str">
        <f t="shared" si="3"/>
        <v>12407583|76573076|2131977|978113</v>
      </c>
      <c r="AO91" t="s">
        <v>44</v>
      </c>
      <c r="AP91" t="b">
        <v>0</v>
      </c>
      <c r="AQ91" t="s">
        <v>763</v>
      </c>
    </row>
    <row r="92" spans="1:43" x14ac:dyDescent="0.2">
      <c r="A92" s="14" t="s">
        <v>500</v>
      </c>
      <c r="B92" s="17">
        <v>12407583</v>
      </c>
      <c r="C92" s="14" t="s">
        <v>162</v>
      </c>
      <c r="D92" s="9">
        <v>12407583</v>
      </c>
      <c r="E92" s="9" t="s">
        <v>162</v>
      </c>
      <c r="F92" s="7">
        <v>45717</v>
      </c>
      <c r="G92" s="20" t="s">
        <v>46</v>
      </c>
      <c r="H92" s="8">
        <v>2131977</v>
      </c>
      <c r="I92" s="19">
        <v>65213062</v>
      </c>
      <c r="J92" s="10">
        <v>17289</v>
      </c>
      <c r="K92" s="10">
        <v>0</v>
      </c>
      <c r="L92" s="10">
        <v>17289</v>
      </c>
      <c r="M92" s="10">
        <v>0</v>
      </c>
      <c r="N92" s="11">
        <v>17289</v>
      </c>
      <c r="O92" s="12">
        <v>2131977</v>
      </c>
      <c r="P92" s="9">
        <v>285123</v>
      </c>
      <c r="Q92" s="9" t="s">
        <v>37</v>
      </c>
      <c r="R92" s="13">
        <v>45717</v>
      </c>
      <c r="S92" s="22">
        <v>45733</v>
      </c>
      <c r="T92" s="13">
        <v>45673</v>
      </c>
      <c r="U92" s="13">
        <v>45673</v>
      </c>
      <c r="V92" s="9" t="s">
        <v>47</v>
      </c>
      <c r="W92" s="9">
        <v>22753578</v>
      </c>
      <c r="X92" s="9">
        <v>3251558</v>
      </c>
      <c r="Y92" s="9">
        <v>69156461</v>
      </c>
      <c r="Z92" s="9" t="s">
        <v>39</v>
      </c>
      <c r="AA92" s="9">
        <v>2030804</v>
      </c>
      <c r="AB92" s="9">
        <v>78017</v>
      </c>
      <c r="AC92" s="9" t="s">
        <v>41</v>
      </c>
      <c r="AD92" s="9" t="s">
        <v>165</v>
      </c>
      <c r="AE92" s="9" t="s">
        <v>166</v>
      </c>
      <c r="AF92" s="9" t="s">
        <v>124</v>
      </c>
      <c r="AG92" s="14" t="s">
        <v>125</v>
      </c>
      <c r="AH92" s="9">
        <v>0</v>
      </c>
      <c r="AI92" s="9">
        <v>0</v>
      </c>
      <c r="AJ92" s="9">
        <v>76573076</v>
      </c>
      <c r="AK92" s="9">
        <v>7</v>
      </c>
      <c r="AL92" s="26" t="s">
        <v>52</v>
      </c>
      <c r="AM92" s="14" t="s">
        <v>528</v>
      </c>
      <c r="AN92" s="27" t="str">
        <f t="shared" si="3"/>
        <v>12407583|76573076|2131977|65213062</v>
      </c>
      <c r="AO92" t="s">
        <v>44</v>
      </c>
      <c r="AP92" t="b">
        <v>0</v>
      </c>
      <c r="AQ92" t="s">
        <v>763</v>
      </c>
    </row>
    <row r="93" spans="1:43" x14ac:dyDescent="0.2">
      <c r="A93" s="14" t="s">
        <v>500</v>
      </c>
      <c r="B93" s="17">
        <v>12407583</v>
      </c>
      <c r="C93" s="14" t="s">
        <v>162</v>
      </c>
      <c r="D93" s="9">
        <v>12407583</v>
      </c>
      <c r="E93" s="9" t="s">
        <v>162</v>
      </c>
      <c r="F93" s="7">
        <v>45717</v>
      </c>
      <c r="G93" s="20" t="s">
        <v>46</v>
      </c>
      <c r="H93" s="8">
        <v>2131977</v>
      </c>
      <c r="I93" s="19">
        <v>65213062</v>
      </c>
      <c r="J93" s="10">
        <v>21131</v>
      </c>
      <c r="K93" s="10">
        <v>0</v>
      </c>
      <c r="L93" s="10">
        <v>21131</v>
      </c>
      <c r="M93" s="10">
        <v>0</v>
      </c>
      <c r="N93" s="11">
        <v>21131</v>
      </c>
      <c r="O93" s="12">
        <v>2131977</v>
      </c>
      <c r="P93" s="9">
        <v>285123</v>
      </c>
      <c r="Q93" s="9" t="s">
        <v>37</v>
      </c>
      <c r="R93" s="13">
        <v>45717</v>
      </c>
      <c r="S93" s="22">
        <v>45733</v>
      </c>
      <c r="T93" s="13">
        <v>45673</v>
      </c>
      <c r="U93" s="13">
        <v>45673</v>
      </c>
      <c r="V93" s="9" t="s">
        <v>47</v>
      </c>
      <c r="W93" s="9">
        <v>22753578</v>
      </c>
      <c r="X93" s="9">
        <v>3251558</v>
      </c>
      <c r="Y93" s="9">
        <v>69156461</v>
      </c>
      <c r="Z93" s="9" t="s">
        <v>39</v>
      </c>
      <c r="AA93" s="9">
        <v>2030804</v>
      </c>
      <c r="AB93" s="9">
        <v>78017</v>
      </c>
      <c r="AC93" s="9" t="s">
        <v>41</v>
      </c>
      <c r="AD93" s="9" t="s">
        <v>163</v>
      </c>
      <c r="AE93" s="9" t="s">
        <v>164</v>
      </c>
      <c r="AF93" s="9" t="s">
        <v>124</v>
      </c>
      <c r="AG93" s="14" t="s">
        <v>125</v>
      </c>
      <c r="AH93" s="9">
        <v>0</v>
      </c>
      <c r="AI93" s="9">
        <v>0</v>
      </c>
      <c r="AJ93" s="9">
        <v>76573076</v>
      </c>
      <c r="AK93" s="9">
        <v>7</v>
      </c>
      <c r="AL93" s="26" t="s">
        <v>52</v>
      </c>
      <c r="AM93" s="14" t="s">
        <v>528</v>
      </c>
      <c r="AN93" s="27" t="str">
        <f t="shared" si="3"/>
        <v>12407583|76573076|2131977|65213062</v>
      </c>
      <c r="AO93" t="s">
        <v>44</v>
      </c>
      <c r="AP93" t="b">
        <v>0</v>
      </c>
      <c r="AQ93" t="s">
        <v>763</v>
      </c>
    </row>
    <row r="94" spans="1:43" x14ac:dyDescent="0.2">
      <c r="A94" s="14" t="s">
        <v>500</v>
      </c>
      <c r="B94" s="17">
        <v>8995724</v>
      </c>
      <c r="C94" s="14" t="s">
        <v>167</v>
      </c>
      <c r="D94" s="9">
        <v>8995724</v>
      </c>
      <c r="E94" s="9" t="s">
        <v>167</v>
      </c>
      <c r="F94" s="7">
        <v>45689</v>
      </c>
      <c r="G94" s="20" t="s">
        <v>36</v>
      </c>
      <c r="H94" s="8">
        <v>2169165</v>
      </c>
      <c r="I94" s="19">
        <v>983720</v>
      </c>
      <c r="J94" s="10">
        <v>35980</v>
      </c>
      <c r="K94" s="10">
        <v>14792</v>
      </c>
      <c r="L94" s="10">
        <v>21188</v>
      </c>
      <c r="M94" s="10">
        <v>0</v>
      </c>
      <c r="N94" s="11">
        <v>21188</v>
      </c>
      <c r="O94" s="12">
        <v>2169165</v>
      </c>
      <c r="P94" s="9">
        <v>285123</v>
      </c>
      <c r="Q94" s="9" t="s">
        <v>37</v>
      </c>
      <c r="R94" s="13">
        <v>45699</v>
      </c>
      <c r="S94" s="22">
        <v>45700</v>
      </c>
      <c r="T94" s="13">
        <v>45683</v>
      </c>
      <c r="U94" s="13">
        <v>45683</v>
      </c>
      <c r="V94" s="9" t="s">
        <v>47</v>
      </c>
      <c r="W94" s="9">
        <v>22590861</v>
      </c>
      <c r="X94" s="9">
        <v>2171726</v>
      </c>
      <c r="Y94" s="9">
        <v>68885009</v>
      </c>
      <c r="Z94" s="9" t="s">
        <v>39</v>
      </c>
      <c r="AA94" s="9">
        <v>4101448</v>
      </c>
      <c r="AB94" s="9">
        <v>77628</v>
      </c>
      <c r="AC94" s="9" t="s">
        <v>41</v>
      </c>
      <c r="AD94" s="9" t="s">
        <v>128</v>
      </c>
      <c r="AE94" s="9" t="s">
        <v>129</v>
      </c>
      <c r="AF94" s="9" t="s">
        <v>124</v>
      </c>
      <c r="AG94" s="14" t="s">
        <v>125</v>
      </c>
      <c r="AH94" s="9">
        <v>0</v>
      </c>
      <c r="AI94" s="9">
        <v>0</v>
      </c>
      <c r="AJ94" s="9">
        <v>77140177</v>
      </c>
      <c r="AK94" s="9">
        <v>5</v>
      </c>
      <c r="AL94" s="26" t="s">
        <v>52</v>
      </c>
      <c r="AM94" s="14" t="s">
        <v>529</v>
      </c>
      <c r="AN94" s="27" t="str">
        <f t="shared" si="3"/>
        <v>8995724|77140177|2169165|983720</v>
      </c>
      <c r="AO94" t="s">
        <v>44</v>
      </c>
      <c r="AP94" t="b">
        <v>0</v>
      </c>
      <c r="AQ94" t="s">
        <v>763</v>
      </c>
    </row>
    <row r="95" spans="1:43" x14ac:dyDescent="0.2">
      <c r="A95" s="14" t="s">
        <v>500</v>
      </c>
      <c r="B95" s="17">
        <v>8995724</v>
      </c>
      <c r="C95" s="14" t="s">
        <v>167</v>
      </c>
      <c r="D95" s="9">
        <v>8995724</v>
      </c>
      <c r="E95" s="9" t="s">
        <v>167</v>
      </c>
      <c r="F95" s="7">
        <v>45717</v>
      </c>
      <c r="G95" s="20" t="s">
        <v>46</v>
      </c>
      <c r="H95" s="8">
        <v>2169165</v>
      </c>
      <c r="I95" s="19">
        <v>65212934</v>
      </c>
      <c r="J95" s="10">
        <v>11900</v>
      </c>
      <c r="K95" s="10">
        <v>0</v>
      </c>
      <c r="L95" s="10">
        <v>11900</v>
      </c>
      <c r="M95" s="10">
        <v>0</v>
      </c>
      <c r="N95" s="11">
        <v>11900</v>
      </c>
      <c r="O95" s="12">
        <v>2169165</v>
      </c>
      <c r="P95" s="9">
        <v>285123</v>
      </c>
      <c r="Q95" s="9" t="s">
        <v>37</v>
      </c>
      <c r="R95" s="13">
        <v>45717</v>
      </c>
      <c r="S95" s="22">
        <v>45733</v>
      </c>
      <c r="T95" s="13">
        <v>45686</v>
      </c>
      <c r="U95" s="13">
        <v>45686</v>
      </c>
      <c r="V95" s="9" t="s">
        <v>47</v>
      </c>
      <c r="W95" s="9">
        <v>22753663</v>
      </c>
      <c r="X95" s="9">
        <v>3251558</v>
      </c>
      <c r="Y95" s="9">
        <v>69156344</v>
      </c>
      <c r="Z95" s="9" t="s">
        <v>39</v>
      </c>
      <c r="AA95" s="9">
        <v>4101448</v>
      </c>
      <c r="AB95" s="9">
        <v>78017</v>
      </c>
      <c r="AC95" s="9" t="s">
        <v>41</v>
      </c>
      <c r="AD95" s="9" t="s">
        <v>165</v>
      </c>
      <c r="AE95" s="9" t="s">
        <v>166</v>
      </c>
      <c r="AF95" s="9" t="s">
        <v>124</v>
      </c>
      <c r="AG95" s="14" t="s">
        <v>125</v>
      </c>
      <c r="AH95" s="9">
        <v>0</v>
      </c>
      <c r="AI95" s="9">
        <v>0</v>
      </c>
      <c r="AJ95" s="9">
        <v>76573076</v>
      </c>
      <c r="AK95" s="9">
        <v>7</v>
      </c>
      <c r="AL95" s="26" t="s">
        <v>52</v>
      </c>
      <c r="AM95" s="14" t="s">
        <v>529</v>
      </c>
      <c r="AN95" s="27" t="str">
        <f t="shared" si="3"/>
        <v>8995724|76573076|2169165|65212934</v>
      </c>
      <c r="AO95" t="s">
        <v>44</v>
      </c>
      <c r="AP95" t="b">
        <v>0</v>
      </c>
      <c r="AQ95" t="s">
        <v>763</v>
      </c>
    </row>
    <row r="96" spans="1:43" x14ac:dyDescent="0.2">
      <c r="A96" s="14" t="s">
        <v>500</v>
      </c>
      <c r="B96" s="17">
        <v>13999930</v>
      </c>
      <c r="C96" s="14" t="s">
        <v>168</v>
      </c>
      <c r="D96" s="9">
        <v>13999930</v>
      </c>
      <c r="E96" s="9" t="s">
        <v>168</v>
      </c>
      <c r="F96" s="7">
        <v>45689</v>
      </c>
      <c r="G96" s="20" t="s">
        <v>36</v>
      </c>
      <c r="H96" s="8">
        <v>2346167</v>
      </c>
      <c r="I96" s="19">
        <v>987158</v>
      </c>
      <c r="J96" s="10">
        <v>76265</v>
      </c>
      <c r="K96" s="10">
        <v>43321</v>
      </c>
      <c r="L96" s="10">
        <v>32944</v>
      </c>
      <c r="M96" s="10">
        <v>0</v>
      </c>
      <c r="N96" s="11">
        <v>32944</v>
      </c>
      <c r="O96" s="12">
        <v>2346167</v>
      </c>
      <c r="P96" s="9">
        <v>285123</v>
      </c>
      <c r="Q96" s="9" t="s">
        <v>37</v>
      </c>
      <c r="R96" s="13">
        <v>45708</v>
      </c>
      <c r="S96" s="22">
        <v>45709</v>
      </c>
      <c r="T96" s="13">
        <v>45699</v>
      </c>
      <c r="U96" s="13">
        <v>45699</v>
      </c>
      <c r="V96" s="9" t="s">
        <v>47</v>
      </c>
      <c r="W96" s="9">
        <v>22616429</v>
      </c>
      <c r="X96" s="9">
        <v>2251257</v>
      </c>
      <c r="Y96" s="9">
        <v>68923308</v>
      </c>
      <c r="Z96" s="9" t="s">
        <v>39</v>
      </c>
      <c r="AA96" s="9">
        <v>970753966</v>
      </c>
      <c r="AB96" s="9">
        <v>77692</v>
      </c>
      <c r="AC96" s="9" t="s">
        <v>41</v>
      </c>
      <c r="AD96" s="9" t="s">
        <v>132</v>
      </c>
      <c r="AE96" s="9" t="s">
        <v>133</v>
      </c>
      <c r="AF96" s="9" t="s">
        <v>133</v>
      </c>
      <c r="AG96" s="14" t="str">
        <f>+AF96</f>
        <v>EXAMENES DE LABORATORIO</v>
      </c>
      <c r="AH96" s="9">
        <v>0</v>
      </c>
      <c r="AI96" s="9">
        <v>0</v>
      </c>
      <c r="AJ96" s="9">
        <v>96986050</v>
      </c>
      <c r="AK96" s="9">
        <v>3</v>
      </c>
      <c r="AL96" s="26" t="s">
        <v>169</v>
      </c>
      <c r="AM96" s="14" t="s">
        <v>530</v>
      </c>
      <c r="AN96" s="27" t="str">
        <f t="shared" si="3"/>
        <v>13999930|96986050|2346167|987158</v>
      </c>
      <c r="AO96" t="s">
        <v>44</v>
      </c>
      <c r="AP96" t="b">
        <v>0</v>
      </c>
      <c r="AQ96" t="s">
        <v>763</v>
      </c>
    </row>
    <row r="97" spans="1:43" x14ac:dyDescent="0.2">
      <c r="A97" s="14" t="s">
        <v>500</v>
      </c>
      <c r="B97" s="17">
        <v>13999930</v>
      </c>
      <c r="C97" s="14" t="s">
        <v>168</v>
      </c>
      <c r="D97" s="9">
        <v>13999930</v>
      </c>
      <c r="E97" s="9" t="s">
        <v>168</v>
      </c>
      <c r="F97" s="7">
        <v>45717</v>
      </c>
      <c r="G97" s="20" t="s">
        <v>46</v>
      </c>
      <c r="H97" s="8">
        <v>2346167</v>
      </c>
      <c r="I97" s="19">
        <v>65213121</v>
      </c>
      <c r="J97" s="10">
        <v>9221</v>
      </c>
      <c r="K97" s="10">
        <v>0</v>
      </c>
      <c r="L97" s="10">
        <v>9221</v>
      </c>
      <c r="M97" s="10">
        <v>0</v>
      </c>
      <c r="N97" s="11">
        <v>9221</v>
      </c>
      <c r="O97" s="12">
        <v>2346167</v>
      </c>
      <c r="P97" s="9">
        <v>285123</v>
      </c>
      <c r="Q97" s="9" t="s">
        <v>37</v>
      </c>
      <c r="R97" s="13">
        <v>45717</v>
      </c>
      <c r="S97" s="22">
        <v>45733</v>
      </c>
      <c r="T97" s="13">
        <v>45699</v>
      </c>
      <c r="U97" s="13">
        <v>45699</v>
      </c>
      <c r="V97" s="9" t="s">
        <v>47</v>
      </c>
      <c r="W97" s="9">
        <v>22753763</v>
      </c>
      <c r="X97" s="9">
        <v>3251558</v>
      </c>
      <c r="Y97" s="9">
        <v>69156514</v>
      </c>
      <c r="Z97" s="9" t="s">
        <v>39</v>
      </c>
      <c r="AA97" s="9">
        <v>970753966</v>
      </c>
      <c r="AB97" s="9">
        <v>78017</v>
      </c>
      <c r="AC97" s="9" t="s">
        <v>41</v>
      </c>
      <c r="AD97" s="9" t="s">
        <v>132</v>
      </c>
      <c r="AE97" s="9" t="s">
        <v>133</v>
      </c>
      <c r="AF97" s="9" t="s">
        <v>133</v>
      </c>
      <c r="AG97" s="14" t="str">
        <f>+AF97</f>
        <v>EXAMENES DE LABORATORIO</v>
      </c>
      <c r="AH97" s="9">
        <v>0</v>
      </c>
      <c r="AI97" s="9">
        <v>0</v>
      </c>
      <c r="AJ97" s="9">
        <v>96986050</v>
      </c>
      <c r="AK97" s="9">
        <v>3</v>
      </c>
      <c r="AL97" s="26" t="s">
        <v>52</v>
      </c>
      <c r="AM97" s="14" t="s">
        <v>530</v>
      </c>
      <c r="AN97" s="27" t="str">
        <f t="shared" si="3"/>
        <v>13999930|96986050|2346167|65213121</v>
      </c>
      <c r="AO97" t="s">
        <v>44</v>
      </c>
      <c r="AP97" t="b">
        <v>0</v>
      </c>
      <c r="AQ97" t="s">
        <v>763</v>
      </c>
    </row>
    <row r="98" spans="1:43" x14ac:dyDescent="0.2">
      <c r="A98" s="14" t="s">
        <v>500</v>
      </c>
      <c r="B98" s="17">
        <v>18307619</v>
      </c>
      <c r="C98" s="14" t="s">
        <v>170</v>
      </c>
      <c r="D98" s="9">
        <v>18307619</v>
      </c>
      <c r="E98" s="9" t="s">
        <v>170</v>
      </c>
      <c r="F98" s="7">
        <v>45809</v>
      </c>
      <c r="G98" s="20" t="s">
        <v>36</v>
      </c>
      <c r="H98" s="8">
        <v>2404072</v>
      </c>
      <c r="I98" s="19">
        <v>1040673</v>
      </c>
      <c r="J98" s="10">
        <v>5493</v>
      </c>
      <c r="K98" s="10">
        <v>3845</v>
      </c>
      <c r="L98" s="10">
        <v>1648</v>
      </c>
      <c r="M98" s="10">
        <v>0</v>
      </c>
      <c r="N98" s="11">
        <v>824</v>
      </c>
      <c r="O98" s="12">
        <v>2404072</v>
      </c>
      <c r="P98" s="9">
        <v>285123</v>
      </c>
      <c r="Q98" s="9" t="s">
        <v>37</v>
      </c>
      <c r="R98" s="13">
        <v>45833</v>
      </c>
      <c r="S98" s="22">
        <v>45833.693055555559</v>
      </c>
      <c r="T98" s="13">
        <v>45776</v>
      </c>
      <c r="U98" s="13">
        <v>45776</v>
      </c>
      <c r="V98" s="9"/>
      <c r="W98" s="9" t="s">
        <v>38</v>
      </c>
      <c r="X98" s="9" t="s">
        <v>38</v>
      </c>
      <c r="Y98" s="9" t="s">
        <v>38</v>
      </c>
      <c r="Z98" s="9" t="s">
        <v>39</v>
      </c>
      <c r="AA98" s="9" t="s">
        <v>38</v>
      </c>
      <c r="AB98" s="9" t="s">
        <v>38</v>
      </c>
      <c r="AC98" s="9" t="s">
        <v>41</v>
      </c>
      <c r="AD98" s="9" t="s">
        <v>132</v>
      </c>
      <c r="AE98" s="9" t="s">
        <v>133</v>
      </c>
      <c r="AF98" s="9" t="s">
        <v>133</v>
      </c>
      <c r="AG98" s="14" t="str">
        <f>+AF98</f>
        <v>EXAMENES DE LABORATORIO</v>
      </c>
      <c r="AH98" s="9" t="s">
        <v>44</v>
      </c>
      <c r="AI98" s="9" t="s">
        <v>171</v>
      </c>
      <c r="AJ98" s="9">
        <v>96986050</v>
      </c>
      <c r="AK98" s="9" t="s">
        <v>38</v>
      </c>
      <c r="AL98" s="26" t="s">
        <v>38</v>
      </c>
      <c r="AM98" s="14" t="s">
        <v>531</v>
      </c>
      <c r="AN98" s="27" t="str">
        <f t="shared" si="3"/>
        <v>18307619|96986050|2404072|1040673</v>
      </c>
      <c r="AO98" t="s">
        <v>44</v>
      </c>
      <c r="AP98" t="b">
        <v>1</v>
      </c>
      <c r="AQ98" t="s">
        <v>763</v>
      </c>
    </row>
    <row r="99" spans="1:43" x14ac:dyDescent="0.2">
      <c r="A99" s="14" t="s">
        <v>500</v>
      </c>
      <c r="B99" s="17">
        <v>18307619</v>
      </c>
      <c r="C99" s="14" t="s">
        <v>172</v>
      </c>
      <c r="D99" s="9">
        <v>18307619</v>
      </c>
      <c r="E99" s="9" t="s">
        <v>172</v>
      </c>
      <c r="F99" s="7">
        <v>45839</v>
      </c>
      <c r="G99" s="20" t="s">
        <v>46</v>
      </c>
      <c r="H99" s="8">
        <v>2404072</v>
      </c>
      <c r="I99" s="19">
        <v>66380825</v>
      </c>
      <c r="J99" s="10">
        <v>824</v>
      </c>
      <c r="K99" s="10">
        <v>0</v>
      </c>
      <c r="L99" s="10">
        <v>824</v>
      </c>
      <c r="M99" s="10">
        <v>0</v>
      </c>
      <c r="N99" s="11">
        <v>824</v>
      </c>
      <c r="O99" s="12">
        <v>2404072</v>
      </c>
      <c r="P99" s="9">
        <v>285123</v>
      </c>
      <c r="Q99" s="9" t="s">
        <v>37</v>
      </c>
      <c r="R99" s="13">
        <v>45839</v>
      </c>
      <c r="S99" s="22">
        <v>45839</v>
      </c>
      <c r="T99" s="13">
        <v>45776</v>
      </c>
      <c r="U99" s="13">
        <v>45776</v>
      </c>
      <c r="V99" s="9" t="s">
        <v>47</v>
      </c>
      <c r="W99" s="9">
        <v>23307201</v>
      </c>
      <c r="X99" s="9">
        <v>7241739</v>
      </c>
      <c r="Y99" s="9">
        <v>70359717</v>
      </c>
      <c r="Z99" s="9" t="s">
        <v>39</v>
      </c>
      <c r="AA99" s="9">
        <v>226499717</v>
      </c>
      <c r="AB99" s="9">
        <v>79359</v>
      </c>
      <c r="AC99" s="9" t="s">
        <v>41</v>
      </c>
      <c r="AD99" s="9" t="s">
        <v>132</v>
      </c>
      <c r="AE99" s="9" t="s">
        <v>133</v>
      </c>
      <c r="AF99" s="9" t="s">
        <v>133</v>
      </c>
      <c r="AG99" s="14" t="str">
        <f>+AF99</f>
        <v>EXAMENES DE LABORATORIO</v>
      </c>
      <c r="AH99" s="9">
        <v>0</v>
      </c>
      <c r="AI99" s="9">
        <v>0</v>
      </c>
      <c r="AJ99" s="9">
        <v>96986050</v>
      </c>
      <c r="AK99" s="9">
        <v>3</v>
      </c>
      <c r="AL99" s="26" t="s">
        <v>52</v>
      </c>
      <c r="AM99" s="14" t="s">
        <v>531</v>
      </c>
      <c r="AN99" s="27" t="str">
        <f t="shared" si="3"/>
        <v>18307619|96986050|2404072|66380825</v>
      </c>
      <c r="AO99" t="s">
        <v>44</v>
      </c>
      <c r="AP99" t="b">
        <v>0</v>
      </c>
      <c r="AQ99" t="s">
        <v>763</v>
      </c>
    </row>
    <row r="100" spans="1:43" x14ac:dyDescent="0.2">
      <c r="A100" s="14" t="s">
        <v>500</v>
      </c>
      <c r="B100" s="17">
        <v>10438932</v>
      </c>
      <c r="C100" s="14" t="s">
        <v>173</v>
      </c>
      <c r="D100" s="9">
        <v>10438932</v>
      </c>
      <c r="E100" s="9" t="s">
        <v>173</v>
      </c>
      <c r="F100" s="7">
        <v>45839</v>
      </c>
      <c r="G100" s="20" t="s">
        <v>36</v>
      </c>
      <c r="H100" s="8">
        <v>2655764</v>
      </c>
      <c r="I100" s="19">
        <v>1044893</v>
      </c>
      <c r="J100" s="10">
        <v>36000</v>
      </c>
      <c r="K100" s="10">
        <v>0</v>
      </c>
      <c r="L100" s="10">
        <v>36000</v>
      </c>
      <c r="M100" s="10">
        <v>0</v>
      </c>
      <c r="N100" s="11">
        <v>36000</v>
      </c>
      <c r="O100" s="12">
        <v>2655764</v>
      </c>
      <c r="P100" s="9">
        <v>285123</v>
      </c>
      <c r="Q100" s="9" t="s">
        <v>37</v>
      </c>
      <c r="R100" s="13">
        <v>45841</v>
      </c>
      <c r="S100" s="22">
        <v>45841</v>
      </c>
      <c r="T100" s="13">
        <v>45789</v>
      </c>
      <c r="U100" s="13">
        <v>45789</v>
      </c>
      <c r="V100" s="9" t="s">
        <v>98</v>
      </c>
      <c r="W100" s="9">
        <v>23236429</v>
      </c>
      <c r="X100" s="9">
        <v>7091355</v>
      </c>
      <c r="Y100" s="9">
        <v>70256238</v>
      </c>
      <c r="Z100" s="9" t="s">
        <v>39</v>
      </c>
      <c r="AA100" s="9">
        <v>19996901851</v>
      </c>
      <c r="AB100" s="9">
        <v>79216</v>
      </c>
      <c r="AC100" s="9" t="s">
        <v>88</v>
      </c>
      <c r="AD100" s="9" t="s">
        <v>174</v>
      </c>
      <c r="AE100" s="9" t="s">
        <v>175</v>
      </c>
      <c r="AF100" s="9" t="s">
        <v>103</v>
      </c>
      <c r="AG100" s="14" t="s">
        <v>91</v>
      </c>
      <c r="AH100" s="9">
        <v>0</v>
      </c>
      <c r="AI100" s="9">
        <v>0</v>
      </c>
      <c r="AJ100" s="9">
        <v>99583690</v>
      </c>
      <c r="AK100" s="9">
        <v>4</v>
      </c>
      <c r="AL100" s="26" t="s">
        <v>62</v>
      </c>
      <c r="AM100" s="14" t="s">
        <v>532</v>
      </c>
      <c r="AN100" s="27" t="str">
        <f t="shared" si="3"/>
        <v>10438932|99583690|2655764|1044893</v>
      </c>
      <c r="AO100" t="s">
        <v>44</v>
      </c>
      <c r="AP100" t="b">
        <v>0</v>
      </c>
      <c r="AQ100" t="s">
        <v>763</v>
      </c>
    </row>
    <row r="101" spans="1:43" x14ac:dyDescent="0.2">
      <c r="A101" s="14" t="s">
        <v>500</v>
      </c>
      <c r="B101" s="17">
        <v>10438932</v>
      </c>
      <c r="C101" s="14" t="s">
        <v>173</v>
      </c>
      <c r="D101" s="9">
        <v>10438932</v>
      </c>
      <c r="E101" s="9" t="s">
        <v>173</v>
      </c>
      <c r="F101" s="7">
        <v>45839</v>
      </c>
      <c r="G101" s="20" t="s">
        <v>46</v>
      </c>
      <c r="H101" s="8">
        <v>2655764</v>
      </c>
      <c r="I101" s="19">
        <v>66380108</v>
      </c>
      <c r="J101" s="10">
        <v>36000</v>
      </c>
      <c r="K101" s="10">
        <v>0</v>
      </c>
      <c r="L101" s="10">
        <v>36000</v>
      </c>
      <c r="M101" s="10">
        <v>0</v>
      </c>
      <c r="N101" s="11">
        <v>36000</v>
      </c>
      <c r="O101" s="12">
        <v>2655764</v>
      </c>
      <c r="P101" s="9">
        <v>285123</v>
      </c>
      <c r="Q101" s="9" t="s">
        <v>37</v>
      </c>
      <c r="R101" s="13">
        <v>45839</v>
      </c>
      <c r="S101" s="22">
        <v>45849</v>
      </c>
      <c r="T101" s="13">
        <v>45789</v>
      </c>
      <c r="U101" s="13">
        <v>45789</v>
      </c>
      <c r="V101" s="9" t="s">
        <v>98</v>
      </c>
      <c r="W101" s="9">
        <v>23307900</v>
      </c>
      <c r="X101" s="9">
        <v>7241739</v>
      </c>
      <c r="Y101" s="9">
        <v>70359649</v>
      </c>
      <c r="Z101" s="9" t="s">
        <v>39</v>
      </c>
      <c r="AA101" s="9">
        <v>19996901851</v>
      </c>
      <c r="AB101" s="9">
        <v>79359</v>
      </c>
      <c r="AC101" s="9" t="s">
        <v>88</v>
      </c>
      <c r="AD101" s="9" t="s">
        <v>174</v>
      </c>
      <c r="AE101" s="9" t="s">
        <v>175</v>
      </c>
      <c r="AF101" s="9" t="s">
        <v>103</v>
      </c>
      <c r="AG101" s="14" t="s">
        <v>91</v>
      </c>
      <c r="AH101" s="9">
        <v>0</v>
      </c>
      <c r="AI101" s="9">
        <v>0</v>
      </c>
      <c r="AJ101" s="9">
        <v>99583690</v>
      </c>
      <c r="AK101" s="9">
        <v>4</v>
      </c>
      <c r="AL101" s="26" t="s">
        <v>62</v>
      </c>
      <c r="AM101" s="14" t="s">
        <v>532</v>
      </c>
      <c r="AN101" s="27" t="str">
        <f t="shared" si="3"/>
        <v>10438932|99583690|2655764|66380108</v>
      </c>
      <c r="AO101" t="s">
        <v>44</v>
      </c>
      <c r="AP101" t="b">
        <v>0</v>
      </c>
      <c r="AQ101" t="s">
        <v>763</v>
      </c>
    </row>
    <row r="102" spans="1:43" x14ac:dyDescent="0.2">
      <c r="A102" s="14" t="s">
        <v>500</v>
      </c>
      <c r="B102" s="17">
        <v>16427949</v>
      </c>
      <c r="C102" s="14" t="s">
        <v>176</v>
      </c>
      <c r="D102" s="9">
        <v>23659189</v>
      </c>
      <c r="E102" s="9" t="s">
        <v>177</v>
      </c>
      <c r="F102" s="7">
        <v>45809</v>
      </c>
      <c r="G102" s="20" t="s">
        <v>36</v>
      </c>
      <c r="H102" s="8">
        <v>3112813</v>
      </c>
      <c r="I102" s="19">
        <v>1035627</v>
      </c>
      <c r="J102" s="10">
        <v>67477</v>
      </c>
      <c r="K102" s="10">
        <v>0</v>
      </c>
      <c r="L102" s="10">
        <v>67477</v>
      </c>
      <c r="M102" s="10">
        <v>0</v>
      </c>
      <c r="N102" s="11">
        <v>50608</v>
      </c>
      <c r="O102" s="12">
        <v>3112813</v>
      </c>
      <c r="P102" s="9">
        <v>285123</v>
      </c>
      <c r="Q102" s="9" t="s">
        <v>37</v>
      </c>
      <c r="R102" s="13">
        <v>45821</v>
      </c>
      <c r="S102" s="22">
        <v>45821.490451388891</v>
      </c>
      <c r="T102" s="13">
        <v>45797</v>
      </c>
      <c r="U102" s="13">
        <v>45797</v>
      </c>
      <c r="V102" s="9"/>
      <c r="W102" s="9" t="s">
        <v>38</v>
      </c>
      <c r="X102" s="9" t="s">
        <v>38</v>
      </c>
      <c r="Y102" s="9" t="s">
        <v>38</v>
      </c>
      <c r="Z102" s="9" t="s">
        <v>39</v>
      </c>
      <c r="AA102" s="9" t="s">
        <v>38</v>
      </c>
      <c r="AB102" s="9" t="s">
        <v>38</v>
      </c>
      <c r="AC102" s="9" t="s">
        <v>41</v>
      </c>
      <c r="AD102" s="9" t="s">
        <v>132</v>
      </c>
      <c r="AE102" s="9" t="s">
        <v>133</v>
      </c>
      <c r="AF102" s="9" t="s">
        <v>133</v>
      </c>
      <c r="AG102" s="14" t="str">
        <f t="shared" ref="AG102:AG107" si="5">+AF102</f>
        <v>EXAMENES DE LABORATORIO</v>
      </c>
      <c r="AH102" s="9" t="s">
        <v>44</v>
      </c>
      <c r="AI102" s="9" t="s">
        <v>178</v>
      </c>
      <c r="AJ102" s="9">
        <v>99573490</v>
      </c>
      <c r="AK102" s="9" t="s">
        <v>38</v>
      </c>
      <c r="AL102" s="26" t="s">
        <v>38</v>
      </c>
      <c r="AM102" s="14" t="s">
        <v>533</v>
      </c>
      <c r="AN102" s="27" t="str">
        <f t="shared" si="3"/>
        <v>16427949|99573490|3112813|1035627</v>
      </c>
      <c r="AO102" t="s">
        <v>44</v>
      </c>
      <c r="AP102" t="b">
        <v>1</v>
      </c>
      <c r="AQ102" t="s">
        <v>763</v>
      </c>
    </row>
    <row r="103" spans="1:43" x14ac:dyDescent="0.2">
      <c r="A103" s="14" t="s">
        <v>500</v>
      </c>
      <c r="B103" s="17">
        <v>16427949</v>
      </c>
      <c r="C103" s="14" t="s">
        <v>179</v>
      </c>
      <c r="D103" s="9">
        <v>23659189</v>
      </c>
      <c r="E103" s="9" t="s">
        <v>180</v>
      </c>
      <c r="F103" s="7">
        <v>45839</v>
      </c>
      <c r="G103" s="20" t="s">
        <v>46</v>
      </c>
      <c r="H103" s="8">
        <v>3112813</v>
      </c>
      <c r="I103" s="19">
        <v>66379819</v>
      </c>
      <c r="J103" s="10">
        <v>50608</v>
      </c>
      <c r="K103" s="10">
        <v>0</v>
      </c>
      <c r="L103" s="10">
        <v>50608</v>
      </c>
      <c r="M103" s="10">
        <v>0</v>
      </c>
      <c r="N103" s="11">
        <v>50608</v>
      </c>
      <c r="O103" s="12">
        <v>3112813</v>
      </c>
      <c r="P103" s="9">
        <v>285123</v>
      </c>
      <c r="Q103" s="9" t="s">
        <v>37</v>
      </c>
      <c r="R103" s="13">
        <v>45839</v>
      </c>
      <c r="S103" s="22">
        <v>45839</v>
      </c>
      <c r="T103" s="13">
        <v>45797</v>
      </c>
      <c r="U103" s="13">
        <v>45797</v>
      </c>
      <c r="V103" s="9" t="s">
        <v>47</v>
      </c>
      <c r="W103" s="9">
        <v>23307173</v>
      </c>
      <c r="X103" s="9">
        <v>7241739</v>
      </c>
      <c r="Y103" s="9">
        <v>70359506</v>
      </c>
      <c r="Z103" s="9" t="s">
        <v>39</v>
      </c>
      <c r="AA103" s="9">
        <v>36670179791</v>
      </c>
      <c r="AB103" s="9">
        <v>79359</v>
      </c>
      <c r="AC103" s="9" t="s">
        <v>41</v>
      </c>
      <c r="AD103" s="9" t="s">
        <v>132</v>
      </c>
      <c r="AE103" s="9" t="s">
        <v>133</v>
      </c>
      <c r="AF103" s="9" t="s">
        <v>133</v>
      </c>
      <c r="AG103" s="14" t="str">
        <f t="shared" si="5"/>
        <v>EXAMENES DE LABORATORIO</v>
      </c>
      <c r="AH103" s="9">
        <v>0</v>
      </c>
      <c r="AI103" s="9">
        <v>0</v>
      </c>
      <c r="AJ103" s="9">
        <v>99573490</v>
      </c>
      <c r="AK103" s="9">
        <v>7</v>
      </c>
      <c r="AL103" s="26" t="s">
        <v>52</v>
      </c>
      <c r="AM103" s="14" t="s">
        <v>533</v>
      </c>
      <c r="AN103" s="27" t="str">
        <f t="shared" si="3"/>
        <v>16427949|99573490|3112813|66379819</v>
      </c>
      <c r="AO103" t="s">
        <v>44</v>
      </c>
      <c r="AP103" t="b">
        <v>0</v>
      </c>
      <c r="AQ103" t="s">
        <v>763</v>
      </c>
    </row>
    <row r="104" spans="1:43" x14ac:dyDescent="0.2">
      <c r="A104" s="14" t="s">
        <v>500</v>
      </c>
      <c r="B104" s="17">
        <v>11478198</v>
      </c>
      <c r="C104" s="14" t="s">
        <v>151</v>
      </c>
      <c r="D104" s="9">
        <v>21465621</v>
      </c>
      <c r="E104" s="9" t="s">
        <v>152</v>
      </c>
      <c r="F104" s="7">
        <v>45809</v>
      </c>
      <c r="G104" s="20" t="s">
        <v>36</v>
      </c>
      <c r="H104" s="8">
        <v>5165059</v>
      </c>
      <c r="I104" s="19">
        <v>1036466</v>
      </c>
      <c r="J104" s="10">
        <v>7945</v>
      </c>
      <c r="K104" s="10">
        <v>0</v>
      </c>
      <c r="L104" s="10">
        <v>7945</v>
      </c>
      <c r="M104" s="10">
        <v>0</v>
      </c>
      <c r="N104" s="11">
        <v>7945</v>
      </c>
      <c r="O104" s="12">
        <v>5165059</v>
      </c>
      <c r="P104" s="9">
        <v>285123</v>
      </c>
      <c r="Q104" s="9" t="s">
        <v>37</v>
      </c>
      <c r="R104" s="13">
        <v>45824</v>
      </c>
      <c r="S104" s="22">
        <v>45824.491087962961</v>
      </c>
      <c r="T104" s="13">
        <v>45792</v>
      </c>
      <c r="U104" s="13">
        <v>45792</v>
      </c>
      <c r="V104" s="9"/>
      <c r="W104" s="9" t="s">
        <v>38</v>
      </c>
      <c r="X104" s="9" t="s">
        <v>38</v>
      </c>
      <c r="Y104" s="9" t="s">
        <v>38</v>
      </c>
      <c r="Z104" s="9" t="s">
        <v>39</v>
      </c>
      <c r="AA104" s="9" t="s">
        <v>38</v>
      </c>
      <c r="AB104" s="9" t="s">
        <v>38</v>
      </c>
      <c r="AC104" s="9" t="s">
        <v>41</v>
      </c>
      <c r="AD104" s="9" t="s">
        <v>65</v>
      </c>
      <c r="AE104" s="9" t="s">
        <v>66</v>
      </c>
      <c r="AF104" s="9" t="s">
        <v>66</v>
      </c>
      <c r="AG104" s="14" t="str">
        <f t="shared" si="5"/>
        <v>PROCEDIMIENTOS TERAPEUTICOS</v>
      </c>
      <c r="AH104" s="9" t="s">
        <v>44</v>
      </c>
      <c r="AI104" s="9" t="s">
        <v>154</v>
      </c>
      <c r="AJ104" s="9">
        <v>79980070</v>
      </c>
      <c r="AK104" s="9" t="s">
        <v>38</v>
      </c>
      <c r="AL104" s="26" t="s">
        <v>38</v>
      </c>
      <c r="AM104" s="14" t="s">
        <v>527</v>
      </c>
      <c r="AN104" s="27" t="str">
        <f t="shared" si="3"/>
        <v>11478198|79980070|5165059|1036466</v>
      </c>
      <c r="AO104" t="s">
        <v>44</v>
      </c>
      <c r="AP104" t="b">
        <v>1</v>
      </c>
      <c r="AQ104" t="s">
        <v>763</v>
      </c>
    </row>
    <row r="105" spans="1:43" x14ac:dyDescent="0.2">
      <c r="A105" s="14" t="s">
        <v>500</v>
      </c>
      <c r="B105" s="17">
        <v>11478198</v>
      </c>
      <c r="C105" s="14" t="s">
        <v>156</v>
      </c>
      <c r="D105" s="9">
        <v>21465621</v>
      </c>
      <c r="E105" s="9" t="s">
        <v>157</v>
      </c>
      <c r="F105" s="7">
        <v>45839</v>
      </c>
      <c r="G105" s="20" t="s">
        <v>46</v>
      </c>
      <c r="H105" s="8">
        <v>5165059</v>
      </c>
      <c r="I105" s="19">
        <v>66380291</v>
      </c>
      <c r="J105" s="10">
        <v>7945</v>
      </c>
      <c r="K105" s="10">
        <v>0</v>
      </c>
      <c r="L105" s="10">
        <v>7945</v>
      </c>
      <c r="M105" s="10">
        <v>0</v>
      </c>
      <c r="N105" s="11">
        <v>7945</v>
      </c>
      <c r="O105" s="12">
        <v>5165059</v>
      </c>
      <c r="P105" s="9">
        <v>285123</v>
      </c>
      <c r="Q105" s="9" t="s">
        <v>37</v>
      </c>
      <c r="R105" s="13">
        <v>45839</v>
      </c>
      <c r="S105" s="22">
        <v>45839</v>
      </c>
      <c r="T105" s="13">
        <v>45792</v>
      </c>
      <c r="U105" s="13">
        <v>45792</v>
      </c>
      <c r="V105" s="9" t="s">
        <v>47</v>
      </c>
      <c r="W105" s="9">
        <v>23307108</v>
      </c>
      <c r="X105" s="9">
        <v>7241739</v>
      </c>
      <c r="Y105" s="9">
        <v>70359600</v>
      </c>
      <c r="Z105" s="9" t="s">
        <v>39</v>
      </c>
      <c r="AA105" s="9">
        <v>11478198</v>
      </c>
      <c r="AB105" s="9">
        <v>79359</v>
      </c>
      <c r="AC105" s="9" t="s">
        <v>41</v>
      </c>
      <c r="AD105" s="9" t="s">
        <v>65</v>
      </c>
      <c r="AE105" s="9" t="s">
        <v>66</v>
      </c>
      <c r="AF105" s="9" t="s">
        <v>66</v>
      </c>
      <c r="AG105" s="14" t="str">
        <f t="shared" si="5"/>
        <v>PROCEDIMIENTOS TERAPEUTICOS</v>
      </c>
      <c r="AH105" s="9">
        <v>0</v>
      </c>
      <c r="AI105" s="9">
        <v>0</v>
      </c>
      <c r="AJ105" s="9">
        <v>79980070</v>
      </c>
      <c r="AK105" s="9">
        <v>5</v>
      </c>
      <c r="AL105" s="26" t="s">
        <v>52</v>
      </c>
      <c r="AM105" s="14" t="s">
        <v>527</v>
      </c>
      <c r="AN105" s="27" t="str">
        <f t="shared" si="3"/>
        <v>11478198|79980070|5165059|66380291</v>
      </c>
      <c r="AO105" t="s">
        <v>44</v>
      </c>
      <c r="AP105" t="b">
        <v>0</v>
      </c>
      <c r="AQ105" t="s">
        <v>763</v>
      </c>
    </row>
    <row r="106" spans="1:43" x14ac:dyDescent="0.2">
      <c r="A106" s="14" t="s">
        <v>500</v>
      </c>
      <c r="B106" s="17">
        <v>11478198</v>
      </c>
      <c r="C106" s="14" t="s">
        <v>151</v>
      </c>
      <c r="D106" s="9">
        <v>21465621</v>
      </c>
      <c r="E106" s="9" t="s">
        <v>152</v>
      </c>
      <c r="F106" s="7">
        <v>45809</v>
      </c>
      <c r="G106" s="20" t="s">
        <v>36</v>
      </c>
      <c r="H106" s="8">
        <v>5325974</v>
      </c>
      <c r="I106" s="19">
        <v>1036465</v>
      </c>
      <c r="J106" s="10">
        <v>56551</v>
      </c>
      <c r="K106" s="10">
        <v>0</v>
      </c>
      <c r="L106" s="10">
        <v>56551</v>
      </c>
      <c r="M106" s="10">
        <v>0</v>
      </c>
      <c r="N106" s="11">
        <v>56551</v>
      </c>
      <c r="O106" s="12">
        <v>5325974</v>
      </c>
      <c r="P106" s="9">
        <v>285123</v>
      </c>
      <c r="Q106" s="9" t="s">
        <v>37</v>
      </c>
      <c r="R106" s="13">
        <v>45824</v>
      </c>
      <c r="S106" s="22">
        <v>45824.489675925928</v>
      </c>
      <c r="T106" s="13">
        <v>45792</v>
      </c>
      <c r="U106" s="13">
        <v>45792</v>
      </c>
      <c r="V106" s="9"/>
      <c r="W106" s="9" t="s">
        <v>38</v>
      </c>
      <c r="X106" s="9" t="s">
        <v>38</v>
      </c>
      <c r="Y106" s="9" t="s">
        <v>38</v>
      </c>
      <c r="Z106" s="9" t="s">
        <v>39</v>
      </c>
      <c r="AA106" s="9" t="s">
        <v>38</v>
      </c>
      <c r="AB106" s="9" t="s">
        <v>38</v>
      </c>
      <c r="AC106" s="9" t="s">
        <v>41</v>
      </c>
      <c r="AD106" s="9" t="s">
        <v>65</v>
      </c>
      <c r="AE106" s="9" t="s">
        <v>66</v>
      </c>
      <c r="AF106" s="9" t="s">
        <v>66</v>
      </c>
      <c r="AG106" s="14" t="str">
        <f t="shared" si="5"/>
        <v>PROCEDIMIENTOS TERAPEUTICOS</v>
      </c>
      <c r="AH106" s="9" t="s">
        <v>44</v>
      </c>
      <c r="AI106" s="9" t="s">
        <v>154</v>
      </c>
      <c r="AJ106" s="9">
        <v>96530470</v>
      </c>
      <c r="AK106" s="9" t="s">
        <v>38</v>
      </c>
      <c r="AL106" s="26" t="s">
        <v>38</v>
      </c>
      <c r="AM106" s="14" t="s">
        <v>527</v>
      </c>
      <c r="AN106" s="27" t="str">
        <f t="shared" si="3"/>
        <v>11478198|96530470|5325974|1036465</v>
      </c>
      <c r="AO106" t="s">
        <v>44</v>
      </c>
      <c r="AP106" t="b">
        <v>1</v>
      </c>
      <c r="AQ106" t="s">
        <v>763</v>
      </c>
    </row>
    <row r="107" spans="1:43" x14ac:dyDescent="0.2">
      <c r="A107" s="14" t="s">
        <v>500</v>
      </c>
      <c r="B107" s="17">
        <v>11478198</v>
      </c>
      <c r="C107" s="14" t="s">
        <v>156</v>
      </c>
      <c r="D107" s="9">
        <v>21465621</v>
      </c>
      <c r="E107" s="9" t="s">
        <v>157</v>
      </c>
      <c r="F107" s="7">
        <v>45839</v>
      </c>
      <c r="G107" s="20" t="s">
        <v>46</v>
      </c>
      <c r="H107" s="8">
        <v>5325974</v>
      </c>
      <c r="I107" s="19">
        <v>66380289</v>
      </c>
      <c r="J107" s="10">
        <v>56551</v>
      </c>
      <c r="K107" s="10">
        <v>0</v>
      </c>
      <c r="L107" s="10">
        <v>56551</v>
      </c>
      <c r="M107" s="10">
        <v>0</v>
      </c>
      <c r="N107" s="11">
        <v>56551</v>
      </c>
      <c r="O107" s="12">
        <v>5325974</v>
      </c>
      <c r="P107" s="9">
        <v>285123</v>
      </c>
      <c r="Q107" s="9" t="s">
        <v>37</v>
      </c>
      <c r="R107" s="13">
        <v>45839</v>
      </c>
      <c r="S107" s="22">
        <v>45839</v>
      </c>
      <c r="T107" s="13">
        <v>45792</v>
      </c>
      <c r="U107" s="13">
        <v>45792</v>
      </c>
      <c r="V107" s="9" t="s">
        <v>47</v>
      </c>
      <c r="W107" s="9">
        <v>23307108</v>
      </c>
      <c r="X107" s="9">
        <v>7241739</v>
      </c>
      <c r="Y107" s="9">
        <v>70359598</v>
      </c>
      <c r="Z107" s="9" t="s">
        <v>39</v>
      </c>
      <c r="AA107" s="9">
        <v>11478198</v>
      </c>
      <c r="AB107" s="9">
        <v>79359</v>
      </c>
      <c r="AC107" s="9" t="s">
        <v>41</v>
      </c>
      <c r="AD107" s="9" t="s">
        <v>65</v>
      </c>
      <c r="AE107" s="9" t="s">
        <v>66</v>
      </c>
      <c r="AF107" s="9" t="s">
        <v>66</v>
      </c>
      <c r="AG107" s="14" t="str">
        <f t="shared" si="5"/>
        <v>PROCEDIMIENTOS TERAPEUTICOS</v>
      </c>
      <c r="AH107" s="9">
        <v>0</v>
      </c>
      <c r="AI107" s="9">
        <v>0</v>
      </c>
      <c r="AJ107" s="9">
        <v>96530470</v>
      </c>
      <c r="AK107" s="9">
        <v>3</v>
      </c>
      <c r="AL107" s="26" t="s">
        <v>52</v>
      </c>
      <c r="AM107" s="14" t="s">
        <v>527</v>
      </c>
      <c r="AN107" s="27" t="str">
        <f t="shared" si="3"/>
        <v>11478198|96530470|5325974|66380289</v>
      </c>
      <c r="AO107" t="s">
        <v>44</v>
      </c>
      <c r="AP107" t="b">
        <v>0</v>
      </c>
      <c r="AQ107" t="s">
        <v>763</v>
      </c>
    </row>
    <row r="108" spans="1:43" x14ac:dyDescent="0.2">
      <c r="A108" s="14" t="s">
        <v>500</v>
      </c>
      <c r="B108" s="17">
        <v>8090641</v>
      </c>
      <c r="C108" s="14" t="s">
        <v>181</v>
      </c>
      <c r="D108" s="9">
        <v>8090641</v>
      </c>
      <c r="E108" s="9" t="s">
        <v>181</v>
      </c>
      <c r="F108" s="7">
        <v>45689</v>
      </c>
      <c r="G108" s="20" t="s">
        <v>36</v>
      </c>
      <c r="H108" s="8">
        <v>8119829</v>
      </c>
      <c r="I108" s="19">
        <v>985151</v>
      </c>
      <c r="J108" s="10">
        <v>17784</v>
      </c>
      <c r="K108" s="10">
        <v>0</v>
      </c>
      <c r="L108" s="10">
        <v>17784</v>
      </c>
      <c r="M108" s="10">
        <v>0</v>
      </c>
      <c r="N108" s="11">
        <v>17784</v>
      </c>
      <c r="O108" s="12">
        <v>8119829</v>
      </c>
      <c r="P108" s="9">
        <v>285123</v>
      </c>
      <c r="Q108" s="9" t="s">
        <v>37</v>
      </c>
      <c r="R108" s="13">
        <v>45703</v>
      </c>
      <c r="S108" s="22">
        <v>45712</v>
      </c>
      <c r="T108" s="13">
        <v>45671</v>
      </c>
      <c r="U108" s="13">
        <v>45671</v>
      </c>
      <c r="V108" s="9" t="s">
        <v>47</v>
      </c>
      <c r="W108" s="9">
        <v>22640299</v>
      </c>
      <c r="X108" s="9">
        <v>3031016</v>
      </c>
      <c r="Y108" s="9">
        <v>68929372</v>
      </c>
      <c r="Z108" s="9" t="s">
        <v>39</v>
      </c>
      <c r="AA108" s="9">
        <v>1850449800</v>
      </c>
      <c r="AB108" s="9">
        <v>77739</v>
      </c>
      <c r="AC108" s="9" t="s">
        <v>41</v>
      </c>
      <c r="AD108" s="9" t="s">
        <v>128</v>
      </c>
      <c r="AE108" s="9" t="s">
        <v>129</v>
      </c>
      <c r="AF108" s="9" t="s">
        <v>124</v>
      </c>
      <c r="AG108" s="14" t="s">
        <v>125</v>
      </c>
      <c r="AH108" s="9">
        <v>0</v>
      </c>
      <c r="AI108" s="9">
        <v>0</v>
      </c>
      <c r="AJ108" s="9">
        <v>70335000</v>
      </c>
      <c r="AK108" s="9">
        <v>3</v>
      </c>
      <c r="AL108" s="26" t="s">
        <v>52</v>
      </c>
      <c r="AM108" s="14" t="s">
        <v>534</v>
      </c>
      <c r="AN108" s="27" t="str">
        <f t="shared" si="3"/>
        <v>8090641|70335000|8119829|985151</v>
      </c>
      <c r="AO108" t="s">
        <v>44</v>
      </c>
      <c r="AP108" t="b">
        <v>0</v>
      </c>
      <c r="AQ108" t="s">
        <v>763</v>
      </c>
    </row>
    <row r="109" spans="1:43" x14ac:dyDescent="0.2">
      <c r="A109" s="14" t="s">
        <v>500</v>
      </c>
      <c r="B109" s="17">
        <v>8090641</v>
      </c>
      <c r="C109" s="14" t="s">
        <v>181</v>
      </c>
      <c r="D109" s="9">
        <v>8090641</v>
      </c>
      <c r="E109" s="9" t="s">
        <v>181</v>
      </c>
      <c r="F109" s="7">
        <v>45689</v>
      </c>
      <c r="G109" s="20" t="s">
        <v>36</v>
      </c>
      <c r="H109" s="8">
        <v>8119829</v>
      </c>
      <c r="I109" s="19">
        <v>985151</v>
      </c>
      <c r="J109" s="10">
        <v>6354</v>
      </c>
      <c r="K109" s="10">
        <v>0</v>
      </c>
      <c r="L109" s="10">
        <v>6354</v>
      </c>
      <c r="M109" s="10">
        <v>0</v>
      </c>
      <c r="N109" s="11">
        <v>6354</v>
      </c>
      <c r="O109" s="12">
        <v>8119829</v>
      </c>
      <c r="P109" s="9">
        <v>285123</v>
      </c>
      <c r="Q109" s="9" t="s">
        <v>37</v>
      </c>
      <c r="R109" s="13">
        <v>45703</v>
      </c>
      <c r="S109" s="22">
        <v>45712</v>
      </c>
      <c r="T109" s="13">
        <v>45671</v>
      </c>
      <c r="U109" s="13">
        <v>45671</v>
      </c>
      <c r="V109" s="9" t="s">
        <v>47</v>
      </c>
      <c r="W109" s="9">
        <v>22640299</v>
      </c>
      <c r="X109" s="9">
        <v>3031016</v>
      </c>
      <c r="Y109" s="9">
        <v>68929372</v>
      </c>
      <c r="Z109" s="9" t="s">
        <v>39</v>
      </c>
      <c r="AA109" s="9">
        <v>1850449800</v>
      </c>
      <c r="AB109" s="9">
        <v>77739</v>
      </c>
      <c r="AC109" s="9" t="s">
        <v>41</v>
      </c>
      <c r="AD109" s="9" t="s">
        <v>182</v>
      </c>
      <c r="AE109" s="9" t="s">
        <v>183</v>
      </c>
      <c r="AF109" s="9" t="s">
        <v>184</v>
      </c>
      <c r="AG109" s="14" t="s">
        <v>125</v>
      </c>
      <c r="AH109" s="9">
        <v>0</v>
      </c>
      <c r="AI109" s="9">
        <v>0</v>
      </c>
      <c r="AJ109" s="9">
        <v>70335000</v>
      </c>
      <c r="AK109" s="9">
        <v>3</v>
      </c>
      <c r="AL109" s="26" t="s">
        <v>52</v>
      </c>
      <c r="AM109" s="14" t="s">
        <v>534</v>
      </c>
      <c r="AN109" s="27" t="str">
        <f t="shared" si="3"/>
        <v>8090641|70335000|8119829|985151</v>
      </c>
      <c r="AO109" t="s">
        <v>44</v>
      </c>
      <c r="AP109" t="b">
        <v>0</v>
      </c>
      <c r="AQ109" t="s">
        <v>763</v>
      </c>
    </row>
    <row r="110" spans="1:43" x14ac:dyDescent="0.2">
      <c r="A110" s="14" t="s">
        <v>500</v>
      </c>
      <c r="B110" s="17">
        <v>8090641</v>
      </c>
      <c r="C110" s="14" t="s">
        <v>181</v>
      </c>
      <c r="D110" s="9">
        <v>8090641</v>
      </c>
      <c r="E110" s="9" t="s">
        <v>181</v>
      </c>
      <c r="F110" s="7">
        <v>45717</v>
      </c>
      <c r="G110" s="20" t="s">
        <v>46</v>
      </c>
      <c r="H110" s="8">
        <v>8119829</v>
      </c>
      <c r="I110" s="19">
        <v>65212910</v>
      </c>
      <c r="J110" s="10">
        <v>23924</v>
      </c>
      <c r="K110" s="10">
        <v>0</v>
      </c>
      <c r="L110" s="10">
        <v>23924</v>
      </c>
      <c r="M110" s="10">
        <v>0</v>
      </c>
      <c r="N110" s="11">
        <v>23924</v>
      </c>
      <c r="O110" s="12">
        <v>8119829</v>
      </c>
      <c r="P110" s="9">
        <v>285123</v>
      </c>
      <c r="Q110" s="9" t="s">
        <v>37</v>
      </c>
      <c r="R110" s="13">
        <v>45717</v>
      </c>
      <c r="S110" s="22">
        <v>45733</v>
      </c>
      <c r="T110" s="13">
        <v>45671</v>
      </c>
      <c r="U110" s="13">
        <v>45671</v>
      </c>
      <c r="V110" s="9" t="s">
        <v>47</v>
      </c>
      <c r="W110" s="9">
        <v>22753802</v>
      </c>
      <c r="X110" s="9">
        <v>3251558</v>
      </c>
      <c r="Y110" s="9">
        <v>69156323</v>
      </c>
      <c r="Z110" s="9" t="s">
        <v>39</v>
      </c>
      <c r="AA110" s="9">
        <v>1850449800</v>
      </c>
      <c r="AB110" s="9">
        <v>78017</v>
      </c>
      <c r="AC110" s="9" t="s">
        <v>41</v>
      </c>
      <c r="AD110" s="9" t="s">
        <v>182</v>
      </c>
      <c r="AE110" s="9" t="s">
        <v>183</v>
      </c>
      <c r="AF110" s="9" t="s">
        <v>184</v>
      </c>
      <c r="AG110" s="14" t="s">
        <v>125</v>
      </c>
      <c r="AH110" s="9">
        <v>0</v>
      </c>
      <c r="AI110" s="9">
        <v>0</v>
      </c>
      <c r="AJ110" s="9">
        <v>70335000</v>
      </c>
      <c r="AK110" s="9">
        <v>3</v>
      </c>
      <c r="AL110" s="26" t="s">
        <v>52</v>
      </c>
      <c r="AM110" s="14" t="s">
        <v>534</v>
      </c>
      <c r="AN110" s="27" t="str">
        <f t="shared" si="3"/>
        <v>8090641|70335000|8119829|65212910</v>
      </c>
      <c r="AO110" t="s">
        <v>44</v>
      </c>
      <c r="AP110" t="b">
        <v>0</v>
      </c>
      <c r="AQ110" t="s">
        <v>763</v>
      </c>
    </row>
    <row r="111" spans="1:43" x14ac:dyDescent="0.2">
      <c r="A111" s="14" t="s">
        <v>500</v>
      </c>
      <c r="B111" s="17">
        <v>8665623</v>
      </c>
      <c r="C111" s="14" t="s">
        <v>185</v>
      </c>
      <c r="D111" s="9">
        <v>8665623</v>
      </c>
      <c r="E111" s="9" t="s">
        <v>185</v>
      </c>
      <c r="F111" s="7">
        <v>45689</v>
      </c>
      <c r="G111" s="20" t="s">
        <v>36</v>
      </c>
      <c r="H111" s="8">
        <v>8187703</v>
      </c>
      <c r="I111" s="19">
        <v>985477</v>
      </c>
      <c r="J111" s="10">
        <v>26730</v>
      </c>
      <c r="K111" s="10">
        <v>0</v>
      </c>
      <c r="L111" s="10">
        <v>26730</v>
      </c>
      <c r="M111" s="10">
        <v>0</v>
      </c>
      <c r="N111" s="11">
        <v>26730</v>
      </c>
      <c r="O111" s="12">
        <v>8187703</v>
      </c>
      <c r="P111" s="9">
        <v>285123</v>
      </c>
      <c r="Q111" s="9" t="s">
        <v>37</v>
      </c>
      <c r="R111" s="13">
        <v>45705</v>
      </c>
      <c r="S111" s="22">
        <v>45712</v>
      </c>
      <c r="T111" s="13">
        <v>45694</v>
      </c>
      <c r="U111" s="13">
        <v>45694</v>
      </c>
      <c r="V111" s="9" t="s">
        <v>47</v>
      </c>
      <c r="W111" s="9">
        <v>22640313</v>
      </c>
      <c r="X111" s="9">
        <v>3031016</v>
      </c>
      <c r="Y111" s="9">
        <v>68929547</v>
      </c>
      <c r="Z111" s="9" t="s">
        <v>39</v>
      </c>
      <c r="AA111" s="9">
        <v>61932348</v>
      </c>
      <c r="AB111" s="9">
        <v>77739</v>
      </c>
      <c r="AC111" s="9" t="s">
        <v>41</v>
      </c>
      <c r="AD111" s="9" t="s">
        <v>182</v>
      </c>
      <c r="AE111" s="9" t="s">
        <v>183</v>
      </c>
      <c r="AF111" s="9" t="s">
        <v>184</v>
      </c>
      <c r="AG111" s="14" t="s">
        <v>125</v>
      </c>
      <c r="AH111" s="9">
        <v>0</v>
      </c>
      <c r="AI111" s="9">
        <v>0</v>
      </c>
      <c r="AJ111" s="9">
        <v>70335000</v>
      </c>
      <c r="AK111" s="9">
        <v>3</v>
      </c>
      <c r="AL111" s="26" t="s">
        <v>52</v>
      </c>
      <c r="AM111" s="14" t="s">
        <v>535</v>
      </c>
      <c r="AN111" s="27" t="str">
        <f t="shared" si="3"/>
        <v>8665623|70335000|8187703|985477</v>
      </c>
      <c r="AO111" t="s">
        <v>44</v>
      </c>
      <c r="AP111" t="b">
        <v>0</v>
      </c>
      <c r="AQ111" t="s">
        <v>763</v>
      </c>
    </row>
    <row r="112" spans="1:43" x14ac:dyDescent="0.2">
      <c r="A112" s="14" t="s">
        <v>500</v>
      </c>
      <c r="B112" s="17">
        <v>8665623</v>
      </c>
      <c r="C112" s="14" t="s">
        <v>185</v>
      </c>
      <c r="D112" s="9">
        <v>8665623</v>
      </c>
      <c r="E112" s="9" t="s">
        <v>185</v>
      </c>
      <c r="F112" s="7">
        <v>45717</v>
      </c>
      <c r="G112" s="20" t="s">
        <v>46</v>
      </c>
      <c r="H112" s="8">
        <v>8187703</v>
      </c>
      <c r="I112" s="19">
        <v>65212912</v>
      </c>
      <c r="J112" s="10">
        <v>26625</v>
      </c>
      <c r="K112" s="10">
        <v>0</v>
      </c>
      <c r="L112" s="10">
        <v>26625</v>
      </c>
      <c r="M112" s="10">
        <v>0</v>
      </c>
      <c r="N112" s="11">
        <v>26625</v>
      </c>
      <c r="O112" s="12">
        <v>8187703</v>
      </c>
      <c r="P112" s="9">
        <v>285123</v>
      </c>
      <c r="Q112" s="9" t="s">
        <v>37</v>
      </c>
      <c r="R112" s="13">
        <v>45717</v>
      </c>
      <c r="S112" s="22">
        <v>45733</v>
      </c>
      <c r="T112" s="13">
        <v>45694</v>
      </c>
      <c r="U112" s="13">
        <v>45694</v>
      </c>
      <c r="V112" s="9" t="s">
        <v>47</v>
      </c>
      <c r="W112" s="9">
        <v>22753803</v>
      </c>
      <c r="X112" s="9">
        <v>3251558</v>
      </c>
      <c r="Y112" s="9">
        <v>69156325</v>
      </c>
      <c r="Z112" s="9" t="s">
        <v>39</v>
      </c>
      <c r="AA112" s="9">
        <v>61932348</v>
      </c>
      <c r="AB112" s="9">
        <v>78017</v>
      </c>
      <c r="AC112" s="9" t="s">
        <v>41</v>
      </c>
      <c r="AD112" s="9" t="s">
        <v>182</v>
      </c>
      <c r="AE112" s="9" t="s">
        <v>183</v>
      </c>
      <c r="AF112" s="9" t="s">
        <v>184</v>
      </c>
      <c r="AG112" s="14" t="s">
        <v>125</v>
      </c>
      <c r="AH112" s="9">
        <v>0</v>
      </c>
      <c r="AI112" s="9">
        <v>0</v>
      </c>
      <c r="AJ112" s="9">
        <v>70335000</v>
      </c>
      <c r="AK112" s="9">
        <v>3</v>
      </c>
      <c r="AL112" s="26" t="s">
        <v>52</v>
      </c>
      <c r="AM112" s="14" t="s">
        <v>535</v>
      </c>
      <c r="AN112" s="27" t="str">
        <f t="shared" si="3"/>
        <v>8665623|70335000|8187703|65212912</v>
      </c>
      <c r="AO112" t="s">
        <v>44</v>
      </c>
      <c r="AP112" t="b">
        <v>0</v>
      </c>
      <c r="AQ112" t="s">
        <v>763</v>
      </c>
    </row>
    <row r="113" spans="1:43" x14ac:dyDescent="0.2">
      <c r="A113" s="14" t="s">
        <v>500</v>
      </c>
      <c r="B113" s="17">
        <v>26246811</v>
      </c>
      <c r="C113" s="14" t="s">
        <v>186</v>
      </c>
      <c r="D113" s="9">
        <v>26246811</v>
      </c>
      <c r="E113" s="9" t="s">
        <v>186</v>
      </c>
      <c r="F113" s="7">
        <v>45717</v>
      </c>
      <c r="G113" s="20" t="s">
        <v>36</v>
      </c>
      <c r="H113" s="8">
        <v>8388915</v>
      </c>
      <c r="I113" s="19">
        <v>992899</v>
      </c>
      <c r="J113" s="10">
        <v>8394</v>
      </c>
      <c r="K113" s="10">
        <v>0</v>
      </c>
      <c r="L113" s="10">
        <v>8394</v>
      </c>
      <c r="M113" s="10">
        <v>0</v>
      </c>
      <c r="N113" s="11">
        <v>8394</v>
      </c>
      <c r="O113" s="12">
        <v>8388915</v>
      </c>
      <c r="P113" s="9">
        <v>285123</v>
      </c>
      <c r="Q113" s="9" t="s">
        <v>37</v>
      </c>
      <c r="R113" s="13">
        <v>45725</v>
      </c>
      <c r="S113" s="22">
        <v>45730</v>
      </c>
      <c r="T113" s="13">
        <v>45701</v>
      </c>
      <c r="U113" s="13">
        <v>45701</v>
      </c>
      <c r="V113" s="9" t="s">
        <v>47</v>
      </c>
      <c r="W113" s="9">
        <v>22705299</v>
      </c>
      <c r="X113" s="9">
        <v>3171658</v>
      </c>
      <c r="Y113" s="9">
        <v>69027665</v>
      </c>
      <c r="Z113" s="9" t="s">
        <v>39</v>
      </c>
      <c r="AA113" s="9">
        <v>83503556</v>
      </c>
      <c r="AB113" s="9">
        <v>77929</v>
      </c>
      <c r="AC113" s="9" t="s">
        <v>41</v>
      </c>
      <c r="AD113" s="9" t="s">
        <v>128</v>
      </c>
      <c r="AE113" s="9" t="s">
        <v>129</v>
      </c>
      <c r="AF113" s="9" t="s">
        <v>124</v>
      </c>
      <c r="AG113" s="14" t="s">
        <v>125</v>
      </c>
      <c r="AH113" s="9">
        <v>0</v>
      </c>
      <c r="AI113" s="9">
        <v>0</v>
      </c>
      <c r="AJ113" s="9">
        <v>79610730</v>
      </c>
      <c r="AK113" s="9">
        <v>8</v>
      </c>
      <c r="AL113" s="26" t="s">
        <v>62</v>
      </c>
      <c r="AM113" s="14" t="s">
        <v>536</v>
      </c>
      <c r="AN113" s="27" t="str">
        <f t="shared" si="3"/>
        <v>26246811|79610730|8388915|992899</v>
      </c>
      <c r="AO113" t="s">
        <v>44</v>
      </c>
      <c r="AP113" t="b">
        <v>0</v>
      </c>
      <c r="AQ113" t="s">
        <v>763</v>
      </c>
    </row>
    <row r="114" spans="1:43" x14ac:dyDescent="0.2">
      <c r="A114" s="14" t="s">
        <v>500</v>
      </c>
      <c r="B114" s="17">
        <v>26246811</v>
      </c>
      <c r="C114" s="14" t="s">
        <v>186</v>
      </c>
      <c r="D114" s="9">
        <v>26246811</v>
      </c>
      <c r="E114" s="9" t="s">
        <v>186</v>
      </c>
      <c r="F114" s="7">
        <v>45717</v>
      </c>
      <c r="G114" s="20" t="s">
        <v>46</v>
      </c>
      <c r="H114" s="8">
        <v>8388915</v>
      </c>
      <c r="I114" s="19">
        <v>65213318</v>
      </c>
      <c r="J114" s="10">
        <v>13854</v>
      </c>
      <c r="K114" s="10">
        <v>0</v>
      </c>
      <c r="L114" s="10">
        <v>13854</v>
      </c>
      <c r="M114" s="10">
        <v>0</v>
      </c>
      <c r="N114" s="11">
        <v>13854</v>
      </c>
      <c r="O114" s="12">
        <v>8388915</v>
      </c>
      <c r="P114" s="9">
        <v>285123</v>
      </c>
      <c r="Q114" s="9" t="s">
        <v>37</v>
      </c>
      <c r="R114" s="13">
        <v>45717</v>
      </c>
      <c r="S114" s="22">
        <v>45733</v>
      </c>
      <c r="T114" s="13">
        <v>45701</v>
      </c>
      <c r="U114" s="13">
        <v>45701</v>
      </c>
      <c r="V114" s="9" t="s">
        <v>47</v>
      </c>
      <c r="W114" s="9">
        <v>22753792</v>
      </c>
      <c r="X114" s="9">
        <v>3251558</v>
      </c>
      <c r="Y114" s="9">
        <v>69156684</v>
      </c>
      <c r="Z114" s="9" t="s">
        <v>39</v>
      </c>
      <c r="AA114" s="9">
        <v>83503556</v>
      </c>
      <c r="AB114" s="9">
        <v>78017</v>
      </c>
      <c r="AC114" s="9" t="s">
        <v>41</v>
      </c>
      <c r="AD114" s="9" t="s">
        <v>128</v>
      </c>
      <c r="AE114" s="9" t="s">
        <v>129</v>
      </c>
      <c r="AF114" s="9" t="s">
        <v>124</v>
      </c>
      <c r="AG114" s="14" t="s">
        <v>125</v>
      </c>
      <c r="AH114" s="9">
        <v>0</v>
      </c>
      <c r="AI114" s="9">
        <v>0</v>
      </c>
      <c r="AJ114" s="9">
        <v>79610730</v>
      </c>
      <c r="AK114" s="9">
        <v>8</v>
      </c>
      <c r="AL114" s="26" t="s">
        <v>52</v>
      </c>
      <c r="AM114" s="14" t="s">
        <v>536</v>
      </c>
      <c r="AN114" s="27" t="str">
        <f t="shared" si="3"/>
        <v>26246811|79610730|8388915|65213318</v>
      </c>
      <c r="AO114" t="s">
        <v>44</v>
      </c>
      <c r="AP114" t="b">
        <v>0</v>
      </c>
      <c r="AQ114" t="s">
        <v>763</v>
      </c>
    </row>
    <row r="115" spans="1:43" x14ac:dyDescent="0.2">
      <c r="A115" s="14" t="s">
        <v>500</v>
      </c>
      <c r="B115" s="17">
        <v>15756857</v>
      </c>
      <c r="C115" s="14" t="s">
        <v>145</v>
      </c>
      <c r="D115" s="9">
        <v>15756857</v>
      </c>
      <c r="E115" s="9" t="s">
        <v>145</v>
      </c>
      <c r="F115" s="7">
        <v>45809</v>
      </c>
      <c r="G115" s="20" t="s">
        <v>36</v>
      </c>
      <c r="H115" s="8">
        <v>8567236</v>
      </c>
      <c r="I115" s="19">
        <v>1036476</v>
      </c>
      <c r="J115" s="10">
        <v>92220</v>
      </c>
      <c r="K115" s="10">
        <v>0</v>
      </c>
      <c r="L115" s="10">
        <v>92220</v>
      </c>
      <c r="M115" s="10">
        <v>0</v>
      </c>
      <c r="N115" s="11">
        <v>55332</v>
      </c>
      <c r="O115" s="12">
        <v>8567236</v>
      </c>
      <c r="P115" s="9">
        <v>285123</v>
      </c>
      <c r="Q115" s="9" t="s">
        <v>37</v>
      </c>
      <c r="R115" s="13">
        <v>45824</v>
      </c>
      <c r="S115" s="22">
        <v>45824.516053240739</v>
      </c>
      <c r="T115" s="13">
        <v>45801</v>
      </c>
      <c r="U115" s="13">
        <v>45801</v>
      </c>
      <c r="V115" s="9"/>
      <c r="W115" s="9" t="s">
        <v>38</v>
      </c>
      <c r="X115" s="9" t="s">
        <v>38</v>
      </c>
      <c r="Y115" s="9" t="s">
        <v>38</v>
      </c>
      <c r="Z115" s="9" t="s">
        <v>39</v>
      </c>
      <c r="AA115" s="9" t="s">
        <v>38</v>
      </c>
      <c r="AB115" s="9" t="s">
        <v>38</v>
      </c>
      <c r="AC115" s="9" t="s">
        <v>41</v>
      </c>
      <c r="AD115" s="9" t="s">
        <v>123</v>
      </c>
      <c r="AE115" s="9" t="s">
        <v>124</v>
      </c>
      <c r="AF115" s="9" t="s">
        <v>124</v>
      </c>
      <c r="AG115" s="14" t="s">
        <v>125</v>
      </c>
      <c r="AH115" s="9" t="s">
        <v>44</v>
      </c>
      <c r="AI115" s="9" t="s">
        <v>146</v>
      </c>
      <c r="AJ115" s="9">
        <v>70335000</v>
      </c>
      <c r="AK115" s="9" t="s">
        <v>38</v>
      </c>
      <c r="AL115" s="26" t="s">
        <v>38</v>
      </c>
      <c r="AM115" s="14" t="s">
        <v>524</v>
      </c>
      <c r="AN115" s="27" t="str">
        <f t="shared" si="3"/>
        <v>15756857|70335000|8567236|1036476</v>
      </c>
      <c r="AO115" t="s">
        <v>44</v>
      </c>
      <c r="AP115" t="b">
        <v>1</v>
      </c>
      <c r="AQ115" t="s">
        <v>763</v>
      </c>
    </row>
    <row r="116" spans="1:43" x14ac:dyDescent="0.2">
      <c r="A116" s="14" t="s">
        <v>500</v>
      </c>
      <c r="B116" s="17">
        <v>15756857</v>
      </c>
      <c r="C116" s="14" t="s">
        <v>147</v>
      </c>
      <c r="D116" s="9">
        <v>15756857</v>
      </c>
      <c r="E116" s="9" t="s">
        <v>147</v>
      </c>
      <c r="F116" s="7">
        <v>45839</v>
      </c>
      <c r="G116" s="20" t="s">
        <v>46</v>
      </c>
      <c r="H116" s="8">
        <v>8567236</v>
      </c>
      <c r="I116" s="19">
        <v>66379864</v>
      </c>
      <c r="J116" s="10">
        <v>55332</v>
      </c>
      <c r="K116" s="10">
        <v>0</v>
      </c>
      <c r="L116" s="10">
        <v>55332</v>
      </c>
      <c r="M116" s="10">
        <v>0</v>
      </c>
      <c r="N116" s="11">
        <v>55332</v>
      </c>
      <c r="O116" s="12">
        <v>8567236</v>
      </c>
      <c r="P116" s="9">
        <v>285123</v>
      </c>
      <c r="Q116" s="9" t="s">
        <v>37</v>
      </c>
      <c r="R116" s="13">
        <v>45839</v>
      </c>
      <c r="S116" s="22">
        <v>45839</v>
      </c>
      <c r="T116" s="13">
        <v>45801</v>
      </c>
      <c r="U116" s="13">
        <v>45801</v>
      </c>
      <c r="V116" s="9" t="s">
        <v>47</v>
      </c>
      <c r="W116" s="9">
        <v>23307170</v>
      </c>
      <c r="X116" s="9">
        <v>7241739</v>
      </c>
      <c r="Y116" s="9">
        <v>70359533</v>
      </c>
      <c r="Z116" s="9" t="s">
        <v>39</v>
      </c>
      <c r="AA116" s="9">
        <v>214616093</v>
      </c>
      <c r="AB116" s="9">
        <v>79359</v>
      </c>
      <c r="AC116" s="9" t="s">
        <v>41</v>
      </c>
      <c r="AD116" s="9" t="s">
        <v>128</v>
      </c>
      <c r="AE116" s="9" t="s">
        <v>129</v>
      </c>
      <c r="AF116" s="9" t="s">
        <v>124</v>
      </c>
      <c r="AG116" s="14" t="s">
        <v>125</v>
      </c>
      <c r="AH116" s="9">
        <v>0</v>
      </c>
      <c r="AI116" s="9">
        <v>0</v>
      </c>
      <c r="AJ116" s="9">
        <v>70335000</v>
      </c>
      <c r="AK116" s="9">
        <v>3</v>
      </c>
      <c r="AL116" s="26" t="s">
        <v>52</v>
      </c>
      <c r="AM116" s="14" t="s">
        <v>524</v>
      </c>
      <c r="AN116" s="27" t="str">
        <f t="shared" si="3"/>
        <v>15756857|70335000|8567236|66379864</v>
      </c>
      <c r="AO116" t="s">
        <v>44</v>
      </c>
      <c r="AP116" t="b">
        <v>0</v>
      </c>
      <c r="AQ116" t="s">
        <v>763</v>
      </c>
    </row>
    <row r="117" spans="1:43" x14ac:dyDescent="0.2">
      <c r="A117" s="14" t="s">
        <v>500</v>
      </c>
      <c r="B117" s="17">
        <v>15503930</v>
      </c>
      <c r="C117" s="14" t="s">
        <v>187</v>
      </c>
      <c r="D117" s="9">
        <v>15503930</v>
      </c>
      <c r="E117" s="9" t="s">
        <v>187</v>
      </c>
      <c r="F117" s="7">
        <v>45689</v>
      </c>
      <c r="G117" s="20" t="s">
        <v>36</v>
      </c>
      <c r="H117" s="8">
        <v>9582203</v>
      </c>
      <c r="I117" s="19">
        <v>982260</v>
      </c>
      <c r="J117" s="10">
        <v>98992</v>
      </c>
      <c r="K117" s="10">
        <v>0</v>
      </c>
      <c r="L117" s="10">
        <v>98992</v>
      </c>
      <c r="M117" s="10">
        <v>0</v>
      </c>
      <c r="N117" s="11">
        <v>98992</v>
      </c>
      <c r="O117" s="12">
        <v>9582203</v>
      </c>
      <c r="P117" s="9">
        <v>285123</v>
      </c>
      <c r="Q117" s="9" t="s">
        <v>37</v>
      </c>
      <c r="R117" s="13">
        <v>45695</v>
      </c>
      <c r="S117" s="22">
        <v>45698</v>
      </c>
      <c r="T117" s="13">
        <v>45666</v>
      </c>
      <c r="U117" s="13">
        <v>45666</v>
      </c>
      <c r="V117" s="9" t="s">
        <v>47</v>
      </c>
      <c r="W117" s="9">
        <v>22590853</v>
      </c>
      <c r="X117" s="9">
        <v>2171726</v>
      </c>
      <c r="Y117" s="9">
        <v>68884443</v>
      </c>
      <c r="Z117" s="9" t="s">
        <v>39</v>
      </c>
      <c r="AA117" s="9">
        <v>68281415</v>
      </c>
      <c r="AB117" s="9">
        <v>77628</v>
      </c>
      <c r="AC117" s="9" t="s">
        <v>41</v>
      </c>
      <c r="AD117" s="9" t="s">
        <v>132</v>
      </c>
      <c r="AE117" s="9" t="s">
        <v>133</v>
      </c>
      <c r="AF117" s="9" t="s">
        <v>133</v>
      </c>
      <c r="AG117" s="14" t="str">
        <f t="shared" ref="AG117:AG180" si="6">+AF117</f>
        <v>EXAMENES DE LABORATORIO</v>
      </c>
      <c r="AH117" s="9">
        <v>0</v>
      </c>
      <c r="AI117" s="9">
        <v>0</v>
      </c>
      <c r="AJ117" s="9">
        <v>96942400</v>
      </c>
      <c r="AK117" s="9">
        <v>2</v>
      </c>
      <c r="AL117" s="26" t="s">
        <v>52</v>
      </c>
      <c r="AM117" s="14" t="s">
        <v>537</v>
      </c>
      <c r="AN117" s="27" t="str">
        <f t="shared" si="3"/>
        <v>15503930|96942400|9582203|982260</v>
      </c>
      <c r="AO117" t="s">
        <v>44</v>
      </c>
      <c r="AP117" t="b">
        <v>0</v>
      </c>
      <c r="AQ117" t="s">
        <v>763</v>
      </c>
    </row>
    <row r="118" spans="1:43" x14ac:dyDescent="0.2">
      <c r="A118" s="14" t="s">
        <v>500</v>
      </c>
      <c r="B118" s="17">
        <v>15503930</v>
      </c>
      <c r="C118" s="14" t="s">
        <v>187</v>
      </c>
      <c r="D118" s="9">
        <v>15503930</v>
      </c>
      <c r="E118" s="9" t="s">
        <v>187</v>
      </c>
      <c r="F118" s="7">
        <v>45717</v>
      </c>
      <c r="G118" s="20" t="s">
        <v>46</v>
      </c>
      <c r="H118" s="8">
        <v>9582203</v>
      </c>
      <c r="I118" s="19">
        <v>65213174</v>
      </c>
      <c r="J118" s="10">
        <v>132119</v>
      </c>
      <c r="K118" s="10">
        <v>0</v>
      </c>
      <c r="L118" s="10">
        <v>132119</v>
      </c>
      <c r="M118" s="10">
        <v>0</v>
      </c>
      <c r="N118" s="11">
        <v>132119</v>
      </c>
      <c r="O118" s="12">
        <v>9582203</v>
      </c>
      <c r="P118" s="9">
        <v>285123</v>
      </c>
      <c r="Q118" s="9" t="s">
        <v>37</v>
      </c>
      <c r="R118" s="13">
        <v>45717</v>
      </c>
      <c r="S118" s="22">
        <v>45733</v>
      </c>
      <c r="T118" s="13">
        <v>45666</v>
      </c>
      <c r="U118" s="13">
        <v>45666</v>
      </c>
      <c r="V118" s="9" t="s">
        <v>47</v>
      </c>
      <c r="W118" s="9">
        <v>22753627</v>
      </c>
      <c r="X118" s="9">
        <v>3251558</v>
      </c>
      <c r="Y118" s="9">
        <v>69156558</v>
      </c>
      <c r="Z118" s="9" t="s">
        <v>39</v>
      </c>
      <c r="AA118" s="9">
        <v>68281415</v>
      </c>
      <c r="AB118" s="9">
        <v>78017</v>
      </c>
      <c r="AC118" s="9" t="s">
        <v>41</v>
      </c>
      <c r="AD118" s="9" t="s">
        <v>132</v>
      </c>
      <c r="AE118" s="9" t="s">
        <v>133</v>
      </c>
      <c r="AF118" s="9" t="s">
        <v>133</v>
      </c>
      <c r="AG118" s="14" t="str">
        <f t="shared" si="6"/>
        <v>EXAMENES DE LABORATORIO</v>
      </c>
      <c r="AH118" s="9">
        <v>0</v>
      </c>
      <c r="AI118" s="9">
        <v>0</v>
      </c>
      <c r="AJ118" s="9">
        <v>96942400</v>
      </c>
      <c r="AK118" s="9">
        <v>2</v>
      </c>
      <c r="AL118" s="26" t="s">
        <v>52</v>
      </c>
      <c r="AM118" s="14" t="s">
        <v>537</v>
      </c>
      <c r="AN118" s="27" t="str">
        <f t="shared" si="3"/>
        <v>15503930|96942400|9582203|65213174</v>
      </c>
      <c r="AO118" t="s">
        <v>44</v>
      </c>
      <c r="AP118" t="b">
        <v>0</v>
      </c>
      <c r="AQ118" t="s">
        <v>763</v>
      </c>
    </row>
    <row r="119" spans="1:43" x14ac:dyDescent="0.2">
      <c r="A119" s="14" t="s">
        <v>500</v>
      </c>
      <c r="B119" s="17">
        <v>15503930</v>
      </c>
      <c r="C119" s="14" t="s">
        <v>187</v>
      </c>
      <c r="D119" s="9">
        <v>15503930</v>
      </c>
      <c r="E119" s="9" t="s">
        <v>187</v>
      </c>
      <c r="F119" s="7">
        <v>45717</v>
      </c>
      <c r="G119" s="20" t="s">
        <v>46</v>
      </c>
      <c r="H119" s="8">
        <v>9582203</v>
      </c>
      <c r="I119" s="19">
        <v>65213175</v>
      </c>
      <c r="J119" s="10">
        <v>99057</v>
      </c>
      <c r="K119" s="10">
        <v>0</v>
      </c>
      <c r="L119" s="10">
        <v>99057</v>
      </c>
      <c r="M119" s="10">
        <v>0</v>
      </c>
      <c r="N119" s="11">
        <v>16020</v>
      </c>
      <c r="O119" s="12">
        <v>9582203</v>
      </c>
      <c r="P119" s="9">
        <v>285123</v>
      </c>
      <c r="Q119" s="9" t="s">
        <v>37</v>
      </c>
      <c r="R119" s="13">
        <v>45717</v>
      </c>
      <c r="S119" s="22">
        <v>45733</v>
      </c>
      <c r="T119" s="13">
        <v>45666</v>
      </c>
      <c r="U119" s="13">
        <v>45666</v>
      </c>
      <c r="V119" s="9" t="s">
        <v>47</v>
      </c>
      <c r="W119" s="9">
        <v>22753643</v>
      </c>
      <c r="X119" s="9">
        <v>3251558</v>
      </c>
      <c r="Y119" s="9">
        <v>69156559</v>
      </c>
      <c r="Z119" s="9" t="s">
        <v>39</v>
      </c>
      <c r="AA119" s="9">
        <v>68281415</v>
      </c>
      <c r="AB119" s="9">
        <v>78017</v>
      </c>
      <c r="AC119" s="9" t="s">
        <v>41</v>
      </c>
      <c r="AD119" s="9" t="s">
        <v>132</v>
      </c>
      <c r="AE119" s="9" t="s">
        <v>133</v>
      </c>
      <c r="AF119" s="9" t="s">
        <v>133</v>
      </c>
      <c r="AG119" s="14" t="str">
        <f t="shared" si="6"/>
        <v>EXAMENES DE LABORATORIO</v>
      </c>
      <c r="AH119" s="9">
        <v>0</v>
      </c>
      <c r="AI119" s="9">
        <v>0</v>
      </c>
      <c r="AJ119" s="9">
        <v>96942400</v>
      </c>
      <c r="AK119" s="9">
        <v>2</v>
      </c>
      <c r="AL119" s="26" t="s">
        <v>52</v>
      </c>
      <c r="AM119" s="14" t="s">
        <v>537</v>
      </c>
      <c r="AN119" s="27" t="str">
        <f t="shared" si="3"/>
        <v>15503930|96942400|9582203|65213175</v>
      </c>
      <c r="AO119" t="s">
        <v>44</v>
      </c>
      <c r="AP119" t="b">
        <v>0</v>
      </c>
      <c r="AQ119" t="s">
        <v>763</v>
      </c>
    </row>
    <row r="120" spans="1:43" x14ac:dyDescent="0.2">
      <c r="A120" s="14" t="s">
        <v>500</v>
      </c>
      <c r="B120" s="17">
        <v>14502516</v>
      </c>
      <c r="C120" s="14" t="s">
        <v>188</v>
      </c>
      <c r="D120" s="9">
        <v>14502516</v>
      </c>
      <c r="E120" s="9" t="s">
        <v>188</v>
      </c>
      <c r="F120" s="7">
        <v>45658</v>
      </c>
      <c r="G120" s="20" t="s">
        <v>36</v>
      </c>
      <c r="H120" s="8">
        <v>95681647</v>
      </c>
      <c r="I120" s="19">
        <v>95681647</v>
      </c>
      <c r="J120" s="10">
        <v>139400</v>
      </c>
      <c r="K120" s="10">
        <v>44261</v>
      </c>
      <c r="L120" s="10">
        <v>95139</v>
      </c>
      <c r="M120" s="10">
        <v>0</v>
      </c>
      <c r="N120" s="11">
        <v>95139</v>
      </c>
      <c r="O120" s="12">
        <v>95681647</v>
      </c>
      <c r="P120" s="9">
        <v>285123</v>
      </c>
      <c r="Q120" s="9" t="s">
        <v>37</v>
      </c>
      <c r="R120" s="13">
        <v>45665</v>
      </c>
      <c r="S120" s="22">
        <v>45665</v>
      </c>
      <c r="T120" s="13">
        <v>45665</v>
      </c>
      <c r="U120" s="13">
        <v>45665</v>
      </c>
      <c r="V120" s="9" t="s">
        <v>47</v>
      </c>
      <c r="W120" s="9">
        <v>22462263</v>
      </c>
      <c r="X120" s="9">
        <v>1131703</v>
      </c>
      <c r="Y120" s="9">
        <v>68650733</v>
      </c>
      <c r="Z120" s="9" t="s">
        <v>39</v>
      </c>
      <c r="AA120" s="9">
        <v>12012025</v>
      </c>
      <c r="AB120" s="9">
        <v>77298</v>
      </c>
      <c r="AC120" s="9" t="s">
        <v>41</v>
      </c>
      <c r="AD120" s="9" t="s">
        <v>134</v>
      </c>
      <c r="AE120" s="9" t="s">
        <v>135</v>
      </c>
      <c r="AF120" s="9" t="s">
        <v>135</v>
      </c>
      <c r="AG120" s="14" t="str">
        <f t="shared" si="6"/>
        <v>EXAMENES RADIOLOGICOS</v>
      </c>
      <c r="AH120" s="9" t="s">
        <v>758</v>
      </c>
      <c r="AI120" s="9">
        <v>0</v>
      </c>
      <c r="AJ120" s="9">
        <v>77200240</v>
      </c>
      <c r="AK120" s="9">
        <v>8</v>
      </c>
      <c r="AL120" s="26" t="s">
        <v>169</v>
      </c>
      <c r="AM120" s="14" t="s">
        <v>538</v>
      </c>
      <c r="AN120" s="27" t="str">
        <f t="shared" si="3"/>
        <v>14502516|77200240|95681647|95681647</v>
      </c>
      <c r="AO120" t="s">
        <v>758</v>
      </c>
      <c r="AP120" t="b">
        <v>1</v>
      </c>
      <c r="AQ120" t="s">
        <v>764</v>
      </c>
    </row>
    <row r="121" spans="1:43" x14ac:dyDescent="0.2">
      <c r="A121" s="14" t="s">
        <v>500</v>
      </c>
      <c r="B121" s="17">
        <v>14502516</v>
      </c>
      <c r="C121" s="14" t="s">
        <v>188</v>
      </c>
      <c r="D121" s="9">
        <v>14502516</v>
      </c>
      <c r="E121" s="9" t="s">
        <v>188</v>
      </c>
      <c r="F121" s="7">
        <v>45717</v>
      </c>
      <c r="G121" s="20" t="s">
        <v>46</v>
      </c>
      <c r="H121" s="8">
        <v>95681647</v>
      </c>
      <c r="I121" s="19">
        <v>65384238</v>
      </c>
      <c r="J121" s="10">
        <v>80715</v>
      </c>
      <c r="K121" s="10">
        <v>0</v>
      </c>
      <c r="L121" s="10">
        <v>80715</v>
      </c>
      <c r="M121" s="10">
        <v>0</v>
      </c>
      <c r="N121" s="11">
        <v>80715</v>
      </c>
      <c r="O121" s="12">
        <v>95681647</v>
      </c>
      <c r="P121" s="9">
        <v>285123</v>
      </c>
      <c r="Q121" s="9" t="s">
        <v>37</v>
      </c>
      <c r="R121" s="13">
        <v>45717</v>
      </c>
      <c r="S121" s="22">
        <v>45742</v>
      </c>
      <c r="T121" s="13">
        <v>45665</v>
      </c>
      <c r="U121" s="13">
        <v>45665</v>
      </c>
      <c r="V121" s="9" t="s">
        <v>47</v>
      </c>
      <c r="W121" s="9">
        <v>22770316</v>
      </c>
      <c r="X121" s="9">
        <v>3311105</v>
      </c>
      <c r="Y121" s="9">
        <v>69251111</v>
      </c>
      <c r="Z121" s="9" t="s">
        <v>39</v>
      </c>
      <c r="AA121" s="9">
        <v>970433961</v>
      </c>
      <c r="AB121" s="9">
        <v>78070</v>
      </c>
      <c r="AC121" s="9" t="s">
        <v>41</v>
      </c>
      <c r="AD121" s="9" t="s">
        <v>134</v>
      </c>
      <c r="AE121" s="9" t="s">
        <v>135</v>
      </c>
      <c r="AF121" s="9" t="s">
        <v>135</v>
      </c>
      <c r="AG121" s="14" t="str">
        <f t="shared" si="6"/>
        <v>EXAMENES RADIOLOGICOS</v>
      </c>
      <c r="AH121" s="9">
        <v>0</v>
      </c>
      <c r="AI121" s="9">
        <v>0</v>
      </c>
      <c r="AJ121" s="9">
        <v>77200240</v>
      </c>
      <c r="AK121" s="9">
        <v>8</v>
      </c>
      <c r="AL121" s="26" t="s">
        <v>52</v>
      </c>
      <c r="AM121" s="14" t="s">
        <v>538</v>
      </c>
      <c r="AN121" s="27" t="str">
        <f t="shared" si="3"/>
        <v>14502516|77200240|95681647|65384238</v>
      </c>
      <c r="AO121" t="s">
        <v>44</v>
      </c>
      <c r="AP121" t="b">
        <v>0</v>
      </c>
      <c r="AQ121" t="s">
        <v>763</v>
      </c>
    </row>
    <row r="122" spans="1:43" x14ac:dyDescent="0.2">
      <c r="A122" s="14" t="s">
        <v>500</v>
      </c>
      <c r="B122" s="17">
        <v>14502516</v>
      </c>
      <c r="C122" s="14" t="s">
        <v>188</v>
      </c>
      <c r="D122" s="9">
        <v>14502516</v>
      </c>
      <c r="E122" s="9" t="s">
        <v>188</v>
      </c>
      <c r="F122" s="7">
        <v>45658</v>
      </c>
      <c r="G122" s="20" t="s">
        <v>36</v>
      </c>
      <c r="H122" s="8">
        <v>95697351</v>
      </c>
      <c r="I122" s="19">
        <v>95697351</v>
      </c>
      <c r="J122" s="10">
        <v>43200</v>
      </c>
      <c r="K122" s="10">
        <v>38880</v>
      </c>
      <c r="L122" s="10">
        <v>4320</v>
      </c>
      <c r="M122" s="10">
        <v>0</v>
      </c>
      <c r="N122" s="11">
        <v>4320</v>
      </c>
      <c r="O122" s="12">
        <v>95697351</v>
      </c>
      <c r="P122" s="9">
        <v>285123</v>
      </c>
      <c r="Q122" s="9" t="s">
        <v>37</v>
      </c>
      <c r="R122" s="13">
        <v>45667</v>
      </c>
      <c r="S122" s="22">
        <v>45667</v>
      </c>
      <c r="T122" s="13">
        <v>45667</v>
      </c>
      <c r="U122" s="13">
        <v>45667</v>
      </c>
      <c r="V122" s="9" t="s">
        <v>47</v>
      </c>
      <c r="W122" s="9">
        <v>22462299</v>
      </c>
      <c r="X122" s="9">
        <v>1131703</v>
      </c>
      <c r="Y122" s="9">
        <v>68652625</v>
      </c>
      <c r="Z122" s="9" t="s">
        <v>39</v>
      </c>
      <c r="AA122" s="9">
        <v>12012025</v>
      </c>
      <c r="AB122" s="9">
        <v>77298</v>
      </c>
      <c r="AC122" s="9" t="s">
        <v>41</v>
      </c>
      <c r="AD122" s="9" t="s">
        <v>65</v>
      </c>
      <c r="AE122" s="9" t="s">
        <v>66</v>
      </c>
      <c r="AF122" s="9" t="s">
        <v>66</v>
      </c>
      <c r="AG122" s="14" t="str">
        <f t="shared" si="6"/>
        <v>PROCEDIMIENTOS TERAPEUTICOS</v>
      </c>
      <c r="AH122" s="9" t="s">
        <v>758</v>
      </c>
      <c r="AI122" s="9">
        <v>0</v>
      </c>
      <c r="AJ122" s="9">
        <v>77200240</v>
      </c>
      <c r="AK122" s="9">
        <v>8</v>
      </c>
      <c r="AL122" s="26" t="s">
        <v>169</v>
      </c>
      <c r="AM122" s="14" t="s">
        <v>538</v>
      </c>
      <c r="AN122" s="27" t="str">
        <f t="shared" si="3"/>
        <v>14502516|77200240|95697351|95697351</v>
      </c>
      <c r="AO122" t="s">
        <v>758</v>
      </c>
      <c r="AP122" t="b">
        <v>1</v>
      </c>
      <c r="AQ122" t="s">
        <v>764</v>
      </c>
    </row>
    <row r="123" spans="1:43" x14ac:dyDescent="0.2">
      <c r="A123" s="14" t="s">
        <v>500</v>
      </c>
      <c r="B123" s="17">
        <v>14502516</v>
      </c>
      <c r="C123" s="14" t="s">
        <v>188</v>
      </c>
      <c r="D123" s="9">
        <v>14502516</v>
      </c>
      <c r="E123" s="9" t="s">
        <v>188</v>
      </c>
      <c r="F123" s="7">
        <v>45717</v>
      </c>
      <c r="G123" s="20" t="s">
        <v>46</v>
      </c>
      <c r="H123" s="8">
        <v>95697351</v>
      </c>
      <c r="I123" s="19">
        <v>65384239</v>
      </c>
      <c r="J123" s="10">
        <v>4228</v>
      </c>
      <c r="K123" s="10">
        <v>0</v>
      </c>
      <c r="L123" s="10">
        <v>4228</v>
      </c>
      <c r="M123" s="10">
        <v>0</v>
      </c>
      <c r="N123" s="11">
        <v>4228</v>
      </c>
      <c r="O123" s="12">
        <v>95697351</v>
      </c>
      <c r="P123" s="9">
        <v>285123</v>
      </c>
      <c r="Q123" s="9" t="s">
        <v>37</v>
      </c>
      <c r="R123" s="13">
        <v>45717</v>
      </c>
      <c r="S123" s="22">
        <v>45742</v>
      </c>
      <c r="T123" s="13">
        <v>45667</v>
      </c>
      <c r="U123" s="13">
        <v>45667</v>
      </c>
      <c r="V123" s="9" t="s">
        <v>47</v>
      </c>
      <c r="W123" s="9">
        <v>22770329</v>
      </c>
      <c r="X123" s="9">
        <v>3311105</v>
      </c>
      <c r="Y123" s="9">
        <v>69251112</v>
      </c>
      <c r="Z123" s="9" t="s">
        <v>39</v>
      </c>
      <c r="AA123" s="9">
        <v>970433961</v>
      </c>
      <c r="AB123" s="9">
        <v>78070</v>
      </c>
      <c r="AC123" s="9" t="s">
        <v>41</v>
      </c>
      <c r="AD123" s="9" t="s">
        <v>65</v>
      </c>
      <c r="AE123" s="9" t="s">
        <v>66</v>
      </c>
      <c r="AF123" s="9" t="s">
        <v>66</v>
      </c>
      <c r="AG123" s="14" t="str">
        <f t="shared" si="6"/>
        <v>PROCEDIMIENTOS TERAPEUTICOS</v>
      </c>
      <c r="AH123" s="9">
        <v>0</v>
      </c>
      <c r="AI123" s="9">
        <v>0</v>
      </c>
      <c r="AJ123" s="9">
        <v>77200240</v>
      </c>
      <c r="AK123" s="9">
        <v>8</v>
      </c>
      <c r="AL123" s="26" t="s">
        <v>52</v>
      </c>
      <c r="AM123" s="14" t="s">
        <v>538</v>
      </c>
      <c r="AN123" s="27" t="str">
        <f t="shared" si="3"/>
        <v>14502516|77200240|95697351|65384239</v>
      </c>
      <c r="AO123" t="s">
        <v>44</v>
      </c>
      <c r="AP123" t="b">
        <v>0</v>
      </c>
      <c r="AQ123" t="s">
        <v>763</v>
      </c>
    </row>
    <row r="124" spans="1:43" x14ac:dyDescent="0.2">
      <c r="A124" s="14" t="s">
        <v>500</v>
      </c>
      <c r="B124" s="17">
        <v>15506883</v>
      </c>
      <c r="C124" s="14" t="s">
        <v>189</v>
      </c>
      <c r="D124" s="9">
        <v>22051441</v>
      </c>
      <c r="E124" s="9" t="s">
        <v>190</v>
      </c>
      <c r="F124" s="7">
        <v>45658</v>
      </c>
      <c r="G124" s="20" t="s">
        <v>36</v>
      </c>
      <c r="H124" s="8">
        <v>95697388</v>
      </c>
      <c r="I124" s="19">
        <v>95697388</v>
      </c>
      <c r="J124" s="10">
        <v>30440</v>
      </c>
      <c r="K124" s="10">
        <v>15998</v>
      </c>
      <c r="L124" s="10">
        <v>14442</v>
      </c>
      <c r="M124" s="10">
        <v>0</v>
      </c>
      <c r="N124" s="11">
        <v>14442</v>
      </c>
      <c r="O124" s="12">
        <v>95697388</v>
      </c>
      <c r="P124" s="9">
        <v>285123</v>
      </c>
      <c r="Q124" s="9" t="s">
        <v>37</v>
      </c>
      <c r="R124" s="13">
        <v>45667</v>
      </c>
      <c r="S124" s="22">
        <v>45667</v>
      </c>
      <c r="T124" s="13">
        <v>45667</v>
      </c>
      <c r="U124" s="13">
        <v>45667</v>
      </c>
      <c r="V124" s="9" t="s">
        <v>47</v>
      </c>
      <c r="W124" s="9">
        <v>22462300</v>
      </c>
      <c r="X124" s="9">
        <v>1131703</v>
      </c>
      <c r="Y124" s="9">
        <v>68652631</v>
      </c>
      <c r="Z124" s="9" t="s">
        <v>39</v>
      </c>
      <c r="AA124" s="9">
        <v>12012025</v>
      </c>
      <c r="AB124" s="9">
        <v>77298</v>
      </c>
      <c r="AC124" s="9" t="s">
        <v>41</v>
      </c>
      <c r="AD124" s="9" t="s">
        <v>134</v>
      </c>
      <c r="AE124" s="9" t="s">
        <v>135</v>
      </c>
      <c r="AF124" s="9" t="s">
        <v>135</v>
      </c>
      <c r="AG124" s="14" t="str">
        <f t="shared" si="6"/>
        <v>EXAMENES RADIOLOGICOS</v>
      </c>
      <c r="AH124" s="9" t="s">
        <v>758</v>
      </c>
      <c r="AI124" s="9">
        <v>0</v>
      </c>
      <c r="AJ124" s="9">
        <v>76110886</v>
      </c>
      <c r="AK124" s="9">
        <v>7</v>
      </c>
      <c r="AL124" s="26" t="s">
        <v>169</v>
      </c>
      <c r="AM124" s="14" t="s">
        <v>539</v>
      </c>
      <c r="AN124" s="27" t="str">
        <f t="shared" si="3"/>
        <v>15506883|76110886|95697388|95697388</v>
      </c>
      <c r="AO124" t="s">
        <v>758</v>
      </c>
      <c r="AP124" t="b">
        <v>1</v>
      </c>
      <c r="AQ124" t="s">
        <v>764</v>
      </c>
    </row>
    <row r="125" spans="1:43" x14ac:dyDescent="0.2">
      <c r="A125" s="14" t="s">
        <v>500</v>
      </c>
      <c r="B125" s="17">
        <v>15506883</v>
      </c>
      <c r="C125" s="14" t="s">
        <v>189</v>
      </c>
      <c r="D125" s="9">
        <v>22051441</v>
      </c>
      <c r="E125" s="9" t="s">
        <v>190</v>
      </c>
      <c r="F125" s="7">
        <v>45717</v>
      </c>
      <c r="G125" s="20" t="s">
        <v>46</v>
      </c>
      <c r="H125" s="8">
        <v>95697388</v>
      </c>
      <c r="I125" s="19">
        <v>65384289</v>
      </c>
      <c r="J125" s="10">
        <v>14605</v>
      </c>
      <c r="K125" s="10">
        <v>0</v>
      </c>
      <c r="L125" s="10">
        <v>14605</v>
      </c>
      <c r="M125" s="10">
        <v>0</v>
      </c>
      <c r="N125" s="11">
        <v>14605</v>
      </c>
      <c r="O125" s="12">
        <v>95697388</v>
      </c>
      <c r="P125" s="9">
        <v>285123</v>
      </c>
      <c r="Q125" s="9" t="s">
        <v>37</v>
      </c>
      <c r="R125" s="13">
        <v>45717</v>
      </c>
      <c r="S125" s="22">
        <v>45742</v>
      </c>
      <c r="T125" s="13">
        <v>45667</v>
      </c>
      <c r="U125" s="13">
        <v>45667</v>
      </c>
      <c r="V125" s="9" t="s">
        <v>47</v>
      </c>
      <c r="W125" s="9">
        <v>22770330</v>
      </c>
      <c r="X125" s="9">
        <v>3311105</v>
      </c>
      <c r="Y125" s="9">
        <v>69251172</v>
      </c>
      <c r="Z125" s="9" t="s">
        <v>39</v>
      </c>
      <c r="AA125" s="9">
        <v>8910120</v>
      </c>
      <c r="AB125" s="9">
        <v>78070</v>
      </c>
      <c r="AC125" s="9" t="s">
        <v>41</v>
      </c>
      <c r="AD125" s="9" t="s">
        <v>134</v>
      </c>
      <c r="AE125" s="9" t="s">
        <v>135</v>
      </c>
      <c r="AF125" s="9" t="s">
        <v>135</v>
      </c>
      <c r="AG125" s="14" t="str">
        <f t="shared" si="6"/>
        <v>EXAMENES RADIOLOGICOS</v>
      </c>
      <c r="AH125" s="9">
        <v>0</v>
      </c>
      <c r="AI125" s="9">
        <v>0</v>
      </c>
      <c r="AJ125" s="9">
        <v>76110886</v>
      </c>
      <c r="AK125" s="9">
        <v>7</v>
      </c>
      <c r="AL125" s="26" t="s">
        <v>52</v>
      </c>
      <c r="AM125" s="14" t="s">
        <v>539</v>
      </c>
      <c r="AN125" s="27" t="str">
        <f t="shared" si="3"/>
        <v>15506883|76110886|95697388|65384289</v>
      </c>
      <c r="AO125" t="s">
        <v>44</v>
      </c>
      <c r="AP125" t="b">
        <v>0</v>
      </c>
      <c r="AQ125" t="s">
        <v>763</v>
      </c>
    </row>
    <row r="126" spans="1:43" x14ac:dyDescent="0.2">
      <c r="A126" s="14" t="s">
        <v>500</v>
      </c>
      <c r="B126" s="17">
        <v>19609316</v>
      </c>
      <c r="C126" s="14" t="s">
        <v>191</v>
      </c>
      <c r="D126" s="9">
        <v>19609316</v>
      </c>
      <c r="E126" s="9" t="s">
        <v>191</v>
      </c>
      <c r="F126" s="7">
        <v>45658</v>
      </c>
      <c r="G126" s="20" t="s">
        <v>36</v>
      </c>
      <c r="H126" s="8">
        <v>95698712</v>
      </c>
      <c r="I126" s="19">
        <v>95698712</v>
      </c>
      <c r="J126" s="10">
        <v>23556</v>
      </c>
      <c r="K126" s="10">
        <v>18845</v>
      </c>
      <c r="L126" s="10">
        <v>4711</v>
      </c>
      <c r="M126" s="10">
        <v>0</v>
      </c>
      <c r="N126" s="11">
        <v>4711</v>
      </c>
      <c r="O126" s="12">
        <v>95698712</v>
      </c>
      <c r="P126" s="9">
        <v>285123</v>
      </c>
      <c r="Q126" s="9" t="s">
        <v>37</v>
      </c>
      <c r="R126" s="13">
        <v>45667</v>
      </c>
      <c r="S126" s="22">
        <v>45667</v>
      </c>
      <c r="T126" s="13">
        <v>45667</v>
      </c>
      <c r="U126" s="13">
        <v>45667</v>
      </c>
      <c r="V126" s="9" t="s">
        <v>47</v>
      </c>
      <c r="W126" s="9">
        <v>22462308</v>
      </c>
      <c r="X126" s="9">
        <v>1131703</v>
      </c>
      <c r="Y126" s="9">
        <v>68652839</v>
      </c>
      <c r="Z126" s="9" t="s">
        <v>39</v>
      </c>
      <c r="AA126" s="9">
        <v>12012025</v>
      </c>
      <c r="AB126" s="9">
        <v>77298</v>
      </c>
      <c r="AC126" s="9" t="s">
        <v>41</v>
      </c>
      <c r="AD126" s="9" t="s">
        <v>134</v>
      </c>
      <c r="AE126" s="9" t="s">
        <v>135</v>
      </c>
      <c r="AF126" s="9" t="s">
        <v>135</v>
      </c>
      <c r="AG126" s="14" t="str">
        <f t="shared" si="6"/>
        <v>EXAMENES RADIOLOGICOS</v>
      </c>
      <c r="AH126" s="9" t="s">
        <v>758</v>
      </c>
      <c r="AI126" s="9">
        <v>0</v>
      </c>
      <c r="AJ126" s="9">
        <v>76098454</v>
      </c>
      <c r="AK126" s="9" t="s">
        <v>161</v>
      </c>
      <c r="AL126" s="26" t="s">
        <v>169</v>
      </c>
      <c r="AM126" s="14" t="s">
        <v>540</v>
      </c>
      <c r="AN126" s="27" t="str">
        <f t="shared" si="3"/>
        <v>19609316|76098454|95698712|95698712</v>
      </c>
      <c r="AO126" t="s">
        <v>758</v>
      </c>
      <c r="AP126" t="b">
        <v>1</v>
      </c>
      <c r="AQ126" t="s">
        <v>764</v>
      </c>
    </row>
    <row r="127" spans="1:43" x14ac:dyDescent="0.2">
      <c r="A127" s="14" t="s">
        <v>500</v>
      </c>
      <c r="B127" s="17">
        <v>19609316</v>
      </c>
      <c r="C127" s="14" t="s">
        <v>191</v>
      </c>
      <c r="D127" s="9">
        <v>19609316</v>
      </c>
      <c r="E127" s="9" t="s">
        <v>191</v>
      </c>
      <c r="F127" s="7">
        <v>45717</v>
      </c>
      <c r="G127" s="20" t="s">
        <v>46</v>
      </c>
      <c r="H127" s="8">
        <v>95698712</v>
      </c>
      <c r="I127" s="19">
        <v>65384492</v>
      </c>
      <c r="J127" s="10">
        <v>4612</v>
      </c>
      <c r="K127" s="10">
        <v>0</v>
      </c>
      <c r="L127" s="10">
        <v>4612</v>
      </c>
      <c r="M127" s="10">
        <v>0</v>
      </c>
      <c r="N127" s="11">
        <v>4612</v>
      </c>
      <c r="O127" s="12">
        <v>95698712</v>
      </c>
      <c r="P127" s="9">
        <v>285123</v>
      </c>
      <c r="Q127" s="9" t="s">
        <v>37</v>
      </c>
      <c r="R127" s="13">
        <v>45717</v>
      </c>
      <c r="S127" s="22">
        <v>45742</v>
      </c>
      <c r="T127" s="13">
        <v>45667</v>
      </c>
      <c r="U127" s="13">
        <v>45667</v>
      </c>
      <c r="V127" s="9" t="s">
        <v>47</v>
      </c>
      <c r="W127" s="9">
        <v>22770333</v>
      </c>
      <c r="X127" s="9">
        <v>3311105</v>
      </c>
      <c r="Y127" s="9">
        <v>69251358</v>
      </c>
      <c r="Z127" s="9" t="s">
        <v>39</v>
      </c>
      <c r="AA127" s="9">
        <v>93548124</v>
      </c>
      <c r="AB127" s="9">
        <v>78070</v>
      </c>
      <c r="AC127" s="9" t="s">
        <v>41</v>
      </c>
      <c r="AD127" s="9" t="s">
        <v>134</v>
      </c>
      <c r="AE127" s="9" t="s">
        <v>135</v>
      </c>
      <c r="AF127" s="9" t="s">
        <v>135</v>
      </c>
      <c r="AG127" s="14" t="str">
        <f t="shared" si="6"/>
        <v>EXAMENES RADIOLOGICOS</v>
      </c>
      <c r="AH127" s="9">
        <v>0</v>
      </c>
      <c r="AI127" s="9">
        <v>0</v>
      </c>
      <c r="AJ127" s="9">
        <v>76098454</v>
      </c>
      <c r="AK127" s="9" t="s">
        <v>161</v>
      </c>
      <c r="AL127" s="26" t="s">
        <v>52</v>
      </c>
      <c r="AM127" s="14" t="s">
        <v>540</v>
      </c>
      <c r="AN127" s="27" t="str">
        <f t="shared" si="3"/>
        <v>19609316|76098454|95698712|65384492</v>
      </c>
      <c r="AO127" t="s">
        <v>44</v>
      </c>
      <c r="AP127" t="b">
        <v>0</v>
      </c>
      <c r="AQ127" t="s">
        <v>763</v>
      </c>
    </row>
    <row r="128" spans="1:43" x14ac:dyDescent="0.2">
      <c r="A128" s="14" t="s">
        <v>500</v>
      </c>
      <c r="B128" s="17">
        <v>14502516</v>
      </c>
      <c r="C128" s="14" t="s">
        <v>188</v>
      </c>
      <c r="D128" s="9">
        <v>14502516</v>
      </c>
      <c r="E128" s="9" t="s">
        <v>188</v>
      </c>
      <c r="F128" s="7">
        <v>45658</v>
      </c>
      <c r="G128" s="20" t="s">
        <v>36</v>
      </c>
      <c r="H128" s="8">
        <v>95735527</v>
      </c>
      <c r="I128" s="19">
        <v>95735527</v>
      </c>
      <c r="J128" s="10">
        <v>82300</v>
      </c>
      <c r="K128" s="10">
        <v>46267</v>
      </c>
      <c r="L128" s="10">
        <v>36033</v>
      </c>
      <c r="M128" s="10">
        <v>0</v>
      </c>
      <c r="N128" s="11">
        <v>36033</v>
      </c>
      <c r="O128" s="12">
        <v>95735527</v>
      </c>
      <c r="P128" s="9">
        <v>285123</v>
      </c>
      <c r="Q128" s="9" t="s">
        <v>37</v>
      </c>
      <c r="R128" s="13">
        <v>45675</v>
      </c>
      <c r="S128" s="22">
        <v>45675</v>
      </c>
      <c r="T128" s="13">
        <v>45675</v>
      </c>
      <c r="U128" s="13">
        <v>45675</v>
      </c>
      <c r="V128" s="9" t="s">
        <v>47</v>
      </c>
      <c r="W128" s="9">
        <v>22524575</v>
      </c>
      <c r="X128" s="9">
        <v>1271320</v>
      </c>
      <c r="Y128" s="9">
        <v>68705433</v>
      </c>
      <c r="Z128" s="9" t="s">
        <v>39</v>
      </c>
      <c r="AA128" s="9">
        <v>26012025</v>
      </c>
      <c r="AB128" s="9">
        <v>77442</v>
      </c>
      <c r="AC128" s="9" t="s">
        <v>41</v>
      </c>
      <c r="AD128" s="9" t="s">
        <v>132</v>
      </c>
      <c r="AE128" s="9" t="s">
        <v>133</v>
      </c>
      <c r="AF128" s="9" t="s">
        <v>133</v>
      </c>
      <c r="AG128" s="14" t="str">
        <f t="shared" si="6"/>
        <v>EXAMENES DE LABORATORIO</v>
      </c>
      <c r="AH128" s="9" t="s">
        <v>758</v>
      </c>
      <c r="AI128" s="9">
        <v>0</v>
      </c>
      <c r="AJ128" s="9">
        <v>96617350</v>
      </c>
      <c r="AK128" s="9">
        <v>5</v>
      </c>
      <c r="AL128" s="26" t="s">
        <v>169</v>
      </c>
      <c r="AM128" s="14" t="s">
        <v>538</v>
      </c>
      <c r="AN128" s="27" t="str">
        <f t="shared" si="3"/>
        <v>14502516|96617350|95735527|95735527</v>
      </c>
      <c r="AO128" t="s">
        <v>758</v>
      </c>
      <c r="AP128" t="b">
        <v>1</v>
      </c>
      <c r="AQ128" t="s">
        <v>764</v>
      </c>
    </row>
    <row r="129" spans="1:43" x14ac:dyDescent="0.2">
      <c r="A129" s="14" t="s">
        <v>500</v>
      </c>
      <c r="B129" s="17">
        <v>14502516</v>
      </c>
      <c r="C129" s="14" t="s">
        <v>188</v>
      </c>
      <c r="D129" s="9">
        <v>14502516</v>
      </c>
      <c r="E129" s="9" t="s">
        <v>188</v>
      </c>
      <c r="F129" s="7">
        <v>45717</v>
      </c>
      <c r="G129" s="20" t="s">
        <v>46</v>
      </c>
      <c r="H129" s="8">
        <v>95735527</v>
      </c>
      <c r="I129" s="19">
        <v>65384240</v>
      </c>
      <c r="J129" s="10">
        <v>31115</v>
      </c>
      <c r="K129" s="10">
        <v>0</v>
      </c>
      <c r="L129" s="10">
        <v>31115</v>
      </c>
      <c r="M129" s="10">
        <v>0</v>
      </c>
      <c r="N129" s="11">
        <v>31115</v>
      </c>
      <c r="O129" s="12">
        <v>95735527</v>
      </c>
      <c r="P129" s="9">
        <v>285123</v>
      </c>
      <c r="Q129" s="9" t="s">
        <v>37</v>
      </c>
      <c r="R129" s="13">
        <v>45717</v>
      </c>
      <c r="S129" s="22">
        <v>45742</v>
      </c>
      <c r="T129" s="13">
        <v>45675</v>
      </c>
      <c r="U129" s="13">
        <v>45675</v>
      </c>
      <c r="V129" s="9" t="s">
        <v>47</v>
      </c>
      <c r="W129" s="9">
        <v>22770381</v>
      </c>
      <c r="X129" s="9">
        <v>3311105</v>
      </c>
      <c r="Y129" s="9">
        <v>69251113</v>
      </c>
      <c r="Z129" s="9" t="s">
        <v>39</v>
      </c>
      <c r="AA129" s="9">
        <v>970433961</v>
      </c>
      <c r="AB129" s="9">
        <v>78070</v>
      </c>
      <c r="AC129" s="9" t="s">
        <v>41</v>
      </c>
      <c r="AD129" s="9" t="s">
        <v>132</v>
      </c>
      <c r="AE129" s="9" t="s">
        <v>133</v>
      </c>
      <c r="AF129" s="9" t="s">
        <v>133</v>
      </c>
      <c r="AG129" s="14" t="str">
        <f t="shared" si="6"/>
        <v>EXAMENES DE LABORATORIO</v>
      </c>
      <c r="AH129" s="9">
        <v>0</v>
      </c>
      <c r="AI129" s="9">
        <v>0</v>
      </c>
      <c r="AJ129" s="9">
        <v>96617350</v>
      </c>
      <c r="AK129" s="9">
        <v>5</v>
      </c>
      <c r="AL129" s="26" t="s">
        <v>52</v>
      </c>
      <c r="AM129" s="14" t="s">
        <v>538</v>
      </c>
      <c r="AN129" s="27" t="str">
        <f t="shared" si="3"/>
        <v>14502516|96617350|95735527|65384240</v>
      </c>
      <c r="AO129" t="s">
        <v>44</v>
      </c>
      <c r="AP129" t="b">
        <v>0</v>
      </c>
      <c r="AQ129" t="s">
        <v>763</v>
      </c>
    </row>
    <row r="130" spans="1:43" x14ac:dyDescent="0.2">
      <c r="A130" s="14" t="s">
        <v>500</v>
      </c>
      <c r="B130" s="17">
        <v>14502516</v>
      </c>
      <c r="C130" s="14" t="s">
        <v>188</v>
      </c>
      <c r="D130" s="9">
        <v>14502516</v>
      </c>
      <c r="E130" s="9" t="s">
        <v>188</v>
      </c>
      <c r="F130" s="7">
        <v>45658</v>
      </c>
      <c r="G130" s="20" t="s">
        <v>36</v>
      </c>
      <c r="H130" s="8">
        <v>95735528</v>
      </c>
      <c r="I130" s="19">
        <v>95735528</v>
      </c>
      <c r="J130" s="10">
        <v>55000</v>
      </c>
      <c r="K130" s="10">
        <v>37803</v>
      </c>
      <c r="L130" s="10">
        <v>17197</v>
      </c>
      <c r="M130" s="10">
        <v>0</v>
      </c>
      <c r="N130" s="11">
        <v>17197</v>
      </c>
      <c r="O130" s="12">
        <v>95735528</v>
      </c>
      <c r="P130" s="9">
        <v>285123</v>
      </c>
      <c r="Q130" s="9" t="s">
        <v>37</v>
      </c>
      <c r="R130" s="13">
        <v>45675</v>
      </c>
      <c r="S130" s="22">
        <v>45675</v>
      </c>
      <c r="T130" s="13">
        <v>45675</v>
      </c>
      <c r="U130" s="13">
        <v>45675</v>
      </c>
      <c r="V130" s="9" t="s">
        <v>47</v>
      </c>
      <c r="W130" s="9">
        <v>22524575</v>
      </c>
      <c r="X130" s="9">
        <v>1271320</v>
      </c>
      <c r="Y130" s="9">
        <v>68705432</v>
      </c>
      <c r="Z130" s="9" t="s">
        <v>39</v>
      </c>
      <c r="AA130" s="9">
        <v>26012025</v>
      </c>
      <c r="AB130" s="9">
        <v>77442</v>
      </c>
      <c r="AC130" s="9" t="s">
        <v>41</v>
      </c>
      <c r="AD130" s="9" t="s">
        <v>132</v>
      </c>
      <c r="AE130" s="9" t="s">
        <v>133</v>
      </c>
      <c r="AF130" s="9" t="s">
        <v>133</v>
      </c>
      <c r="AG130" s="14" t="str">
        <f t="shared" si="6"/>
        <v>EXAMENES DE LABORATORIO</v>
      </c>
      <c r="AH130" s="9" t="s">
        <v>758</v>
      </c>
      <c r="AI130" s="9">
        <v>0</v>
      </c>
      <c r="AJ130" s="9">
        <v>96617350</v>
      </c>
      <c r="AK130" s="9">
        <v>5</v>
      </c>
      <c r="AL130" s="26" t="s">
        <v>169</v>
      </c>
      <c r="AM130" s="14" t="s">
        <v>538</v>
      </c>
      <c r="AN130" s="27" t="str">
        <f t="shared" si="3"/>
        <v>14502516|96617350|95735528|95735528</v>
      </c>
      <c r="AO130" t="s">
        <v>758</v>
      </c>
      <c r="AP130" t="b">
        <v>1</v>
      </c>
      <c r="AQ130" t="s">
        <v>764</v>
      </c>
    </row>
    <row r="131" spans="1:43" x14ac:dyDescent="0.2">
      <c r="A131" s="14" t="s">
        <v>500</v>
      </c>
      <c r="B131" s="17">
        <v>14502516</v>
      </c>
      <c r="C131" s="14" t="s">
        <v>188</v>
      </c>
      <c r="D131" s="9">
        <v>14502516</v>
      </c>
      <c r="E131" s="9" t="s">
        <v>188</v>
      </c>
      <c r="F131" s="7">
        <v>45717</v>
      </c>
      <c r="G131" s="20" t="s">
        <v>46</v>
      </c>
      <c r="H131" s="8">
        <v>95735528</v>
      </c>
      <c r="I131" s="19">
        <v>65384241</v>
      </c>
      <c r="J131" s="10">
        <v>14979</v>
      </c>
      <c r="K131" s="10">
        <v>0</v>
      </c>
      <c r="L131" s="10">
        <v>14979</v>
      </c>
      <c r="M131" s="10">
        <v>0</v>
      </c>
      <c r="N131" s="11">
        <v>14979</v>
      </c>
      <c r="O131" s="12">
        <v>95735528</v>
      </c>
      <c r="P131" s="9">
        <v>285123</v>
      </c>
      <c r="Q131" s="9" t="s">
        <v>37</v>
      </c>
      <c r="R131" s="13">
        <v>45717</v>
      </c>
      <c r="S131" s="22">
        <v>45742</v>
      </c>
      <c r="T131" s="13">
        <v>45675</v>
      </c>
      <c r="U131" s="13">
        <v>45675</v>
      </c>
      <c r="V131" s="9" t="s">
        <v>47</v>
      </c>
      <c r="W131" s="9">
        <v>22770381</v>
      </c>
      <c r="X131" s="9">
        <v>3311105</v>
      </c>
      <c r="Y131" s="9">
        <v>69251114</v>
      </c>
      <c r="Z131" s="9" t="s">
        <v>39</v>
      </c>
      <c r="AA131" s="9">
        <v>970433961</v>
      </c>
      <c r="AB131" s="9">
        <v>78070</v>
      </c>
      <c r="AC131" s="9" t="s">
        <v>41</v>
      </c>
      <c r="AD131" s="9" t="s">
        <v>132</v>
      </c>
      <c r="AE131" s="9" t="s">
        <v>133</v>
      </c>
      <c r="AF131" s="9" t="s">
        <v>133</v>
      </c>
      <c r="AG131" s="14" t="str">
        <f t="shared" si="6"/>
        <v>EXAMENES DE LABORATORIO</v>
      </c>
      <c r="AH131" s="9">
        <v>0</v>
      </c>
      <c r="AI131" s="9">
        <v>0</v>
      </c>
      <c r="AJ131" s="9">
        <v>96617350</v>
      </c>
      <c r="AK131" s="9">
        <v>5</v>
      </c>
      <c r="AL131" s="26" t="s">
        <v>52</v>
      </c>
      <c r="AM131" s="14" t="s">
        <v>538</v>
      </c>
      <c r="AN131" s="27" t="str">
        <f t="shared" ref="AN131:AN194" si="7">B131&amp;"|"&amp;AJ131&amp;"|"&amp;H131&amp;"|"&amp;I131</f>
        <v>14502516|96617350|95735528|65384241</v>
      </c>
      <c r="AO131" t="s">
        <v>44</v>
      </c>
      <c r="AP131" t="b">
        <v>0</v>
      </c>
      <c r="AQ131" t="s">
        <v>763</v>
      </c>
    </row>
    <row r="132" spans="1:43" x14ac:dyDescent="0.2">
      <c r="A132" s="14" t="s">
        <v>500</v>
      </c>
      <c r="B132" s="17">
        <v>14502516</v>
      </c>
      <c r="C132" s="14" t="s">
        <v>188</v>
      </c>
      <c r="D132" s="9">
        <v>14502516</v>
      </c>
      <c r="E132" s="9" t="s">
        <v>188</v>
      </c>
      <c r="F132" s="7">
        <v>45658</v>
      </c>
      <c r="G132" s="20" t="s">
        <v>36</v>
      </c>
      <c r="H132" s="8">
        <v>95735529</v>
      </c>
      <c r="I132" s="19">
        <v>95735529</v>
      </c>
      <c r="J132" s="10">
        <v>18900</v>
      </c>
      <c r="K132" s="10">
        <v>13504</v>
      </c>
      <c r="L132" s="10">
        <v>5396</v>
      </c>
      <c r="M132" s="10">
        <v>0</v>
      </c>
      <c r="N132" s="11">
        <v>5396</v>
      </c>
      <c r="O132" s="12">
        <v>95735529</v>
      </c>
      <c r="P132" s="9">
        <v>285123</v>
      </c>
      <c r="Q132" s="9" t="s">
        <v>37</v>
      </c>
      <c r="R132" s="13">
        <v>45675</v>
      </c>
      <c r="S132" s="22">
        <v>45675</v>
      </c>
      <c r="T132" s="13">
        <v>45675</v>
      </c>
      <c r="U132" s="13">
        <v>45675</v>
      </c>
      <c r="V132" s="9" t="s">
        <v>47</v>
      </c>
      <c r="W132" s="9">
        <v>22524575</v>
      </c>
      <c r="X132" s="9">
        <v>1271320</v>
      </c>
      <c r="Y132" s="9">
        <v>68705431</v>
      </c>
      <c r="Z132" s="9" t="s">
        <v>39</v>
      </c>
      <c r="AA132" s="9">
        <v>26012025</v>
      </c>
      <c r="AB132" s="9">
        <v>77442</v>
      </c>
      <c r="AC132" s="9" t="s">
        <v>41</v>
      </c>
      <c r="AD132" s="9" t="s">
        <v>132</v>
      </c>
      <c r="AE132" s="9" t="s">
        <v>133</v>
      </c>
      <c r="AF132" s="9" t="s">
        <v>133</v>
      </c>
      <c r="AG132" s="14" t="str">
        <f t="shared" si="6"/>
        <v>EXAMENES DE LABORATORIO</v>
      </c>
      <c r="AH132" s="9" t="s">
        <v>758</v>
      </c>
      <c r="AI132" s="9">
        <v>0</v>
      </c>
      <c r="AJ132" s="9">
        <v>96617350</v>
      </c>
      <c r="AK132" s="9">
        <v>5</v>
      </c>
      <c r="AL132" s="26" t="s">
        <v>169</v>
      </c>
      <c r="AM132" s="14" t="s">
        <v>538</v>
      </c>
      <c r="AN132" s="27" t="str">
        <f t="shared" si="7"/>
        <v>14502516|96617350|95735529|95735529</v>
      </c>
      <c r="AO132" t="s">
        <v>758</v>
      </c>
      <c r="AP132" t="b">
        <v>1</v>
      </c>
      <c r="AQ132" t="s">
        <v>764</v>
      </c>
    </row>
    <row r="133" spans="1:43" x14ac:dyDescent="0.2">
      <c r="A133" s="14" t="s">
        <v>500</v>
      </c>
      <c r="B133" s="17">
        <v>14502516</v>
      </c>
      <c r="C133" s="14" t="s">
        <v>188</v>
      </c>
      <c r="D133" s="9">
        <v>14502516</v>
      </c>
      <c r="E133" s="9" t="s">
        <v>188</v>
      </c>
      <c r="F133" s="7">
        <v>45717</v>
      </c>
      <c r="G133" s="20" t="s">
        <v>46</v>
      </c>
      <c r="H133" s="8">
        <v>95735529</v>
      </c>
      <c r="I133" s="19">
        <v>65384242</v>
      </c>
      <c r="J133" s="10">
        <v>4993</v>
      </c>
      <c r="K133" s="10">
        <v>0</v>
      </c>
      <c r="L133" s="10">
        <v>4993</v>
      </c>
      <c r="M133" s="10">
        <v>0</v>
      </c>
      <c r="N133" s="11">
        <v>4993</v>
      </c>
      <c r="O133" s="12">
        <v>95735529</v>
      </c>
      <c r="P133" s="9">
        <v>285123</v>
      </c>
      <c r="Q133" s="9" t="s">
        <v>37</v>
      </c>
      <c r="R133" s="13">
        <v>45717</v>
      </c>
      <c r="S133" s="22">
        <v>45742</v>
      </c>
      <c r="T133" s="13">
        <v>45675</v>
      </c>
      <c r="U133" s="13">
        <v>45675</v>
      </c>
      <c r="V133" s="9" t="s">
        <v>47</v>
      </c>
      <c r="W133" s="9">
        <v>22770381</v>
      </c>
      <c r="X133" s="9">
        <v>3311105</v>
      </c>
      <c r="Y133" s="9">
        <v>69251115</v>
      </c>
      <c r="Z133" s="9" t="s">
        <v>39</v>
      </c>
      <c r="AA133" s="9">
        <v>970433961</v>
      </c>
      <c r="AB133" s="9">
        <v>78070</v>
      </c>
      <c r="AC133" s="9" t="s">
        <v>41</v>
      </c>
      <c r="AD133" s="9" t="s">
        <v>132</v>
      </c>
      <c r="AE133" s="9" t="s">
        <v>133</v>
      </c>
      <c r="AF133" s="9" t="s">
        <v>133</v>
      </c>
      <c r="AG133" s="14" t="str">
        <f t="shared" si="6"/>
        <v>EXAMENES DE LABORATORIO</v>
      </c>
      <c r="AH133" s="9">
        <v>0</v>
      </c>
      <c r="AI133" s="9">
        <v>0</v>
      </c>
      <c r="AJ133" s="9">
        <v>96617350</v>
      </c>
      <c r="AK133" s="9">
        <v>5</v>
      </c>
      <c r="AL133" s="26" t="s">
        <v>52</v>
      </c>
      <c r="AM133" s="14" t="s">
        <v>538</v>
      </c>
      <c r="AN133" s="27" t="str">
        <f t="shared" si="7"/>
        <v>14502516|96617350|95735529|65384242</v>
      </c>
      <c r="AO133" t="s">
        <v>44</v>
      </c>
      <c r="AP133" t="b">
        <v>0</v>
      </c>
      <c r="AQ133" t="s">
        <v>763</v>
      </c>
    </row>
    <row r="134" spans="1:43" x14ac:dyDescent="0.2">
      <c r="A134" s="14" t="s">
        <v>500</v>
      </c>
      <c r="B134" s="17">
        <v>9636764</v>
      </c>
      <c r="C134" s="14" t="s">
        <v>192</v>
      </c>
      <c r="D134" s="9">
        <v>9636764</v>
      </c>
      <c r="E134" s="9" t="s">
        <v>192</v>
      </c>
      <c r="F134" s="7">
        <v>45658</v>
      </c>
      <c r="G134" s="20" t="s">
        <v>36</v>
      </c>
      <c r="H134" s="8">
        <v>95778177</v>
      </c>
      <c r="I134" s="19">
        <v>95778177</v>
      </c>
      <c r="J134" s="10">
        <v>34931</v>
      </c>
      <c r="K134" s="10">
        <v>17584</v>
      </c>
      <c r="L134" s="10">
        <v>17347</v>
      </c>
      <c r="M134" s="10">
        <v>0</v>
      </c>
      <c r="N134" s="11">
        <v>17347</v>
      </c>
      <c r="O134" s="12">
        <v>95778177</v>
      </c>
      <c r="P134" s="9">
        <v>285123</v>
      </c>
      <c r="Q134" s="9" t="s">
        <v>37</v>
      </c>
      <c r="R134" s="13">
        <v>45685</v>
      </c>
      <c r="S134" s="22">
        <v>45685</v>
      </c>
      <c r="T134" s="13">
        <v>45685</v>
      </c>
      <c r="U134" s="13">
        <v>45685</v>
      </c>
      <c r="V134" s="9" t="s">
        <v>47</v>
      </c>
      <c r="W134" s="9">
        <v>22560854</v>
      </c>
      <c r="X134" s="9">
        <v>2040929</v>
      </c>
      <c r="Y134" s="9">
        <v>68808486</v>
      </c>
      <c r="Z134" s="9" t="s">
        <v>39</v>
      </c>
      <c r="AA134" s="9">
        <v>2022025</v>
      </c>
      <c r="AB134" s="9">
        <v>77562</v>
      </c>
      <c r="AC134" s="9" t="s">
        <v>41</v>
      </c>
      <c r="AD134" s="9" t="s">
        <v>132</v>
      </c>
      <c r="AE134" s="9" t="s">
        <v>133</v>
      </c>
      <c r="AF134" s="9" t="s">
        <v>133</v>
      </c>
      <c r="AG134" s="14" t="str">
        <f t="shared" si="6"/>
        <v>EXAMENES DE LABORATORIO</v>
      </c>
      <c r="AH134" s="9" t="s">
        <v>758</v>
      </c>
      <c r="AI134" s="9">
        <v>0</v>
      </c>
      <c r="AJ134" s="9">
        <v>99573490</v>
      </c>
      <c r="AK134" s="9">
        <v>7</v>
      </c>
      <c r="AL134" s="26" t="s">
        <v>169</v>
      </c>
      <c r="AM134" s="14" t="s">
        <v>541</v>
      </c>
      <c r="AN134" s="27" t="str">
        <f t="shared" si="7"/>
        <v>9636764|99573490|95778177|95778177</v>
      </c>
      <c r="AO134" t="s">
        <v>758</v>
      </c>
      <c r="AP134" t="b">
        <v>1</v>
      </c>
      <c r="AQ134" t="s">
        <v>764</v>
      </c>
    </row>
    <row r="135" spans="1:43" x14ac:dyDescent="0.2">
      <c r="A135" s="14" t="s">
        <v>500</v>
      </c>
      <c r="B135" s="17">
        <v>9636764</v>
      </c>
      <c r="C135" s="14" t="s">
        <v>192</v>
      </c>
      <c r="D135" s="9">
        <v>9636764</v>
      </c>
      <c r="E135" s="9" t="s">
        <v>192</v>
      </c>
      <c r="F135" s="7">
        <v>45717</v>
      </c>
      <c r="G135" s="20" t="s">
        <v>46</v>
      </c>
      <c r="H135" s="8">
        <v>95778177</v>
      </c>
      <c r="I135" s="19">
        <v>65383754</v>
      </c>
      <c r="J135" s="10">
        <v>17273</v>
      </c>
      <c r="K135" s="10">
        <v>0</v>
      </c>
      <c r="L135" s="10">
        <v>17273</v>
      </c>
      <c r="M135" s="10">
        <v>0</v>
      </c>
      <c r="N135" s="11">
        <v>17273</v>
      </c>
      <c r="O135" s="12">
        <v>95778177</v>
      </c>
      <c r="P135" s="9">
        <v>285123</v>
      </c>
      <c r="Q135" s="9" t="s">
        <v>37</v>
      </c>
      <c r="R135" s="13">
        <v>45717</v>
      </c>
      <c r="S135" s="22">
        <v>45742</v>
      </c>
      <c r="T135" s="13">
        <v>45685</v>
      </c>
      <c r="U135" s="13">
        <v>45685</v>
      </c>
      <c r="V135" s="9" t="s">
        <v>47</v>
      </c>
      <c r="W135" s="9">
        <v>22770449</v>
      </c>
      <c r="X135" s="9">
        <v>3311105</v>
      </c>
      <c r="Y135" s="9">
        <v>69250644</v>
      </c>
      <c r="Z135" s="9" t="s">
        <v>39</v>
      </c>
      <c r="AA135" s="9">
        <v>360100506064</v>
      </c>
      <c r="AB135" s="9">
        <v>78070</v>
      </c>
      <c r="AC135" s="9" t="s">
        <v>41</v>
      </c>
      <c r="AD135" s="9" t="s">
        <v>132</v>
      </c>
      <c r="AE135" s="9" t="s">
        <v>133</v>
      </c>
      <c r="AF135" s="9" t="s">
        <v>133</v>
      </c>
      <c r="AG135" s="14" t="str">
        <f t="shared" si="6"/>
        <v>EXAMENES DE LABORATORIO</v>
      </c>
      <c r="AH135" s="9">
        <v>0</v>
      </c>
      <c r="AI135" s="9">
        <v>0</v>
      </c>
      <c r="AJ135" s="9">
        <v>99573490</v>
      </c>
      <c r="AK135" s="9">
        <v>7</v>
      </c>
      <c r="AL135" s="26" t="s">
        <v>52</v>
      </c>
      <c r="AM135" s="14" t="s">
        <v>541</v>
      </c>
      <c r="AN135" s="27" t="str">
        <f t="shared" si="7"/>
        <v>9636764|99573490|95778177|65383754</v>
      </c>
      <c r="AO135" t="s">
        <v>44</v>
      </c>
      <c r="AP135" t="b">
        <v>0</v>
      </c>
      <c r="AQ135" t="s">
        <v>763</v>
      </c>
    </row>
    <row r="136" spans="1:43" x14ac:dyDescent="0.2">
      <c r="A136" s="14" t="s">
        <v>500</v>
      </c>
      <c r="B136" s="17">
        <v>11641940</v>
      </c>
      <c r="C136" s="14" t="s">
        <v>193</v>
      </c>
      <c r="D136" s="9">
        <v>12261031</v>
      </c>
      <c r="E136" s="9" t="s">
        <v>194</v>
      </c>
      <c r="F136" s="7">
        <v>45658</v>
      </c>
      <c r="G136" s="20" t="s">
        <v>36</v>
      </c>
      <c r="H136" s="8">
        <v>95782718</v>
      </c>
      <c r="I136" s="19">
        <v>95782718</v>
      </c>
      <c r="J136" s="10">
        <v>17928</v>
      </c>
      <c r="K136" s="10">
        <v>6690</v>
      </c>
      <c r="L136" s="10">
        <v>11238</v>
      </c>
      <c r="M136" s="10">
        <v>0</v>
      </c>
      <c r="N136" s="11">
        <v>11238</v>
      </c>
      <c r="O136" s="12">
        <v>95782718</v>
      </c>
      <c r="P136" s="9">
        <v>285123</v>
      </c>
      <c r="Q136" s="9" t="s">
        <v>37</v>
      </c>
      <c r="R136" s="13">
        <v>45685</v>
      </c>
      <c r="S136" s="22">
        <v>45685</v>
      </c>
      <c r="T136" s="13">
        <v>45685</v>
      </c>
      <c r="U136" s="13">
        <v>45685</v>
      </c>
      <c r="V136" s="9" t="s">
        <v>47</v>
      </c>
      <c r="W136" s="9">
        <v>22560862</v>
      </c>
      <c r="X136" s="9">
        <v>2040929</v>
      </c>
      <c r="Y136" s="9">
        <v>68809004</v>
      </c>
      <c r="Z136" s="9" t="s">
        <v>39</v>
      </c>
      <c r="AA136" s="9">
        <v>2022025</v>
      </c>
      <c r="AB136" s="9">
        <v>77562</v>
      </c>
      <c r="AC136" s="9" t="s">
        <v>41</v>
      </c>
      <c r="AD136" s="9" t="s">
        <v>65</v>
      </c>
      <c r="AE136" s="9" t="s">
        <v>66</v>
      </c>
      <c r="AF136" s="9" t="s">
        <v>66</v>
      </c>
      <c r="AG136" s="14" t="str">
        <f t="shared" si="6"/>
        <v>PROCEDIMIENTOS TERAPEUTICOS</v>
      </c>
      <c r="AH136" s="9" t="s">
        <v>758</v>
      </c>
      <c r="AI136" s="9">
        <v>0</v>
      </c>
      <c r="AJ136" s="9">
        <v>76242774</v>
      </c>
      <c r="AK136" s="9">
        <v>5</v>
      </c>
      <c r="AL136" s="26" t="s">
        <v>169</v>
      </c>
      <c r="AM136" s="14" t="s">
        <v>542</v>
      </c>
      <c r="AN136" s="27" t="str">
        <f t="shared" si="7"/>
        <v>11641940|76242774|95782718|95782718</v>
      </c>
      <c r="AO136" t="s">
        <v>758</v>
      </c>
      <c r="AP136" t="b">
        <v>1</v>
      </c>
      <c r="AQ136" t="s">
        <v>764</v>
      </c>
    </row>
    <row r="137" spans="1:43" x14ac:dyDescent="0.2">
      <c r="A137" s="14" t="s">
        <v>500</v>
      </c>
      <c r="B137" s="17">
        <v>11641940</v>
      </c>
      <c r="C137" s="14" t="s">
        <v>193</v>
      </c>
      <c r="D137" s="9">
        <v>12261031</v>
      </c>
      <c r="E137" s="9" t="s">
        <v>194</v>
      </c>
      <c r="F137" s="7">
        <v>45717</v>
      </c>
      <c r="G137" s="20" t="s">
        <v>46</v>
      </c>
      <c r="H137" s="8">
        <v>95782718</v>
      </c>
      <c r="I137" s="19">
        <v>65383948</v>
      </c>
      <c r="J137" s="10">
        <v>9981</v>
      </c>
      <c r="K137" s="10">
        <v>0</v>
      </c>
      <c r="L137" s="10">
        <v>9981</v>
      </c>
      <c r="M137" s="10">
        <v>0</v>
      </c>
      <c r="N137" s="11">
        <v>9981</v>
      </c>
      <c r="O137" s="12">
        <v>95782718</v>
      </c>
      <c r="P137" s="9">
        <v>285123</v>
      </c>
      <c r="Q137" s="9" t="s">
        <v>37</v>
      </c>
      <c r="R137" s="13">
        <v>45717</v>
      </c>
      <c r="S137" s="22">
        <v>45742</v>
      </c>
      <c r="T137" s="13">
        <v>45685</v>
      </c>
      <c r="U137" s="13">
        <v>45685</v>
      </c>
      <c r="V137" s="9" t="s">
        <v>47</v>
      </c>
      <c r="W137" s="9">
        <v>22770454</v>
      </c>
      <c r="X137" s="9">
        <v>3311105</v>
      </c>
      <c r="Y137" s="9">
        <v>69250836</v>
      </c>
      <c r="Z137" s="9" t="s">
        <v>39</v>
      </c>
      <c r="AA137" s="9">
        <v>1702836120</v>
      </c>
      <c r="AB137" s="9">
        <v>78070</v>
      </c>
      <c r="AC137" s="9" t="s">
        <v>41</v>
      </c>
      <c r="AD137" s="9" t="s">
        <v>65</v>
      </c>
      <c r="AE137" s="9" t="s">
        <v>66</v>
      </c>
      <c r="AF137" s="9" t="s">
        <v>66</v>
      </c>
      <c r="AG137" s="14" t="str">
        <f t="shared" si="6"/>
        <v>PROCEDIMIENTOS TERAPEUTICOS</v>
      </c>
      <c r="AH137" s="9">
        <v>0</v>
      </c>
      <c r="AI137" s="9">
        <v>0</v>
      </c>
      <c r="AJ137" s="9">
        <v>76242774</v>
      </c>
      <c r="AK137" s="9">
        <v>5</v>
      </c>
      <c r="AL137" s="26" t="s">
        <v>52</v>
      </c>
      <c r="AM137" s="14" t="s">
        <v>542</v>
      </c>
      <c r="AN137" s="27" t="str">
        <f t="shared" si="7"/>
        <v>11641940|76242774|95782718|65383948</v>
      </c>
      <c r="AO137" t="s">
        <v>44</v>
      </c>
      <c r="AP137" t="b">
        <v>0</v>
      </c>
      <c r="AQ137" t="s">
        <v>763</v>
      </c>
    </row>
    <row r="138" spans="1:43" x14ac:dyDescent="0.2">
      <c r="A138" s="14" t="s">
        <v>500</v>
      </c>
      <c r="B138" s="17">
        <v>11641940</v>
      </c>
      <c r="C138" s="14" t="s">
        <v>193</v>
      </c>
      <c r="D138" s="9">
        <v>12261031</v>
      </c>
      <c r="E138" s="9" t="s">
        <v>194</v>
      </c>
      <c r="F138" s="7">
        <v>45658</v>
      </c>
      <c r="G138" s="20" t="s">
        <v>36</v>
      </c>
      <c r="H138" s="8">
        <v>95782725</v>
      </c>
      <c r="I138" s="19">
        <v>95782725</v>
      </c>
      <c r="J138" s="10">
        <v>13392</v>
      </c>
      <c r="K138" s="10">
        <v>5008</v>
      </c>
      <c r="L138" s="10">
        <v>8384</v>
      </c>
      <c r="M138" s="10">
        <v>0</v>
      </c>
      <c r="N138" s="11">
        <v>8384</v>
      </c>
      <c r="O138" s="12">
        <v>95782725</v>
      </c>
      <c r="P138" s="9">
        <v>285123</v>
      </c>
      <c r="Q138" s="9" t="s">
        <v>37</v>
      </c>
      <c r="R138" s="13">
        <v>45685</v>
      </c>
      <c r="S138" s="22">
        <v>45685</v>
      </c>
      <c r="T138" s="13">
        <v>45685</v>
      </c>
      <c r="U138" s="13">
        <v>45685</v>
      </c>
      <c r="V138" s="9" t="s">
        <v>47</v>
      </c>
      <c r="W138" s="9">
        <v>22560862</v>
      </c>
      <c r="X138" s="9">
        <v>2040929</v>
      </c>
      <c r="Y138" s="9">
        <v>68809007</v>
      </c>
      <c r="Z138" s="9" t="s">
        <v>39</v>
      </c>
      <c r="AA138" s="9">
        <v>2022025</v>
      </c>
      <c r="AB138" s="9">
        <v>77562</v>
      </c>
      <c r="AC138" s="9" t="s">
        <v>41</v>
      </c>
      <c r="AD138" s="9" t="s">
        <v>65</v>
      </c>
      <c r="AE138" s="9" t="s">
        <v>66</v>
      </c>
      <c r="AF138" s="9" t="s">
        <v>66</v>
      </c>
      <c r="AG138" s="14" t="str">
        <f t="shared" si="6"/>
        <v>PROCEDIMIENTOS TERAPEUTICOS</v>
      </c>
      <c r="AH138" s="9" t="s">
        <v>758</v>
      </c>
      <c r="AI138" s="9">
        <v>0</v>
      </c>
      <c r="AJ138" s="9">
        <v>76242774</v>
      </c>
      <c r="AK138" s="9">
        <v>5</v>
      </c>
      <c r="AL138" s="26" t="s">
        <v>169</v>
      </c>
      <c r="AM138" s="14" t="s">
        <v>542</v>
      </c>
      <c r="AN138" s="27" t="str">
        <f t="shared" si="7"/>
        <v>11641940|76242774|95782725|95782725</v>
      </c>
      <c r="AO138" t="s">
        <v>758</v>
      </c>
      <c r="AP138" t="b">
        <v>1</v>
      </c>
      <c r="AQ138" t="s">
        <v>764</v>
      </c>
    </row>
    <row r="139" spans="1:43" x14ac:dyDescent="0.2">
      <c r="A139" s="14" t="s">
        <v>500</v>
      </c>
      <c r="B139" s="17">
        <v>11641940</v>
      </c>
      <c r="C139" s="14" t="s">
        <v>193</v>
      </c>
      <c r="D139" s="9">
        <v>12261031</v>
      </c>
      <c r="E139" s="9" t="s">
        <v>194</v>
      </c>
      <c r="F139" s="7">
        <v>45717</v>
      </c>
      <c r="G139" s="20" t="s">
        <v>46</v>
      </c>
      <c r="H139" s="8">
        <v>95782725</v>
      </c>
      <c r="I139" s="19">
        <v>65383949</v>
      </c>
      <c r="J139" s="10">
        <v>7678</v>
      </c>
      <c r="K139" s="10">
        <v>0</v>
      </c>
      <c r="L139" s="10">
        <v>7678</v>
      </c>
      <c r="M139" s="10">
        <v>0</v>
      </c>
      <c r="N139" s="11">
        <v>7678</v>
      </c>
      <c r="O139" s="12">
        <v>95782725</v>
      </c>
      <c r="P139" s="9">
        <v>285123</v>
      </c>
      <c r="Q139" s="9" t="s">
        <v>37</v>
      </c>
      <c r="R139" s="13">
        <v>45717</v>
      </c>
      <c r="S139" s="22">
        <v>45742</v>
      </c>
      <c r="T139" s="13">
        <v>45685</v>
      </c>
      <c r="U139" s="13">
        <v>45685</v>
      </c>
      <c r="V139" s="9" t="s">
        <v>47</v>
      </c>
      <c r="W139" s="9">
        <v>22770454</v>
      </c>
      <c r="X139" s="9">
        <v>3311105</v>
      </c>
      <c r="Y139" s="9">
        <v>69250837</v>
      </c>
      <c r="Z139" s="9" t="s">
        <v>39</v>
      </c>
      <c r="AA139" s="9">
        <v>1702836120</v>
      </c>
      <c r="AB139" s="9">
        <v>78070</v>
      </c>
      <c r="AC139" s="9" t="s">
        <v>41</v>
      </c>
      <c r="AD139" s="9" t="s">
        <v>65</v>
      </c>
      <c r="AE139" s="9" t="s">
        <v>66</v>
      </c>
      <c r="AF139" s="9" t="s">
        <v>66</v>
      </c>
      <c r="AG139" s="14" t="str">
        <f t="shared" si="6"/>
        <v>PROCEDIMIENTOS TERAPEUTICOS</v>
      </c>
      <c r="AH139" s="9">
        <v>0</v>
      </c>
      <c r="AI139" s="9">
        <v>0</v>
      </c>
      <c r="AJ139" s="9">
        <v>76242774</v>
      </c>
      <c r="AK139" s="9">
        <v>5</v>
      </c>
      <c r="AL139" s="26" t="s">
        <v>52</v>
      </c>
      <c r="AM139" s="14" t="s">
        <v>542</v>
      </c>
      <c r="AN139" s="27" t="str">
        <f t="shared" si="7"/>
        <v>11641940|76242774|95782725|65383949</v>
      </c>
      <c r="AO139" t="s">
        <v>44</v>
      </c>
      <c r="AP139" t="b">
        <v>0</v>
      </c>
      <c r="AQ139" t="s">
        <v>763</v>
      </c>
    </row>
    <row r="140" spans="1:43" x14ac:dyDescent="0.2">
      <c r="A140" s="14" t="s">
        <v>500</v>
      </c>
      <c r="B140" s="17">
        <v>13999930</v>
      </c>
      <c r="C140" s="14" t="s">
        <v>168</v>
      </c>
      <c r="D140" s="9">
        <v>13999930</v>
      </c>
      <c r="E140" s="9" t="s">
        <v>168</v>
      </c>
      <c r="F140" s="7">
        <v>45689</v>
      </c>
      <c r="G140" s="20" t="s">
        <v>36</v>
      </c>
      <c r="H140" s="8">
        <v>95801737</v>
      </c>
      <c r="I140" s="19">
        <v>95801737</v>
      </c>
      <c r="J140" s="10">
        <v>19929</v>
      </c>
      <c r="K140" s="10">
        <v>12601</v>
      </c>
      <c r="L140" s="10">
        <v>7328</v>
      </c>
      <c r="M140" s="10">
        <v>0</v>
      </c>
      <c r="N140" s="11">
        <v>7328</v>
      </c>
      <c r="O140" s="12">
        <v>95801737</v>
      </c>
      <c r="P140" s="9">
        <v>285123</v>
      </c>
      <c r="Q140" s="9" t="s">
        <v>37</v>
      </c>
      <c r="R140" s="13">
        <v>45689</v>
      </c>
      <c r="S140" s="22">
        <v>45689</v>
      </c>
      <c r="T140" s="13">
        <v>45689</v>
      </c>
      <c r="U140" s="13">
        <v>45689</v>
      </c>
      <c r="V140" s="9" t="s">
        <v>47</v>
      </c>
      <c r="W140" s="9">
        <v>22566107</v>
      </c>
      <c r="X140" s="9">
        <v>2101551</v>
      </c>
      <c r="Y140" s="9">
        <v>68819585</v>
      </c>
      <c r="Z140" s="9" t="s">
        <v>39</v>
      </c>
      <c r="AA140" s="9">
        <v>9022025</v>
      </c>
      <c r="AB140" s="9">
        <v>77586</v>
      </c>
      <c r="AC140" s="9" t="s">
        <v>41</v>
      </c>
      <c r="AD140" s="9" t="s">
        <v>132</v>
      </c>
      <c r="AE140" s="9" t="s">
        <v>133</v>
      </c>
      <c r="AF140" s="9" t="s">
        <v>133</v>
      </c>
      <c r="AG140" s="14" t="str">
        <f t="shared" si="6"/>
        <v>EXAMENES DE LABORATORIO</v>
      </c>
      <c r="AH140" s="9" t="s">
        <v>758</v>
      </c>
      <c r="AI140" s="9">
        <v>0</v>
      </c>
      <c r="AJ140" s="9">
        <v>96986050</v>
      </c>
      <c r="AK140" s="9">
        <v>3</v>
      </c>
      <c r="AL140" s="26" t="s">
        <v>169</v>
      </c>
      <c r="AM140" s="14" t="s">
        <v>530</v>
      </c>
      <c r="AN140" s="27" t="str">
        <f t="shared" si="7"/>
        <v>13999930|96986050|95801737|95801737</v>
      </c>
      <c r="AO140" t="s">
        <v>758</v>
      </c>
      <c r="AP140" t="b">
        <v>1</v>
      </c>
      <c r="AQ140" t="s">
        <v>764</v>
      </c>
    </row>
    <row r="141" spans="1:43" x14ac:dyDescent="0.2">
      <c r="A141" s="14" t="s">
        <v>500</v>
      </c>
      <c r="B141" s="17">
        <v>13999930</v>
      </c>
      <c r="C141" s="14" t="s">
        <v>168</v>
      </c>
      <c r="D141" s="9">
        <v>13999930</v>
      </c>
      <c r="E141" s="9" t="s">
        <v>168</v>
      </c>
      <c r="F141" s="7">
        <v>45717</v>
      </c>
      <c r="G141" s="20" t="s">
        <v>46</v>
      </c>
      <c r="H141" s="8">
        <v>95801737</v>
      </c>
      <c r="I141" s="19">
        <v>65384183</v>
      </c>
      <c r="J141" s="10">
        <v>7290</v>
      </c>
      <c r="K141" s="10">
        <v>0</v>
      </c>
      <c r="L141" s="10">
        <v>7290</v>
      </c>
      <c r="M141" s="10">
        <v>0</v>
      </c>
      <c r="N141" s="11">
        <v>7290</v>
      </c>
      <c r="O141" s="12">
        <v>95801737</v>
      </c>
      <c r="P141" s="9">
        <v>285123</v>
      </c>
      <c r="Q141" s="9" t="s">
        <v>37</v>
      </c>
      <c r="R141" s="13">
        <v>45717</v>
      </c>
      <c r="S141" s="22">
        <v>45742</v>
      </c>
      <c r="T141" s="13">
        <v>45689</v>
      </c>
      <c r="U141" s="13">
        <v>45689</v>
      </c>
      <c r="V141" s="9" t="s">
        <v>47</v>
      </c>
      <c r="W141" s="9">
        <v>22770508</v>
      </c>
      <c r="X141" s="9">
        <v>3311105</v>
      </c>
      <c r="Y141" s="9">
        <v>69251059</v>
      </c>
      <c r="Z141" s="9" t="s">
        <v>39</v>
      </c>
      <c r="AA141" s="9">
        <v>970753966</v>
      </c>
      <c r="AB141" s="9">
        <v>78070</v>
      </c>
      <c r="AC141" s="9" t="s">
        <v>41</v>
      </c>
      <c r="AD141" s="9" t="s">
        <v>132</v>
      </c>
      <c r="AE141" s="9" t="s">
        <v>133</v>
      </c>
      <c r="AF141" s="9" t="s">
        <v>133</v>
      </c>
      <c r="AG141" s="14" t="str">
        <f t="shared" si="6"/>
        <v>EXAMENES DE LABORATORIO</v>
      </c>
      <c r="AH141" s="9">
        <v>0</v>
      </c>
      <c r="AI141" s="9">
        <v>0</v>
      </c>
      <c r="AJ141" s="9">
        <v>96986050</v>
      </c>
      <c r="AK141" s="9">
        <v>3</v>
      </c>
      <c r="AL141" s="26" t="s">
        <v>52</v>
      </c>
      <c r="AM141" s="14" t="s">
        <v>530</v>
      </c>
      <c r="AN141" s="27" t="str">
        <f t="shared" si="7"/>
        <v>13999930|96986050|95801737|65384183</v>
      </c>
      <c r="AO141" t="s">
        <v>44</v>
      </c>
      <c r="AP141" t="b">
        <v>0</v>
      </c>
      <c r="AQ141" t="s">
        <v>763</v>
      </c>
    </row>
    <row r="142" spans="1:43" x14ac:dyDescent="0.2">
      <c r="A142" s="14" t="s">
        <v>500</v>
      </c>
      <c r="B142" s="17">
        <v>13999930</v>
      </c>
      <c r="C142" s="14" t="s">
        <v>168</v>
      </c>
      <c r="D142" s="9">
        <v>13999930</v>
      </c>
      <c r="E142" s="9" t="s">
        <v>168</v>
      </c>
      <c r="F142" s="7">
        <v>45689</v>
      </c>
      <c r="G142" s="20" t="s">
        <v>36</v>
      </c>
      <c r="H142" s="8">
        <v>95801738</v>
      </c>
      <c r="I142" s="19">
        <v>95801738</v>
      </c>
      <c r="J142" s="10">
        <v>35711</v>
      </c>
      <c r="K142" s="10">
        <v>24594</v>
      </c>
      <c r="L142" s="10">
        <v>11117</v>
      </c>
      <c r="M142" s="10">
        <v>0</v>
      </c>
      <c r="N142" s="11">
        <v>11117</v>
      </c>
      <c r="O142" s="12">
        <v>95801738</v>
      </c>
      <c r="P142" s="9">
        <v>285123</v>
      </c>
      <c r="Q142" s="9" t="s">
        <v>37</v>
      </c>
      <c r="R142" s="13">
        <v>45689</v>
      </c>
      <c r="S142" s="22">
        <v>45689</v>
      </c>
      <c r="T142" s="13">
        <v>45689</v>
      </c>
      <c r="U142" s="13">
        <v>45689</v>
      </c>
      <c r="V142" s="9" t="s">
        <v>47</v>
      </c>
      <c r="W142" s="9">
        <v>22566107</v>
      </c>
      <c r="X142" s="9">
        <v>2101551</v>
      </c>
      <c r="Y142" s="9">
        <v>68819584</v>
      </c>
      <c r="Z142" s="9" t="s">
        <v>39</v>
      </c>
      <c r="AA142" s="9">
        <v>9022025</v>
      </c>
      <c r="AB142" s="9">
        <v>77586</v>
      </c>
      <c r="AC142" s="9" t="s">
        <v>41</v>
      </c>
      <c r="AD142" s="9" t="s">
        <v>132</v>
      </c>
      <c r="AE142" s="9" t="s">
        <v>133</v>
      </c>
      <c r="AF142" s="9" t="s">
        <v>133</v>
      </c>
      <c r="AG142" s="14" t="str">
        <f t="shared" si="6"/>
        <v>EXAMENES DE LABORATORIO</v>
      </c>
      <c r="AH142" s="9" t="s">
        <v>758</v>
      </c>
      <c r="AI142" s="9">
        <v>0</v>
      </c>
      <c r="AJ142" s="9">
        <v>96986050</v>
      </c>
      <c r="AK142" s="9">
        <v>3</v>
      </c>
      <c r="AL142" s="26" t="s">
        <v>169</v>
      </c>
      <c r="AM142" s="14" t="s">
        <v>530</v>
      </c>
      <c r="AN142" s="27" t="str">
        <f t="shared" si="7"/>
        <v>13999930|96986050|95801738|95801738</v>
      </c>
      <c r="AO142" t="s">
        <v>758</v>
      </c>
      <c r="AP142" t="b">
        <v>1</v>
      </c>
      <c r="AQ142" t="s">
        <v>764</v>
      </c>
    </row>
    <row r="143" spans="1:43" x14ac:dyDescent="0.2">
      <c r="A143" s="14" t="s">
        <v>500</v>
      </c>
      <c r="B143" s="17">
        <v>13999930</v>
      </c>
      <c r="C143" s="14" t="s">
        <v>168</v>
      </c>
      <c r="D143" s="9">
        <v>13999930</v>
      </c>
      <c r="E143" s="9" t="s">
        <v>168</v>
      </c>
      <c r="F143" s="7">
        <v>45717</v>
      </c>
      <c r="G143" s="20" t="s">
        <v>46</v>
      </c>
      <c r="H143" s="8">
        <v>95801738</v>
      </c>
      <c r="I143" s="19">
        <v>65384184</v>
      </c>
      <c r="J143" s="10">
        <v>11128</v>
      </c>
      <c r="K143" s="10">
        <v>0</v>
      </c>
      <c r="L143" s="10">
        <v>11128</v>
      </c>
      <c r="M143" s="10">
        <v>0</v>
      </c>
      <c r="N143" s="11">
        <v>11128</v>
      </c>
      <c r="O143" s="12">
        <v>95801738</v>
      </c>
      <c r="P143" s="9">
        <v>285123</v>
      </c>
      <c r="Q143" s="9" t="s">
        <v>37</v>
      </c>
      <c r="R143" s="13">
        <v>45717</v>
      </c>
      <c r="S143" s="22">
        <v>45742</v>
      </c>
      <c r="T143" s="13">
        <v>45689</v>
      </c>
      <c r="U143" s="13">
        <v>45689</v>
      </c>
      <c r="V143" s="9" t="s">
        <v>47</v>
      </c>
      <c r="W143" s="9">
        <v>22770508</v>
      </c>
      <c r="X143" s="9">
        <v>3311105</v>
      </c>
      <c r="Y143" s="9">
        <v>69251060</v>
      </c>
      <c r="Z143" s="9" t="s">
        <v>39</v>
      </c>
      <c r="AA143" s="9">
        <v>970753966</v>
      </c>
      <c r="AB143" s="9">
        <v>78070</v>
      </c>
      <c r="AC143" s="9" t="s">
        <v>41</v>
      </c>
      <c r="AD143" s="9" t="s">
        <v>132</v>
      </c>
      <c r="AE143" s="9" t="s">
        <v>133</v>
      </c>
      <c r="AF143" s="9" t="s">
        <v>133</v>
      </c>
      <c r="AG143" s="14" t="str">
        <f t="shared" si="6"/>
        <v>EXAMENES DE LABORATORIO</v>
      </c>
      <c r="AH143" s="9">
        <v>0</v>
      </c>
      <c r="AI143" s="9">
        <v>0</v>
      </c>
      <c r="AJ143" s="9">
        <v>96986050</v>
      </c>
      <c r="AK143" s="9">
        <v>3</v>
      </c>
      <c r="AL143" s="26" t="s">
        <v>52</v>
      </c>
      <c r="AM143" s="14" t="s">
        <v>530</v>
      </c>
      <c r="AN143" s="27" t="str">
        <f t="shared" si="7"/>
        <v>13999930|96986050|95801738|65384184</v>
      </c>
      <c r="AO143" t="s">
        <v>44</v>
      </c>
      <c r="AP143" t="b">
        <v>0</v>
      </c>
      <c r="AQ143" t="s">
        <v>763</v>
      </c>
    </row>
    <row r="144" spans="1:43" x14ac:dyDescent="0.2">
      <c r="A144" s="14" t="s">
        <v>500</v>
      </c>
      <c r="B144" s="17">
        <v>17457276</v>
      </c>
      <c r="C144" s="14" t="s">
        <v>195</v>
      </c>
      <c r="D144" s="9">
        <v>17457276</v>
      </c>
      <c r="E144" s="9" t="s">
        <v>195</v>
      </c>
      <c r="F144" s="7">
        <v>45689</v>
      </c>
      <c r="G144" s="20" t="s">
        <v>36</v>
      </c>
      <c r="H144" s="8">
        <v>95813778</v>
      </c>
      <c r="I144" s="19">
        <v>95813778</v>
      </c>
      <c r="J144" s="10">
        <v>9350</v>
      </c>
      <c r="K144" s="10">
        <v>5800</v>
      </c>
      <c r="L144" s="10">
        <v>3550</v>
      </c>
      <c r="M144" s="10">
        <v>0</v>
      </c>
      <c r="N144" s="11">
        <v>3550</v>
      </c>
      <c r="O144" s="12">
        <v>95813778</v>
      </c>
      <c r="P144" s="9">
        <v>285123</v>
      </c>
      <c r="Q144" s="9" t="s">
        <v>37</v>
      </c>
      <c r="R144" s="13">
        <v>45692</v>
      </c>
      <c r="S144" s="22">
        <v>45692</v>
      </c>
      <c r="T144" s="13">
        <v>45692</v>
      </c>
      <c r="U144" s="13">
        <v>45692</v>
      </c>
      <c r="V144" s="9" t="s">
        <v>47</v>
      </c>
      <c r="W144" s="9">
        <v>22566189</v>
      </c>
      <c r="X144" s="9">
        <v>2101551</v>
      </c>
      <c r="Y144" s="9">
        <v>68821128</v>
      </c>
      <c r="Z144" s="9" t="s">
        <v>39</v>
      </c>
      <c r="AA144" s="9">
        <v>9022025</v>
      </c>
      <c r="AB144" s="9">
        <v>77586</v>
      </c>
      <c r="AC144" s="9" t="s">
        <v>41</v>
      </c>
      <c r="AD144" s="9" t="s">
        <v>65</v>
      </c>
      <c r="AE144" s="9" t="s">
        <v>66</v>
      </c>
      <c r="AF144" s="9" t="s">
        <v>66</v>
      </c>
      <c r="AG144" s="14" t="str">
        <f t="shared" si="6"/>
        <v>PROCEDIMIENTOS TERAPEUTICOS</v>
      </c>
      <c r="AH144" s="9" t="s">
        <v>758</v>
      </c>
      <c r="AI144" s="9">
        <v>0</v>
      </c>
      <c r="AJ144" s="9">
        <v>76010492</v>
      </c>
      <c r="AK144" s="9">
        <v>2</v>
      </c>
      <c r="AL144" s="26" t="s">
        <v>169</v>
      </c>
      <c r="AM144" s="14" t="s">
        <v>543</v>
      </c>
      <c r="AN144" s="27" t="str">
        <f t="shared" si="7"/>
        <v>17457276|76010492|95813778|95813778</v>
      </c>
      <c r="AO144" t="s">
        <v>758</v>
      </c>
      <c r="AP144" t="b">
        <v>1</v>
      </c>
      <c r="AQ144" t="s">
        <v>764</v>
      </c>
    </row>
    <row r="145" spans="1:43" x14ac:dyDescent="0.2">
      <c r="A145" s="14" t="s">
        <v>500</v>
      </c>
      <c r="B145" s="17">
        <v>17457276</v>
      </c>
      <c r="C145" s="14" t="s">
        <v>195</v>
      </c>
      <c r="D145" s="9">
        <v>17457276</v>
      </c>
      <c r="E145" s="9" t="s">
        <v>195</v>
      </c>
      <c r="F145" s="7">
        <v>45717</v>
      </c>
      <c r="G145" s="20" t="s">
        <v>46</v>
      </c>
      <c r="H145" s="8">
        <v>95813778</v>
      </c>
      <c r="I145" s="19">
        <v>65384417</v>
      </c>
      <c r="J145" s="10">
        <v>3453</v>
      </c>
      <c r="K145" s="10">
        <v>0</v>
      </c>
      <c r="L145" s="10">
        <v>3453</v>
      </c>
      <c r="M145" s="10">
        <v>0</v>
      </c>
      <c r="N145" s="11">
        <v>3453</v>
      </c>
      <c r="O145" s="12">
        <v>95813778</v>
      </c>
      <c r="P145" s="9">
        <v>285123</v>
      </c>
      <c r="Q145" s="9" t="s">
        <v>37</v>
      </c>
      <c r="R145" s="13">
        <v>45717</v>
      </c>
      <c r="S145" s="22">
        <v>45742</v>
      </c>
      <c r="T145" s="13">
        <v>45692</v>
      </c>
      <c r="U145" s="13">
        <v>45692</v>
      </c>
      <c r="V145" s="9" t="s">
        <v>47</v>
      </c>
      <c r="W145" s="9">
        <v>22770535</v>
      </c>
      <c r="X145" s="9">
        <v>3311105</v>
      </c>
      <c r="Y145" s="9">
        <v>69251287</v>
      </c>
      <c r="Z145" s="9" t="s">
        <v>39</v>
      </c>
      <c r="AA145" s="9">
        <v>7390027803</v>
      </c>
      <c r="AB145" s="9">
        <v>78070</v>
      </c>
      <c r="AC145" s="9" t="s">
        <v>41</v>
      </c>
      <c r="AD145" s="9" t="s">
        <v>65</v>
      </c>
      <c r="AE145" s="9" t="s">
        <v>66</v>
      </c>
      <c r="AF145" s="9" t="s">
        <v>66</v>
      </c>
      <c r="AG145" s="14" t="str">
        <f t="shared" si="6"/>
        <v>PROCEDIMIENTOS TERAPEUTICOS</v>
      </c>
      <c r="AH145" s="9">
        <v>0</v>
      </c>
      <c r="AI145" s="9">
        <v>0</v>
      </c>
      <c r="AJ145" s="9">
        <v>76010492</v>
      </c>
      <c r="AK145" s="9">
        <v>2</v>
      </c>
      <c r="AL145" s="26" t="s">
        <v>52</v>
      </c>
      <c r="AM145" s="14" t="s">
        <v>543</v>
      </c>
      <c r="AN145" s="27" t="str">
        <f t="shared" si="7"/>
        <v>17457276|76010492|95813778|65384417</v>
      </c>
      <c r="AO145" t="s">
        <v>44</v>
      </c>
      <c r="AP145" t="b">
        <v>0</v>
      </c>
      <c r="AQ145" t="s">
        <v>763</v>
      </c>
    </row>
    <row r="146" spans="1:43" x14ac:dyDescent="0.2">
      <c r="A146" s="14" t="s">
        <v>500</v>
      </c>
      <c r="B146" s="17">
        <v>17457276</v>
      </c>
      <c r="C146" s="14" t="s">
        <v>195</v>
      </c>
      <c r="D146" s="9">
        <v>17457276</v>
      </c>
      <c r="E146" s="9" t="s">
        <v>195</v>
      </c>
      <c r="F146" s="7">
        <v>45689</v>
      </c>
      <c r="G146" s="20" t="s">
        <v>36</v>
      </c>
      <c r="H146" s="8">
        <v>95814458</v>
      </c>
      <c r="I146" s="19">
        <v>95814458</v>
      </c>
      <c r="J146" s="10">
        <v>46530</v>
      </c>
      <c r="K146" s="10">
        <v>20855</v>
      </c>
      <c r="L146" s="10">
        <v>25675</v>
      </c>
      <c r="M146" s="10">
        <v>0</v>
      </c>
      <c r="N146" s="11">
        <v>25675</v>
      </c>
      <c r="O146" s="12">
        <v>95814458</v>
      </c>
      <c r="P146" s="9">
        <v>285123</v>
      </c>
      <c r="Q146" s="9" t="s">
        <v>37</v>
      </c>
      <c r="R146" s="13">
        <v>45692</v>
      </c>
      <c r="S146" s="22">
        <v>45692</v>
      </c>
      <c r="T146" s="13">
        <v>45692</v>
      </c>
      <c r="U146" s="13">
        <v>45692</v>
      </c>
      <c r="V146" s="9" t="s">
        <v>47</v>
      </c>
      <c r="W146" s="9">
        <v>22566189</v>
      </c>
      <c r="X146" s="9">
        <v>2101551</v>
      </c>
      <c r="Y146" s="9">
        <v>68821207</v>
      </c>
      <c r="Z146" s="9" t="s">
        <v>39</v>
      </c>
      <c r="AA146" s="9">
        <v>9022025</v>
      </c>
      <c r="AB146" s="9">
        <v>77586</v>
      </c>
      <c r="AC146" s="9" t="s">
        <v>41</v>
      </c>
      <c r="AD146" s="9" t="s">
        <v>65</v>
      </c>
      <c r="AE146" s="9" t="s">
        <v>66</v>
      </c>
      <c r="AF146" s="9" t="s">
        <v>66</v>
      </c>
      <c r="AG146" s="14" t="str">
        <f t="shared" si="6"/>
        <v>PROCEDIMIENTOS TERAPEUTICOS</v>
      </c>
      <c r="AH146" s="9" t="s">
        <v>758</v>
      </c>
      <c r="AI146" s="9">
        <v>0</v>
      </c>
      <c r="AJ146" s="9">
        <v>76010492</v>
      </c>
      <c r="AK146" s="9">
        <v>2</v>
      </c>
      <c r="AL146" s="26" t="s">
        <v>169</v>
      </c>
      <c r="AM146" s="14" t="s">
        <v>543</v>
      </c>
      <c r="AN146" s="27" t="str">
        <f t="shared" si="7"/>
        <v>17457276|76010492|95814458|95814458</v>
      </c>
      <c r="AO146" t="s">
        <v>758</v>
      </c>
      <c r="AP146" t="b">
        <v>1</v>
      </c>
      <c r="AQ146" t="s">
        <v>764</v>
      </c>
    </row>
    <row r="147" spans="1:43" x14ac:dyDescent="0.2">
      <c r="A147" s="14" t="s">
        <v>500</v>
      </c>
      <c r="B147" s="17">
        <v>17457276</v>
      </c>
      <c r="C147" s="14" t="s">
        <v>195</v>
      </c>
      <c r="D147" s="9">
        <v>17457276</v>
      </c>
      <c r="E147" s="9" t="s">
        <v>195</v>
      </c>
      <c r="F147" s="7">
        <v>45717</v>
      </c>
      <c r="G147" s="20" t="s">
        <v>46</v>
      </c>
      <c r="H147" s="8">
        <v>95814458</v>
      </c>
      <c r="I147" s="19">
        <v>65384418</v>
      </c>
      <c r="J147" s="10">
        <v>24559</v>
      </c>
      <c r="K147" s="10">
        <v>0</v>
      </c>
      <c r="L147" s="10">
        <v>24559</v>
      </c>
      <c r="M147" s="10">
        <v>0</v>
      </c>
      <c r="N147" s="11">
        <v>24559</v>
      </c>
      <c r="O147" s="12">
        <v>95814458</v>
      </c>
      <c r="P147" s="9">
        <v>285123</v>
      </c>
      <c r="Q147" s="9" t="s">
        <v>37</v>
      </c>
      <c r="R147" s="13">
        <v>45717</v>
      </c>
      <c r="S147" s="22">
        <v>45742</v>
      </c>
      <c r="T147" s="13">
        <v>45692</v>
      </c>
      <c r="U147" s="13">
        <v>45692</v>
      </c>
      <c r="V147" s="9" t="s">
        <v>47</v>
      </c>
      <c r="W147" s="9">
        <v>22770535</v>
      </c>
      <c r="X147" s="9">
        <v>3311105</v>
      </c>
      <c r="Y147" s="9">
        <v>69251288</v>
      </c>
      <c r="Z147" s="9" t="s">
        <v>39</v>
      </c>
      <c r="AA147" s="9">
        <v>7390027803</v>
      </c>
      <c r="AB147" s="9">
        <v>78070</v>
      </c>
      <c r="AC147" s="9" t="s">
        <v>41</v>
      </c>
      <c r="AD147" s="9" t="s">
        <v>65</v>
      </c>
      <c r="AE147" s="9" t="s">
        <v>66</v>
      </c>
      <c r="AF147" s="9" t="s">
        <v>66</v>
      </c>
      <c r="AG147" s="14" t="str">
        <f t="shared" si="6"/>
        <v>PROCEDIMIENTOS TERAPEUTICOS</v>
      </c>
      <c r="AH147" s="9">
        <v>0</v>
      </c>
      <c r="AI147" s="9">
        <v>0</v>
      </c>
      <c r="AJ147" s="9">
        <v>76010492</v>
      </c>
      <c r="AK147" s="9">
        <v>2</v>
      </c>
      <c r="AL147" s="26" t="s">
        <v>52</v>
      </c>
      <c r="AM147" s="14" t="s">
        <v>543</v>
      </c>
      <c r="AN147" s="27" t="str">
        <f t="shared" si="7"/>
        <v>17457276|76010492|95814458|65384418</v>
      </c>
      <c r="AO147" t="s">
        <v>44</v>
      </c>
      <c r="AP147" t="b">
        <v>0</v>
      </c>
      <c r="AQ147" t="s">
        <v>763</v>
      </c>
    </row>
    <row r="148" spans="1:43" x14ac:dyDescent="0.2">
      <c r="A148" s="14" t="s">
        <v>500</v>
      </c>
      <c r="B148" s="17">
        <v>10979169</v>
      </c>
      <c r="C148" s="14" t="s">
        <v>196</v>
      </c>
      <c r="D148" s="9">
        <v>10979169</v>
      </c>
      <c r="E148" s="9" t="s">
        <v>196</v>
      </c>
      <c r="F148" s="7">
        <v>45689</v>
      </c>
      <c r="G148" s="20" t="s">
        <v>36</v>
      </c>
      <c r="H148" s="8">
        <v>95818071</v>
      </c>
      <c r="I148" s="19">
        <v>95818071</v>
      </c>
      <c r="J148" s="10">
        <v>8850</v>
      </c>
      <c r="K148" s="10">
        <v>5319</v>
      </c>
      <c r="L148" s="10">
        <v>3531</v>
      </c>
      <c r="M148" s="10">
        <v>0</v>
      </c>
      <c r="N148" s="11">
        <v>3531</v>
      </c>
      <c r="O148" s="12">
        <v>95818071</v>
      </c>
      <c r="P148" s="9">
        <v>285123</v>
      </c>
      <c r="Q148" s="9" t="s">
        <v>37</v>
      </c>
      <c r="R148" s="13">
        <v>45693</v>
      </c>
      <c r="S148" s="22">
        <v>45693</v>
      </c>
      <c r="T148" s="13">
        <v>45693</v>
      </c>
      <c r="U148" s="13">
        <v>45693</v>
      </c>
      <c r="V148" s="9" t="s">
        <v>47</v>
      </c>
      <c r="W148" s="9">
        <v>22566203</v>
      </c>
      <c r="X148" s="9">
        <v>2101551</v>
      </c>
      <c r="Y148" s="9">
        <v>68821726</v>
      </c>
      <c r="Z148" s="9" t="s">
        <v>39</v>
      </c>
      <c r="AA148" s="9">
        <v>9022025</v>
      </c>
      <c r="AB148" s="9">
        <v>77586</v>
      </c>
      <c r="AC148" s="9" t="s">
        <v>41</v>
      </c>
      <c r="AD148" s="9" t="s">
        <v>132</v>
      </c>
      <c r="AE148" s="9" t="s">
        <v>133</v>
      </c>
      <c r="AF148" s="9" t="s">
        <v>133</v>
      </c>
      <c r="AG148" s="14" t="str">
        <f t="shared" si="6"/>
        <v>EXAMENES DE LABORATORIO</v>
      </c>
      <c r="AH148" s="9" t="s">
        <v>758</v>
      </c>
      <c r="AI148" s="9">
        <v>0</v>
      </c>
      <c r="AJ148" s="9">
        <v>86687700</v>
      </c>
      <c r="AK148" s="9">
        <v>9</v>
      </c>
      <c r="AL148" s="26" t="s">
        <v>169</v>
      </c>
      <c r="AM148" s="14" t="s">
        <v>544</v>
      </c>
      <c r="AN148" s="27" t="str">
        <f t="shared" si="7"/>
        <v>10979169|86687700|95818071|95818071</v>
      </c>
      <c r="AO148" t="s">
        <v>758</v>
      </c>
      <c r="AP148" t="b">
        <v>1</v>
      </c>
      <c r="AQ148" t="s">
        <v>764</v>
      </c>
    </row>
    <row r="149" spans="1:43" x14ac:dyDescent="0.2">
      <c r="A149" s="14" t="s">
        <v>500</v>
      </c>
      <c r="B149" s="17">
        <v>10979169</v>
      </c>
      <c r="C149" s="14" t="s">
        <v>196</v>
      </c>
      <c r="D149" s="9">
        <v>10979169</v>
      </c>
      <c r="E149" s="9" t="s">
        <v>196</v>
      </c>
      <c r="F149" s="7">
        <v>45717</v>
      </c>
      <c r="G149" s="20" t="s">
        <v>46</v>
      </c>
      <c r="H149" s="8">
        <v>95818071</v>
      </c>
      <c r="I149" s="19">
        <v>65383907</v>
      </c>
      <c r="J149" s="10">
        <v>3451</v>
      </c>
      <c r="K149" s="10">
        <v>0</v>
      </c>
      <c r="L149" s="10">
        <v>3451</v>
      </c>
      <c r="M149" s="10">
        <v>0</v>
      </c>
      <c r="N149" s="11">
        <v>3451</v>
      </c>
      <c r="O149" s="12">
        <v>95818071</v>
      </c>
      <c r="P149" s="9">
        <v>285123</v>
      </c>
      <c r="Q149" s="9" t="s">
        <v>37</v>
      </c>
      <c r="R149" s="13">
        <v>45717</v>
      </c>
      <c r="S149" s="22">
        <v>45742</v>
      </c>
      <c r="T149" s="13">
        <v>45693</v>
      </c>
      <c r="U149" s="13">
        <v>45693</v>
      </c>
      <c r="V149" s="9" t="s">
        <v>47</v>
      </c>
      <c r="W149" s="9">
        <v>22770538</v>
      </c>
      <c r="X149" s="9">
        <v>3311105</v>
      </c>
      <c r="Y149" s="9">
        <v>69250796</v>
      </c>
      <c r="Z149" s="9" t="s">
        <v>39</v>
      </c>
      <c r="AA149" s="9">
        <v>21504161</v>
      </c>
      <c r="AB149" s="9">
        <v>78070</v>
      </c>
      <c r="AC149" s="9" t="s">
        <v>41</v>
      </c>
      <c r="AD149" s="9" t="s">
        <v>132</v>
      </c>
      <c r="AE149" s="9" t="s">
        <v>133</v>
      </c>
      <c r="AF149" s="9" t="s">
        <v>133</v>
      </c>
      <c r="AG149" s="14" t="str">
        <f t="shared" si="6"/>
        <v>EXAMENES DE LABORATORIO</v>
      </c>
      <c r="AH149" s="9">
        <v>0</v>
      </c>
      <c r="AI149" s="9">
        <v>0</v>
      </c>
      <c r="AJ149" s="9">
        <v>86687700</v>
      </c>
      <c r="AK149" s="9">
        <v>9</v>
      </c>
      <c r="AL149" s="26" t="s">
        <v>52</v>
      </c>
      <c r="AM149" s="14" t="s">
        <v>544</v>
      </c>
      <c r="AN149" s="27" t="str">
        <f t="shared" si="7"/>
        <v>10979169|86687700|95818071|65383907</v>
      </c>
      <c r="AO149" t="s">
        <v>44</v>
      </c>
      <c r="AP149" t="b">
        <v>0</v>
      </c>
      <c r="AQ149" t="s">
        <v>763</v>
      </c>
    </row>
    <row r="150" spans="1:43" x14ac:dyDescent="0.2">
      <c r="A150" s="14" t="s">
        <v>500</v>
      </c>
      <c r="B150" s="17">
        <v>10979169</v>
      </c>
      <c r="C150" s="14" t="s">
        <v>196</v>
      </c>
      <c r="D150" s="9">
        <v>10979169</v>
      </c>
      <c r="E150" s="9" t="s">
        <v>196</v>
      </c>
      <c r="F150" s="7">
        <v>45689</v>
      </c>
      <c r="G150" s="20" t="s">
        <v>36</v>
      </c>
      <c r="H150" s="8">
        <v>95818072</v>
      </c>
      <c r="I150" s="19">
        <v>95818072</v>
      </c>
      <c r="J150" s="10">
        <v>49500</v>
      </c>
      <c r="K150" s="10">
        <v>32156</v>
      </c>
      <c r="L150" s="10">
        <v>17344</v>
      </c>
      <c r="M150" s="10">
        <v>0</v>
      </c>
      <c r="N150" s="11">
        <v>17344</v>
      </c>
      <c r="O150" s="12">
        <v>95818072</v>
      </c>
      <c r="P150" s="9">
        <v>285123</v>
      </c>
      <c r="Q150" s="9" t="s">
        <v>37</v>
      </c>
      <c r="R150" s="13">
        <v>45693</v>
      </c>
      <c r="S150" s="22">
        <v>45693</v>
      </c>
      <c r="T150" s="13">
        <v>45693</v>
      </c>
      <c r="U150" s="13">
        <v>45693</v>
      </c>
      <c r="V150" s="9" t="s">
        <v>47</v>
      </c>
      <c r="W150" s="9">
        <v>22566203</v>
      </c>
      <c r="X150" s="9">
        <v>2101551</v>
      </c>
      <c r="Y150" s="9">
        <v>68821725</v>
      </c>
      <c r="Z150" s="9" t="s">
        <v>39</v>
      </c>
      <c r="AA150" s="9">
        <v>9022025</v>
      </c>
      <c r="AB150" s="9">
        <v>77586</v>
      </c>
      <c r="AC150" s="9" t="s">
        <v>41</v>
      </c>
      <c r="AD150" s="9" t="s">
        <v>132</v>
      </c>
      <c r="AE150" s="9" t="s">
        <v>133</v>
      </c>
      <c r="AF150" s="9" t="s">
        <v>133</v>
      </c>
      <c r="AG150" s="14" t="str">
        <f t="shared" si="6"/>
        <v>EXAMENES DE LABORATORIO</v>
      </c>
      <c r="AH150" s="9" t="s">
        <v>758</v>
      </c>
      <c r="AI150" s="9">
        <v>0</v>
      </c>
      <c r="AJ150" s="9">
        <v>86687700</v>
      </c>
      <c r="AK150" s="9">
        <v>9</v>
      </c>
      <c r="AL150" s="26" t="s">
        <v>169</v>
      </c>
      <c r="AM150" s="14" t="s">
        <v>544</v>
      </c>
      <c r="AN150" s="27" t="str">
        <f t="shared" si="7"/>
        <v>10979169|86687700|95818072|95818072</v>
      </c>
      <c r="AO150" t="s">
        <v>758</v>
      </c>
      <c r="AP150" t="b">
        <v>1</v>
      </c>
      <c r="AQ150" t="s">
        <v>764</v>
      </c>
    </row>
    <row r="151" spans="1:43" x14ac:dyDescent="0.2">
      <c r="A151" s="14" t="s">
        <v>500</v>
      </c>
      <c r="B151" s="17">
        <v>10979169</v>
      </c>
      <c r="C151" s="14" t="s">
        <v>196</v>
      </c>
      <c r="D151" s="9">
        <v>10979169</v>
      </c>
      <c r="E151" s="9" t="s">
        <v>196</v>
      </c>
      <c r="F151" s="7">
        <v>45717</v>
      </c>
      <c r="G151" s="20" t="s">
        <v>46</v>
      </c>
      <c r="H151" s="8">
        <v>95818072</v>
      </c>
      <c r="I151" s="19">
        <v>65383908</v>
      </c>
      <c r="J151" s="10">
        <v>17649</v>
      </c>
      <c r="K151" s="10">
        <v>0</v>
      </c>
      <c r="L151" s="10">
        <v>17649</v>
      </c>
      <c r="M151" s="10">
        <v>0</v>
      </c>
      <c r="N151" s="11">
        <v>17649</v>
      </c>
      <c r="O151" s="12">
        <v>95818072</v>
      </c>
      <c r="P151" s="9">
        <v>285123</v>
      </c>
      <c r="Q151" s="9" t="s">
        <v>37</v>
      </c>
      <c r="R151" s="13">
        <v>45717</v>
      </c>
      <c r="S151" s="22">
        <v>45742</v>
      </c>
      <c r="T151" s="13">
        <v>45693</v>
      </c>
      <c r="U151" s="13">
        <v>45693</v>
      </c>
      <c r="V151" s="9" t="s">
        <v>47</v>
      </c>
      <c r="W151" s="9">
        <v>22770538</v>
      </c>
      <c r="X151" s="9">
        <v>3311105</v>
      </c>
      <c r="Y151" s="9">
        <v>69250797</v>
      </c>
      <c r="Z151" s="9" t="s">
        <v>39</v>
      </c>
      <c r="AA151" s="9">
        <v>21504161</v>
      </c>
      <c r="AB151" s="9">
        <v>78070</v>
      </c>
      <c r="AC151" s="9" t="s">
        <v>41</v>
      </c>
      <c r="AD151" s="9" t="s">
        <v>132</v>
      </c>
      <c r="AE151" s="9" t="s">
        <v>133</v>
      </c>
      <c r="AF151" s="9" t="s">
        <v>133</v>
      </c>
      <c r="AG151" s="14" t="str">
        <f t="shared" si="6"/>
        <v>EXAMENES DE LABORATORIO</v>
      </c>
      <c r="AH151" s="9">
        <v>0</v>
      </c>
      <c r="AI151" s="9">
        <v>0</v>
      </c>
      <c r="AJ151" s="9">
        <v>86687700</v>
      </c>
      <c r="AK151" s="9">
        <v>9</v>
      </c>
      <c r="AL151" s="26" t="s">
        <v>52</v>
      </c>
      <c r="AM151" s="14" t="s">
        <v>544</v>
      </c>
      <c r="AN151" s="27" t="str">
        <f t="shared" si="7"/>
        <v>10979169|86687700|95818072|65383908</v>
      </c>
      <c r="AO151" t="s">
        <v>44</v>
      </c>
      <c r="AP151" t="b">
        <v>0</v>
      </c>
      <c r="AQ151" t="s">
        <v>763</v>
      </c>
    </row>
    <row r="152" spans="1:43" x14ac:dyDescent="0.2">
      <c r="A152" s="14" t="s">
        <v>500</v>
      </c>
      <c r="B152" s="17">
        <v>10979169</v>
      </c>
      <c r="C152" s="14" t="s">
        <v>196</v>
      </c>
      <c r="D152" s="9">
        <v>10979169</v>
      </c>
      <c r="E152" s="9" t="s">
        <v>196</v>
      </c>
      <c r="F152" s="7">
        <v>45689</v>
      </c>
      <c r="G152" s="20" t="s">
        <v>36</v>
      </c>
      <c r="H152" s="8">
        <v>95818073</v>
      </c>
      <c r="I152" s="19">
        <v>95818073</v>
      </c>
      <c r="J152" s="10">
        <v>24310</v>
      </c>
      <c r="K152" s="10">
        <v>15310</v>
      </c>
      <c r="L152" s="10">
        <v>9000</v>
      </c>
      <c r="M152" s="10">
        <v>0</v>
      </c>
      <c r="N152" s="11">
        <v>9000</v>
      </c>
      <c r="O152" s="12">
        <v>95818073</v>
      </c>
      <c r="P152" s="9">
        <v>285123</v>
      </c>
      <c r="Q152" s="9" t="s">
        <v>37</v>
      </c>
      <c r="R152" s="13">
        <v>45693</v>
      </c>
      <c r="S152" s="22">
        <v>45693</v>
      </c>
      <c r="T152" s="13">
        <v>45693</v>
      </c>
      <c r="U152" s="13">
        <v>45693</v>
      </c>
      <c r="V152" s="9" t="s">
        <v>47</v>
      </c>
      <c r="W152" s="9">
        <v>22566203</v>
      </c>
      <c r="X152" s="9">
        <v>2101551</v>
      </c>
      <c r="Y152" s="9">
        <v>68821724</v>
      </c>
      <c r="Z152" s="9" t="s">
        <v>39</v>
      </c>
      <c r="AA152" s="9">
        <v>9022025</v>
      </c>
      <c r="AB152" s="9">
        <v>77586</v>
      </c>
      <c r="AC152" s="9" t="s">
        <v>41</v>
      </c>
      <c r="AD152" s="9" t="s">
        <v>132</v>
      </c>
      <c r="AE152" s="9" t="s">
        <v>133</v>
      </c>
      <c r="AF152" s="9" t="s">
        <v>133</v>
      </c>
      <c r="AG152" s="14" t="str">
        <f t="shared" si="6"/>
        <v>EXAMENES DE LABORATORIO</v>
      </c>
      <c r="AH152" s="9" t="s">
        <v>758</v>
      </c>
      <c r="AI152" s="9">
        <v>0</v>
      </c>
      <c r="AJ152" s="9">
        <v>86687700</v>
      </c>
      <c r="AK152" s="9">
        <v>9</v>
      </c>
      <c r="AL152" s="26" t="s">
        <v>169</v>
      </c>
      <c r="AM152" s="14" t="s">
        <v>544</v>
      </c>
      <c r="AN152" s="27" t="str">
        <f t="shared" si="7"/>
        <v>10979169|86687700|95818073|95818073</v>
      </c>
      <c r="AO152" t="s">
        <v>758</v>
      </c>
      <c r="AP152" t="b">
        <v>1</v>
      </c>
      <c r="AQ152" t="s">
        <v>764</v>
      </c>
    </row>
    <row r="153" spans="1:43" x14ac:dyDescent="0.2">
      <c r="A153" s="14" t="s">
        <v>500</v>
      </c>
      <c r="B153" s="17">
        <v>10979169</v>
      </c>
      <c r="C153" s="14" t="s">
        <v>196</v>
      </c>
      <c r="D153" s="9">
        <v>10979169</v>
      </c>
      <c r="E153" s="9" t="s">
        <v>196</v>
      </c>
      <c r="F153" s="7">
        <v>45717</v>
      </c>
      <c r="G153" s="20" t="s">
        <v>46</v>
      </c>
      <c r="H153" s="8">
        <v>95818073</v>
      </c>
      <c r="I153" s="19">
        <v>65383909</v>
      </c>
      <c r="J153" s="10">
        <v>8824</v>
      </c>
      <c r="K153" s="10">
        <v>0</v>
      </c>
      <c r="L153" s="10">
        <v>8824</v>
      </c>
      <c r="M153" s="10">
        <v>0</v>
      </c>
      <c r="N153" s="11">
        <v>8824</v>
      </c>
      <c r="O153" s="12">
        <v>95818073</v>
      </c>
      <c r="P153" s="9">
        <v>285123</v>
      </c>
      <c r="Q153" s="9" t="s">
        <v>37</v>
      </c>
      <c r="R153" s="13">
        <v>45717</v>
      </c>
      <c r="S153" s="22">
        <v>45742</v>
      </c>
      <c r="T153" s="13">
        <v>45693</v>
      </c>
      <c r="U153" s="13">
        <v>45693</v>
      </c>
      <c r="V153" s="9" t="s">
        <v>47</v>
      </c>
      <c r="W153" s="9">
        <v>22770538</v>
      </c>
      <c r="X153" s="9">
        <v>3311105</v>
      </c>
      <c r="Y153" s="9">
        <v>69250798</v>
      </c>
      <c r="Z153" s="9" t="s">
        <v>39</v>
      </c>
      <c r="AA153" s="9">
        <v>21504161</v>
      </c>
      <c r="AB153" s="9">
        <v>78070</v>
      </c>
      <c r="AC153" s="9" t="s">
        <v>41</v>
      </c>
      <c r="AD153" s="9" t="s">
        <v>132</v>
      </c>
      <c r="AE153" s="9" t="s">
        <v>133</v>
      </c>
      <c r="AF153" s="9" t="s">
        <v>133</v>
      </c>
      <c r="AG153" s="14" t="str">
        <f t="shared" si="6"/>
        <v>EXAMENES DE LABORATORIO</v>
      </c>
      <c r="AH153" s="9">
        <v>0</v>
      </c>
      <c r="AI153" s="9">
        <v>0</v>
      </c>
      <c r="AJ153" s="9">
        <v>86687700</v>
      </c>
      <c r="AK153" s="9">
        <v>9</v>
      </c>
      <c r="AL153" s="26" t="s">
        <v>52</v>
      </c>
      <c r="AM153" s="14" t="s">
        <v>544</v>
      </c>
      <c r="AN153" s="27" t="str">
        <f t="shared" si="7"/>
        <v>10979169|86687700|95818073|65383909</v>
      </c>
      <c r="AO153" t="s">
        <v>44</v>
      </c>
      <c r="AP153" t="b">
        <v>0</v>
      </c>
      <c r="AQ153" t="s">
        <v>763</v>
      </c>
    </row>
    <row r="154" spans="1:43" x14ac:dyDescent="0.2">
      <c r="A154" s="14" t="s">
        <v>500</v>
      </c>
      <c r="B154" s="17">
        <v>11762547</v>
      </c>
      <c r="C154" s="14" t="s">
        <v>197</v>
      </c>
      <c r="D154" s="9">
        <v>11762547</v>
      </c>
      <c r="E154" s="9" t="s">
        <v>197</v>
      </c>
      <c r="F154" s="7">
        <v>45689</v>
      </c>
      <c r="G154" s="20" t="s">
        <v>36</v>
      </c>
      <c r="H154" s="8">
        <v>95838743</v>
      </c>
      <c r="I154" s="19">
        <v>95838743</v>
      </c>
      <c r="J154" s="10">
        <v>28990</v>
      </c>
      <c r="K154" s="10">
        <v>23192</v>
      </c>
      <c r="L154" s="10">
        <v>5798</v>
      </c>
      <c r="M154" s="10">
        <v>0</v>
      </c>
      <c r="N154" s="11">
        <v>5798</v>
      </c>
      <c r="O154" s="12">
        <v>95838743</v>
      </c>
      <c r="P154" s="9">
        <v>285123</v>
      </c>
      <c r="Q154" s="9" t="s">
        <v>37</v>
      </c>
      <c r="R154" s="13">
        <v>45698</v>
      </c>
      <c r="S154" s="22">
        <v>45698</v>
      </c>
      <c r="T154" s="13">
        <v>45698</v>
      </c>
      <c r="U154" s="13">
        <v>45698</v>
      </c>
      <c r="V154" s="9" t="s">
        <v>47</v>
      </c>
      <c r="W154" s="9">
        <v>22598329</v>
      </c>
      <c r="X154" s="9">
        <v>2171709</v>
      </c>
      <c r="Y154" s="9">
        <v>68876114</v>
      </c>
      <c r="Z154" s="9" t="s">
        <v>39</v>
      </c>
      <c r="AA154" s="9">
        <v>16022025</v>
      </c>
      <c r="AB154" s="9">
        <v>77646</v>
      </c>
      <c r="AC154" s="9" t="s">
        <v>41</v>
      </c>
      <c r="AD154" s="9" t="s">
        <v>134</v>
      </c>
      <c r="AE154" s="9" t="s">
        <v>135</v>
      </c>
      <c r="AF154" s="9" t="s">
        <v>135</v>
      </c>
      <c r="AG154" s="14" t="str">
        <f t="shared" si="6"/>
        <v>EXAMENES RADIOLOGICOS</v>
      </c>
      <c r="AH154" s="9" t="s">
        <v>758</v>
      </c>
      <c r="AI154" s="9">
        <v>0</v>
      </c>
      <c r="AJ154" s="9">
        <v>76094395</v>
      </c>
      <c r="AK154" s="9">
        <v>9</v>
      </c>
      <c r="AL154" s="26" t="s">
        <v>169</v>
      </c>
      <c r="AM154" s="14" t="s">
        <v>545</v>
      </c>
      <c r="AN154" s="27" t="str">
        <f t="shared" si="7"/>
        <v>11762547|76094395|95838743|95838743</v>
      </c>
      <c r="AO154" t="s">
        <v>758</v>
      </c>
      <c r="AP154" t="b">
        <v>1</v>
      </c>
      <c r="AQ154" t="s">
        <v>764</v>
      </c>
    </row>
    <row r="155" spans="1:43" x14ac:dyDescent="0.2">
      <c r="A155" s="14" t="s">
        <v>500</v>
      </c>
      <c r="B155" s="17">
        <v>11762547</v>
      </c>
      <c r="C155" s="14" t="s">
        <v>197</v>
      </c>
      <c r="D155" s="9">
        <v>11762547</v>
      </c>
      <c r="E155" s="9" t="s">
        <v>197</v>
      </c>
      <c r="F155" s="7">
        <v>45717</v>
      </c>
      <c r="G155" s="20" t="s">
        <v>46</v>
      </c>
      <c r="H155" s="8">
        <v>95838743</v>
      </c>
      <c r="I155" s="19">
        <v>65383963</v>
      </c>
      <c r="J155" s="10">
        <v>5754</v>
      </c>
      <c r="K155" s="10">
        <v>0</v>
      </c>
      <c r="L155" s="10">
        <v>5754</v>
      </c>
      <c r="M155" s="10">
        <v>0</v>
      </c>
      <c r="N155" s="11">
        <v>5754</v>
      </c>
      <c r="O155" s="12">
        <v>95838743</v>
      </c>
      <c r="P155" s="9">
        <v>285123</v>
      </c>
      <c r="Q155" s="9" t="s">
        <v>37</v>
      </c>
      <c r="R155" s="13">
        <v>45717</v>
      </c>
      <c r="S155" s="22">
        <v>45742</v>
      </c>
      <c r="T155" s="13">
        <v>45698</v>
      </c>
      <c r="U155" s="13">
        <v>45698</v>
      </c>
      <c r="V155" s="9" t="s">
        <v>47</v>
      </c>
      <c r="W155" s="9">
        <v>22770580</v>
      </c>
      <c r="X155" s="9">
        <v>3311105</v>
      </c>
      <c r="Y155" s="9">
        <v>69250851</v>
      </c>
      <c r="Z155" s="9" t="s">
        <v>39</v>
      </c>
      <c r="AA155" s="9">
        <v>34637524</v>
      </c>
      <c r="AB155" s="9">
        <v>78070</v>
      </c>
      <c r="AC155" s="9" t="s">
        <v>41</v>
      </c>
      <c r="AD155" s="9" t="s">
        <v>134</v>
      </c>
      <c r="AE155" s="9" t="s">
        <v>135</v>
      </c>
      <c r="AF155" s="9" t="s">
        <v>135</v>
      </c>
      <c r="AG155" s="14" t="str">
        <f t="shared" si="6"/>
        <v>EXAMENES RADIOLOGICOS</v>
      </c>
      <c r="AH155" s="9">
        <v>0</v>
      </c>
      <c r="AI155" s="9">
        <v>0</v>
      </c>
      <c r="AJ155" s="9">
        <v>76094395</v>
      </c>
      <c r="AK155" s="9">
        <v>9</v>
      </c>
      <c r="AL155" s="26" t="s">
        <v>52</v>
      </c>
      <c r="AM155" s="14" t="s">
        <v>545</v>
      </c>
      <c r="AN155" s="27" t="str">
        <f t="shared" si="7"/>
        <v>11762547|76094395|95838743|65383963</v>
      </c>
      <c r="AO155" t="s">
        <v>44</v>
      </c>
      <c r="AP155" t="b">
        <v>0</v>
      </c>
      <c r="AQ155" t="s">
        <v>763</v>
      </c>
    </row>
    <row r="156" spans="1:43" x14ac:dyDescent="0.2">
      <c r="A156" s="14" t="s">
        <v>500</v>
      </c>
      <c r="B156" s="17">
        <v>17457276</v>
      </c>
      <c r="C156" s="14" t="s">
        <v>195</v>
      </c>
      <c r="D156" s="9">
        <v>17457276</v>
      </c>
      <c r="E156" s="9" t="s">
        <v>195</v>
      </c>
      <c r="F156" s="7">
        <v>45689</v>
      </c>
      <c r="G156" s="20" t="s">
        <v>36</v>
      </c>
      <c r="H156" s="8">
        <v>95844766</v>
      </c>
      <c r="I156" s="19">
        <v>95844766</v>
      </c>
      <c r="J156" s="10">
        <v>127010</v>
      </c>
      <c r="K156" s="10">
        <v>85405</v>
      </c>
      <c r="L156" s="10">
        <v>41605</v>
      </c>
      <c r="M156" s="10">
        <v>0</v>
      </c>
      <c r="N156" s="11">
        <v>41605</v>
      </c>
      <c r="O156" s="12">
        <v>95844766</v>
      </c>
      <c r="P156" s="9">
        <v>285123</v>
      </c>
      <c r="Q156" s="9" t="s">
        <v>37</v>
      </c>
      <c r="R156" s="13">
        <v>45699</v>
      </c>
      <c r="S156" s="22">
        <v>45699</v>
      </c>
      <c r="T156" s="13">
        <v>45699</v>
      </c>
      <c r="U156" s="13">
        <v>45699</v>
      </c>
      <c r="V156" s="9" t="s">
        <v>47</v>
      </c>
      <c r="W156" s="9">
        <v>22598376</v>
      </c>
      <c r="X156" s="9">
        <v>2171709</v>
      </c>
      <c r="Y156" s="9">
        <v>68876845</v>
      </c>
      <c r="Z156" s="9" t="s">
        <v>39</v>
      </c>
      <c r="AA156" s="9">
        <v>16022025</v>
      </c>
      <c r="AB156" s="9">
        <v>77646</v>
      </c>
      <c r="AC156" s="9" t="s">
        <v>41</v>
      </c>
      <c r="AD156" s="9" t="s">
        <v>134</v>
      </c>
      <c r="AE156" s="9" t="s">
        <v>135</v>
      </c>
      <c r="AF156" s="9" t="s">
        <v>135</v>
      </c>
      <c r="AG156" s="14" t="str">
        <f t="shared" si="6"/>
        <v>EXAMENES RADIOLOGICOS</v>
      </c>
      <c r="AH156" s="9" t="s">
        <v>758</v>
      </c>
      <c r="AI156" s="9">
        <v>0</v>
      </c>
      <c r="AJ156" s="9">
        <v>76686200</v>
      </c>
      <c r="AK156" s="9">
        <v>4</v>
      </c>
      <c r="AL156" s="26" t="s">
        <v>169</v>
      </c>
      <c r="AM156" s="14" t="s">
        <v>543</v>
      </c>
      <c r="AN156" s="27" t="str">
        <f t="shared" si="7"/>
        <v>17457276|76686200|95844766|95844766</v>
      </c>
      <c r="AO156" t="s">
        <v>758</v>
      </c>
      <c r="AP156" t="b">
        <v>1</v>
      </c>
      <c r="AQ156" t="s">
        <v>764</v>
      </c>
    </row>
    <row r="157" spans="1:43" x14ac:dyDescent="0.2">
      <c r="A157" s="14" t="s">
        <v>500</v>
      </c>
      <c r="B157" s="17">
        <v>17457276</v>
      </c>
      <c r="C157" s="14" t="s">
        <v>195</v>
      </c>
      <c r="D157" s="9">
        <v>17457276</v>
      </c>
      <c r="E157" s="9" t="s">
        <v>195</v>
      </c>
      <c r="F157" s="7">
        <v>45717</v>
      </c>
      <c r="G157" s="20" t="s">
        <v>46</v>
      </c>
      <c r="H157" s="8">
        <v>95844766</v>
      </c>
      <c r="I157" s="19">
        <v>65384419</v>
      </c>
      <c r="J157" s="10">
        <v>41462</v>
      </c>
      <c r="K157" s="10">
        <v>0</v>
      </c>
      <c r="L157" s="10">
        <v>41462</v>
      </c>
      <c r="M157" s="10">
        <v>0</v>
      </c>
      <c r="N157" s="11">
        <v>41462</v>
      </c>
      <c r="O157" s="12">
        <v>95844766</v>
      </c>
      <c r="P157" s="9">
        <v>285123</v>
      </c>
      <c r="Q157" s="9" t="s">
        <v>37</v>
      </c>
      <c r="R157" s="13">
        <v>45717</v>
      </c>
      <c r="S157" s="22">
        <v>45742</v>
      </c>
      <c r="T157" s="13">
        <v>45699</v>
      </c>
      <c r="U157" s="13">
        <v>45699</v>
      </c>
      <c r="V157" s="9" t="s">
        <v>47</v>
      </c>
      <c r="W157" s="9">
        <v>22770594</v>
      </c>
      <c r="X157" s="9">
        <v>3311105</v>
      </c>
      <c r="Y157" s="9">
        <v>69251289</v>
      </c>
      <c r="Z157" s="9" t="s">
        <v>39</v>
      </c>
      <c r="AA157" s="9">
        <v>7390027803</v>
      </c>
      <c r="AB157" s="9">
        <v>78070</v>
      </c>
      <c r="AC157" s="9" t="s">
        <v>41</v>
      </c>
      <c r="AD157" s="9" t="s">
        <v>134</v>
      </c>
      <c r="AE157" s="9" t="s">
        <v>135</v>
      </c>
      <c r="AF157" s="9" t="s">
        <v>135</v>
      </c>
      <c r="AG157" s="14" t="str">
        <f t="shared" si="6"/>
        <v>EXAMENES RADIOLOGICOS</v>
      </c>
      <c r="AH157" s="9">
        <v>0</v>
      </c>
      <c r="AI157" s="9">
        <v>0</v>
      </c>
      <c r="AJ157" s="9">
        <v>76686200</v>
      </c>
      <c r="AK157" s="9">
        <v>4</v>
      </c>
      <c r="AL157" s="26" t="s">
        <v>52</v>
      </c>
      <c r="AM157" s="14" t="s">
        <v>543</v>
      </c>
      <c r="AN157" s="27" t="str">
        <f t="shared" si="7"/>
        <v>17457276|76686200|95844766|65384419</v>
      </c>
      <c r="AO157" t="s">
        <v>44</v>
      </c>
      <c r="AP157" t="b">
        <v>0</v>
      </c>
      <c r="AQ157" t="s">
        <v>763</v>
      </c>
    </row>
    <row r="158" spans="1:43" x14ac:dyDescent="0.2">
      <c r="A158" s="14" t="s">
        <v>500</v>
      </c>
      <c r="B158" s="17">
        <v>13999930</v>
      </c>
      <c r="C158" s="14" t="s">
        <v>168</v>
      </c>
      <c r="D158" s="9">
        <v>13999930</v>
      </c>
      <c r="E158" s="9" t="s">
        <v>168</v>
      </c>
      <c r="F158" s="7">
        <v>45689</v>
      </c>
      <c r="G158" s="20" t="s">
        <v>36</v>
      </c>
      <c r="H158" s="8">
        <v>95864083</v>
      </c>
      <c r="I158" s="19">
        <v>95864083</v>
      </c>
      <c r="J158" s="10">
        <v>23556</v>
      </c>
      <c r="K158" s="10">
        <v>14568</v>
      </c>
      <c r="L158" s="10">
        <v>8988</v>
      </c>
      <c r="M158" s="10">
        <v>0</v>
      </c>
      <c r="N158" s="11">
        <v>8988</v>
      </c>
      <c r="O158" s="12">
        <v>95864083</v>
      </c>
      <c r="P158" s="9">
        <v>285123</v>
      </c>
      <c r="Q158" s="9" t="s">
        <v>37</v>
      </c>
      <c r="R158" s="13">
        <v>45703</v>
      </c>
      <c r="S158" s="22">
        <v>45703</v>
      </c>
      <c r="T158" s="13">
        <v>45703</v>
      </c>
      <c r="U158" s="13">
        <v>45703</v>
      </c>
      <c r="V158" s="9" t="s">
        <v>47</v>
      </c>
      <c r="W158" s="9">
        <v>22621713</v>
      </c>
      <c r="X158" s="9">
        <v>2250942</v>
      </c>
      <c r="Y158" s="9">
        <v>68909103</v>
      </c>
      <c r="Z158" s="9" t="s">
        <v>39</v>
      </c>
      <c r="AA158" s="9">
        <v>23022025</v>
      </c>
      <c r="AB158" s="9">
        <v>77703</v>
      </c>
      <c r="AC158" s="9" t="s">
        <v>41</v>
      </c>
      <c r="AD158" s="9" t="s">
        <v>134</v>
      </c>
      <c r="AE158" s="9" t="s">
        <v>135</v>
      </c>
      <c r="AF158" s="9" t="s">
        <v>135</v>
      </c>
      <c r="AG158" s="14" t="str">
        <f t="shared" si="6"/>
        <v>EXAMENES RADIOLOGICOS</v>
      </c>
      <c r="AH158" s="9" t="s">
        <v>758</v>
      </c>
      <c r="AI158" s="9">
        <v>0</v>
      </c>
      <c r="AJ158" s="9">
        <v>76098454</v>
      </c>
      <c r="AK158" s="9" t="s">
        <v>161</v>
      </c>
      <c r="AL158" s="26" t="s">
        <v>169</v>
      </c>
      <c r="AM158" s="14" t="s">
        <v>530</v>
      </c>
      <c r="AN158" s="27" t="str">
        <f t="shared" si="7"/>
        <v>13999930|76098454|95864083|95864083</v>
      </c>
      <c r="AO158" t="s">
        <v>758</v>
      </c>
      <c r="AP158" t="b">
        <v>1</v>
      </c>
      <c r="AQ158" t="s">
        <v>764</v>
      </c>
    </row>
    <row r="159" spans="1:43" x14ac:dyDescent="0.2">
      <c r="A159" s="14" t="s">
        <v>500</v>
      </c>
      <c r="B159" s="17">
        <v>13999930</v>
      </c>
      <c r="C159" s="14" t="s">
        <v>168</v>
      </c>
      <c r="D159" s="9">
        <v>13999930</v>
      </c>
      <c r="E159" s="9" t="s">
        <v>168</v>
      </c>
      <c r="F159" s="7">
        <v>45717</v>
      </c>
      <c r="G159" s="20" t="s">
        <v>46</v>
      </c>
      <c r="H159" s="8">
        <v>95864083</v>
      </c>
      <c r="I159" s="19">
        <v>65384185</v>
      </c>
      <c r="J159" s="10">
        <v>8843</v>
      </c>
      <c r="K159" s="10">
        <v>0</v>
      </c>
      <c r="L159" s="10">
        <v>8843</v>
      </c>
      <c r="M159" s="10">
        <v>0</v>
      </c>
      <c r="N159" s="11">
        <v>8843</v>
      </c>
      <c r="O159" s="12">
        <v>95864083</v>
      </c>
      <c r="P159" s="9">
        <v>285123</v>
      </c>
      <c r="Q159" s="9" t="s">
        <v>37</v>
      </c>
      <c r="R159" s="13">
        <v>45717</v>
      </c>
      <c r="S159" s="22">
        <v>45742</v>
      </c>
      <c r="T159" s="13">
        <v>45703</v>
      </c>
      <c r="U159" s="13">
        <v>45703</v>
      </c>
      <c r="V159" s="9" t="s">
        <v>47</v>
      </c>
      <c r="W159" s="9">
        <v>22770637</v>
      </c>
      <c r="X159" s="9">
        <v>3311105</v>
      </c>
      <c r="Y159" s="9">
        <v>69251061</v>
      </c>
      <c r="Z159" s="9" t="s">
        <v>39</v>
      </c>
      <c r="AA159" s="9">
        <v>970753966</v>
      </c>
      <c r="AB159" s="9">
        <v>78070</v>
      </c>
      <c r="AC159" s="9" t="s">
        <v>41</v>
      </c>
      <c r="AD159" s="9" t="s">
        <v>134</v>
      </c>
      <c r="AE159" s="9" t="s">
        <v>135</v>
      </c>
      <c r="AF159" s="9" t="s">
        <v>135</v>
      </c>
      <c r="AG159" s="14" t="str">
        <f t="shared" si="6"/>
        <v>EXAMENES RADIOLOGICOS</v>
      </c>
      <c r="AH159" s="9">
        <v>0</v>
      </c>
      <c r="AI159" s="9">
        <v>0</v>
      </c>
      <c r="AJ159" s="9">
        <v>76098454</v>
      </c>
      <c r="AK159" s="9" t="s">
        <v>161</v>
      </c>
      <c r="AL159" s="26" t="s">
        <v>52</v>
      </c>
      <c r="AM159" s="14" t="s">
        <v>530</v>
      </c>
      <c r="AN159" s="27" t="str">
        <f t="shared" si="7"/>
        <v>13999930|76098454|95864083|65384185</v>
      </c>
      <c r="AO159" t="s">
        <v>44</v>
      </c>
      <c r="AP159" t="b">
        <v>0</v>
      </c>
      <c r="AQ159" t="s">
        <v>763</v>
      </c>
    </row>
    <row r="160" spans="1:43" x14ac:dyDescent="0.2">
      <c r="A160" s="14" t="s">
        <v>500</v>
      </c>
      <c r="B160" s="17">
        <v>16681059</v>
      </c>
      <c r="C160" s="14" t="s">
        <v>198</v>
      </c>
      <c r="D160" s="9">
        <v>16681059</v>
      </c>
      <c r="E160" s="9" t="s">
        <v>198</v>
      </c>
      <c r="F160" s="7">
        <v>45689</v>
      </c>
      <c r="G160" s="20" t="s">
        <v>36</v>
      </c>
      <c r="H160" s="8">
        <v>95868685</v>
      </c>
      <c r="I160" s="19">
        <v>95868685</v>
      </c>
      <c r="J160" s="10">
        <v>10608</v>
      </c>
      <c r="K160" s="10">
        <v>6365</v>
      </c>
      <c r="L160" s="10">
        <v>4243</v>
      </c>
      <c r="M160" s="10">
        <v>0</v>
      </c>
      <c r="N160" s="11">
        <v>4243</v>
      </c>
      <c r="O160" s="12">
        <v>95868685</v>
      </c>
      <c r="P160" s="9">
        <v>285123</v>
      </c>
      <c r="Q160" s="9" t="s">
        <v>37</v>
      </c>
      <c r="R160" s="13">
        <v>45705</v>
      </c>
      <c r="S160" s="22">
        <v>45705</v>
      </c>
      <c r="T160" s="13">
        <v>45705</v>
      </c>
      <c r="U160" s="13">
        <v>45705</v>
      </c>
      <c r="V160" s="9" t="s">
        <v>47</v>
      </c>
      <c r="W160" s="9">
        <v>22621754</v>
      </c>
      <c r="X160" s="9">
        <v>2250942</v>
      </c>
      <c r="Y160" s="9">
        <v>68909646</v>
      </c>
      <c r="Z160" s="9" t="s">
        <v>39</v>
      </c>
      <c r="AA160" s="9">
        <v>23022025</v>
      </c>
      <c r="AB160" s="9">
        <v>77703</v>
      </c>
      <c r="AC160" s="9" t="s">
        <v>41</v>
      </c>
      <c r="AD160" s="9" t="s">
        <v>132</v>
      </c>
      <c r="AE160" s="9" t="s">
        <v>133</v>
      </c>
      <c r="AF160" s="9" t="s">
        <v>133</v>
      </c>
      <c r="AG160" s="14" t="str">
        <f t="shared" si="6"/>
        <v>EXAMENES DE LABORATORIO</v>
      </c>
      <c r="AH160" s="9" t="s">
        <v>758</v>
      </c>
      <c r="AI160" s="9">
        <v>0</v>
      </c>
      <c r="AJ160" s="9">
        <v>76242774</v>
      </c>
      <c r="AK160" s="9">
        <v>5</v>
      </c>
      <c r="AL160" s="26" t="s">
        <v>169</v>
      </c>
      <c r="AM160" s="14" t="s">
        <v>546</v>
      </c>
      <c r="AN160" s="27" t="str">
        <f t="shared" si="7"/>
        <v>16681059|76242774|95868685|95868685</v>
      </c>
      <c r="AO160" t="s">
        <v>758</v>
      </c>
      <c r="AP160" t="b">
        <v>1</v>
      </c>
      <c r="AQ160" t="s">
        <v>764</v>
      </c>
    </row>
    <row r="161" spans="1:43" x14ac:dyDescent="0.2">
      <c r="A161" s="14" t="s">
        <v>500</v>
      </c>
      <c r="B161" s="17">
        <v>16681059</v>
      </c>
      <c r="C161" s="14" t="s">
        <v>198</v>
      </c>
      <c r="D161" s="9">
        <v>16681059</v>
      </c>
      <c r="E161" s="9" t="s">
        <v>198</v>
      </c>
      <c r="F161" s="7">
        <v>45717</v>
      </c>
      <c r="G161" s="20" t="s">
        <v>46</v>
      </c>
      <c r="H161" s="8">
        <v>95868685</v>
      </c>
      <c r="I161" s="19">
        <v>65384373</v>
      </c>
      <c r="J161" s="10">
        <v>3846</v>
      </c>
      <c r="K161" s="10">
        <v>0</v>
      </c>
      <c r="L161" s="10">
        <v>3846</v>
      </c>
      <c r="M161" s="10">
        <v>0</v>
      </c>
      <c r="N161" s="11">
        <v>3846</v>
      </c>
      <c r="O161" s="12">
        <v>95868685</v>
      </c>
      <c r="P161" s="9">
        <v>285123</v>
      </c>
      <c r="Q161" s="9" t="s">
        <v>37</v>
      </c>
      <c r="R161" s="13">
        <v>45717</v>
      </c>
      <c r="S161" s="22">
        <v>45742</v>
      </c>
      <c r="T161" s="13">
        <v>45705</v>
      </c>
      <c r="U161" s="13">
        <v>45705</v>
      </c>
      <c r="V161" s="9" t="s">
        <v>47</v>
      </c>
      <c r="W161" s="9">
        <v>22770649</v>
      </c>
      <c r="X161" s="9">
        <v>3311105</v>
      </c>
      <c r="Y161" s="9">
        <v>69251256</v>
      </c>
      <c r="Z161" s="9" t="s">
        <v>39</v>
      </c>
      <c r="AA161" s="9">
        <v>19830321397</v>
      </c>
      <c r="AB161" s="9">
        <v>78070</v>
      </c>
      <c r="AC161" s="9" t="s">
        <v>41</v>
      </c>
      <c r="AD161" s="9" t="s">
        <v>132</v>
      </c>
      <c r="AE161" s="9" t="s">
        <v>133</v>
      </c>
      <c r="AF161" s="9" t="s">
        <v>133</v>
      </c>
      <c r="AG161" s="14" t="str">
        <f t="shared" si="6"/>
        <v>EXAMENES DE LABORATORIO</v>
      </c>
      <c r="AH161" s="9">
        <v>0</v>
      </c>
      <c r="AI161" s="9">
        <v>0</v>
      </c>
      <c r="AJ161" s="9">
        <v>76242774</v>
      </c>
      <c r="AK161" s="9">
        <v>5</v>
      </c>
      <c r="AL161" s="26" t="s">
        <v>52</v>
      </c>
      <c r="AM161" s="14" t="s">
        <v>546</v>
      </c>
      <c r="AN161" s="27" t="str">
        <f t="shared" si="7"/>
        <v>16681059|76242774|95868685|65384373</v>
      </c>
      <c r="AO161" t="s">
        <v>44</v>
      </c>
      <c r="AP161" t="b">
        <v>0</v>
      </c>
      <c r="AQ161" t="s">
        <v>763</v>
      </c>
    </row>
    <row r="162" spans="1:43" x14ac:dyDescent="0.2">
      <c r="A162" s="14" t="s">
        <v>500</v>
      </c>
      <c r="B162" s="17">
        <v>13999930</v>
      </c>
      <c r="C162" s="14" t="s">
        <v>168</v>
      </c>
      <c r="D162" s="9">
        <v>13999930</v>
      </c>
      <c r="E162" s="9" t="s">
        <v>168</v>
      </c>
      <c r="F162" s="7">
        <v>45689</v>
      </c>
      <c r="G162" s="20" t="s">
        <v>36</v>
      </c>
      <c r="H162" s="8">
        <v>95874683</v>
      </c>
      <c r="I162" s="19">
        <v>95874683</v>
      </c>
      <c r="J162" s="10">
        <v>30150</v>
      </c>
      <c r="K162" s="10">
        <v>21075</v>
      </c>
      <c r="L162" s="10">
        <v>9075</v>
      </c>
      <c r="M162" s="10">
        <v>0</v>
      </c>
      <c r="N162" s="11">
        <v>9075</v>
      </c>
      <c r="O162" s="12">
        <v>95874683</v>
      </c>
      <c r="P162" s="9">
        <v>285123</v>
      </c>
      <c r="Q162" s="9" t="s">
        <v>37</v>
      </c>
      <c r="R162" s="13">
        <v>45706</v>
      </c>
      <c r="S162" s="22">
        <v>45706</v>
      </c>
      <c r="T162" s="13">
        <v>45706</v>
      </c>
      <c r="U162" s="13">
        <v>45706</v>
      </c>
      <c r="V162" s="9" t="s">
        <v>47</v>
      </c>
      <c r="W162" s="9">
        <v>22621788</v>
      </c>
      <c r="X162" s="9">
        <v>2250942</v>
      </c>
      <c r="Y162" s="9">
        <v>68910363</v>
      </c>
      <c r="Z162" s="9" t="s">
        <v>39</v>
      </c>
      <c r="AA162" s="9">
        <v>23022025</v>
      </c>
      <c r="AB162" s="9">
        <v>77703</v>
      </c>
      <c r="AC162" s="9" t="s">
        <v>41</v>
      </c>
      <c r="AD162" s="9" t="s">
        <v>134</v>
      </c>
      <c r="AE162" s="9" t="s">
        <v>135</v>
      </c>
      <c r="AF162" s="9" t="s">
        <v>135</v>
      </c>
      <c r="AG162" s="14" t="str">
        <f t="shared" si="6"/>
        <v>EXAMENES RADIOLOGICOS</v>
      </c>
      <c r="AH162" s="9" t="s">
        <v>758</v>
      </c>
      <c r="AI162" s="9">
        <v>0</v>
      </c>
      <c r="AJ162" s="9">
        <v>96631140</v>
      </c>
      <c r="AK162" s="9">
        <v>1</v>
      </c>
      <c r="AL162" s="26" t="s">
        <v>169</v>
      </c>
      <c r="AM162" s="14" t="s">
        <v>530</v>
      </c>
      <c r="AN162" s="27" t="str">
        <f t="shared" si="7"/>
        <v>13999930|96631140|95874683|95874683</v>
      </c>
      <c r="AO162" t="s">
        <v>758</v>
      </c>
      <c r="AP162" t="b">
        <v>1</v>
      </c>
      <c r="AQ162" t="s">
        <v>764</v>
      </c>
    </row>
    <row r="163" spans="1:43" x14ac:dyDescent="0.2">
      <c r="A163" s="14" t="s">
        <v>500</v>
      </c>
      <c r="B163" s="17">
        <v>13999930</v>
      </c>
      <c r="C163" s="14" t="s">
        <v>168</v>
      </c>
      <c r="D163" s="9">
        <v>13999930</v>
      </c>
      <c r="E163" s="9" t="s">
        <v>168</v>
      </c>
      <c r="F163" s="7">
        <v>45717</v>
      </c>
      <c r="G163" s="20" t="s">
        <v>46</v>
      </c>
      <c r="H163" s="8">
        <v>95874683</v>
      </c>
      <c r="I163" s="19">
        <v>65384186</v>
      </c>
      <c r="J163" s="10">
        <v>8084</v>
      </c>
      <c r="K163" s="10">
        <v>0</v>
      </c>
      <c r="L163" s="10">
        <v>8084</v>
      </c>
      <c r="M163" s="10">
        <v>0</v>
      </c>
      <c r="N163" s="11">
        <v>8084</v>
      </c>
      <c r="O163" s="12">
        <v>95874683</v>
      </c>
      <c r="P163" s="9">
        <v>285123</v>
      </c>
      <c r="Q163" s="9" t="s">
        <v>37</v>
      </c>
      <c r="R163" s="13">
        <v>45717</v>
      </c>
      <c r="S163" s="22">
        <v>45742</v>
      </c>
      <c r="T163" s="13">
        <v>45706</v>
      </c>
      <c r="U163" s="13">
        <v>45706</v>
      </c>
      <c r="V163" s="9" t="s">
        <v>47</v>
      </c>
      <c r="W163" s="9">
        <v>22770657</v>
      </c>
      <c r="X163" s="9">
        <v>3311105</v>
      </c>
      <c r="Y163" s="9">
        <v>69251062</v>
      </c>
      <c r="Z163" s="9" t="s">
        <v>39</v>
      </c>
      <c r="AA163" s="9">
        <v>970753966</v>
      </c>
      <c r="AB163" s="9">
        <v>78070</v>
      </c>
      <c r="AC163" s="9" t="s">
        <v>41</v>
      </c>
      <c r="AD163" s="9" t="s">
        <v>134</v>
      </c>
      <c r="AE163" s="9" t="s">
        <v>135</v>
      </c>
      <c r="AF163" s="9" t="s">
        <v>135</v>
      </c>
      <c r="AG163" s="14" t="str">
        <f t="shared" si="6"/>
        <v>EXAMENES RADIOLOGICOS</v>
      </c>
      <c r="AH163" s="9">
        <v>0</v>
      </c>
      <c r="AI163" s="9">
        <v>0</v>
      </c>
      <c r="AJ163" s="9">
        <v>96631140</v>
      </c>
      <c r="AK163" s="9">
        <v>1</v>
      </c>
      <c r="AL163" s="26" t="s">
        <v>52</v>
      </c>
      <c r="AM163" s="14" t="s">
        <v>530</v>
      </c>
      <c r="AN163" s="27" t="str">
        <f t="shared" si="7"/>
        <v>13999930|96631140|95874683|65384186</v>
      </c>
      <c r="AO163" t="s">
        <v>44</v>
      </c>
      <c r="AP163" t="b">
        <v>0</v>
      </c>
      <c r="AQ163" t="s">
        <v>763</v>
      </c>
    </row>
    <row r="164" spans="1:43" x14ac:dyDescent="0.2">
      <c r="A164" s="14" t="s">
        <v>500</v>
      </c>
      <c r="B164" s="17">
        <v>14502516</v>
      </c>
      <c r="C164" s="14" t="s">
        <v>188</v>
      </c>
      <c r="D164" s="9">
        <v>14502516</v>
      </c>
      <c r="E164" s="9" t="s">
        <v>188</v>
      </c>
      <c r="F164" s="7">
        <v>45717</v>
      </c>
      <c r="G164" s="20" t="s">
        <v>36</v>
      </c>
      <c r="H164" s="8">
        <v>95959962</v>
      </c>
      <c r="I164" s="19">
        <v>95959962</v>
      </c>
      <c r="J164" s="10">
        <v>33009</v>
      </c>
      <c r="K164" s="10">
        <v>26407</v>
      </c>
      <c r="L164" s="10">
        <v>6602</v>
      </c>
      <c r="M164" s="10">
        <v>0</v>
      </c>
      <c r="N164" s="11">
        <v>6602</v>
      </c>
      <c r="O164" s="12">
        <v>95959962</v>
      </c>
      <c r="P164" s="9">
        <v>285123</v>
      </c>
      <c r="Q164" s="9" t="s">
        <v>37</v>
      </c>
      <c r="R164" s="13">
        <v>45723</v>
      </c>
      <c r="S164" s="22">
        <v>45723</v>
      </c>
      <c r="T164" s="13">
        <v>45723</v>
      </c>
      <c r="U164" s="13">
        <v>45723</v>
      </c>
      <c r="V164" s="9" t="s">
        <v>47</v>
      </c>
      <c r="W164" s="9">
        <v>22676835</v>
      </c>
      <c r="X164" s="9">
        <v>3101656</v>
      </c>
      <c r="Y164" s="9">
        <v>68994431</v>
      </c>
      <c r="Z164" s="9" t="s">
        <v>39</v>
      </c>
      <c r="AA164" s="9">
        <v>9032025</v>
      </c>
      <c r="AB164" s="9">
        <v>77868</v>
      </c>
      <c r="AC164" s="9" t="s">
        <v>41</v>
      </c>
      <c r="AD164" s="9" t="s">
        <v>134</v>
      </c>
      <c r="AE164" s="9" t="s">
        <v>135</v>
      </c>
      <c r="AF164" s="9" t="s">
        <v>135</v>
      </c>
      <c r="AG164" s="14" t="str">
        <f t="shared" si="6"/>
        <v>EXAMENES RADIOLOGICOS</v>
      </c>
      <c r="AH164" s="9" t="s">
        <v>758</v>
      </c>
      <c r="AI164" s="9">
        <v>0</v>
      </c>
      <c r="AJ164" s="9">
        <v>96631140</v>
      </c>
      <c r="AK164" s="9">
        <v>1</v>
      </c>
      <c r="AL164" s="26" t="s">
        <v>169</v>
      </c>
      <c r="AM164" s="14" t="s">
        <v>538</v>
      </c>
      <c r="AN164" s="27" t="str">
        <f t="shared" si="7"/>
        <v>14502516|96631140|95959962|95959962</v>
      </c>
      <c r="AO164" t="s">
        <v>758</v>
      </c>
      <c r="AP164" t="b">
        <v>1</v>
      </c>
      <c r="AQ164" t="s">
        <v>764</v>
      </c>
    </row>
    <row r="165" spans="1:43" x14ac:dyDescent="0.2">
      <c r="A165" s="14" t="s">
        <v>500</v>
      </c>
      <c r="B165" s="17">
        <v>14502516</v>
      </c>
      <c r="C165" s="14" t="s">
        <v>188</v>
      </c>
      <c r="D165" s="9">
        <v>14502516</v>
      </c>
      <c r="E165" s="9" t="s">
        <v>188</v>
      </c>
      <c r="F165" s="7">
        <v>45717</v>
      </c>
      <c r="G165" s="20" t="s">
        <v>46</v>
      </c>
      <c r="H165" s="8">
        <v>95959962</v>
      </c>
      <c r="I165" s="19">
        <v>65384243</v>
      </c>
      <c r="J165" s="10">
        <v>6588</v>
      </c>
      <c r="K165" s="10">
        <v>0</v>
      </c>
      <c r="L165" s="10">
        <v>6588</v>
      </c>
      <c r="M165" s="10">
        <v>0</v>
      </c>
      <c r="N165" s="11">
        <v>6588</v>
      </c>
      <c r="O165" s="12">
        <v>95959962</v>
      </c>
      <c r="P165" s="9">
        <v>285123</v>
      </c>
      <c r="Q165" s="9" t="s">
        <v>37</v>
      </c>
      <c r="R165" s="13">
        <v>45723</v>
      </c>
      <c r="S165" s="22">
        <v>45742</v>
      </c>
      <c r="T165" s="13">
        <v>45723</v>
      </c>
      <c r="U165" s="13">
        <v>45723</v>
      </c>
      <c r="V165" s="9" t="s">
        <v>47</v>
      </c>
      <c r="W165" s="9">
        <v>22772453</v>
      </c>
      <c r="X165" s="9">
        <v>3311105</v>
      </c>
      <c r="Y165" s="9">
        <v>69251116</v>
      </c>
      <c r="Z165" s="9" t="s">
        <v>39</v>
      </c>
      <c r="AA165" s="9">
        <v>970433961</v>
      </c>
      <c r="AB165" s="9">
        <v>78070</v>
      </c>
      <c r="AC165" s="9" t="s">
        <v>41</v>
      </c>
      <c r="AD165" s="9" t="s">
        <v>134</v>
      </c>
      <c r="AE165" s="9" t="s">
        <v>135</v>
      </c>
      <c r="AF165" s="9" t="s">
        <v>135</v>
      </c>
      <c r="AG165" s="14" t="str">
        <f t="shared" si="6"/>
        <v>EXAMENES RADIOLOGICOS</v>
      </c>
      <c r="AH165" s="9">
        <v>0</v>
      </c>
      <c r="AI165" s="9">
        <v>0</v>
      </c>
      <c r="AJ165" s="9">
        <v>96631140</v>
      </c>
      <c r="AK165" s="9">
        <v>1</v>
      </c>
      <c r="AL165" s="26" t="s">
        <v>52</v>
      </c>
      <c r="AM165" s="14" t="s">
        <v>538</v>
      </c>
      <c r="AN165" s="27" t="str">
        <f t="shared" si="7"/>
        <v>14502516|96631140|95959962|65384243</v>
      </c>
      <c r="AO165" t="s">
        <v>44</v>
      </c>
      <c r="AP165" t="b">
        <v>0</v>
      </c>
      <c r="AQ165" t="s">
        <v>763</v>
      </c>
    </row>
    <row r="166" spans="1:43" x14ac:dyDescent="0.2">
      <c r="A166" s="14" t="s">
        <v>500</v>
      </c>
      <c r="B166" s="17">
        <v>11946769</v>
      </c>
      <c r="C166" s="14" t="s">
        <v>199</v>
      </c>
      <c r="D166" s="9">
        <v>11946769</v>
      </c>
      <c r="E166" s="9" t="s">
        <v>199</v>
      </c>
      <c r="F166" s="7">
        <v>45658</v>
      </c>
      <c r="G166" s="20" t="s">
        <v>36</v>
      </c>
      <c r="H166" s="8">
        <v>135539942</v>
      </c>
      <c r="I166" s="19">
        <v>135539942</v>
      </c>
      <c r="J166" s="10">
        <v>200121</v>
      </c>
      <c r="K166" s="10">
        <v>77641</v>
      </c>
      <c r="L166" s="10">
        <v>122480</v>
      </c>
      <c r="M166" s="10">
        <v>0</v>
      </c>
      <c r="N166" s="11">
        <v>122480</v>
      </c>
      <c r="O166" s="12">
        <v>135539942</v>
      </c>
      <c r="P166" s="9">
        <v>285123</v>
      </c>
      <c r="Q166" s="9" t="s">
        <v>37</v>
      </c>
      <c r="R166" s="13">
        <v>45666</v>
      </c>
      <c r="S166" s="22">
        <v>45666</v>
      </c>
      <c r="T166" s="13">
        <v>45666</v>
      </c>
      <c r="U166" s="13">
        <v>45666</v>
      </c>
      <c r="V166" s="9" t="s">
        <v>47</v>
      </c>
      <c r="W166" s="9">
        <v>22462276</v>
      </c>
      <c r="X166" s="9">
        <v>1131703</v>
      </c>
      <c r="Y166" s="9">
        <v>68651920</v>
      </c>
      <c r="Z166" s="9" t="s">
        <v>39</v>
      </c>
      <c r="AA166" s="9">
        <v>12012025</v>
      </c>
      <c r="AB166" s="9">
        <v>77298</v>
      </c>
      <c r="AC166" s="9" t="s">
        <v>41</v>
      </c>
      <c r="AD166" s="9" t="s">
        <v>134</v>
      </c>
      <c r="AE166" s="9" t="s">
        <v>135</v>
      </c>
      <c r="AF166" s="9" t="s">
        <v>135</v>
      </c>
      <c r="AG166" s="14" t="str">
        <f t="shared" si="6"/>
        <v>EXAMENES RADIOLOGICOS</v>
      </c>
      <c r="AH166" s="9" t="s">
        <v>758</v>
      </c>
      <c r="AI166" s="9">
        <v>0</v>
      </c>
      <c r="AJ166" s="9">
        <v>77200240</v>
      </c>
      <c r="AK166" s="9">
        <v>8</v>
      </c>
      <c r="AL166" s="26" t="s">
        <v>69</v>
      </c>
      <c r="AM166" s="14" t="s">
        <v>547</v>
      </c>
      <c r="AN166" s="27" t="str">
        <f t="shared" si="7"/>
        <v>11946769|77200240|135539942|135539942</v>
      </c>
      <c r="AO166" t="s">
        <v>758</v>
      </c>
      <c r="AP166" t="b">
        <v>1</v>
      </c>
      <c r="AQ166" t="s">
        <v>764</v>
      </c>
    </row>
    <row r="167" spans="1:43" x14ac:dyDescent="0.2">
      <c r="A167" s="14" t="s">
        <v>500</v>
      </c>
      <c r="B167" s="17">
        <v>11946769</v>
      </c>
      <c r="C167" s="14" t="s">
        <v>199</v>
      </c>
      <c r="D167" s="9">
        <v>11946769</v>
      </c>
      <c r="E167" s="9" t="s">
        <v>199</v>
      </c>
      <c r="F167" s="7">
        <v>45717</v>
      </c>
      <c r="G167" s="20" t="s">
        <v>46</v>
      </c>
      <c r="H167" s="8">
        <v>135539942</v>
      </c>
      <c r="I167" s="19">
        <v>65383980</v>
      </c>
      <c r="J167" s="10">
        <v>111473</v>
      </c>
      <c r="K167" s="10">
        <v>0</v>
      </c>
      <c r="L167" s="10">
        <v>111473</v>
      </c>
      <c r="M167" s="10">
        <v>0</v>
      </c>
      <c r="N167" s="11">
        <v>111473</v>
      </c>
      <c r="O167" s="12">
        <v>135539942</v>
      </c>
      <c r="P167" s="9">
        <v>285123</v>
      </c>
      <c r="Q167" s="9" t="s">
        <v>37</v>
      </c>
      <c r="R167" s="13">
        <v>45717</v>
      </c>
      <c r="S167" s="22">
        <v>45742</v>
      </c>
      <c r="T167" s="13">
        <v>45666</v>
      </c>
      <c r="U167" s="13">
        <v>45666</v>
      </c>
      <c r="V167" s="9" t="s">
        <v>47</v>
      </c>
      <c r="W167" s="9">
        <v>22770323</v>
      </c>
      <c r="X167" s="9">
        <v>3311105</v>
      </c>
      <c r="Y167" s="9">
        <v>69250868</v>
      </c>
      <c r="Z167" s="9" t="s">
        <v>39</v>
      </c>
      <c r="AA167" s="9">
        <v>970593489</v>
      </c>
      <c r="AB167" s="9">
        <v>78070</v>
      </c>
      <c r="AC167" s="9" t="s">
        <v>41</v>
      </c>
      <c r="AD167" s="9" t="s">
        <v>134</v>
      </c>
      <c r="AE167" s="9" t="s">
        <v>135</v>
      </c>
      <c r="AF167" s="9" t="s">
        <v>135</v>
      </c>
      <c r="AG167" s="14" t="str">
        <f t="shared" si="6"/>
        <v>EXAMENES RADIOLOGICOS</v>
      </c>
      <c r="AH167" s="9">
        <v>0</v>
      </c>
      <c r="AI167" s="9">
        <v>0</v>
      </c>
      <c r="AJ167" s="9">
        <v>77200240</v>
      </c>
      <c r="AK167" s="9">
        <v>8</v>
      </c>
      <c r="AL167" s="26" t="s">
        <v>52</v>
      </c>
      <c r="AM167" s="14" t="s">
        <v>547</v>
      </c>
      <c r="AN167" s="27" t="str">
        <f t="shared" si="7"/>
        <v>11946769|77200240|135539942|65383980</v>
      </c>
      <c r="AO167" t="s">
        <v>44</v>
      </c>
      <c r="AP167" t="b">
        <v>0</v>
      </c>
      <c r="AQ167" t="s">
        <v>763</v>
      </c>
    </row>
    <row r="168" spans="1:43" x14ac:dyDescent="0.2">
      <c r="A168" s="14" t="s">
        <v>500</v>
      </c>
      <c r="B168" s="17">
        <v>13024964</v>
      </c>
      <c r="C168" s="14" t="s">
        <v>200</v>
      </c>
      <c r="D168" s="9">
        <v>24592087</v>
      </c>
      <c r="E168" s="9" t="s">
        <v>201</v>
      </c>
      <c r="F168" s="7">
        <v>45658</v>
      </c>
      <c r="G168" s="20" t="s">
        <v>36</v>
      </c>
      <c r="H168" s="8">
        <v>135711912</v>
      </c>
      <c r="I168" s="19">
        <v>135711912</v>
      </c>
      <c r="J168" s="10">
        <v>9854</v>
      </c>
      <c r="K168" s="10">
        <v>6898</v>
      </c>
      <c r="L168" s="10">
        <v>2956</v>
      </c>
      <c r="M168" s="10">
        <v>0</v>
      </c>
      <c r="N168" s="11">
        <v>2956</v>
      </c>
      <c r="O168" s="12">
        <v>135711912</v>
      </c>
      <c r="P168" s="9">
        <v>285123</v>
      </c>
      <c r="Q168" s="9" t="s">
        <v>37</v>
      </c>
      <c r="R168" s="13">
        <v>45673</v>
      </c>
      <c r="S168" s="22">
        <v>45673</v>
      </c>
      <c r="T168" s="13">
        <v>45673</v>
      </c>
      <c r="U168" s="13">
        <v>45673</v>
      </c>
      <c r="V168" s="9" t="s">
        <v>47</v>
      </c>
      <c r="W168" s="9">
        <v>22497933</v>
      </c>
      <c r="X168" s="9">
        <v>1210929</v>
      </c>
      <c r="Y168" s="9">
        <v>68690559</v>
      </c>
      <c r="Z168" s="9" t="s">
        <v>39</v>
      </c>
      <c r="AA168" s="9">
        <v>19012025</v>
      </c>
      <c r="AB168" s="9">
        <v>77381</v>
      </c>
      <c r="AC168" s="9" t="s">
        <v>41</v>
      </c>
      <c r="AD168" s="9" t="s">
        <v>134</v>
      </c>
      <c r="AE168" s="9" t="s">
        <v>135</v>
      </c>
      <c r="AF168" s="9" t="s">
        <v>135</v>
      </c>
      <c r="AG168" s="14" t="str">
        <f t="shared" si="6"/>
        <v>EXAMENES RADIOLOGICOS</v>
      </c>
      <c r="AH168" s="9" t="s">
        <v>758</v>
      </c>
      <c r="AI168" s="9">
        <v>0</v>
      </c>
      <c r="AJ168" s="9">
        <v>76098454</v>
      </c>
      <c r="AK168" s="9" t="s">
        <v>161</v>
      </c>
      <c r="AL168" s="26" t="s">
        <v>69</v>
      </c>
      <c r="AM168" s="14" t="s">
        <v>548</v>
      </c>
      <c r="AN168" s="27" t="str">
        <f t="shared" si="7"/>
        <v>13024964|76098454|135711912|135711912</v>
      </c>
      <c r="AO168" t="s">
        <v>758</v>
      </c>
      <c r="AP168" t="b">
        <v>1</v>
      </c>
      <c r="AQ168" t="s">
        <v>764</v>
      </c>
    </row>
    <row r="169" spans="1:43" x14ac:dyDescent="0.2">
      <c r="A169" s="14" t="s">
        <v>500</v>
      </c>
      <c r="B169" s="17">
        <v>13024964</v>
      </c>
      <c r="C169" s="14" t="s">
        <v>200</v>
      </c>
      <c r="D169" s="9">
        <v>24592087</v>
      </c>
      <c r="E169" s="9" t="s">
        <v>201</v>
      </c>
      <c r="F169" s="7">
        <v>45717</v>
      </c>
      <c r="G169" s="20" t="s">
        <v>46</v>
      </c>
      <c r="H169" s="8">
        <v>135711912</v>
      </c>
      <c r="I169" s="19">
        <v>65384062</v>
      </c>
      <c r="J169" s="10">
        <v>3073</v>
      </c>
      <c r="K169" s="10">
        <v>0</v>
      </c>
      <c r="L169" s="10">
        <v>3073</v>
      </c>
      <c r="M169" s="10">
        <v>0</v>
      </c>
      <c r="N169" s="11">
        <v>3073</v>
      </c>
      <c r="O169" s="12">
        <v>135711912</v>
      </c>
      <c r="P169" s="9">
        <v>285123</v>
      </c>
      <c r="Q169" s="9" t="s">
        <v>37</v>
      </c>
      <c r="R169" s="13">
        <v>45717</v>
      </c>
      <c r="S169" s="22">
        <v>45742</v>
      </c>
      <c r="T169" s="13">
        <v>45673</v>
      </c>
      <c r="U169" s="13">
        <v>45673</v>
      </c>
      <c r="V169" s="9" t="s">
        <v>47</v>
      </c>
      <c r="W169" s="9">
        <v>22770360</v>
      </c>
      <c r="X169" s="9">
        <v>3311105</v>
      </c>
      <c r="Y169" s="9">
        <v>69250950</v>
      </c>
      <c r="Z169" s="9" t="s">
        <v>39</v>
      </c>
      <c r="AA169" s="9">
        <v>4305868</v>
      </c>
      <c r="AB169" s="9">
        <v>78070</v>
      </c>
      <c r="AC169" s="9" t="s">
        <v>41</v>
      </c>
      <c r="AD169" s="9" t="s">
        <v>134</v>
      </c>
      <c r="AE169" s="9" t="s">
        <v>135</v>
      </c>
      <c r="AF169" s="9" t="s">
        <v>135</v>
      </c>
      <c r="AG169" s="14" t="str">
        <f t="shared" si="6"/>
        <v>EXAMENES RADIOLOGICOS</v>
      </c>
      <c r="AH169" s="9">
        <v>0</v>
      </c>
      <c r="AI169" s="9">
        <v>0</v>
      </c>
      <c r="AJ169" s="9">
        <v>76098454</v>
      </c>
      <c r="AK169" s="9" t="s">
        <v>161</v>
      </c>
      <c r="AL169" s="26" t="s">
        <v>52</v>
      </c>
      <c r="AM169" s="14" t="s">
        <v>548</v>
      </c>
      <c r="AN169" s="27" t="str">
        <f t="shared" si="7"/>
        <v>13024964|76098454|135711912|65384062</v>
      </c>
      <c r="AO169" t="s">
        <v>44</v>
      </c>
      <c r="AP169" t="b">
        <v>0</v>
      </c>
      <c r="AQ169" t="s">
        <v>763</v>
      </c>
    </row>
    <row r="170" spans="1:43" x14ac:dyDescent="0.2">
      <c r="A170" s="14" t="s">
        <v>500</v>
      </c>
      <c r="B170" s="17">
        <v>13024964</v>
      </c>
      <c r="C170" s="14" t="s">
        <v>200</v>
      </c>
      <c r="D170" s="9">
        <v>24592087</v>
      </c>
      <c r="E170" s="9" t="s">
        <v>201</v>
      </c>
      <c r="F170" s="7">
        <v>45658</v>
      </c>
      <c r="G170" s="20" t="s">
        <v>36</v>
      </c>
      <c r="H170" s="8">
        <v>135724323</v>
      </c>
      <c r="I170" s="19">
        <v>135724323</v>
      </c>
      <c r="J170" s="10">
        <v>31925</v>
      </c>
      <c r="K170" s="10">
        <v>22348</v>
      </c>
      <c r="L170" s="10">
        <v>9577</v>
      </c>
      <c r="M170" s="10">
        <v>0</v>
      </c>
      <c r="N170" s="11">
        <v>9577</v>
      </c>
      <c r="O170" s="12">
        <v>135724323</v>
      </c>
      <c r="P170" s="9">
        <v>285123</v>
      </c>
      <c r="Q170" s="9" t="s">
        <v>37</v>
      </c>
      <c r="R170" s="13">
        <v>45674</v>
      </c>
      <c r="S170" s="22">
        <v>45674</v>
      </c>
      <c r="T170" s="13">
        <v>45674</v>
      </c>
      <c r="U170" s="13">
        <v>45674</v>
      </c>
      <c r="V170" s="9" t="s">
        <v>47</v>
      </c>
      <c r="W170" s="9">
        <v>22497969</v>
      </c>
      <c r="X170" s="9">
        <v>1210929</v>
      </c>
      <c r="Y170" s="9">
        <v>68690811</v>
      </c>
      <c r="Z170" s="9" t="s">
        <v>39</v>
      </c>
      <c r="AA170" s="9">
        <v>19012025</v>
      </c>
      <c r="AB170" s="9">
        <v>77381</v>
      </c>
      <c r="AC170" s="9" t="s">
        <v>41</v>
      </c>
      <c r="AD170" s="9" t="s">
        <v>132</v>
      </c>
      <c r="AE170" s="9" t="s">
        <v>133</v>
      </c>
      <c r="AF170" s="9" t="s">
        <v>133</v>
      </c>
      <c r="AG170" s="14" t="str">
        <f t="shared" si="6"/>
        <v>EXAMENES DE LABORATORIO</v>
      </c>
      <c r="AH170" s="9" t="s">
        <v>758</v>
      </c>
      <c r="AI170" s="9">
        <v>0</v>
      </c>
      <c r="AJ170" s="9">
        <v>99573490</v>
      </c>
      <c r="AK170" s="9">
        <v>7</v>
      </c>
      <c r="AL170" s="26" t="s">
        <v>69</v>
      </c>
      <c r="AM170" s="14" t="s">
        <v>548</v>
      </c>
      <c r="AN170" s="27" t="str">
        <f t="shared" si="7"/>
        <v>13024964|99573490|135724323|135724323</v>
      </c>
      <c r="AO170" t="s">
        <v>758</v>
      </c>
      <c r="AP170" t="b">
        <v>1</v>
      </c>
      <c r="AQ170" t="s">
        <v>764</v>
      </c>
    </row>
    <row r="171" spans="1:43" x14ac:dyDescent="0.2">
      <c r="A171" s="14" t="s">
        <v>500</v>
      </c>
      <c r="B171" s="17">
        <v>13024964</v>
      </c>
      <c r="C171" s="14" t="s">
        <v>200</v>
      </c>
      <c r="D171" s="9">
        <v>24592087</v>
      </c>
      <c r="E171" s="9" t="s">
        <v>201</v>
      </c>
      <c r="F171" s="7">
        <v>45717</v>
      </c>
      <c r="G171" s="20" t="s">
        <v>46</v>
      </c>
      <c r="H171" s="8">
        <v>135724323</v>
      </c>
      <c r="I171" s="19">
        <v>65384063</v>
      </c>
      <c r="J171" s="10">
        <v>9603</v>
      </c>
      <c r="K171" s="10">
        <v>0</v>
      </c>
      <c r="L171" s="10">
        <v>9603</v>
      </c>
      <c r="M171" s="10">
        <v>0</v>
      </c>
      <c r="N171" s="11">
        <v>9603</v>
      </c>
      <c r="O171" s="12">
        <v>135724323</v>
      </c>
      <c r="P171" s="9">
        <v>285123</v>
      </c>
      <c r="Q171" s="9" t="s">
        <v>37</v>
      </c>
      <c r="R171" s="13">
        <v>45717</v>
      </c>
      <c r="S171" s="22">
        <v>45742</v>
      </c>
      <c r="T171" s="13">
        <v>45674</v>
      </c>
      <c r="U171" s="13">
        <v>45674</v>
      </c>
      <c r="V171" s="9" t="s">
        <v>47</v>
      </c>
      <c r="W171" s="9">
        <v>22770371</v>
      </c>
      <c r="X171" s="9">
        <v>3311105</v>
      </c>
      <c r="Y171" s="9">
        <v>69250951</v>
      </c>
      <c r="Z171" s="9" t="s">
        <v>39</v>
      </c>
      <c r="AA171" s="9">
        <v>4305868</v>
      </c>
      <c r="AB171" s="9">
        <v>78070</v>
      </c>
      <c r="AC171" s="9" t="s">
        <v>41</v>
      </c>
      <c r="AD171" s="9" t="s">
        <v>132</v>
      </c>
      <c r="AE171" s="9" t="s">
        <v>133</v>
      </c>
      <c r="AF171" s="9" t="s">
        <v>133</v>
      </c>
      <c r="AG171" s="14" t="str">
        <f t="shared" si="6"/>
        <v>EXAMENES DE LABORATORIO</v>
      </c>
      <c r="AH171" s="9">
        <v>0</v>
      </c>
      <c r="AI171" s="9">
        <v>0</v>
      </c>
      <c r="AJ171" s="9">
        <v>99573490</v>
      </c>
      <c r="AK171" s="9">
        <v>7</v>
      </c>
      <c r="AL171" s="26" t="s">
        <v>52</v>
      </c>
      <c r="AM171" s="14" t="s">
        <v>548</v>
      </c>
      <c r="AN171" s="27" t="str">
        <f t="shared" si="7"/>
        <v>13024964|99573490|135724323|65384063</v>
      </c>
      <c r="AO171" t="s">
        <v>44</v>
      </c>
      <c r="AP171" t="b">
        <v>0</v>
      </c>
      <c r="AQ171" t="s">
        <v>763</v>
      </c>
    </row>
    <row r="172" spans="1:43" x14ac:dyDescent="0.2">
      <c r="A172" s="14" t="s">
        <v>500</v>
      </c>
      <c r="B172" s="17">
        <v>13024964</v>
      </c>
      <c r="C172" s="14" t="s">
        <v>200</v>
      </c>
      <c r="D172" s="9">
        <v>24592087</v>
      </c>
      <c r="E172" s="9" t="s">
        <v>201</v>
      </c>
      <c r="F172" s="7">
        <v>45658</v>
      </c>
      <c r="G172" s="20" t="s">
        <v>36</v>
      </c>
      <c r="H172" s="8">
        <v>135724324</v>
      </c>
      <c r="I172" s="19">
        <v>135724324</v>
      </c>
      <c r="J172" s="10">
        <v>33580</v>
      </c>
      <c r="K172" s="10">
        <v>23506</v>
      </c>
      <c r="L172" s="10">
        <v>10074</v>
      </c>
      <c r="M172" s="10">
        <v>0</v>
      </c>
      <c r="N172" s="11">
        <v>10074</v>
      </c>
      <c r="O172" s="12">
        <v>135724324</v>
      </c>
      <c r="P172" s="9">
        <v>285123</v>
      </c>
      <c r="Q172" s="9" t="s">
        <v>37</v>
      </c>
      <c r="R172" s="13">
        <v>45674</v>
      </c>
      <c r="S172" s="22">
        <v>45674</v>
      </c>
      <c r="T172" s="13">
        <v>45674</v>
      </c>
      <c r="U172" s="13">
        <v>45674</v>
      </c>
      <c r="V172" s="9" t="s">
        <v>47</v>
      </c>
      <c r="W172" s="9">
        <v>22497969</v>
      </c>
      <c r="X172" s="9">
        <v>1210929</v>
      </c>
      <c r="Y172" s="9">
        <v>68690810</v>
      </c>
      <c r="Z172" s="9" t="s">
        <v>39</v>
      </c>
      <c r="AA172" s="9">
        <v>19012025</v>
      </c>
      <c r="AB172" s="9">
        <v>77381</v>
      </c>
      <c r="AC172" s="9" t="s">
        <v>41</v>
      </c>
      <c r="AD172" s="9" t="s">
        <v>132</v>
      </c>
      <c r="AE172" s="9" t="s">
        <v>133</v>
      </c>
      <c r="AF172" s="9" t="s">
        <v>133</v>
      </c>
      <c r="AG172" s="14" t="str">
        <f t="shared" si="6"/>
        <v>EXAMENES DE LABORATORIO</v>
      </c>
      <c r="AH172" s="9" t="s">
        <v>758</v>
      </c>
      <c r="AI172" s="9">
        <v>0</v>
      </c>
      <c r="AJ172" s="9">
        <v>99573490</v>
      </c>
      <c r="AK172" s="9">
        <v>7</v>
      </c>
      <c r="AL172" s="26" t="s">
        <v>69</v>
      </c>
      <c r="AM172" s="14" t="s">
        <v>548</v>
      </c>
      <c r="AN172" s="27" t="str">
        <f t="shared" si="7"/>
        <v>13024964|99573490|135724324|135724324</v>
      </c>
      <c r="AO172" t="s">
        <v>758</v>
      </c>
      <c r="AP172" t="b">
        <v>1</v>
      </c>
      <c r="AQ172" t="s">
        <v>764</v>
      </c>
    </row>
    <row r="173" spans="1:43" x14ac:dyDescent="0.2">
      <c r="A173" s="14" t="s">
        <v>500</v>
      </c>
      <c r="B173" s="17">
        <v>13024964</v>
      </c>
      <c r="C173" s="14" t="s">
        <v>200</v>
      </c>
      <c r="D173" s="9">
        <v>24592087</v>
      </c>
      <c r="E173" s="9" t="s">
        <v>201</v>
      </c>
      <c r="F173" s="7">
        <v>45717</v>
      </c>
      <c r="G173" s="20" t="s">
        <v>46</v>
      </c>
      <c r="H173" s="8">
        <v>135724324</v>
      </c>
      <c r="I173" s="19">
        <v>65384064</v>
      </c>
      <c r="J173" s="10">
        <v>9988</v>
      </c>
      <c r="K173" s="10">
        <v>0</v>
      </c>
      <c r="L173" s="10">
        <v>9988</v>
      </c>
      <c r="M173" s="10">
        <v>0</v>
      </c>
      <c r="N173" s="11">
        <v>9988</v>
      </c>
      <c r="O173" s="12">
        <v>135724324</v>
      </c>
      <c r="P173" s="9">
        <v>285123</v>
      </c>
      <c r="Q173" s="9" t="s">
        <v>37</v>
      </c>
      <c r="R173" s="13">
        <v>45717</v>
      </c>
      <c r="S173" s="22">
        <v>45742</v>
      </c>
      <c r="T173" s="13">
        <v>45674</v>
      </c>
      <c r="U173" s="13">
        <v>45674</v>
      </c>
      <c r="V173" s="9" t="s">
        <v>47</v>
      </c>
      <c r="W173" s="9">
        <v>22770371</v>
      </c>
      <c r="X173" s="9">
        <v>3311105</v>
      </c>
      <c r="Y173" s="9">
        <v>69250952</v>
      </c>
      <c r="Z173" s="9" t="s">
        <v>39</v>
      </c>
      <c r="AA173" s="9">
        <v>4305868</v>
      </c>
      <c r="AB173" s="9">
        <v>78070</v>
      </c>
      <c r="AC173" s="9" t="s">
        <v>41</v>
      </c>
      <c r="AD173" s="9" t="s">
        <v>132</v>
      </c>
      <c r="AE173" s="9" t="s">
        <v>133</v>
      </c>
      <c r="AF173" s="9" t="s">
        <v>133</v>
      </c>
      <c r="AG173" s="14" t="str">
        <f t="shared" si="6"/>
        <v>EXAMENES DE LABORATORIO</v>
      </c>
      <c r="AH173" s="9">
        <v>0</v>
      </c>
      <c r="AI173" s="9">
        <v>0</v>
      </c>
      <c r="AJ173" s="9">
        <v>99573490</v>
      </c>
      <c r="AK173" s="9">
        <v>7</v>
      </c>
      <c r="AL173" s="26" t="s">
        <v>52</v>
      </c>
      <c r="AM173" s="14" t="s">
        <v>548</v>
      </c>
      <c r="AN173" s="27" t="str">
        <f t="shared" si="7"/>
        <v>13024964|99573490|135724324|65384064</v>
      </c>
      <c r="AO173" t="s">
        <v>44</v>
      </c>
      <c r="AP173" t="b">
        <v>0</v>
      </c>
      <c r="AQ173" t="s">
        <v>763</v>
      </c>
    </row>
    <row r="174" spans="1:43" x14ac:dyDescent="0.2">
      <c r="A174" s="14" t="s">
        <v>500</v>
      </c>
      <c r="B174" s="17">
        <v>19747908</v>
      </c>
      <c r="C174" s="14" t="s">
        <v>202</v>
      </c>
      <c r="D174" s="9">
        <v>19747908</v>
      </c>
      <c r="E174" s="9" t="s">
        <v>202</v>
      </c>
      <c r="F174" s="7">
        <v>45658</v>
      </c>
      <c r="G174" s="20" t="s">
        <v>36</v>
      </c>
      <c r="H174" s="8">
        <v>135727077</v>
      </c>
      <c r="I174" s="19">
        <v>135727077</v>
      </c>
      <c r="J174" s="10">
        <v>32750</v>
      </c>
      <c r="K174" s="10">
        <v>26200</v>
      </c>
      <c r="L174" s="10">
        <v>6550</v>
      </c>
      <c r="M174" s="10">
        <v>0</v>
      </c>
      <c r="N174" s="11">
        <v>6550</v>
      </c>
      <c r="O174" s="12">
        <v>135727077</v>
      </c>
      <c r="P174" s="9">
        <v>285123</v>
      </c>
      <c r="Q174" s="9" t="s">
        <v>37</v>
      </c>
      <c r="R174" s="13">
        <v>45674</v>
      </c>
      <c r="S174" s="22">
        <v>45674</v>
      </c>
      <c r="T174" s="13">
        <v>45674</v>
      </c>
      <c r="U174" s="13">
        <v>45674</v>
      </c>
      <c r="V174" s="9" t="s">
        <v>47</v>
      </c>
      <c r="W174" s="9">
        <v>22497991</v>
      </c>
      <c r="X174" s="9">
        <v>1210929</v>
      </c>
      <c r="Y174" s="9">
        <v>68690935</v>
      </c>
      <c r="Z174" s="9" t="s">
        <v>39</v>
      </c>
      <c r="AA174" s="9">
        <v>19012025</v>
      </c>
      <c r="AB174" s="9">
        <v>77381</v>
      </c>
      <c r="AC174" s="9" t="s">
        <v>41</v>
      </c>
      <c r="AD174" s="9" t="s">
        <v>132</v>
      </c>
      <c r="AE174" s="9" t="s">
        <v>133</v>
      </c>
      <c r="AF174" s="9" t="s">
        <v>133</v>
      </c>
      <c r="AG174" s="14" t="str">
        <f t="shared" si="6"/>
        <v>EXAMENES DE LABORATORIO</v>
      </c>
      <c r="AH174" s="9" t="s">
        <v>758</v>
      </c>
      <c r="AI174" s="9">
        <v>0</v>
      </c>
      <c r="AJ174" s="9">
        <v>96942400</v>
      </c>
      <c r="AK174" s="9">
        <v>2</v>
      </c>
      <c r="AL174" s="26" t="s">
        <v>69</v>
      </c>
      <c r="AM174" s="14" t="s">
        <v>549</v>
      </c>
      <c r="AN174" s="27" t="str">
        <f t="shared" si="7"/>
        <v>19747908|96942400|135727077|135727077</v>
      </c>
      <c r="AO174" t="s">
        <v>758</v>
      </c>
      <c r="AP174" t="b">
        <v>1</v>
      </c>
      <c r="AQ174" t="s">
        <v>764</v>
      </c>
    </row>
    <row r="175" spans="1:43" x14ac:dyDescent="0.2">
      <c r="A175" s="14" t="s">
        <v>500</v>
      </c>
      <c r="B175" s="17">
        <v>19747908</v>
      </c>
      <c r="C175" s="14" t="s">
        <v>202</v>
      </c>
      <c r="D175" s="9">
        <v>19747908</v>
      </c>
      <c r="E175" s="9" t="s">
        <v>202</v>
      </c>
      <c r="F175" s="7">
        <v>45717</v>
      </c>
      <c r="G175" s="20" t="s">
        <v>46</v>
      </c>
      <c r="H175" s="8">
        <v>135727077</v>
      </c>
      <c r="I175" s="19">
        <v>65384494</v>
      </c>
      <c r="J175" s="10">
        <v>6913</v>
      </c>
      <c r="K175" s="10">
        <v>0</v>
      </c>
      <c r="L175" s="10">
        <v>6913</v>
      </c>
      <c r="M175" s="10">
        <v>0</v>
      </c>
      <c r="N175" s="11">
        <v>6913</v>
      </c>
      <c r="O175" s="12">
        <v>135727077</v>
      </c>
      <c r="P175" s="9">
        <v>285123</v>
      </c>
      <c r="Q175" s="9" t="s">
        <v>37</v>
      </c>
      <c r="R175" s="13">
        <v>45717</v>
      </c>
      <c r="S175" s="22">
        <v>45742</v>
      </c>
      <c r="T175" s="13">
        <v>45674</v>
      </c>
      <c r="U175" s="13">
        <v>45674</v>
      </c>
      <c r="V175" s="9" t="s">
        <v>47</v>
      </c>
      <c r="W175" s="9">
        <v>22770377</v>
      </c>
      <c r="X175" s="9">
        <v>3311105</v>
      </c>
      <c r="Y175" s="9">
        <v>69251360</v>
      </c>
      <c r="Z175" s="9" t="s">
        <v>39</v>
      </c>
      <c r="AA175" s="9">
        <v>989772832</v>
      </c>
      <c r="AB175" s="9">
        <v>78070</v>
      </c>
      <c r="AC175" s="9" t="s">
        <v>41</v>
      </c>
      <c r="AD175" s="9" t="s">
        <v>132</v>
      </c>
      <c r="AE175" s="9" t="s">
        <v>133</v>
      </c>
      <c r="AF175" s="9" t="s">
        <v>133</v>
      </c>
      <c r="AG175" s="14" t="str">
        <f t="shared" si="6"/>
        <v>EXAMENES DE LABORATORIO</v>
      </c>
      <c r="AH175" s="9">
        <v>0</v>
      </c>
      <c r="AI175" s="9">
        <v>0</v>
      </c>
      <c r="AJ175" s="9">
        <v>96942400</v>
      </c>
      <c r="AK175" s="9">
        <v>2</v>
      </c>
      <c r="AL175" s="26" t="s">
        <v>52</v>
      </c>
      <c r="AM175" s="14" t="s">
        <v>549</v>
      </c>
      <c r="AN175" s="27" t="str">
        <f t="shared" si="7"/>
        <v>19747908|96942400|135727077|65384494</v>
      </c>
      <c r="AO175" t="s">
        <v>44</v>
      </c>
      <c r="AP175" t="b">
        <v>0</v>
      </c>
      <c r="AQ175" t="s">
        <v>763</v>
      </c>
    </row>
    <row r="176" spans="1:43" x14ac:dyDescent="0.2">
      <c r="A176" s="14" t="s">
        <v>500</v>
      </c>
      <c r="B176" s="17">
        <v>19747908</v>
      </c>
      <c r="C176" s="14" t="s">
        <v>202</v>
      </c>
      <c r="D176" s="9">
        <v>19747908</v>
      </c>
      <c r="E176" s="9" t="s">
        <v>202</v>
      </c>
      <c r="F176" s="7">
        <v>45658</v>
      </c>
      <c r="G176" s="20" t="s">
        <v>36</v>
      </c>
      <c r="H176" s="8">
        <v>135727078</v>
      </c>
      <c r="I176" s="19">
        <v>135727078</v>
      </c>
      <c r="J176" s="10">
        <v>4780</v>
      </c>
      <c r="K176" s="10">
        <v>3824</v>
      </c>
      <c r="L176" s="10">
        <v>956</v>
      </c>
      <c r="M176" s="10">
        <v>0</v>
      </c>
      <c r="N176" s="11">
        <v>956</v>
      </c>
      <c r="O176" s="12">
        <v>135727078</v>
      </c>
      <c r="P176" s="9">
        <v>285123</v>
      </c>
      <c r="Q176" s="9" t="s">
        <v>37</v>
      </c>
      <c r="R176" s="13">
        <v>45674</v>
      </c>
      <c r="S176" s="22">
        <v>45674</v>
      </c>
      <c r="T176" s="13">
        <v>45674</v>
      </c>
      <c r="U176" s="13">
        <v>45674</v>
      </c>
      <c r="V176" s="9" t="s">
        <v>47</v>
      </c>
      <c r="W176" s="9">
        <v>22497991</v>
      </c>
      <c r="X176" s="9">
        <v>1210929</v>
      </c>
      <c r="Y176" s="9">
        <v>68690934</v>
      </c>
      <c r="Z176" s="9" t="s">
        <v>39</v>
      </c>
      <c r="AA176" s="9">
        <v>19012025</v>
      </c>
      <c r="AB176" s="9">
        <v>77381</v>
      </c>
      <c r="AC176" s="9" t="s">
        <v>41</v>
      </c>
      <c r="AD176" s="9" t="s">
        <v>132</v>
      </c>
      <c r="AE176" s="9" t="s">
        <v>133</v>
      </c>
      <c r="AF176" s="9" t="s">
        <v>133</v>
      </c>
      <c r="AG176" s="14" t="str">
        <f t="shared" si="6"/>
        <v>EXAMENES DE LABORATORIO</v>
      </c>
      <c r="AH176" s="9" t="s">
        <v>758</v>
      </c>
      <c r="AI176" s="9">
        <v>0</v>
      </c>
      <c r="AJ176" s="9">
        <v>96942400</v>
      </c>
      <c r="AK176" s="9">
        <v>2</v>
      </c>
      <c r="AL176" s="26" t="s">
        <v>69</v>
      </c>
      <c r="AM176" s="14" t="s">
        <v>549</v>
      </c>
      <c r="AN176" s="27" t="str">
        <f t="shared" si="7"/>
        <v>19747908|96942400|135727078|135727078</v>
      </c>
      <c r="AO176" t="s">
        <v>758</v>
      </c>
      <c r="AP176" t="b">
        <v>1</v>
      </c>
      <c r="AQ176" t="s">
        <v>764</v>
      </c>
    </row>
    <row r="177" spans="1:43" x14ac:dyDescent="0.2">
      <c r="A177" s="14" t="s">
        <v>500</v>
      </c>
      <c r="B177" s="17">
        <v>19747908</v>
      </c>
      <c r="C177" s="14" t="s">
        <v>202</v>
      </c>
      <c r="D177" s="9">
        <v>19747908</v>
      </c>
      <c r="E177" s="9" t="s">
        <v>202</v>
      </c>
      <c r="F177" s="7">
        <v>45717</v>
      </c>
      <c r="G177" s="20" t="s">
        <v>46</v>
      </c>
      <c r="H177" s="8">
        <v>135727078</v>
      </c>
      <c r="I177" s="19">
        <v>65384495</v>
      </c>
      <c r="J177" s="10">
        <v>768</v>
      </c>
      <c r="K177" s="10">
        <v>0</v>
      </c>
      <c r="L177" s="10">
        <v>768</v>
      </c>
      <c r="M177" s="10">
        <v>0</v>
      </c>
      <c r="N177" s="11">
        <v>768</v>
      </c>
      <c r="O177" s="12">
        <v>135727078</v>
      </c>
      <c r="P177" s="9">
        <v>285123</v>
      </c>
      <c r="Q177" s="9" t="s">
        <v>37</v>
      </c>
      <c r="R177" s="13">
        <v>45717</v>
      </c>
      <c r="S177" s="22">
        <v>45742</v>
      </c>
      <c r="T177" s="13">
        <v>45674</v>
      </c>
      <c r="U177" s="13">
        <v>45674</v>
      </c>
      <c r="V177" s="9" t="s">
        <v>47</v>
      </c>
      <c r="W177" s="9">
        <v>22770377</v>
      </c>
      <c r="X177" s="9">
        <v>3311105</v>
      </c>
      <c r="Y177" s="9">
        <v>69251361</v>
      </c>
      <c r="Z177" s="9" t="s">
        <v>39</v>
      </c>
      <c r="AA177" s="9">
        <v>989772832</v>
      </c>
      <c r="AB177" s="9">
        <v>78070</v>
      </c>
      <c r="AC177" s="9" t="s">
        <v>41</v>
      </c>
      <c r="AD177" s="9" t="s">
        <v>132</v>
      </c>
      <c r="AE177" s="9" t="s">
        <v>133</v>
      </c>
      <c r="AF177" s="9" t="s">
        <v>133</v>
      </c>
      <c r="AG177" s="14" t="str">
        <f t="shared" si="6"/>
        <v>EXAMENES DE LABORATORIO</v>
      </c>
      <c r="AH177" s="9">
        <v>0</v>
      </c>
      <c r="AI177" s="9">
        <v>0</v>
      </c>
      <c r="AJ177" s="9">
        <v>96942400</v>
      </c>
      <c r="AK177" s="9">
        <v>2</v>
      </c>
      <c r="AL177" s="26" t="s">
        <v>52</v>
      </c>
      <c r="AM177" s="14" t="s">
        <v>549</v>
      </c>
      <c r="AN177" s="27" t="str">
        <f t="shared" si="7"/>
        <v>19747908|96942400|135727078|65384495</v>
      </c>
      <c r="AO177" t="s">
        <v>44</v>
      </c>
      <c r="AP177" t="b">
        <v>0</v>
      </c>
      <c r="AQ177" t="s">
        <v>763</v>
      </c>
    </row>
    <row r="178" spans="1:43" x14ac:dyDescent="0.2">
      <c r="A178" s="14" t="s">
        <v>500</v>
      </c>
      <c r="B178" s="17">
        <v>19747908</v>
      </c>
      <c r="C178" s="14" t="s">
        <v>202</v>
      </c>
      <c r="D178" s="9">
        <v>19747908</v>
      </c>
      <c r="E178" s="9" t="s">
        <v>202</v>
      </c>
      <c r="F178" s="7">
        <v>45658</v>
      </c>
      <c r="G178" s="20" t="s">
        <v>36</v>
      </c>
      <c r="H178" s="8">
        <v>135727258</v>
      </c>
      <c r="I178" s="19">
        <v>135727258</v>
      </c>
      <c r="J178" s="10">
        <v>5730</v>
      </c>
      <c r="K178" s="10">
        <v>4584</v>
      </c>
      <c r="L178" s="10">
        <v>1146</v>
      </c>
      <c r="M178" s="10">
        <v>0</v>
      </c>
      <c r="N178" s="11">
        <v>1146</v>
      </c>
      <c r="O178" s="12">
        <v>135727258</v>
      </c>
      <c r="P178" s="9">
        <v>285123</v>
      </c>
      <c r="Q178" s="9" t="s">
        <v>37</v>
      </c>
      <c r="R178" s="13">
        <v>45674</v>
      </c>
      <c r="S178" s="22">
        <v>45674</v>
      </c>
      <c r="T178" s="13">
        <v>45674</v>
      </c>
      <c r="U178" s="13">
        <v>45674</v>
      </c>
      <c r="V178" s="9" t="s">
        <v>47</v>
      </c>
      <c r="W178" s="9">
        <v>22497991</v>
      </c>
      <c r="X178" s="9">
        <v>1210929</v>
      </c>
      <c r="Y178" s="9">
        <v>68690946</v>
      </c>
      <c r="Z178" s="9" t="s">
        <v>39</v>
      </c>
      <c r="AA178" s="9">
        <v>19012025</v>
      </c>
      <c r="AB178" s="9">
        <v>77381</v>
      </c>
      <c r="AC178" s="9" t="s">
        <v>41</v>
      </c>
      <c r="AD178" s="9" t="s">
        <v>132</v>
      </c>
      <c r="AE178" s="9" t="s">
        <v>133</v>
      </c>
      <c r="AF178" s="9" t="s">
        <v>133</v>
      </c>
      <c r="AG178" s="14" t="str">
        <f t="shared" si="6"/>
        <v>EXAMENES DE LABORATORIO</v>
      </c>
      <c r="AH178" s="9" t="s">
        <v>758</v>
      </c>
      <c r="AI178" s="9">
        <v>0</v>
      </c>
      <c r="AJ178" s="9">
        <v>96942400</v>
      </c>
      <c r="AK178" s="9">
        <v>2</v>
      </c>
      <c r="AL178" s="26" t="s">
        <v>69</v>
      </c>
      <c r="AM178" s="14" t="s">
        <v>549</v>
      </c>
      <c r="AN178" s="27" t="str">
        <f t="shared" si="7"/>
        <v>19747908|96942400|135727258|135727258</v>
      </c>
      <c r="AO178" t="s">
        <v>758</v>
      </c>
      <c r="AP178" t="b">
        <v>1</v>
      </c>
      <c r="AQ178" t="s">
        <v>764</v>
      </c>
    </row>
    <row r="179" spans="1:43" x14ac:dyDescent="0.2">
      <c r="A179" s="14" t="s">
        <v>500</v>
      </c>
      <c r="B179" s="17">
        <v>19747908</v>
      </c>
      <c r="C179" s="14" t="s">
        <v>202</v>
      </c>
      <c r="D179" s="9">
        <v>19747908</v>
      </c>
      <c r="E179" s="9" t="s">
        <v>202</v>
      </c>
      <c r="F179" s="7">
        <v>45717</v>
      </c>
      <c r="G179" s="20" t="s">
        <v>46</v>
      </c>
      <c r="H179" s="8">
        <v>135727258</v>
      </c>
      <c r="I179" s="19">
        <v>65384496</v>
      </c>
      <c r="J179" s="10">
        <v>1152</v>
      </c>
      <c r="K179" s="10">
        <v>0</v>
      </c>
      <c r="L179" s="10">
        <v>1152</v>
      </c>
      <c r="M179" s="10">
        <v>0</v>
      </c>
      <c r="N179" s="11">
        <v>1152</v>
      </c>
      <c r="O179" s="12">
        <v>135727258</v>
      </c>
      <c r="P179" s="9">
        <v>285123</v>
      </c>
      <c r="Q179" s="9" t="s">
        <v>37</v>
      </c>
      <c r="R179" s="13">
        <v>45717</v>
      </c>
      <c r="S179" s="22">
        <v>45742</v>
      </c>
      <c r="T179" s="13">
        <v>45674</v>
      </c>
      <c r="U179" s="13">
        <v>45674</v>
      </c>
      <c r="V179" s="9" t="s">
        <v>47</v>
      </c>
      <c r="W179" s="9">
        <v>22770377</v>
      </c>
      <c r="X179" s="9">
        <v>3311105</v>
      </c>
      <c r="Y179" s="9">
        <v>69251362</v>
      </c>
      <c r="Z179" s="9" t="s">
        <v>39</v>
      </c>
      <c r="AA179" s="9">
        <v>989772832</v>
      </c>
      <c r="AB179" s="9">
        <v>78070</v>
      </c>
      <c r="AC179" s="9" t="s">
        <v>41</v>
      </c>
      <c r="AD179" s="9" t="s">
        <v>132</v>
      </c>
      <c r="AE179" s="9" t="s">
        <v>133</v>
      </c>
      <c r="AF179" s="9" t="s">
        <v>133</v>
      </c>
      <c r="AG179" s="14" t="str">
        <f t="shared" si="6"/>
        <v>EXAMENES DE LABORATORIO</v>
      </c>
      <c r="AH179" s="9">
        <v>0</v>
      </c>
      <c r="AI179" s="9">
        <v>0</v>
      </c>
      <c r="AJ179" s="9">
        <v>96942400</v>
      </c>
      <c r="AK179" s="9">
        <v>2</v>
      </c>
      <c r="AL179" s="26" t="s">
        <v>52</v>
      </c>
      <c r="AM179" s="14" t="s">
        <v>549</v>
      </c>
      <c r="AN179" s="27" t="str">
        <f t="shared" si="7"/>
        <v>19747908|96942400|135727258|65384496</v>
      </c>
      <c r="AO179" t="s">
        <v>44</v>
      </c>
      <c r="AP179" t="b">
        <v>0</v>
      </c>
      <c r="AQ179" t="s">
        <v>763</v>
      </c>
    </row>
    <row r="180" spans="1:43" x14ac:dyDescent="0.2">
      <c r="A180" s="14" t="s">
        <v>500</v>
      </c>
      <c r="B180" s="17">
        <v>13828290</v>
      </c>
      <c r="C180" s="14" t="s">
        <v>203</v>
      </c>
      <c r="D180" s="9">
        <v>13828290</v>
      </c>
      <c r="E180" s="9" t="s">
        <v>203</v>
      </c>
      <c r="F180" s="7">
        <v>45658</v>
      </c>
      <c r="G180" s="20" t="s">
        <v>36</v>
      </c>
      <c r="H180" s="8">
        <v>135751800</v>
      </c>
      <c r="I180" s="19">
        <v>135751800</v>
      </c>
      <c r="J180" s="10">
        <v>305024</v>
      </c>
      <c r="K180" s="10">
        <v>94895</v>
      </c>
      <c r="L180" s="10">
        <v>210129</v>
      </c>
      <c r="M180" s="10">
        <v>0</v>
      </c>
      <c r="N180" s="11">
        <v>210129</v>
      </c>
      <c r="O180" s="12">
        <v>135751800</v>
      </c>
      <c r="P180" s="9">
        <v>285123</v>
      </c>
      <c r="Q180" s="9" t="s">
        <v>37</v>
      </c>
      <c r="R180" s="13">
        <v>45674</v>
      </c>
      <c r="S180" s="22">
        <v>45674</v>
      </c>
      <c r="T180" s="13">
        <v>45674</v>
      </c>
      <c r="U180" s="13">
        <v>45674</v>
      </c>
      <c r="V180" s="9" t="s">
        <v>47</v>
      </c>
      <c r="W180" s="9">
        <v>22497973</v>
      </c>
      <c r="X180" s="9">
        <v>1210929</v>
      </c>
      <c r="Y180" s="9">
        <v>68691589</v>
      </c>
      <c r="Z180" s="9" t="s">
        <v>39</v>
      </c>
      <c r="AA180" s="9">
        <v>19012025</v>
      </c>
      <c r="AB180" s="9">
        <v>77381</v>
      </c>
      <c r="AC180" s="9" t="s">
        <v>41</v>
      </c>
      <c r="AD180" s="9" t="s">
        <v>134</v>
      </c>
      <c r="AE180" s="9" t="s">
        <v>135</v>
      </c>
      <c r="AF180" s="9" t="s">
        <v>135</v>
      </c>
      <c r="AG180" s="14" t="str">
        <f t="shared" si="6"/>
        <v>EXAMENES RADIOLOGICOS</v>
      </c>
      <c r="AH180" s="9" t="s">
        <v>758</v>
      </c>
      <c r="AI180" s="9">
        <v>0</v>
      </c>
      <c r="AJ180" s="9">
        <v>76436880</v>
      </c>
      <c r="AK180" s="9">
        <v>0</v>
      </c>
      <c r="AL180" s="26" t="s">
        <v>69</v>
      </c>
      <c r="AM180" s="14" t="s">
        <v>550</v>
      </c>
      <c r="AN180" s="27" t="str">
        <f t="shared" si="7"/>
        <v>13828290|76436880|135751800|135751800</v>
      </c>
      <c r="AO180" t="s">
        <v>758</v>
      </c>
      <c r="AP180" t="b">
        <v>1</v>
      </c>
      <c r="AQ180" t="s">
        <v>764</v>
      </c>
    </row>
    <row r="181" spans="1:43" x14ac:dyDescent="0.2">
      <c r="A181" s="14" t="s">
        <v>500</v>
      </c>
      <c r="B181" s="17">
        <v>13828290</v>
      </c>
      <c r="C181" s="14" t="s">
        <v>203</v>
      </c>
      <c r="D181" s="9">
        <v>13828290</v>
      </c>
      <c r="E181" s="9" t="s">
        <v>203</v>
      </c>
      <c r="F181" s="7">
        <v>45717</v>
      </c>
      <c r="G181" s="20" t="s">
        <v>46</v>
      </c>
      <c r="H181" s="8">
        <v>135751800</v>
      </c>
      <c r="I181" s="19">
        <v>65384136</v>
      </c>
      <c r="J181" s="10">
        <v>181338</v>
      </c>
      <c r="K181" s="10">
        <v>0</v>
      </c>
      <c r="L181" s="10">
        <v>181338</v>
      </c>
      <c r="M181" s="10">
        <v>0</v>
      </c>
      <c r="N181" s="11">
        <v>126783</v>
      </c>
      <c r="O181" s="12">
        <v>135751800</v>
      </c>
      <c r="P181" s="9">
        <v>285123</v>
      </c>
      <c r="Q181" s="9" t="s">
        <v>37</v>
      </c>
      <c r="R181" s="13">
        <v>45717</v>
      </c>
      <c r="S181" s="22">
        <v>45742</v>
      </c>
      <c r="T181" s="13">
        <v>45674</v>
      </c>
      <c r="U181" s="13">
        <v>45674</v>
      </c>
      <c r="V181" s="9" t="s">
        <v>47</v>
      </c>
      <c r="W181" s="9">
        <v>22770372</v>
      </c>
      <c r="X181" s="9">
        <v>3311105</v>
      </c>
      <c r="Y181" s="9">
        <v>69251016</v>
      </c>
      <c r="Z181" s="9" t="s">
        <v>39</v>
      </c>
      <c r="AA181" s="9">
        <v>202020074</v>
      </c>
      <c r="AB181" s="9">
        <v>78070</v>
      </c>
      <c r="AC181" s="9" t="s">
        <v>41</v>
      </c>
      <c r="AD181" s="9" t="s">
        <v>134</v>
      </c>
      <c r="AE181" s="9" t="s">
        <v>135</v>
      </c>
      <c r="AF181" s="9" t="s">
        <v>135</v>
      </c>
      <c r="AG181" s="14" t="str">
        <f t="shared" ref="AG181:AG244" si="8">+AF181</f>
        <v>EXAMENES RADIOLOGICOS</v>
      </c>
      <c r="AH181" s="9">
        <v>0</v>
      </c>
      <c r="AI181" s="9">
        <v>0</v>
      </c>
      <c r="AJ181" s="9">
        <v>76436880</v>
      </c>
      <c r="AK181" s="9">
        <v>0</v>
      </c>
      <c r="AL181" s="26" t="s">
        <v>52</v>
      </c>
      <c r="AM181" s="14" t="s">
        <v>550</v>
      </c>
      <c r="AN181" s="27" t="str">
        <f t="shared" si="7"/>
        <v>13828290|76436880|135751800|65384136</v>
      </c>
      <c r="AO181" t="s">
        <v>44</v>
      </c>
      <c r="AP181" t="b">
        <v>0</v>
      </c>
      <c r="AQ181" t="s">
        <v>763</v>
      </c>
    </row>
    <row r="182" spans="1:43" x14ac:dyDescent="0.2">
      <c r="A182" s="14" t="s">
        <v>500</v>
      </c>
      <c r="B182" s="17">
        <v>19235091</v>
      </c>
      <c r="C182" s="14" t="s">
        <v>74</v>
      </c>
      <c r="D182" s="9">
        <v>19235091</v>
      </c>
      <c r="E182" s="9" t="s">
        <v>74</v>
      </c>
      <c r="F182" s="7">
        <v>45658</v>
      </c>
      <c r="G182" s="20" t="s">
        <v>36</v>
      </c>
      <c r="H182" s="8">
        <v>135770057</v>
      </c>
      <c r="I182" s="19">
        <v>135770057</v>
      </c>
      <c r="J182" s="10">
        <v>40940</v>
      </c>
      <c r="K182" s="10">
        <v>28658</v>
      </c>
      <c r="L182" s="10">
        <v>12282</v>
      </c>
      <c r="M182" s="10">
        <v>0</v>
      </c>
      <c r="N182" s="11">
        <v>12282</v>
      </c>
      <c r="O182" s="12">
        <v>135770057</v>
      </c>
      <c r="P182" s="9">
        <v>285123</v>
      </c>
      <c r="Q182" s="9" t="s">
        <v>37</v>
      </c>
      <c r="R182" s="13">
        <v>45677</v>
      </c>
      <c r="S182" s="22">
        <v>45677</v>
      </c>
      <c r="T182" s="13">
        <v>45677</v>
      </c>
      <c r="U182" s="13">
        <v>45677</v>
      </c>
      <c r="V182" s="9" t="s">
        <v>47</v>
      </c>
      <c r="W182" s="9">
        <v>22524626</v>
      </c>
      <c r="X182" s="9">
        <v>1271320</v>
      </c>
      <c r="Y182" s="9">
        <v>68705788</v>
      </c>
      <c r="Z182" s="9" t="s">
        <v>39</v>
      </c>
      <c r="AA182" s="9">
        <v>26012025</v>
      </c>
      <c r="AB182" s="9">
        <v>77442</v>
      </c>
      <c r="AC182" s="9" t="s">
        <v>41</v>
      </c>
      <c r="AD182" s="9" t="s">
        <v>132</v>
      </c>
      <c r="AE182" s="9" t="s">
        <v>133</v>
      </c>
      <c r="AF182" s="9" t="s">
        <v>133</v>
      </c>
      <c r="AG182" s="14" t="str">
        <f t="shared" si="8"/>
        <v>EXAMENES DE LABORATORIO</v>
      </c>
      <c r="AH182" s="9" t="s">
        <v>758</v>
      </c>
      <c r="AI182" s="9">
        <v>0</v>
      </c>
      <c r="AJ182" s="9">
        <v>96942400</v>
      </c>
      <c r="AK182" s="9">
        <v>2</v>
      </c>
      <c r="AL182" s="26" t="s">
        <v>69</v>
      </c>
      <c r="AM182" s="14" t="s">
        <v>510</v>
      </c>
      <c r="AN182" s="27" t="str">
        <f t="shared" si="7"/>
        <v>19235091|96942400|135770057|135770057</v>
      </c>
      <c r="AO182" t="s">
        <v>758</v>
      </c>
      <c r="AP182" t="b">
        <v>1</v>
      </c>
      <c r="AQ182" t="s">
        <v>764</v>
      </c>
    </row>
    <row r="183" spans="1:43" x14ac:dyDescent="0.2">
      <c r="A183" s="14" t="s">
        <v>500</v>
      </c>
      <c r="B183" s="17">
        <v>19235091</v>
      </c>
      <c r="C183" s="14" t="s">
        <v>74</v>
      </c>
      <c r="D183" s="9">
        <v>19235091</v>
      </c>
      <c r="E183" s="9" t="s">
        <v>74</v>
      </c>
      <c r="F183" s="7">
        <v>45717</v>
      </c>
      <c r="G183" s="20" t="s">
        <v>46</v>
      </c>
      <c r="H183" s="8">
        <v>135770057</v>
      </c>
      <c r="I183" s="19">
        <v>65384480</v>
      </c>
      <c r="J183" s="10">
        <v>12289</v>
      </c>
      <c r="K183" s="10">
        <v>0</v>
      </c>
      <c r="L183" s="10">
        <v>12289</v>
      </c>
      <c r="M183" s="10">
        <v>0</v>
      </c>
      <c r="N183" s="11">
        <v>12289</v>
      </c>
      <c r="O183" s="12">
        <v>135770057</v>
      </c>
      <c r="P183" s="9">
        <v>285123</v>
      </c>
      <c r="Q183" s="9" t="s">
        <v>37</v>
      </c>
      <c r="R183" s="13">
        <v>45717</v>
      </c>
      <c r="S183" s="22">
        <v>45742</v>
      </c>
      <c r="T183" s="13">
        <v>45677</v>
      </c>
      <c r="U183" s="13">
        <v>45677</v>
      </c>
      <c r="V183" s="9" t="s">
        <v>47</v>
      </c>
      <c r="W183" s="9">
        <v>22770390</v>
      </c>
      <c r="X183" s="9">
        <v>3311105</v>
      </c>
      <c r="Y183" s="9">
        <v>69251346</v>
      </c>
      <c r="Z183" s="9" t="s">
        <v>39</v>
      </c>
      <c r="AA183" s="9">
        <v>8011312806</v>
      </c>
      <c r="AB183" s="9">
        <v>78070</v>
      </c>
      <c r="AC183" s="9" t="s">
        <v>41</v>
      </c>
      <c r="AD183" s="9" t="s">
        <v>132</v>
      </c>
      <c r="AE183" s="9" t="s">
        <v>133</v>
      </c>
      <c r="AF183" s="9" t="s">
        <v>133</v>
      </c>
      <c r="AG183" s="14" t="str">
        <f t="shared" si="8"/>
        <v>EXAMENES DE LABORATORIO</v>
      </c>
      <c r="AH183" s="9">
        <v>0</v>
      </c>
      <c r="AI183" s="9">
        <v>0</v>
      </c>
      <c r="AJ183" s="9">
        <v>96942400</v>
      </c>
      <c r="AK183" s="9">
        <v>2</v>
      </c>
      <c r="AL183" s="26" t="s">
        <v>52</v>
      </c>
      <c r="AM183" s="14" t="s">
        <v>510</v>
      </c>
      <c r="AN183" s="27" t="str">
        <f t="shared" si="7"/>
        <v>19235091|96942400|135770057|65384480</v>
      </c>
      <c r="AO183" t="s">
        <v>44</v>
      </c>
      <c r="AP183" t="b">
        <v>0</v>
      </c>
      <c r="AQ183" t="s">
        <v>763</v>
      </c>
    </row>
    <row r="184" spans="1:43" x14ac:dyDescent="0.2">
      <c r="A184" s="14" t="s">
        <v>500</v>
      </c>
      <c r="B184" s="17">
        <v>19235091</v>
      </c>
      <c r="C184" s="14" t="s">
        <v>74</v>
      </c>
      <c r="D184" s="9">
        <v>19235091</v>
      </c>
      <c r="E184" s="9" t="s">
        <v>74</v>
      </c>
      <c r="F184" s="7">
        <v>45658</v>
      </c>
      <c r="G184" s="20" t="s">
        <v>36</v>
      </c>
      <c r="H184" s="8">
        <v>135770058</v>
      </c>
      <c r="I184" s="19">
        <v>135770058</v>
      </c>
      <c r="J184" s="10">
        <v>49750</v>
      </c>
      <c r="K184" s="10">
        <v>34825</v>
      </c>
      <c r="L184" s="10">
        <v>14925</v>
      </c>
      <c r="M184" s="10">
        <v>0</v>
      </c>
      <c r="N184" s="11">
        <v>14925</v>
      </c>
      <c r="O184" s="12">
        <v>135770058</v>
      </c>
      <c r="P184" s="9">
        <v>285123</v>
      </c>
      <c r="Q184" s="9" t="s">
        <v>37</v>
      </c>
      <c r="R184" s="13">
        <v>45677</v>
      </c>
      <c r="S184" s="22">
        <v>45677</v>
      </c>
      <c r="T184" s="13">
        <v>45677</v>
      </c>
      <c r="U184" s="13">
        <v>45677</v>
      </c>
      <c r="V184" s="9" t="s">
        <v>47</v>
      </c>
      <c r="W184" s="9">
        <v>22524626</v>
      </c>
      <c r="X184" s="9">
        <v>1271320</v>
      </c>
      <c r="Y184" s="9">
        <v>68705787</v>
      </c>
      <c r="Z184" s="9" t="s">
        <v>39</v>
      </c>
      <c r="AA184" s="9">
        <v>26012025</v>
      </c>
      <c r="AB184" s="9">
        <v>77442</v>
      </c>
      <c r="AC184" s="9" t="s">
        <v>41</v>
      </c>
      <c r="AD184" s="9" t="s">
        <v>132</v>
      </c>
      <c r="AE184" s="9" t="s">
        <v>133</v>
      </c>
      <c r="AF184" s="9" t="s">
        <v>133</v>
      </c>
      <c r="AG184" s="14" t="str">
        <f t="shared" si="8"/>
        <v>EXAMENES DE LABORATORIO</v>
      </c>
      <c r="AH184" s="9" t="s">
        <v>758</v>
      </c>
      <c r="AI184" s="9">
        <v>0</v>
      </c>
      <c r="AJ184" s="9">
        <v>96942400</v>
      </c>
      <c r="AK184" s="9">
        <v>2</v>
      </c>
      <c r="AL184" s="26" t="s">
        <v>69</v>
      </c>
      <c r="AM184" s="14" t="s">
        <v>510</v>
      </c>
      <c r="AN184" s="27" t="str">
        <f t="shared" si="7"/>
        <v>19235091|96942400|135770058|135770058</v>
      </c>
      <c r="AO184" t="s">
        <v>758</v>
      </c>
      <c r="AP184" t="b">
        <v>1</v>
      </c>
      <c r="AQ184" t="s">
        <v>764</v>
      </c>
    </row>
    <row r="185" spans="1:43" x14ac:dyDescent="0.2">
      <c r="A185" s="14" t="s">
        <v>500</v>
      </c>
      <c r="B185" s="17">
        <v>19235091</v>
      </c>
      <c r="C185" s="14" t="s">
        <v>74</v>
      </c>
      <c r="D185" s="9">
        <v>19235091</v>
      </c>
      <c r="E185" s="9" t="s">
        <v>74</v>
      </c>
      <c r="F185" s="7">
        <v>45717</v>
      </c>
      <c r="G185" s="20" t="s">
        <v>46</v>
      </c>
      <c r="H185" s="8">
        <v>135770058</v>
      </c>
      <c r="I185" s="19">
        <v>65384481</v>
      </c>
      <c r="J185" s="10">
        <v>14595</v>
      </c>
      <c r="K185" s="10">
        <v>0</v>
      </c>
      <c r="L185" s="10">
        <v>14595</v>
      </c>
      <c r="M185" s="10">
        <v>0</v>
      </c>
      <c r="N185" s="11">
        <v>14595</v>
      </c>
      <c r="O185" s="12">
        <v>135770058</v>
      </c>
      <c r="P185" s="9">
        <v>285123</v>
      </c>
      <c r="Q185" s="9" t="s">
        <v>37</v>
      </c>
      <c r="R185" s="13">
        <v>45717</v>
      </c>
      <c r="S185" s="22">
        <v>45742</v>
      </c>
      <c r="T185" s="13">
        <v>45677</v>
      </c>
      <c r="U185" s="13">
        <v>45677</v>
      </c>
      <c r="V185" s="9" t="s">
        <v>47</v>
      </c>
      <c r="W185" s="9">
        <v>22770390</v>
      </c>
      <c r="X185" s="9">
        <v>3311105</v>
      </c>
      <c r="Y185" s="9">
        <v>69251347</v>
      </c>
      <c r="Z185" s="9" t="s">
        <v>39</v>
      </c>
      <c r="AA185" s="9">
        <v>8011312806</v>
      </c>
      <c r="AB185" s="9">
        <v>78070</v>
      </c>
      <c r="AC185" s="9" t="s">
        <v>41</v>
      </c>
      <c r="AD185" s="9" t="s">
        <v>132</v>
      </c>
      <c r="AE185" s="9" t="s">
        <v>133</v>
      </c>
      <c r="AF185" s="9" t="s">
        <v>133</v>
      </c>
      <c r="AG185" s="14" t="str">
        <f t="shared" si="8"/>
        <v>EXAMENES DE LABORATORIO</v>
      </c>
      <c r="AH185" s="9">
        <v>0</v>
      </c>
      <c r="AI185" s="9">
        <v>0</v>
      </c>
      <c r="AJ185" s="9">
        <v>96942400</v>
      </c>
      <c r="AK185" s="9">
        <v>2</v>
      </c>
      <c r="AL185" s="26" t="s">
        <v>52</v>
      </c>
      <c r="AM185" s="14" t="s">
        <v>510</v>
      </c>
      <c r="AN185" s="27" t="str">
        <f t="shared" si="7"/>
        <v>19235091|96942400|135770058|65384481</v>
      </c>
      <c r="AO185" t="s">
        <v>44</v>
      </c>
      <c r="AP185" t="b">
        <v>0</v>
      </c>
      <c r="AQ185" t="s">
        <v>763</v>
      </c>
    </row>
    <row r="186" spans="1:43" x14ac:dyDescent="0.2">
      <c r="A186" s="14" t="s">
        <v>500</v>
      </c>
      <c r="B186" s="17">
        <v>19235091</v>
      </c>
      <c r="C186" s="14" t="s">
        <v>74</v>
      </c>
      <c r="D186" s="9">
        <v>19235091</v>
      </c>
      <c r="E186" s="9" t="s">
        <v>74</v>
      </c>
      <c r="F186" s="7">
        <v>45658</v>
      </c>
      <c r="G186" s="20" t="s">
        <v>36</v>
      </c>
      <c r="H186" s="8">
        <v>135770059</v>
      </c>
      <c r="I186" s="19">
        <v>135770059</v>
      </c>
      <c r="J186" s="10">
        <v>32970</v>
      </c>
      <c r="K186" s="10">
        <v>23079</v>
      </c>
      <c r="L186" s="10">
        <v>9891</v>
      </c>
      <c r="M186" s="10">
        <v>0</v>
      </c>
      <c r="N186" s="11">
        <v>9891</v>
      </c>
      <c r="O186" s="12">
        <v>135770059</v>
      </c>
      <c r="P186" s="9">
        <v>285123</v>
      </c>
      <c r="Q186" s="9" t="s">
        <v>37</v>
      </c>
      <c r="R186" s="13">
        <v>45677</v>
      </c>
      <c r="S186" s="22">
        <v>45677</v>
      </c>
      <c r="T186" s="13">
        <v>45677</v>
      </c>
      <c r="U186" s="13">
        <v>45677</v>
      </c>
      <c r="V186" s="9" t="s">
        <v>47</v>
      </c>
      <c r="W186" s="9">
        <v>22524626</v>
      </c>
      <c r="X186" s="9">
        <v>1271320</v>
      </c>
      <c r="Y186" s="9">
        <v>68705786</v>
      </c>
      <c r="Z186" s="9" t="s">
        <v>39</v>
      </c>
      <c r="AA186" s="9">
        <v>26012025</v>
      </c>
      <c r="AB186" s="9">
        <v>77442</v>
      </c>
      <c r="AC186" s="9" t="s">
        <v>41</v>
      </c>
      <c r="AD186" s="9" t="s">
        <v>132</v>
      </c>
      <c r="AE186" s="9" t="s">
        <v>133</v>
      </c>
      <c r="AF186" s="9" t="s">
        <v>133</v>
      </c>
      <c r="AG186" s="14" t="str">
        <f t="shared" si="8"/>
        <v>EXAMENES DE LABORATORIO</v>
      </c>
      <c r="AH186" s="9" t="s">
        <v>758</v>
      </c>
      <c r="AI186" s="9">
        <v>0</v>
      </c>
      <c r="AJ186" s="9">
        <v>96942400</v>
      </c>
      <c r="AK186" s="9">
        <v>2</v>
      </c>
      <c r="AL186" s="26" t="s">
        <v>69</v>
      </c>
      <c r="AM186" s="14" t="s">
        <v>510</v>
      </c>
      <c r="AN186" s="27" t="str">
        <f t="shared" si="7"/>
        <v>19235091|96942400|135770059|135770059</v>
      </c>
      <c r="AO186" t="s">
        <v>758</v>
      </c>
      <c r="AP186" t="b">
        <v>1</v>
      </c>
      <c r="AQ186" t="s">
        <v>764</v>
      </c>
    </row>
    <row r="187" spans="1:43" x14ac:dyDescent="0.2">
      <c r="A187" s="14" t="s">
        <v>500</v>
      </c>
      <c r="B187" s="17">
        <v>19235091</v>
      </c>
      <c r="C187" s="14" t="s">
        <v>74</v>
      </c>
      <c r="D187" s="9">
        <v>19235091</v>
      </c>
      <c r="E187" s="9" t="s">
        <v>74</v>
      </c>
      <c r="F187" s="7">
        <v>45717</v>
      </c>
      <c r="G187" s="20" t="s">
        <v>46</v>
      </c>
      <c r="H187" s="8">
        <v>135770059</v>
      </c>
      <c r="I187" s="19">
        <v>65384482</v>
      </c>
      <c r="J187" s="10">
        <v>9985</v>
      </c>
      <c r="K187" s="10">
        <v>0</v>
      </c>
      <c r="L187" s="10">
        <v>9985</v>
      </c>
      <c r="M187" s="10">
        <v>0</v>
      </c>
      <c r="N187" s="11">
        <v>9985</v>
      </c>
      <c r="O187" s="12">
        <v>135770059</v>
      </c>
      <c r="P187" s="9">
        <v>285123</v>
      </c>
      <c r="Q187" s="9" t="s">
        <v>37</v>
      </c>
      <c r="R187" s="13">
        <v>45717</v>
      </c>
      <c r="S187" s="22">
        <v>45742</v>
      </c>
      <c r="T187" s="13">
        <v>45677</v>
      </c>
      <c r="U187" s="13">
        <v>45677</v>
      </c>
      <c r="V187" s="9" t="s">
        <v>47</v>
      </c>
      <c r="W187" s="9">
        <v>22770390</v>
      </c>
      <c r="X187" s="9">
        <v>3311105</v>
      </c>
      <c r="Y187" s="9">
        <v>69251348</v>
      </c>
      <c r="Z187" s="9" t="s">
        <v>39</v>
      </c>
      <c r="AA187" s="9">
        <v>8011312806</v>
      </c>
      <c r="AB187" s="9">
        <v>78070</v>
      </c>
      <c r="AC187" s="9" t="s">
        <v>41</v>
      </c>
      <c r="AD187" s="9" t="s">
        <v>132</v>
      </c>
      <c r="AE187" s="9" t="s">
        <v>133</v>
      </c>
      <c r="AF187" s="9" t="s">
        <v>133</v>
      </c>
      <c r="AG187" s="14" t="str">
        <f t="shared" si="8"/>
        <v>EXAMENES DE LABORATORIO</v>
      </c>
      <c r="AH187" s="9">
        <v>0</v>
      </c>
      <c r="AI187" s="9">
        <v>0</v>
      </c>
      <c r="AJ187" s="9">
        <v>96942400</v>
      </c>
      <c r="AK187" s="9">
        <v>2</v>
      </c>
      <c r="AL187" s="26" t="s">
        <v>52</v>
      </c>
      <c r="AM187" s="14" t="s">
        <v>510</v>
      </c>
      <c r="AN187" s="27" t="str">
        <f t="shared" si="7"/>
        <v>19235091|96942400|135770059|65384482</v>
      </c>
      <c r="AO187" t="s">
        <v>44</v>
      </c>
      <c r="AP187" t="b">
        <v>0</v>
      </c>
      <c r="AQ187" t="s">
        <v>763</v>
      </c>
    </row>
    <row r="188" spans="1:43" x14ac:dyDescent="0.2">
      <c r="A188" s="14" t="s">
        <v>500</v>
      </c>
      <c r="B188" s="17">
        <v>19235091</v>
      </c>
      <c r="C188" s="14" t="s">
        <v>74</v>
      </c>
      <c r="D188" s="9">
        <v>19235091</v>
      </c>
      <c r="E188" s="9" t="s">
        <v>74</v>
      </c>
      <c r="F188" s="7">
        <v>45658</v>
      </c>
      <c r="G188" s="20" t="s">
        <v>36</v>
      </c>
      <c r="H188" s="8">
        <v>135770112</v>
      </c>
      <c r="I188" s="19">
        <v>135770112</v>
      </c>
      <c r="J188" s="10">
        <v>11500</v>
      </c>
      <c r="K188" s="10">
        <v>8050</v>
      </c>
      <c r="L188" s="10">
        <v>3450</v>
      </c>
      <c r="M188" s="10">
        <v>0</v>
      </c>
      <c r="N188" s="11">
        <v>3450</v>
      </c>
      <c r="O188" s="12">
        <v>135770112</v>
      </c>
      <c r="P188" s="9">
        <v>285123</v>
      </c>
      <c r="Q188" s="9" t="s">
        <v>37</v>
      </c>
      <c r="R188" s="13">
        <v>45677</v>
      </c>
      <c r="S188" s="22">
        <v>45677</v>
      </c>
      <c r="T188" s="13">
        <v>45677</v>
      </c>
      <c r="U188" s="13">
        <v>45677</v>
      </c>
      <c r="V188" s="9" t="s">
        <v>47</v>
      </c>
      <c r="W188" s="9">
        <v>22524626</v>
      </c>
      <c r="X188" s="9">
        <v>1271320</v>
      </c>
      <c r="Y188" s="9">
        <v>68705790</v>
      </c>
      <c r="Z188" s="9" t="s">
        <v>39</v>
      </c>
      <c r="AA188" s="9">
        <v>26012025</v>
      </c>
      <c r="AB188" s="9">
        <v>77442</v>
      </c>
      <c r="AC188" s="9" t="s">
        <v>41</v>
      </c>
      <c r="AD188" s="9" t="s">
        <v>65</v>
      </c>
      <c r="AE188" s="9" t="s">
        <v>66</v>
      </c>
      <c r="AF188" s="9" t="s">
        <v>66</v>
      </c>
      <c r="AG188" s="14" t="str">
        <f t="shared" si="8"/>
        <v>PROCEDIMIENTOS TERAPEUTICOS</v>
      </c>
      <c r="AH188" s="9" t="s">
        <v>758</v>
      </c>
      <c r="AI188" s="9">
        <v>0</v>
      </c>
      <c r="AJ188" s="9">
        <v>96942400</v>
      </c>
      <c r="AK188" s="9">
        <v>2</v>
      </c>
      <c r="AL188" s="26" t="s">
        <v>69</v>
      </c>
      <c r="AM188" s="14" t="s">
        <v>510</v>
      </c>
      <c r="AN188" s="27" t="str">
        <f t="shared" si="7"/>
        <v>19235091|96942400|135770112|135770112</v>
      </c>
      <c r="AO188" t="s">
        <v>758</v>
      </c>
      <c r="AP188" t="b">
        <v>1</v>
      </c>
      <c r="AQ188" t="s">
        <v>764</v>
      </c>
    </row>
    <row r="189" spans="1:43" x14ac:dyDescent="0.2">
      <c r="A189" s="14" t="s">
        <v>500</v>
      </c>
      <c r="B189" s="17">
        <v>19235091</v>
      </c>
      <c r="C189" s="14" t="s">
        <v>74</v>
      </c>
      <c r="D189" s="9">
        <v>19235091</v>
      </c>
      <c r="E189" s="9" t="s">
        <v>74</v>
      </c>
      <c r="F189" s="7">
        <v>45717</v>
      </c>
      <c r="G189" s="20" t="s">
        <v>46</v>
      </c>
      <c r="H189" s="8">
        <v>135770112</v>
      </c>
      <c r="I189" s="19">
        <v>65384483</v>
      </c>
      <c r="J189" s="10">
        <v>3457</v>
      </c>
      <c r="K189" s="10">
        <v>0</v>
      </c>
      <c r="L189" s="10">
        <v>3457</v>
      </c>
      <c r="M189" s="10">
        <v>0</v>
      </c>
      <c r="N189" s="11">
        <v>3457</v>
      </c>
      <c r="O189" s="12">
        <v>135770112</v>
      </c>
      <c r="P189" s="9">
        <v>285123</v>
      </c>
      <c r="Q189" s="9" t="s">
        <v>37</v>
      </c>
      <c r="R189" s="13">
        <v>45717</v>
      </c>
      <c r="S189" s="22">
        <v>45742</v>
      </c>
      <c r="T189" s="13">
        <v>45677</v>
      </c>
      <c r="U189" s="13">
        <v>45677</v>
      </c>
      <c r="V189" s="9" t="s">
        <v>47</v>
      </c>
      <c r="W189" s="9">
        <v>22770390</v>
      </c>
      <c r="X189" s="9">
        <v>3311105</v>
      </c>
      <c r="Y189" s="9">
        <v>69251349</v>
      </c>
      <c r="Z189" s="9" t="s">
        <v>39</v>
      </c>
      <c r="AA189" s="9">
        <v>8011312806</v>
      </c>
      <c r="AB189" s="9">
        <v>78070</v>
      </c>
      <c r="AC189" s="9" t="s">
        <v>41</v>
      </c>
      <c r="AD189" s="9" t="s">
        <v>65</v>
      </c>
      <c r="AE189" s="9" t="s">
        <v>66</v>
      </c>
      <c r="AF189" s="9" t="s">
        <v>66</v>
      </c>
      <c r="AG189" s="14" t="str">
        <f t="shared" si="8"/>
        <v>PROCEDIMIENTOS TERAPEUTICOS</v>
      </c>
      <c r="AH189" s="9">
        <v>0</v>
      </c>
      <c r="AI189" s="9">
        <v>0</v>
      </c>
      <c r="AJ189" s="9">
        <v>96942400</v>
      </c>
      <c r="AK189" s="9">
        <v>2</v>
      </c>
      <c r="AL189" s="26" t="s">
        <v>52</v>
      </c>
      <c r="AM189" s="14" t="s">
        <v>510</v>
      </c>
      <c r="AN189" s="27" t="str">
        <f t="shared" si="7"/>
        <v>19235091|96942400|135770112|65384483</v>
      </c>
      <c r="AO189" t="s">
        <v>44</v>
      </c>
      <c r="AP189" t="b">
        <v>0</v>
      </c>
      <c r="AQ189" t="s">
        <v>763</v>
      </c>
    </row>
    <row r="190" spans="1:43" x14ac:dyDescent="0.2">
      <c r="A190" s="14" t="s">
        <v>500</v>
      </c>
      <c r="B190" s="17">
        <v>13983202</v>
      </c>
      <c r="C190" s="14" t="s">
        <v>204</v>
      </c>
      <c r="D190" s="9">
        <v>13983202</v>
      </c>
      <c r="E190" s="9" t="s">
        <v>204</v>
      </c>
      <c r="F190" s="7">
        <v>45658</v>
      </c>
      <c r="G190" s="20" t="s">
        <v>36</v>
      </c>
      <c r="H190" s="8">
        <v>135828912</v>
      </c>
      <c r="I190" s="19">
        <v>135828912</v>
      </c>
      <c r="J190" s="10">
        <v>153080</v>
      </c>
      <c r="K190" s="10">
        <v>88519</v>
      </c>
      <c r="L190" s="10">
        <v>64561</v>
      </c>
      <c r="M190" s="10">
        <v>0</v>
      </c>
      <c r="N190" s="11">
        <v>64561</v>
      </c>
      <c r="O190" s="12">
        <v>135828912</v>
      </c>
      <c r="P190" s="9">
        <v>285123</v>
      </c>
      <c r="Q190" s="9" t="s">
        <v>37</v>
      </c>
      <c r="R190" s="13">
        <v>45678</v>
      </c>
      <c r="S190" s="22">
        <v>45678</v>
      </c>
      <c r="T190" s="13">
        <v>45678</v>
      </c>
      <c r="U190" s="13">
        <v>45678</v>
      </c>
      <c r="V190" s="9" t="s">
        <v>47</v>
      </c>
      <c r="W190" s="9">
        <v>22524655</v>
      </c>
      <c r="X190" s="9">
        <v>1271320</v>
      </c>
      <c r="Y190" s="9">
        <v>68707246</v>
      </c>
      <c r="Z190" s="9" t="s">
        <v>39</v>
      </c>
      <c r="AA190" s="9">
        <v>26012025</v>
      </c>
      <c r="AB190" s="9">
        <v>77442</v>
      </c>
      <c r="AC190" s="9" t="s">
        <v>41</v>
      </c>
      <c r="AD190" s="9" t="s">
        <v>134</v>
      </c>
      <c r="AE190" s="9" t="s">
        <v>135</v>
      </c>
      <c r="AF190" s="9" t="s">
        <v>135</v>
      </c>
      <c r="AG190" s="14" t="str">
        <f t="shared" si="8"/>
        <v>EXAMENES RADIOLOGICOS</v>
      </c>
      <c r="AH190" s="9" t="s">
        <v>758</v>
      </c>
      <c r="AI190" s="9">
        <v>0</v>
      </c>
      <c r="AJ190" s="9">
        <v>76055963</v>
      </c>
      <c r="AK190" s="9">
        <v>6</v>
      </c>
      <c r="AL190" s="26" t="s">
        <v>69</v>
      </c>
      <c r="AM190" s="14" t="s">
        <v>551</v>
      </c>
      <c r="AN190" s="27" t="str">
        <f t="shared" si="7"/>
        <v>13983202|76055963|135828912|135828912</v>
      </c>
      <c r="AO190" t="s">
        <v>758</v>
      </c>
      <c r="AP190" t="b">
        <v>1</v>
      </c>
      <c r="AQ190" t="s">
        <v>764</v>
      </c>
    </row>
    <row r="191" spans="1:43" x14ac:dyDescent="0.2">
      <c r="A191" s="14" t="s">
        <v>500</v>
      </c>
      <c r="B191" s="17">
        <v>13983202</v>
      </c>
      <c r="C191" s="14" t="s">
        <v>204</v>
      </c>
      <c r="D191" s="9">
        <v>13983202</v>
      </c>
      <c r="E191" s="9" t="s">
        <v>204</v>
      </c>
      <c r="F191" s="7">
        <v>45717</v>
      </c>
      <c r="G191" s="20" t="s">
        <v>46</v>
      </c>
      <c r="H191" s="8">
        <v>135828912</v>
      </c>
      <c r="I191" s="19">
        <v>65384178</v>
      </c>
      <c r="J191" s="10">
        <v>64527</v>
      </c>
      <c r="K191" s="10">
        <v>0</v>
      </c>
      <c r="L191" s="10">
        <v>64527</v>
      </c>
      <c r="M191" s="10">
        <v>0</v>
      </c>
      <c r="N191" s="11">
        <v>64527</v>
      </c>
      <c r="O191" s="12">
        <v>135828912</v>
      </c>
      <c r="P191" s="9">
        <v>285123</v>
      </c>
      <c r="Q191" s="9" t="s">
        <v>37</v>
      </c>
      <c r="R191" s="13">
        <v>45717</v>
      </c>
      <c r="S191" s="22">
        <v>45742</v>
      </c>
      <c r="T191" s="13">
        <v>45678</v>
      </c>
      <c r="U191" s="13">
        <v>45678</v>
      </c>
      <c r="V191" s="9" t="s">
        <v>47</v>
      </c>
      <c r="W191" s="9">
        <v>22770395</v>
      </c>
      <c r="X191" s="9">
        <v>3311105</v>
      </c>
      <c r="Y191" s="9">
        <v>69251056</v>
      </c>
      <c r="Z191" s="9" t="s">
        <v>39</v>
      </c>
      <c r="AA191" s="9">
        <v>3250175202</v>
      </c>
      <c r="AB191" s="9">
        <v>78070</v>
      </c>
      <c r="AC191" s="9" t="s">
        <v>41</v>
      </c>
      <c r="AD191" s="9" t="s">
        <v>134</v>
      </c>
      <c r="AE191" s="9" t="s">
        <v>135</v>
      </c>
      <c r="AF191" s="9" t="s">
        <v>135</v>
      </c>
      <c r="AG191" s="14" t="str">
        <f t="shared" si="8"/>
        <v>EXAMENES RADIOLOGICOS</v>
      </c>
      <c r="AH191" s="9">
        <v>0</v>
      </c>
      <c r="AI191" s="9">
        <v>0</v>
      </c>
      <c r="AJ191" s="9">
        <v>76055963</v>
      </c>
      <c r="AK191" s="9">
        <v>6</v>
      </c>
      <c r="AL191" s="26" t="s">
        <v>52</v>
      </c>
      <c r="AM191" s="14" t="s">
        <v>551</v>
      </c>
      <c r="AN191" s="27" t="str">
        <f t="shared" si="7"/>
        <v>13983202|76055963|135828912|65384178</v>
      </c>
      <c r="AO191" t="s">
        <v>44</v>
      </c>
      <c r="AP191" t="b">
        <v>0</v>
      </c>
      <c r="AQ191" t="s">
        <v>763</v>
      </c>
    </row>
    <row r="192" spans="1:43" x14ac:dyDescent="0.2">
      <c r="A192" s="14" t="s">
        <v>500</v>
      </c>
      <c r="B192" s="17">
        <v>13983202</v>
      </c>
      <c r="C192" s="14" t="s">
        <v>204</v>
      </c>
      <c r="D192" s="9">
        <v>24281411</v>
      </c>
      <c r="E192" s="9" t="s">
        <v>205</v>
      </c>
      <c r="F192" s="7">
        <v>45658</v>
      </c>
      <c r="G192" s="20" t="s">
        <v>36</v>
      </c>
      <c r="H192" s="8">
        <v>135873138</v>
      </c>
      <c r="I192" s="19">
        <v>135873138</v>
      </c>
      <c r="J192" s="10">
        <v>41600</v>
      </c>
      <c r="K192" s="10">
        <v>29651</v>
      </c>
      <c r="L192" s="10">
        <v>11949</v>
      </c>
      <c r="M192" s="10">
        <v>0</v>
      </c>
      <c r="N192" s="11">
        <v>11949</v>
      </c>
      <c r="O192" s="12">
        <v>135873138</v>
      </c>
      <c r="P192" s="9">
        <v>285123</v>
      </c>
      <c r="Q192" s="9" t="s">
        <v>37</v>
      </c>
      <c r="R192" s="13">
        <v>45680</v>
      </c>
      <c r="S192" s="22">
        <v>45680</v>
      </c>
      <c r="T192" s="13">
        <v>45680</v>
      </c>
      <c r="U192" s="13">
        <v>45680</v>
      </c>
      <c r="V192" s="9" t="s">
        <v>47</v>
      </c>
      <c r="W192" s="9">
        <v>22524760</v>
      </c>
      <c r="X192" s="9">
        <v>1271320</v>
      </c>
      <c r="Y192" s="9">
        <v>68708319</v>
      </c>
      <c r="Z192" s="9" t="s">
        <v>39</v>
      </c>
      <c r="AA192" s="9">
        <v>26012025</v>
      </c>
      <c r="AB192" s="9">
        <v>77442</v>
      </c>
      <c r="AC192" s="9" t="s">
        <v>41</v>
      </c>
      <c r="AD192" s="9" t="s">
        <v>134</v>
      </c>
      <c r="AE192" s="9" t="s">
        <v>135</v>
      </c>
      <c r="AF192" s="9" t="s">
        <v>135</v>
      </c>
      <c r="AG192" s="14" t="str">
        <f t="shared" si="8"/>
        <v>EXAMENES RADIOLOGICOS</v>
      </c>
      <c r="AH192" s="9" t="s">
        <v>758</v>
      </c>
      <c r="AI192" s="9">
        <v>0</v>
      </c>
      <c r="AJ192" s="9">
        <v>76055963</v>
      </c>
      <c r="AK192" s="9">
        <v>6</v>
      </c>
      <c r="AL192" s="26" t="s">
        <v>69</v>
      </c>
      <c r="AM192" s="14" t="s">
        <v>551</v>
      </c>
      <c r="AN192" s="27" t="str">
        <f t="shared" si="7"/>
        <v>13983202|76055963|135873138|135873138</v>
      </c>
      <c r="AO192" t="s">
        <v>758</v>
      </c>
      <c r="AP192" t="b">
        <v>1</v>
      </c>
      <c r="AQ192" t="s">
        <v>764</v>
      </c>
    </row>
    <row r="193" spans="1:43" x14ac:dyDescent="0.2">
      <c r="A193" s="14" t="s">
        <v>500</v>
      </c>
      <c r="B193" s="17">
        <v>13983202</v>
      </c>
      <c r="C193" s="14" t="s">
        <v>204</v>
      </c>
      <c r="D193" s="9">
        <v>24281411</v>
      </c>
      <c r="E193" s="9" t="s">
        <v>205</v>
      </c>
      <c r="F193" s="7">
        <v>45717</v>
      </c>
      <c r="G193" s="20" t="s">
        <v>46</v>
      </c>
      <c r="H193" s="8">
        <v>135873138</v>
      </c>
      <c r="I193" s="19">
        <v>65384182</v>
      </c>
      <c r="J193" s="10">
        <v>11905</v>
      </c>
      <c r="K193" s="10">
        <v>0</v>
      </c>
      <c r="L193" s="10">
        <v>11905</v>
      </c>
      <c r="M193" s="10">
        <v>0</v>
      </c>
      <c r="N193" s="11">
        <v>8510</v>
      </c>
      <c r="O193" s="12">
        <v>135873138</v>
      </c>
      <c r="P193" s="9">
        <v>285123</v>
      </c>
      <c r="Q193" s="9" t="s">
        <v>37</v>
      </c>
      <c r="R193" s="13">
        <v>45717</v>
      </c>
      <c r="S193" s="22">
        <v>45742</v>
      </c>
      <c r="T193" s="13">
        <v>45680</v>
      </c>
      <c r="U193" s="13">
        <v>45680</v>
      </c>
      <c r="V193" s="9" t="s">
        <v>47</v>
      </c>
      <c r="W193" s="9">
        <v>22770422</v>
      </c>
      <c r="X193" s="9">
        <v>3311105</v>
      </c>
      <c r="Y193" s="9">
        <v>69251058</v>
      </c>
      <c r="Z193" s="9" t="s">
        <v>39</v>
      </c>
      <c r="AA193" s="9">
        <v>3250175202</v>
      </c>
      <c r="AB193" s="9">
        <v>78070</v>
      </c>
      <c r="AC193" s="9" t="s">
        <v>41</v>
      </c>
      <c r="AD193" s="9" t="s">
        <v>134</v>
      </c>
      <c r="AE193" s="9" t="s">
        <v>135</v>
      </c>
      <c r="AF193" s="9" t="s">
        <v>135</v>
      </c>
      <c r="AG193" s="14" t="str">
        <f t="shared" si="8"/>
        <v>EXAMENES RADIOLOGICOS</v>
      </c>
      <c r="AH193" s="9">
        <v>0</v>
      </c>
      <c r="AI193" s="9">
        <v>0</v>
      </c>
      <c r="AJ193" s="9">
        <v>76055963</v>
      </c>
      <c r="AK193" s="9">
        <v>6</v>
      </c>
      <c r="AL193" s="26" t="s">
        <v>52</v>
      </c>
      <c r="AM193" s="14" t="s">
        <v>551</v>
      </c>
      <c r="AN193" s="27" t="str">
        <f t="shared" si="7"/>
        <v>13983202|76055963|135873138|65384182</v>
      </c>
      <c r="AO193" t="s">
        <v>44</v>
      </c>
      <c r="AP193" t="b">
        <v>0</v>
      </c>
      <c r="AQ193" t="s">
        <v>763</v>
      </c>
    </row>
    <row r="194" spans="1:43" x14ac:dyDescent="0.2">
      <c r="A194" s="14" t="s">
        <v>500</v>
      </c>
      <c r="B194" s="17">
        <v>11898667</v>
      </c>
      <c r="C194" s="14" t="s">
        <v>206</v>
      </c>
      <c r="D194" s="9">
        <v>11898667</v>
      </c>
      <c r="E194" s="9" t="s">
        <v>206</v>
      </c>
      <c r="F194" s="7">
        <v>45658</v>
      </c>
      <c r="G194" s="20" t="s">
        <v>36</v>
      </c>
      <c r="H194" s="8">
        <v>135881939</v>
      </c>
      <c r="I194" s="19">
        <v>135881939</v>
      </c>
      <c r="J194" s="10">
        <v>41600</v>
      </c>
      <c r="K194" s="10">
        <v>29120</v>
      </c>
      <c r="L194" s="10">
        <v>12480</v>
      </c>
      <c r="M194" s="10">
        <v>0</v>
      </c>
      <c r="N194" s="11">
        <v>12480</v>
      </c>
      <c r="O194" s="12">
        <v>135881939</v>
      </c>
      <c r="P194" s="9">
        <v>285123</v>
      </c>
      <c r="Q194" s="9" t="s">
        <v>37</v>
      </c>
      <c r="R194" s="13">
        <v>45680</v>
      </c>
      <c r="S194" s="22">
        <v>45680</v>
      </c>
      <c r="T194" s="13">
        <v>45680</v>
      </c>
      <c r="U194" s="13">
        <v>45680</v>
      </c>
      <c r="V194" s="9" t="s">
        <v>47</v>
      </c>
      <c r="W194" s="9">
        <v>22524746</v>
      </c>
      <c r="X194" s="9">
        <v>1271320</v>
      </c>
      <c r="Y194" s="9">
        <v>68708507</v>
      </c>
      <c r="Z194" s="9" t="s">
        <v>39</v>
      </c>
      <c r="AA194" s="9">
        <v>26012025</v>
      </c>
      <c r="AB194" s="9">
        <v>77442</v>
      </c>
      <c r="AC194" s="9" t="s">
        <v>41</v>
      </c>
      <c r="AD194" s="9" t="s">
        <v>134</v>
      </c>
      <c r="AE194" s="9" t="s">
        <v>135</v>
      </c>
      <c r="AF194" s="9" t="s">
        <v>135</v>
      </c>
      <c r="AG194" s="14" t="str">
        <f t="shared" si="8"/>
        <v>EXAMENES RADIOLOGICOS</v>
      </c>
      <c r="AH194" s="9" t="s">
        <v>758</v>
      </c>
      <c r="AI194" s="9">
        <v>0</v>
      </c>
      <c r="AJ194" s="9">
        <v>76686235</v>
      </c>
      <c r="AK194" s="9">
        <v>7</v>
      </c>
      <c r="AL194" s="26" t="s">
        <v>69</v>
      </c>
      <c r="AM194" s="14" t="s">
        <v>552</v>
      </c>
      <c r="AN194" s="27" t="str">
        <f t="shared" si="7"/>
        <v>11898667|76686235|135881939|135881939</v>
      </c>
      <c r="AO194" t="s">
        <v>758</v>
      </c>
      <c r="AP194" t="b">
        <v>1</v>
      </c>
      <c r="AQ194" t="s">
        <v>764</v>
      </c>
    </row>
    <row r="195" spans="1:43" x14ac:dyDescent="0.2">
      <c r="A195" s="14" t="s">
        <v>500</v>
      </c>
      <c r="B195" s="17">
        <v>11898667</v>
      </c>
      <c r="C195" s="14" t="s">
        <v>206</v>
      </c>
      <c r="D195" s="9">
        <v>11898667</v>
      </c>
      <c r="E195" s="9" t="s">
        <v>206</v>
      </c>
      <c r="F195" s="7">
        <v>45717</v>
      </c>
      <c r="G195" s="20" t="s">
        <v>46</v>
      </c>
      <c r="H195" s="8">
        <v>135881939</v>
      </c>
      <c r="I195" s="19">
        <v>65383979</v>
      </c>
      <c r="J195" s="10">
        <v>12289</v>
      </c>
      <c r="K195" s="10">
        <v>0</v>
      </c>
      <c r="L195" s="10">
        <v>12289</v>
      </c>
      <c r="M195" s="10">
        <v>0</v>
      </c>
      <c r="N195" s="11">
        <v>12289</v>
      </c>
      <c r="O195" s="12">
        <v>135881939</v>
      </c>
      <c r="P195" s="9">
        <v>285123</v>
      </c>
      <c r="Q195" s="9" t="s">
        <v>37</v>
      </c>
      <c r="R195" s="13">
        <v>45717</v>
      </c>
      <c r="S195" s="22">
        <v>45742</v>
      </c>
      <c r="T195" s="13">
        <v>45680</v>
      </c>
      <c r="U195" s="13">
        <v>45680</v>
      </c>
      <c r="V195" s="9" t="s">
        <v>47</v>
      </c>
      <c r="W195" s="9">
        <v>22770419</v>
      </c>
      <c r="X195" s="9">
        <v>3311105</v>
      </c>
      <c r="Y195" s="9">
        <v>69250867</v>
      </c>
      <c r="Z195" s="9" t="s">
        <v>39</v>
      </c>
      <c r="AA195" s="9">
        <v>24606243</v>
      </c>
      <c r="AB195" s="9">
        <v>78070</v>
      </c>
      <c r="AC195" s="9" t="s">
        <v>41</v>
      </c>
      <c r="AD195" s="9" t="s">
        <v>134</v>
      </c>
      <c r="AE195" s="9" t="s">
        <v>135</v>
      </c>
      <c r="AF195" s="9" t="s">
        <v>135</v>
      </c>
      <c r="AG195" s="14" t="str">
        <f t="shared" si="8"/>
        <v>EXAMENES RADIOLOGICOS</v>
      </c>
      <c r="AH195" s="9">
        <v>0</v>
      </c>
      <c r="AI195" s="9">
        <v>0</v>
      </c>
      <c r="AJ195" s="9">
        <v>76686235</v>
      </c>
      <c r="AK195" s="9">
        <v>7</v>
      </c>
      <c r="AL195" s="26" t="s">
        <v>52</v>
      </c>
      <c r="AM195" s="14" t="s">
        <v>552</v>
      </c>
      <c r="AN195" s="27" t="str">
        <f t="shared" ref="AN195:AN258" si="9">B195&amp;"|"&amp;AJ195&amp;"|"&amp;H195&amp;"|"&amp;I195</f>
        <v>11898667|76686235|135881939|65383979</v>
      </c>
      <c r="AO195" t="s">
        <v>44</v>
      </c>
      <c r="AP195" t="b">
        <v>0</v>
      </c>
      <c r="AQ195" t="s">
        <v>763</v>
      </c>
    </row>
    <row r="196" spans="1:43" x14ac:dyDescent="0.2">
      <c r="A196" s="14" t="s">
        <v>500</v>
      </c>
      <c r="B196" s="17">
        <v>10125251</v>
      </c>
      <c r="C196" s="14" t="s">
        <v>207</v>
      </c>
      <c r="D196" s="9">
        <v>10125251</v>
      </c>
      <c r="E196" s="9" t="s">
        <v>207</v>
      </c>
      <c r="F196" s="7">
        <v>45658</v>
      </c>
      <c r="G196" s="20" t="s">
        <v>36</v>
      </c>
      <c r="H196" s="8">
        <v>135892618</v>
      </c>
      <c r="I196" s="19">
        <v>135892618</v>
      </c>
      <c r="J196" s="10">
        <v>309745</v>
      </c>
      <c r="K196" s="10">
        <v>177462</v>
      </c>
      <c r="L196" s="10">
        <v>132283</v>
      </c>
      <c r="M196" s="10">
        <v>0</v>
      </c>
      <c r="N196" s="11">
        <v>132283</v>
      </c>
      <c r="O196" s="12">
        <v>135892618</v>
      </c>
      <c r="P196" s="9">
        <v>285123</v>
      </c>
      <c r="Q196" s="9" t="s">
        <v>37</v>
      </c>
      <c r="R196" s="13">
        <v>45680</v>
      </c>
      <c r="S196" s="22">
        <v>45680</v>
      </c>
      <c r="T196" s="13">
        <v>45680</v>
      </c>
      <c r="U196" s="13">
        <v>45680</v>
      </c>
      <c r="V196" s="9" t="s">
        <v>47</v>
      </c>
      <c r="W196" s="9">
        <v>22524739</v>
      </c>
      <c r="X196" s="9">
        <v>1271320</v>
      </c>
      <c r="Y196" s="9">
        <v>68708786</v>
      </c>
      <c r="Z196" s="9" t="s">
        <v>39</v>
      </c>
      <c r="AA196" s="9">
        <v>26012025</v>
      </c>
      <c r="AB196" s="9">
        <v>77442</v>
      </c>
      <c r="AC196" s="9" t="s">
        <v>41</v>
      </c>
      <c r="AD196" s="9" t="s">
        <v>134</v>
      </c>
      <c r="AE196" s="9" t="s">
        <v>135</v>
      </c>
      <c r="AF196" s="9" t="s">
        <v>135</v>
      </c>
      <c r="AG196" s="14" t="str">
        <f t="shared" si="8"/>
        <v>EXAMENES RADIOLOGICOS</v>
      </c>
      <c r="AH196" s="9" t="s">
        <v>758</v>
      </c>
      <c r="AI196" s="9">
        <v>0</v>
      </c>
      <c r="AJ196" s="9">
        <v>96923250</v>
      </c>
      <c r="AK196" s="9">
        <v>2</v>
      </c>
      <c r="AL196" s="26" t="s">
        <v>69</v>
      </c>
      <c r="AM196" s="14" t="s">
        <v>553</v>
      </c>
      <c r="AN196" s="27" t="str">
        <f t="shared" si="9"/>
        <v>10125251|96923250|135892618|135892618</v>
      </c>
      <c r="AO196" t="s">
        <v>758</v>
      </c>
      <c r="AP196" t="b">
        <v>1</v>
      </c>
      <c r="AQ196" t="s">
        <v>764</v>
      </c>
    </row>
    <row r="197" spans="1:43" x14ac:dyDescent="0.2">
      <c r="A197" s="14" t="s">
        <v>500</v>
      </c>
      <c r="B197" s="17">
        <v>10125251</v>
      </c>
      <c r="C197" s="14" t="s">
        <v>207</v>
      </c>
      <c r="D197" s="9">
        <v>10125251</v>
      </c>
      <c r="E197" s="9" t="s">
        <v>207</v>
      </c>
      <c r="F197" s="7">
        <v>45717</v>
      </c>
      <c r="G197" s="20" t="s">
        <v>46</v>
      </c>
      <c r="H197" s="8">
        <v>135892618</v>
      </c>
      <c r="I197" s="19">
        <v>65383799</v>
      </c>
      <c r="J197" s="10">
        <v>105995</v>
      </c>
      <c r="K197" s="10">
        <v>0</v>
      </c>
      <c r="L197" s="10">
        <v>105995</v>
      </c>
      <c r="M197" s="10">
        <v>0</v>
      </c>
      <c r="N197" s="11">
        <v>105995</v>
      </c>
      <c r="O197" s="12">
        <v>135892618</v>
      </c>
      <c r="P197" s="9">
        <v>285123</v>
      </c>
      <c r="Q197" s="9" t="s">
        <v>37</v>
      </c>
      <c r="R197" s="13">
        <v>45717</v>
      </c>
      <c r="S197" s="22">
        <v>45742</v>
      </c>
      <c r="T197" s="13">
        <v>45680</v>
      </c>
      <c r="U197" s="13">
        <v>45680</v>
      </c>
      <c r="V197" s="9" t="s">
        <v>47</v>
      </c>
      <c r="W197" s="9">
        <v>22770417</v>
      </c>
      <c r="X197" s="9">
        <v>3311105</v>
      </c>
      <c r="Y197" s="9">
        <v>69250688</v>
      </c>
      <c r="Z197" s="9" t="s">
        <v>39</v>
      </c>
      <c r="AA197" s="9">
        <v>13038066</v>
      </c>
      <c r="AB197" s="9">
        <v>78070</v>
      </c>
      <c r="AC197" s="9" t="s">
        <v>41</v>
      </c>
      <c r="AD197" s="9" t="s">
        <v>134</v>
      </c>
      <c r="AE197" s="9" t="s">
        <v>135</v>
      </c>
      <c r="AF197" s="9" t="s">
        <v>135</v>
      </c>
      <c r="AG197" s="14" t="str">
        <f t="shared" si="8"/>
        <v>EXAMENES RADIOLOGICOS</v>
      </c>
      <c r="AH197" s="9">
        <v>0</v>
      </c>
      <c r="AI197" s="9">
        <v>0</v>
      </c>
      <c r="AJ197" s="9">
        <v>96923250</v>
      </c>
      <c r="AK197" s="9">
        <v>2</v>
      </c>
      <c r="AL197" s="26" t="s">
        <v>52</v>
      </c>
      <c r="AM197" s="14" t="s">
        <v>553</v>
      </c>
      <c r="AN197" s="27" t="str">
        <f t="shared" si="9"/>
        <v>10125251|96923250|135892618|65383799</v>
      </c>
      <c r="AO197" t="s">
        <v>44</v>
      </c>
      <c r="AP197" t="b">
        <v>0</v>
      </c>
      <c r="AQ197" t="s">
        <v>763</v>
      </c>
    </row>
    <row r="198" spans="1:43" x14ac:dyDescent="0.2">
      <c r="A198" s="14" t="s">
        <v>500</v>
      </c>
      <c r="B198" s="17">
        <v>13963498</v>
      </c>
      <c r="C198" s="14" t="s">
        <v>208</v>
      </c>
      <c r="D198" s="9">
        <v>13963498</v>
      </c>
      <c r="E198" s="9" t="s">
        <v>208</v>
      </c>
      <c r="F198" s="7">
        <v>45658</v>
      </c>
      <c r="G198" s="20" t="s">
        <v>36</v>
      </c>
      <c r="H198" s="8">
        <v>135917350</v>
      </c>
      <c r="I198" s="19">
        <v>135917350</v>
      </c>
      <c r="J198" s="10">
        <v>35085</v>
      </c>
      <c r="K198" s="10">
        <v>16320</v>
      </c>
      <c r="L198" s="10">
        <v>18765</v>
      </c>
      <c r="M198" s="10">
        <v>0</v>
      </c>
      <c r="N198" s="11">
        <v>18765</v>
      </c>
      <c r="O198" s="12">
        <v>135917350</v>
      </c>
      <c r="P198" s="9">
        <v>285123</v>
      </c>
      <c r="Q198" s="9" t="s">
        <v>37</v>
      </c>
      <c r="R198" s="13">
        <v>45681</v>
      </c>
      <c r="S198" s="22">
        <v>45681</v>
      </c>
      <c r="T198" s="13">
        <v>45681</v>
      </c>
      <c r="U198" s="13">
        <v>45681</v>
      </c>
      <c r="V198" s="9" t="s">
        <v>47</v>
      </c>
      <c r="W198" s="9">
        <v>22524804</v>
      </c>
      <c r="X198" s="9">
        <v>1271320</v>
      </c>
      <c r="Y198" s="9">
        <v>68709375</v>
      </c>
      <c r="Z198" s="9" t="s">
        <v>39</v>
      </c>
      <c r="AA198" s="9">
        <v>26012025</v>
      </c>
      <c r="AB198" s="9">
        <v>77442</v>
      </c>
      <c r="AC198" s="9" t="s">
        <v>41</v>
      </c>
      <c r="AD198" s="9" t="s">
        <v>134</v>
      </c>
      <c r="AE198" s="9" t="s">
        <v>135</v>
      </c>
      <c r="AF198" s="9" t="s">
        <v>135</v>
      </c>
      <c r="AG198" s="14" t="str">
        <f t="shared" si="8"/>
        <v>EXAMENES RADIOLOGICOS</v>
      </c>
      <c r="AH198" s="9" t="s">
        <v>758</v>
      </c>
      <c r="AI198" s="9">
        <v>0</v>
      </c>
      <c r="AJ198" s="9">
        <v>78317440</v>
      </c>
      <c r="AK198" s="9">
        <v>5</v>
      </c>
      <c r="AL198" s="26" t="s">
        <v>69</v>
      </c>
      <c r="AM198" s="14" t="s">
        <v>554</v>
      </c>
      <c r="AN198" s="27" t="str">
        <f t="shared" si="9"/>
        <v>13963498|78317440|135917350|135917350</v>
      </c>
      <c r="AO198" t="s">
        <v>758</v>
      </c>
      <c r="AP198" t="b">
        <v>1</v>
      </c>
      <c r="AQ198" t="s">
        <v>764</v>
      </c>
    </row>
    <row r="199" spans="1:43" x14ac:dyDescent="0.2">
      <c r="A199" s="14" t="s">
        <v>500</v>
      </c>
      <c r="B199" s="17">
        <v>13963498</v>
      </c>
      <c r="C199" s="14" t="s">
        <v>208</v>
      </c>
      <c r="D199" s="9">
        <v>13963498</v>
      </c>
      <c r="E199" s="9" t="s">
        <v>208</v>
      </c>
      <c r="F199" s="7">
        <v>45717</v>
      </c>
      <c r="G199" s="20" t="s">
        <v>46</v>
      </c>
      <c r="H199" s="8">
        <v>135917350</v>
      </c>
      <c r="I199" s="19">
        <v>65384175</v>
      </c>
      <c r="J199" s="10">
        <v>18432</v>
      </c>
      <c r="K199" s="10">
        <v>0</v>
      </c>
      <c r="L199" s="10">
        <v>18432</v>
      </c>
      <c r="M199" s="10">
        <v>0</v>
      </c>
      <c r="N199" s="11">
        <v>18432</v>
      </c>
      <c r="O199" s="12">
        <v>135917350</v>
      </c>
      <c r="P199" s="9">
        <v>285123</v>
      </c>
      <c r="Q199" s="9" t="s">
        <v>37</v>
      </c>
      <c r="R199" s="13">
        <v>45717</v>
      </c>
      <c r="S199" s="22">
        <v>45742</v>
      </c>
      <c r="T199" s="13">
        <v>45681</v>
      </c>
      <c r="U199" s="13">
        <v>45681</v>
      </c>
      <c r="V199" s="9" t="s">
        <v>47</v>
      </c>
      <c r="W199" s="9">
        <v>22770430</v>
      </c>
      <c r="X199" s="9">
        <v>3311105</v>
      </c>
      <c r="Y199" s="9">
        <v>69251053</v>
      </c>
      <c r="Z199" s="9" t="s">
        <v>39</v>
      </c>
      <c r="AA199" s="9">
        <v>463060</v>
      </c>
      <c r="AB199" s="9">
        <v>78070</v>
      </c>
      <c r="AC199" s="9" t="s">
        <v>41</v>
      </c>
      <c r="AD199" s="9" t="s">
        <v>134</v>
      </c>
      <c r="AE199" s="9" t="s">
        <v>135</v>
      </c>
      <c r="AF199" s="9" t="s">
        <v>135</v>
      </c>
      <c r="AG199" s="14" t="str">
        <f t="shared" si="8"/>
        <v>EXAMENES RADIOLOGICOS</v>
      </c>
      <c r="AH199" s="9">
        <v>0</v>
      </c>
      <c r="AI199" s="9">
        <v>0</v>
      </c>
      <c r="AJ199" s="9">
        <v>78317440</v>
      </c>
      <c r="AK199" s="9">
        <v>5</v>
      </c>
      <c r="AL199" s="26" t="s">
        <v>52</v>
      </c>
      <c r="AM199" s="14" t="s">
        <v>554</v>
      </c>
      <c r="AN199" s="27" t="str">
        <f t="shared" si="9"/>
        <v>13963498|78317440|135917350|65384175</v>
      </c>
      <c r="AO199" t="s">
        <v>44</v>
      </c>
      <c r="AP199" t="b">
        <v>0</v>
      </c>
      <c r="AQ199" t="s">
        <v>763</v>
      </c>
    </row>
    <row r="200" spans="1:43" x14ac:dyDescent="0.2">
      <c r="A200" s="14" t="s">
        <v>500</v>
      </c>
      <c r="B200" s="17">
        <v>13687859</v>
      </c>
      <c r="C200" s="14" t="s">
        <v>209</v>
      </c>
      <c r="D200" s="9">
        <v>13687859</v>
      </c>
      <c r="E200" s="9" t="s">
        <v>209</v>
      </c>
      <c r="F200" s="7">
        <v>45658</v>
      </c>
      <c r="G200" s="20" t="s">
        <v>36</v>
      </c>
      <c r="H200" s="8">
        <v>135928543</v>
      </c>
      <c r="I200" s="19">
        <v>135928543</v>
      </c>
      <c r="J200" s="10">
        <v>16300</v>
      </c>
      <c r="K200" s="10">
        <v>8150</v>
      </c>
      <c r="L200" s="10">
        <v>8150</v>
      </c>
      <c r="M200" s="10">
        <v>0</v>
      </c>
      <c r="N200" s="11">
        <v>8150</v>
      </c>
      <c r="O200" s="12">
        <v>135928543</v>
      </c>
      <c r="P200" s="9">
        <v>285123</v>
      </c>
      <c r="Q200" s="9" t="s">
        <v>37</v>
      </c>
      <c r="R200" s="13">
        <v>45682</v>
      </c>
      <c r="S200" s="22">
        <v>45682</v>
      </c>
      <c r="T200" s="13">
        <v>45682</v>
      </c>
      <c r="U200" s="13">
        <v>45682</v>
      </c>
      <c r="V200" s="9" t="s">
        <v>47</v>
      </c>
      <c r="W200" s="9">
        <v>22560779</v>
      </c>
      <c r="X200" s="9">
        <v>2040929</v>
      </c>
      <c r="Y200" s="9">
        <v>68807227</v>
      </c>
      <c r="Z200" s="9" t="s">
        <v>39</v>
      </c>
      <c r="AA200" s="9">
        <v>2022025</v>
      </c>
      <c r="AB200" s="9">
        <v>77562</v>
      </c>
      <c r="AC200" s="9" t="s">
        <v>41</v>
      </c>
      <c r="AD200" s="9" t="s">
        <v>132</v>
      </c>
      <c r="AE200" s="9" t="s">
        <v>133</v>
      </c>
      <c r="AF200" s="9" t="s">
        <v>133</v>
      </c>
      <c r="AG200" s="14" t="str">
        <f t="shared" si="8"/>
        <v>EXAMENES DE LABORATORIO</v>
      </c>
      <c r="AH200" s="9" t="s">
        <v>758</v>
      </c>
      <c r="AI200" s="9">
        <v>0</v>
      </c>
      <c r="AJ200" s="9">
        <v>84655500</v>
      </c>
      <c r="AK200" s="9">
        <v>5</v>
      </c>
      <c r="AL200" s="26" t="s">
        <v>69</v>
      </c>
      <c r="AM200" s="14" t="s">
        <v>555</v>
      </c>
      <c r="AN200" s="27" t="str">
        <f t="shared" si="9"/>
        <v>13687859|84655500|135928543|135928543</v>
      </c>
      <c r="AO200" t="s">
        <v>758</v>
      </c>
      <c r="AP200" t="b">
        <v>1</v>
      </c>
      <c r="AQ200" t="s">
        <v>764</v>
      </c>
    </row>
    <row r="201" spans="1:43" x14ac:dyDescent="0.2">
      <c r="A201" s="14" t="s">
        <v>500</v>
      </c>
      <c r="B201" s="17">
        <v>13687859</v>
      </c>
      <c r="C201" s="14" t="s">
        <v>209</v>
      </c>
      <c r="D201" s="9">
        <v>13687859</v>
      </c>
      <c r="E201" s="9" t="s">
        <v>209</v>
      </c>
      <c r="F201" s="7">
        <v>45717</v>
      </c>
      <c r="G201" s="20" t="s">
        <v>46</v>
      </c>
      <c r="H201" s="8">
        <v>135928543</v>
      </c>
      <c r="I201" s="19">
        <v>65384135</v>
      </c>
      <c r="J201" s="10">
        <v>8063</v>
      </c>
      <c r="K201" s="10">
        <v>0</v>
      </c>
      <c r="L201" s="10">
        <v>8063</v>
      </c>
      <c r="M201" s="10">
        <v>0</v>
      </c>
      <c r="N201" s="11">
        <v>8063</v>
      </c>
      <c r="O201" s="12">
        <v>135928543</v>
      </c>
      <c r="P201" s="9">
        <v>285123</v>
      </c>
      <c r="Q201" s="9" t="s">
        <v>37</v>
      </c>
      <c r="R201" s="13">
        <v>45717</v>
      </c>
      <c r="S201" s="22">
        <v>45742</v>
      </c>
      <c r="T201" s="13">
        <v>45682</v>
      </c>
      <c r="U201" s="13">
        <v>45682</v>
      </c>
      <c r="V201" s="9" t="s">
        <v>47</v>
      </c>
      <c r="W201" s="9">
        <v>22770434</v>
      </c>
      <c r="X201" s="9">
        <v>3311105</v>
      </c>
      <c r="Y201" s="9">
        <v>69251015</v>
      </c>
      <c r="Z201" s="9" t="s">
        <v>39</v>
      </c>
      <c r="AA201" s="9">
        <v>922061123</v>
      </c>
      <c r="AB201" s="9">
        <v>78070</v>
      </c>
      <c r="AC201" s="9" t="s">
        <v>41</v>
      </c>
      <c r="AD201" s="9" t="s">
        <v>132</v>
      </c>
      <c r="AE201" s="9" t="s">
        <v>133</v>
      </c>
      <c r="AF201" s="9" t="s">
        <v>133</v>
      </c>
      <c r="AG201" s="14" t="str">
        <f t="shared" si="8"/>
        <v>EXAMENES DE LABORATORIO</v>
      </c>
      <c r="AH201" s="9">
        <v>0</v>
      </c>
      <c r="AI201" s="9">
        <v>0</v>
      </c>
      <c r="AJ201" s="9">
        <v>84655500</v>
      </c>
      <c r="AK201" s="9">
        <v>5</v>
      </c>
      <c r="AL201" s="26" t="s">
        <v>52</v>
      </c>
      <c r="AM201" s="14" t="s">
        <v>555</v>
      </c>
      <c r="AN201" s="27" t="str">
        <f t="shared" si="9"/>
        <v>13687859|84655500|135928543|65384135</v>
      </c>
      <c r="AO201" t="s">
        <v>44</v>
      </c>
      <c r="AP201" t="b">
        <v>0</v>
      </c>
      <c r="AQ201" t="s">
        <v>763</v>
      </c>
    </row>
    <row r="202" spans="1:43" x14ac:dyDescent="0.2">
      <c r="A202" s="14" t="s">
        <v>500</v>
      </c>
      <c r="B202" s="17">
        <v>12666564</v>
      </c>
      <c r="C202" s="14" t="s">
        <v>210</v>
      </c>
      <c r="D202" s="9">
        <v>12666564</v>
      </c>
      <c r="E202" s="9" t="s">
        <v>210</v>
      </c>
      <c r="F202" s="7">
        <v>45658</v>
      </c>
      <c r="G202" s="20" t="s">
        <v>36</v>
      </c>
      <c r="H202" s="8">
        <v>135973136</v>
      </c>
      <c r="I202" s="19">
        <v>135973136</v>
      </c>
      <c r="J202" s="10">
        <v>103887</v>
      </c>
      <c r="K202" s="10">
        <v>40682</v>
      </c>
      <c r="L202" s="10">
        <v>63205</v>
      </c>
      <c r="M202" s="10">
        <v>0</v>
      </c>
      <c r="N202" s="11">
        <v>63205</v>
      </c>
      <c r="O202" s="12">
        <v>135973136</v>
      </c>
      <c r="P202" s="9">
        <v>285123</v>
      </c>
      <c r="Q202" s="9" t="s">
        <v>37</v>
      </c>
      <c r="R202" s="13">
        <v>45685</v>
      </c>
      <c r="S202" s="22">
        <v>45685</v>
      </c>
      <c r="T202" s="13">
        <v>45685</v>
      </c>
      <c r="U202" s="13">
        <v>45685</v>
      </c>
      <c r="V202" s="9" t="s">
        <v>47</v>
      </c>
      <c r="W202" s="9">
        <v>22560869</v>
      </c>
      <c r="X202" s="9">
        <v>2040929</v>
      </c>
      <c r="Y202" s="9">
        <v>68808445</v>
      </c>
      <c r="Z202" s="9" t="s">
        <v>39</v>
      </c>
      <c r="AA202" s="9">
        <v>2022025</v>
      </c>
      <c r="AB202" s="9">
        <v>77562</v>
      </c>
      <c r="AC202" s="9" t="s">
        <v>41</v>
      </c>
      <c r="AD202" s="9" t="s">
        <v>132</v>
      </c>
      <c r="AE202" s="9" t="s">
        <v>133</v>
      </c>
      <c r="AF202" s="9" t="s">
        <v>133</v>
      </c>
      <c r="AG202" s="14" t="str">
        <f t="shared" si="8"/>
        <v>EXAMENES DE LABORATORIO</v>
      </c>
      <c r="AH202" s="9" t="s">
        <v>758</v>
      </c>
      <c r="AI202" s="9">
        <v>0</v>
      </c>
      <c r="AJ202" s="9">
        <v>81949100</v>
      </c>
      <c r="AK202" s="9">
        <v>3</v>
      </c>
      <c r="AL202" s="26" t="s">
        <v>69</v>
      </c>
      <c r="AM202" s="14" t="s">
        <v>556</v>
      </c>
      <c r="AN202" s="27" t="str">
        <f t="shared" si="9"/>
        <v>12666564|81949100|135973136|135973136</v>
      </c>
      <c r="AO202" t="s">
        <v>758</v>
      </c>
      <c r="AP202" t="b">
        <v>1</v>
      </c>
      <c r="AQ202" t="s">
        <v>764</v>
      </c>
    </row>
    <row r="203" spans="1:43" x14ac:dyDescent="0.2">
      <c r="A203" s="14" t="s">
        <v>500</v>
      </c>
      <c r="B203" s="17">
        <v>12666564</v>
      </c>
      <c r="C203" s="14" t="s">
        <v>210</v>
      </c>
      <c r="D203" s="9">
        <v>12666564</v>
      </c>
      <c r="E203" s="9" t="s">
        <v>210</v>
      </c>
      <c r="F203" s="7">
        <v>45717</v>
      </c>
      <c r="G203" s="20" t="s">
        <v>46</v>
      </c>
      <c r="H203" s="8">
        <v>135973136</v>
      </c>
      <c r="I203" s="19">
        <v>65384035</v>
      </c>
      <c r="J203" s="10">
        <v>56050</v>
      </c>
      <c r="K203" s="10">
        <v>0</v>
      </c>
      <c r="L203" s="10">
        <v>56050</v>
      </c>
      <c r="M203" s="10">
        <v>0</v>
      </c>
      <c r="N203" s="11">
        <v>56050</v>
      </c>
      <c r="O203" s="12">
        <v>135973136</v>
      </c>
      <c r="P203" s="9">
        <v>285123</v>
      </c>
      <c r="Q203" s="9" t="s">
        <v>37</v>
      </c>
      <c r="R203" s="13">
        <v>45717</v>
      </c>
      <c r="S203" s="22">
        <v>45742</v>
      </c>
      <c r="T203" s="13">
        <v>45685</v>
      </c>
      <c r="U203" s="13">
        <v>45685</v>
      </c>
      <c r="V203" s="9" t="s">
        <v>47</v>
      </c>
      <c r="W203" s="9">
        <v>22770456</v>
      </c>
      <c r="X203" s="9">
        <v>3311105</v>
      </c>
      <c r="Y203" s="9">
        <v>69250923</v>
      </c>
      <c r="Z203" s="9" t="s">
        <v>39</v>
      </c>
      <c r="AA203" s="9">
        <v>2601171503</v>
      </c>
      <c r="AB203" s="9">
        <v>78070</v>
      </c>
      <c r="AC203" s="9" t="s">
        <v>41</v>
      </c>
      <c r="AD203" s="9" t="s">
        <v>132</v>
      </c>
      <c r="AE203" s="9" t="s">
        <v>133</v>
      </c>
      <c r="AF203" s="9" t="s">
        <v>133</v>
      </c>
      <c r="AG203" s="14" t="str">
        <f t="shared" si="8"/>
        <v>EXAMENES DE LABORATORIO</v>
      </c>
      <c r="AH203" s="9">
        <v>0</v>
      </c>
      <c r="AI203" s="9">
        <v>0</v>
      </c>
      <c r="AJ203" s="9">
        <v>81949100</v>
      </c>
      <c r="AK203" s="9">
        <v>3</v>
      </c>
      <c r="AL203" s="26" t="s">
        <v>52</v>
      </c>
      <c r="AM203" s="14" t="s">
        <v>556</v>
      </c>
      <c r="AN203" s="27" t="str">
        <f t="shared" si="9"/>
        <v>12666564|81949100|135973136|65384035</v>
      </c>
      <c r="AO203" t="s">
        <v>44</v>
      </c>
      <c r="AP203" t="b">
        <v>0</v>
      </c>
      <c r="AQ203" t="s">
        <v>763</v>
      </c>
    </row>
    <row r="204" spans="1:43" x14ac:dyDescent="0.2">
      <c r="A204" s="14" t="s">
        <v>500</v>
      </c>
      <c r="B204" s="17">
        <v>12666564</v>
      </c>
      <c r="C204" s="14" t="s">
        <v>210</v>
      </c>
      <c r="D204" s="9">
        <v>12666564</v>
      </c>
      <c r="E204" s="9" t="s">
        <v>210</v>
      </c>
      <c r="F204" s="7">
        <v>45658</v>
      </c>
      <c r="G204" s="20" t="s">
        <v>36</v>
      </c>
      <c r="H204" s="8">
        <v>135973137</v>
      </c>
      <c r="I204" s="19">
        <v>135973137</v>
      </c>
      <c r="J204" s="10">
        <v>75733</v>
      </c>
      <c r="K204" s="10">
        <v>33564</v>
      </c>
      <c r="L204" s="10">
        <v>42169</v>
      </c>
      <c r="M204" s="10">
        <v>0</v>
      </c>
      <c r="N204" s="11">
        <v>42169</v>
      </c>
      <c r="O204" s="12">
        <v>135973137</v>
      </c>
      <c r="P204" s="9">
        <v>285123</v>
      </c>
      <c r="Q204" s="9" t="s">
        <v>37</v>
      </c>
      <c r="R204" s="13">
        <v>45685</v>
      </c>
      <c r="S204" s="22">
        <v>45685</v>
      </c>
      <c r="T204" s="13">
        <v>45685</v>
      </c>
      <c r="U204" s="13">
        <v>45685</v>
      </c>
      <c r="V204" s="9" t="s">
        <v>47</v>
      </c>
      <c r="W204" s="9">
        <v>22560869</v>
      </c>
      <c r="X204" s="9">
        <v>2040929</v>
      </c>
      <c r="Y204" s="9">
        <v>68808444</v>
      </c>
      <c r="Z204" s="9" t="s">
        <v>39</v>
      </c>
      <c r="AA204" s="9">
        <v>2022025</v>
      </c>
      <c r="AB204" s="9">
        <v>77562</v>
      </c>
      <c r="AC204" s="9" t="s">
        <v>41</v>
      </c>
      <c r="AD204" s="9" t="s">
        <v>132</v>
      </c>
      <c r="AE204" s="9" t="s">
        <v>133</v>
      </c>
      <c r="AF204" s="9" t="s">
        <v>133</v>
      </c>
      <c r="AG204" s="14" t="str">
        <f t="shared" si="8"/>
        <v>EXAMENES DE LABORATORIO</v>
      </c>
      <c r="AH204" s="9" t="s">
        <v>758</v>
      </c>
      <c r="AI204" s="9">
        <v>0</v>
      </c>
      <c r="AJ204" s="9">
        <v>81949100</v>
      </c>
      <c r="AK204" s="9">
        <v>3</v>
      </c>
      <c r="AL204" s="26" t="s">
        <v>69</v>
      </c>
      <c r="AM204" s="14" t="s">
        <v>556</v>
      </c>
      <c r="AN204" s="27" t="str">
        <f t="shared" si="9"/>
        <v>12666564|81949100|135973137|135973137</v>
      </c>
      <c r="AO204" t="s">
        <v>758</v>
      </c>
      <c r="AP204" t="b">
        <v>1</v>
      </c>
      <c r="AQ204" t="s">
        <v>764</v>
      </c>
    </row>
    <row r="205" spans="1:43" x14ac:dyDescent="0.2">
      <c r="A205" s="14" t="s">
        <v>500</v>
      </c>
      <c r="B205" s="17">
        <v>12666564</v>
      </c>
      <c r="C205" s="14" t="s">
        <v>210</v>
      </c>
      <c r="D205" s="9">
        <v>12666564</v>
      </c>
      <c r="E205" s="9" t="s">
        <v>210</v>
      </c>
      <c r="F205" s="7">
        <v>45717</v>
      </c>
      <c r="G205" s="20" t="s">
        <v>46</v>
      </c>
      <c r="H205" s="8">
        <v>135973137</v>
      </c>
      <c r="I205" s="19">
        <v>65384036</v>
      </c>
      <c r="J205" s="10">
        <v>37622</v>
      </c>
      <c r="K205" s="10">
        <v>0</v>
      </c>
      <c r="L205" s="10">
        <v>37622</v>
      </c>
      <c r="M205" s="10">
        <v>0</v>
      </c>
      <c r="N205" s="11">
        <v>37622</v>
      </c>
      <c r="O205" s="12">
        <v>135973137</v>
      </c>
      <c r="P205" s="9">
        <v>285123</v>
      </c>
      <c r="Q205" s="9" t="s">
        <v>37</v>
      </c>
      <c r="R205" s="13">
        <v>45717</v>
      </c>
      <c r="S205" s="22">
        <v>45742</v>
      </c>
      <c r="T205" s="13">
        <v>45685</v>
      </c>
      <c r="U205" s="13">
        <v>45685</v>
      </c>
      <c r="V205" s="9" t="s">
        <v>47</v>
      </c>
      <c r="W205" s="9">
        <v>22770456</v>
      </c>
      <c r="X205" s="9">
        <v>3311105</v>
      </c>
      <c r="Y205" s="9">
        <v>69250924</v>
      </c>
      <c r="Z205" s="9" t="s">
        <v>39</v>
      </c>
      <c r="AA205" s="9">
        <v>2601171503</v>
      </c>
      <c r="AB205" s="9">
        <v>78070</v>
      </c>
      <c r="AC205" s="9" t="s">
        <v>41</v>
      </c>
      <c r="AD205" s="9" t="s">
        <v>132</v>
      </c>
      <c r="AE205" s="9" t="s">
        <v>133</v>
      </c>
      <c r="AF205" s="9" t="s">
        <v>133</v>
      </c>
      <c r="AG205" s="14" t="str">
        <f t="shared" si="8"/>
        <v>EXAMENES DE LABORATORIO</v>
      </c>
      <c r="AH205" s="9">
        <v>0</v>
      </c>
      <c r="AI205" s="9">
        <v>0</v>
      </c>
      <c r="AJ205" s="9">
        <v>81949100</v>
      </c>
      <c r="AK205" s="9">
        <v>3</v>
      </c>
      <c r="AL205" s="26" t="s">
        <v>52</v>
      </c>
      <c r="AM205" s="14" t="s">
        <v>556</v>
      </c>
      <c r="AN205" s="27" t="str">
        <f t="shared" si="9"/>
        <v>12666564|81949100|135973137|65384036</v>
      </c>
      <c r="AO205" t="s">
        <v>44</v>
      </c>
      <c r="AP205" t="b">
        <v>0</v>
      </c>
      <c r="AQ205" t="s">
        <v>763</v>
      </c>
    </row>
    <row r="206" spans="1:43" x14ac:dyDescent="0.2">
      <c r="A206" s="14" t="s">
        <v>500</v>
      </c>
      <c r="B206" s="17">
        <v>12666564</v>
      </c>
      <c r="C206" s="14" t="s">
        <v>210</v>
      </c>
      <c r="D206" s="9">
        <v>12666564</v>
      </c>
      <c r="E206" s="9" t="s">
        <v>210</v>
      </c>
      <c r="F206" s="7">
        <v>45658</v>
      </c>
      <c r="G206" s="20" t="s">
        <v>36</v>
      </c>
      <c r="H206" s="8">
        <v>135973138</v>
      </c>
      <c r="I206" s="19">
        <v>135973138</v>
      </c>
      <c r="J206" s="10">
        <v>27431</v>
      </c>
      <c r="K206" s="10">
        <v>17792</v>
      </c>
      <c r="L206" s="10">
        <v>9639</v>
      </c>
      <c r="M206" s="10">
        <v>0</v>
      </c>
      <c r="N206" s="11">
        <v>9639</v>
      </c>
      <c r="O206" s="12">
        <v>135973138</v>
      </c>
      <c r="P206" s="9">
        <v>285123</v>
      </c>
      <c r="Q206" s="9" t="s">
        <v>37</v>
      </c>
      <c r="R206" s="13">
        <v>45685</v>
      </c>
      <c r="S206" s="22">
        <v>45685</v>
      </c>
      <c r="T206" s="13">
        <v>45685</v>
      </c>
      <c r="U206" s="13">
        <v>45685</v>
      </c>
      <c r="V206" s="9" t="s">
        <v>47</v>
      </c>
      <c r="W206" s="9">
        <v>22560869</v>
      </c>
      <c r="X206" s="9">
        <v>2040929</v>
      </c>
      <c r="Y206" s="9">
        <v>68808443</v>
      </c>
      <c r="Z206" s="9" t="s">
        <v>39</v>
      </c>
      <c r="AA206" s="9">
        <v>2022025</v>
      </c>
      <c r="AB206" s="9">
        <v>77562</v>
      </c>
      <c r="AC206" s="9" t="s">
        <v>41</v>
      </c>
      <c r="AD206" s="9" t="s">
        <v>132</v>
      </c>
      <c r="AE206" s="9" t="s">
        <v>133</v>
      </c>
      <c r="AF206" s="9" t="s">
        <v>133</v>
      </c>
      <c r="AG206" s="14" t="str">
        <f t="shared" si="8"/>
        <v>EXAMENES DE LABORATORIO</v>
      </c>
      <c r="AH206" s="9" t="s">
        <v>758</v>
      </c>
      <c r="AI206" s="9">
        <v>0</v>
      </c>
      <c r="AJ206" s="9">
        <v>81949100</v>
      </c>
      <c r="AK206" s="9">
        <v>3</v>
      </c>
      <c r="AL206" s="26" t="s">
        <v>69</v>
      </c>
      <c r="AM206" s="14" t="s">
        <v>556</v>
      </c>
      <c r="AN206" s="27" t="str">
        <f t="shared" si="9"/>
        <v>12666564|81949100|135973138|135973138</v>
      </c>
      <c r="AO206" t="s">
        <v>758</v>
      </c>
      <c r="AP206" t="b">
        <v>1</v>
      </c>
      <c r="AQ206" t="s">
        <v>764</v>
      </c>
    </row>
    <row r="207" spans="1:43" x14ac:dyDescent="0.2">
      <c r="A207" s="14" t="s">
        <v>500</v>
      </c>
      <c r="B207" s="17">
        <v>12666564</v>
      </c>
      <c r="C207" s="14" t="s">
        <v>210</v>
      </c>
      <c r="D207" s="9">
        <v>12666564</v>
      </c>
      <c r="E207" s="9" t="s">
        <v>210</v>
      </c>
      <c r="F207" s="7">
        <v>45717</v>
      </c>
      <c r="G207" s="20" t="s">
        <v>46</v>
      </c>
      <c r="H207" s="8">
        <v>135973138</v>
      </c>
      <c r="I207" s="19">
        <v>65384037</v>
      </c>
      <c r="J207" s="10">
        <v>8446</v>
      </c>
      <c r="K207" s="10">
        <v>0</v>
      </c>
      <c r="L207" s="10">
        <v>8446</v>
      </c>
      <c r="M207" s="10">
        <v>0</v>
      </c>
      <c r="N207" s="11">
        <v>8446</v>
      </c>
      <c r="O207" s="12">
        <v>135973138</v>
      </c>
      <c r="P207" s="9">
        <v>285123</v>
      </c>
      <c r="Q207" s="9" t="s">
        <v>37</v>
      </c>
      <c r="R207" s="13">
        <v>45717</v>
      </c>
      <c r="S207" s="22">
        <v>45742</v>
      </c>
      <c r="T207" s="13">
        <v>45685</v>
      </c>
      <c r="U207" s="13">
        <v>45685</v>
      </c>
      <c r="V207" s="9" t="s">
        <v>47</v>
      </c>
      <c r="W207" s="9">
        <v>22770456</v>
      </c>
      <c r="X207" s="9">
        <v>3311105</v>
      </c>
      <c r="Y207" s="9">
        <v>69250925</v>
      </c>
      <c r="Z207" s="9" t="s">
        <v>39</v>
      </c>
      <c r="AA207" s="9">
        <v>2601171503</v>
      </c>
      <c r="AB207" s="9">
        <v>78070</v>
      </c>
      <c r="AC207" s="9" t="s">
        <v>41</v>
      </c>
      <c r="AD207" s="9" t="s">
        <v>132</v>
      </c>
      <c r="AE207" s="9" t="s">
        <v>133</v>
      </c>
      <c r="AF207" s="9" t="s">
        <v>133</v>
      </c>
      <c r="AG207" s="14" t="str">
        <f t="shared" si="8"/>
        <v>EXAMENES DE LABORATORIO</v>
      </c>
      <c r="AH207" s="9">
        <v>0</v>
      </c>
      <c r="AI207" s="9">
        <v>0</v>
      </c>
      <c r="AJ207" s="9">
        <v>81949100</v>
      </c>
      <c r="AK207" s="9">
        <v>3</v>
      </c>
      <c r="AL207" s="26" t="s">
        <v>52</v>
      </c>
      <c r="AM207" s="14" t="s">
        <v>556</v>
      </c>
      <c r="AN207" s="27" t="str">
        <f t="shared" si="9"/>
        <v>12666564|81949100|135973138|65384037</v>
      </c>
      <c r="AO207" t="s">
        <v>44</v>
      </c>
      <c r="AP207" t="b">
        <v>0</v>
      </c>
      <c r="AQ207" t="s">
        <v>763</v>
      </c>
    </row>
    <row r="208" spans="1:43" x14ac:dyDescent="0.2">
      <c r="A208" s="14" t="s">
        <v>500</v>
      </c>
      <c r="B208" s="17">
        <v>11297522</v>
      </c>
      <c r="C208" s="14" t="s">
        <v>211</v>
      </c>
      <c r="D208" s="9">
        <v>11297522</v>
      </c>
      <c r="E208" s="9" t="s">
        <v>211</v>
      </c>
      <c r="F208" s="7">
        <v>45658</v>
      </c>
      <c r="G208" s="20" t="s">
        <v>36</v>
      </c>
      <c r="H208" s="8">
        <v>135979121</v>
      </c>
      <c r="I208" s="19">
        <v>135979121</v>
      </c>
      <c r="J208" s="10">
        <v>41466</v>
      </c>
      <c r="K208" s="10">
        <v>29008</v>
      </c>
      <c r="L208" s="10">
        <v>12458</v>
      </c>
      <c r="M208" s="10">
        <v>0</v>
      </c>
      <c r="N208" s="11">
        <v>12458</v>
      </c>
      <c r="O208" s="12">
        <v>135979121</v>
      </c>
      <c r="P208" s="9">
        <v>285123</v>
      </c>
      <c r="Q208" s="9" t="s">
        <v>37</v>
      </c>
      <c r="R208" s="13">
        <v>45685</v>
      </c>
      <c r="S208" s="22">
        <v>45685</v>
      </c>
      <c r="T208" s="13">
        <v>45685</v>
      </c>
      <c r="U208" s="13">
        <v>45685</v>
      </c>
      <c r="V208" s="9" t="s">
        <v>47</v>
      </c>
      <c r="W208" s="9">
        <v>22560861</v>
      </c>
      <c r="X208" s="9">
        <v>2040929</v>
      </c>
      <c r="Y208" s="9">
        <v>68808657</v>
      </c>
      <c r="Z208" s="9" t="s">
        <v>39</v>
      </c>
      <c r="AA208" s="9">
        <v>2022025</v>
      </c>
      <c r="AB208" s="9">
        <v>77562</v>
      </c>
      <c r="AC208" s="9" t="s">
        <v>41</v>
      </c>
      <c r="AD208" s="9" t="s">
        <v>65</v>
      </c>
      <c r="AE208" s="9" t="s">
        <v>66</v>
      </c>
      <c r="AF208" s="9" t="s">
        <v>66</v>
      </c>
      <c r="AG208" s="14" t="str">
        <f t="shared" si="8"/>
        <v>PROCEDIMIENTOS TERAPEUTICOS</v>
      </c>
      <c r="AH208" s="9" t="s">
        <v>758</v>
      </c>
      <c r="AI208" s="9">
        <v>0</v>
      </c>
      <c r="AJ208" s="9">
        <v>76098454</v>
      </c>
      <c r="AK208" s="9" t="s">
        <v>161</v>
      </c>
      <c r="AL208" s="26" t="s">
        <v>69</v>
      </c>
      <c r="AM208" s="14" t="s">
        <v>557</v>
      </c>
      <c r="AN208" s="27" t="str">
        <f t="shared" si="9"/>
        <v>11297522|76098454|135979121|135979121</v>
      </c>
      <c r="AO208" t="s">
        <v>758</v>
      </c>
      <c r="AP208" t="b">
        <v>1</v>
      </c>
      <c r="AQ208" t="s">
        <v>764</v>
      </c>
    </row>
    <row r="209" spans="1:43" x14ac:dyDescent="0.2">
      <c r="A209" s="14" t="s">
        <v>500</v>
      </c>
      <c r="B209" s="17">
        <v>11297522</v>
      </c>
      <c r="C209" s="14" t="s">
        <v>211</v>
      </c>
      <c r="D209" s="9">
        <v>11297522</v>
      </c>
      <c r="E209" s="9" t="s">
        <v>211</v>
      </c>
      <c r="F209" s="7">
        <v>45717</v>
      </c>
      <c r="G209" s="20" t="s">
        <v>46</v>
      </c>
      <c r="H209" s="8">
        <v>135979121</v>
      </c>
      <c r="I209" s="19">
        <v>65383925</v>
      </c>
      <c r="J209" s="10">
        <v>12285</v>
      </c>
      <c r="K209" s="10">
        <v>0</v>
      </c>
      <c r="L209" s="10">
        <v>12285</v>
      </c>
      <c r="M209" s="10">
        <v>0</v>
      </c>
      <c r="N209" s="11">
        <v>12285</v>
      </c>
      <c r="O209" s="12">
        <v>135979121</v>
      </c>
      <c r="P209" s="9">
        <v>285123</v>
      </c>
      <c r="Q209" s="9" t="s">
        <v>37</v>
      </c>
      <c r="R209" s="13">
        <v>45717</v>
      </c>
      <c r="S209" s="22">
        <v>45742</v>
      </c>
      <c r="T209" s="13">
        <v>45685</v>
      </c>
      <c r="U209" s="13">
        <v>45685</v>
      </c>
      <c r="V209" s="9" t="s">
        <v>47</v>
      </c>
      <c r="W209" s="9">
        <v>22770453</v>
      </c>
      <c r="X209" s="9">
        <v>3311105</v>
      </c>
      <c r="Y209" s="9">
        <v>69250814</v>
      </c>
      <c r="Z209" s="9" t="s">
        <v>39</v>
      </c>
      <c r="AA209" s="9">
        <v>73190231140</v>
      </c>
      <c r="AB209" s="9">
        <v>78070</v>
      </c>
      <c r="AC209" s="9" t="s">
        <v>41</v>
      </c>
      <c r="AD209" s="9" t="s">
        <v>65</v>
      </c>
      <c r="AE209" s="9" t="s">
        <v>66</v>
      </c>
      <c r="AF209" s="9" t="s">
        <v>66</v>
      </c>
      <c r="AG209" s="14" t="str">
        <f t="shared" si="8"/>
        <v>PROCEDIMIENTOS TERAPEUTICOS</v>
      </c>
      <c r="AH209" s="9">
        <v>0</v>
      </c>
      <c r="AI209" s="9">
        <v>0</v>
      </c>
      <c r="AJ209" s="9">
        <v>76098454</v>
      </c>
      <c r="AK209" s="9" t="s">
        <v>161</v>
      </c>
      <c r="AL209" s="26" t="s">
        <v>52</v>
      </c>
      <c r="AM209" s="14" t="s">
        <v>557</v>
      </c>
      <c r="AN209" s="27" t="str">
        <f t="shared" si="9"/>
        <v>11297522|76098454|135979121|65383925</v>
      </c>
      <c r="AO209" t="s">
        <v>44</v>
      </c>
      <c r="AP209" t="b">
        <v>0</v>
      </c>
      <c r="AQ209" t="s">
        <v>763</v>
      </c>
    </row>
    <row r="210" spans="1:43" x14ac:dyDescent="0.2">
      <c r="A210" s="14" t="s">
        <v>500</v>
      </c>
      <c r="B210" s="17">
        <v>13297684</v>
      </c>
      <c r="C210" s="14" t="s">
        <v>67</v>
      </c>
      <c r="D210" s="9">
        <v>13297684</v>
      </c>
      <c r="E210" s="9" t="s">
        <v>67</v>
      </c>
      <c r="F210" s="7">
        <v>45658</v>
      </c>
      <c r="G210" s="20" t="s">
        <v>36</v>
      </c>
      <c r="H210" s="8">
        <v>135980272</v>
      </c>
      <c r="I210" s="19">
        <v>135980272</v>
      </c>
      <c r="J210" s="10">
        <v>93831</v>
      </c>
      <c r="K210" s="10">
        <v>65683</v>
      </c>
      <c r="L210" s="10">
        <v>28148</v>
      </c>
      <c r="M210" s="10">
        <v>0</v>
      </c>
      <c r="N210" s="11">
        <v>28148</v>
      </c>
      <c r="O210" s="12">
        <v>135980272</v>
      </c>
      <c r="P210" s="9">
        <v>285123</v>
      </c>
      <c r="Q210" s="9" t="s">
        <v>37</v>
      </c>
      <c r="R210" s="13">
        <v>45685</v>
      </c>
      <c r="S210" s="22">
        <v>45685</v>
      </c>
      <c r="T210" s="13">
        <v>45685</v>
      </c>
      <c r="U210" s="13">
        <v>45685</v>
      </c>
      <c r="V210" s="9" t="s">
        <v>47</v>
      </c>
      <c r="W210" s="9">
        <v>22560874</v>
      </c>
      <c r="X210" s="9">
        <v>2040929</v>
      </c>
      <c r="Y210" s="9">
        <v>68808691</v>
      </c>
      <c r="Z210" s="9" t="s">
        <v>39</v>
      </c>
      <c r="AA210" s="9">
        <v>2022025</v>
      </c>
      <c r="AB210" s="9">
        <v>77562</v>
      </c>
      <c r="AC210" s="9" t="s">
        <v>41</v>
      </c>
      <c r="AD210" s="9" t="s">
        <v>132</v>
      </c>
      <c r="AE210" s="9" t="s">
        <v>133</v>
      </c>
      <c r="AF210" s="9" t="s">
        <v>133</v>
      </c>
      <c r="AG210" s="14" t="str">
        <f t="shared" si="8"/>
        <v>EXAMENES DE LABORATORIO</v>
      </c>
      <c r="AH210" s="9" t="s">
        <v>758</v>
      </c>
      <c r="AI210" s="9">
        <v>0</v>
      </c>
      <c r="AJ210" s="9">
        <v>90753000</v>
      </c>
      <c r="AK210" s="9">
        <v>0</v>
      </c>
      <c r="AL210" s="26" t="s">
        <v>69</v>
      </c>
      <c r="AM210" s="14" t="s">
        <v>508</v>
      </c>
      <c r="AN210" s="27" t="str">
        <f t="shared" si="9"/>
        <v>13297684|90753000|135980272|135980272</v>
      </c>
      <c r="AO210" t="s">
        <v>758</v>
      </c>
      <c r="AP210" t="b">
        <v>1</v>
      </c>
      <c r="AQ210" t="s">
        <v>764</v>
      </c>
    </row>
    <row r="211" spans="1:43" x14ac:dyDescent="0.2">
      <c r="A211" s="14" t="s">
        <v>500</v>
      </c>
      <c r="B211" s="17">
        <v>13297684</v>
      </c>
      <c r="C211" s="14" t="s">
        <v>67</v>
      </c>
      <c r="D211" s="9">
        <v>13297684</v>
      </c>
      <c r="E211" s="9" t="s">
        <v>67</v>
      </c>
      <c r="F211" s="7">
        <v>45717</v>
      </c>
      <c r="G211" s="20" t="s">
        <v>46</v>
      </c>
      <c r="H211" s="8">
        <v>135980272</v>
      </c>
      <c r="I211" s="19">
        <v>65384108</v>
      </c>
      <c r="J211" s="10">
        <v>27641</v>
      </c>
      <c r="K211" s="10">
        <v>0</v>
      </c>
      <c r="L211" s="10">
        <v>27641</v>
      </c>
      <c r="M211" s="10">
        <v>0</v>
      </c>
      <c r="N211" s="11">
        <v>27641</v>
      </c>
      <c r="O211" s="12">
        <v>135980272</v>
      </c>
      <c r="P211" s="9">
        <v>285123</v>
      </c>
      <c r="Q211" s="9" t="s">
        <v>37</v>
      </c>
      <c r="R211" s="13">
        <v>45717</v>
      </c>
      <c r="S211" s="22">
        <v>45742</v>
      </c>
      <c r="T211" s="13">
        <v>45685</v>
      </c>
      <c r="U211" s="13">
        <v>45685</v>
      </c>
      <c r="V211" s="9" t="s">
        <v>47</v>
      </c>
      <c r="W211" s="9">
        <v>22770457</v>
      </c>
      <c r="X211" s="9">
        <v>3311105</v>
      </c>
      <c r="Y211" s="9">
        <v>69250993</v>
      </c>
      <c r="Z211" s="9" t="s">
        <v>39</v>
      </c>
      <c r="AA211" s="9">
        <v>1420170364</v>
      </c>
      <c r="AB211" s="9">
        <v>78070</v>
      </c>
      <c r="AC211" s="9" t="s">
        <v>41</v>
      </c>
      <c r="AD211" s="9" t="s">
        <v>132</v>
      </c>
      <c r="AE211" s="9" t="s">
        <v>133</v>
      </c>
      <c r="AF211" s="9" t="s">
        <v>133</v>
      </c>
      <c r="AG211" s="14" t="str">
        <f t="shared" si="8"/>
        <v>EXAMENES DE LABORATORIO</v>
      </c>
      <c r="AH211" s="9">
        <v>0</v>
      </c>
      <c r="AI211" s="9">
        <v>0</v>
      </c>
      <c r="AJ211" s="9">
        <v>90753000</v>
      </c>
      <c r="AK211" s="9">
        <v>0</v>
      </c>
      <c r="AL211" s="26" t="s">
        <v>52</v>
      </c>
      <c r="AM211" s="14" t="s">
        <v>508</v>
      </c>
      <c r="AN211" s="27" t="str">
        <f t="shared" si="9"/>
        <v>13297684|90753000|135980272|65384108</v>
      </c>
      <c r="AO211" t="s">
        <v>44</v>
      </c>
      <c r="AP211" t="b">
        <v>0</v>
      </c>
      <c r="AQ211" t="s">
        <v>763</v>
      </c>
    </row>
    <row r="212" spans="1:43" x14ac:dyDescent="0.2">
      <c r="A212" s="14" t="s">
        <v>500</v>
      </c>
      <c r="B212" s="17">
        <v>13297684</v>
      </c>
      <c r="C212" s="14" t="s">
        <v>67</v>
      </c>
      <c r="D212" s="9">
        <v>13297684</v>
      </c>
      <c r="E212" s="9" t="s">
        <v>67</v>
      </c>
      <c r="F212" s="7">
        <v>45658</v>
      </c>
      <c r="G212" s="20" t="s">
        <v>36</v>
      </c>
      <c r="H212" s="8">
        <v>135980273</v>
      </c>
      <c r="I212" s="19">
        <v>135980273</v>
      </c>
      <c r="J212" s="10">
        <v>122460</v>
      </c>
      <c r="K212" s="10">
        <v>85721</v>
      </c>
      <c r="L212" s="10">
        <v>36739</v>
      </c>
      <c r="M212" s="10">
        <v>0</v>
      </c>
      <c r="N212" s="11">
        <v>36739</v>
      </c>
      <c r="O212" s="12">
        <v>135980273</v>
      </c>
      <c r="P212" s="9">
        <v>285123</v>
      </c>
      <c r="Q212" s="9" t="s">
        <v>37</v>
      </c>
      <c r="R212" s="13">
        <v>45685</v>
      </c>
      <c r="S212" s="22">
        <v>45685</v>
      </c>
      <c r="T212" s="13">
        <v>45685</v>
      </c>
      <c r="U212" s="13">
        <v>45685</v>
      </c>
      <c r="V212" s="9" t="s">
        <v>47</v>
      </c>
      <c r="W212" s="9">
        <v>22560874</v>
      </c>
      <c r="X212" s="9">
        <v>2040929</v>
      </c>
      <c r="Y212" s="9">
        <v>68808690</v>
      </c>
      <c r="Z212" s="9" t="s">
        <v>39</v>
      </c>
      <c r="AA212" s="9">
        <v>2022025</v>
      </c>
      <c r="AB212" s="9">
        <v>77562</v>
      </c>
      <c r="AC212" s="9" t="s">
        <v>41</v>
      </c>
      <c r="AD212" s="9" t="s">
        <v>132</v>
      </c>
      <c r="AE212" s="9" t="s">
        <v>133</v>
      </c>
      <c r="AF212" s="9" t="s">
        <v>133</v>
      </c>
      <c r="AG212" s="14" t="str">
        <f t="shared" si="8"/>
        <v>EXAMENES DE LABORATORIO</v>
      </c>
      <c r="AH212" s="9" t="s">
        <v>758</v>
      </c>
      <c r="AI212" s="9">
        <v>0</v>
      </c>
      <c r="AJ212" s="9">
        <v>90753000</v>
      </c>
      <c r="AK212" s="9">
        <v>0</v>
      </c>
      <c r="AL212" s="26" t="s">
        <v>69</v>
      </c>
      <c r="AM212" s="14" t="s">
        <v>508</v>
      </c>
      <c r="AN212" s="27" t="str">
        <f t="shared" si="9"/>
        <v>13297684|90753000|135980273|135980273</v>
      </c>
      <c r="AO212" t="s">
        <v>758</v>
      </c>
      <c r="AP212" t="b">
        <v>1</v>
      </c>
      <c r="AQ212" t="s">
        <v>764</v>
      </c>
    </row>
    <row r="213" spans="1:43" x14ac:dyDescent="0.2">
      <c r="A213" s="14" t="s">
        <v>500</v>
      </c>
      <c r="B213" s="17">
        <v>13297684</v>
      </c>
      <c r="C213" s="14" t="s">
        <v>67</v>
      </c>
      <c r="D213" s="9">
        <v>13297684</v>
      </c>
      <c r="E213" s="9" t="s">
        <v>67</v>
      </c>
      <c r="F213" s="7">
        <v>45717</v>
      </c>
      <c r="G213" s="20" t="s">
        <v>46</v>
      </c>
      <c r="H213" s="8">
        <v>135980273</v>
      </c>
      <c r="I213" s="19">
        <v>65384109</v>
      </c>
      <c r="J213" s="10">
        <v>36470</v>
      </c>
      <c r="K213" s="10">
        <v>0</v>
      </c>
      <c r="L213" s="10">
        <v>36470</v>
      </c>
      <c r="M213" s="10">
        <v>0</v>
      </c>
      <c r="N213" s="11">
        <v>36470</v>
      </c>
      <c r="O213" s="12">
        <v>135980273</v>
      </c>
      <c r="P213" s="9">
        <v>285123</v>
      </c>
      <c r="Q213" s="9" t="s">
        <v>37</v>
      </c>
      <c r="R213" s="13">
        <v>45717</v>
      </c>
      <c r="S213" s="22">
        <v>45742</v>
      </c>
      <c r="T213" s="13">
        <v>45685</v>
      </c>
      <c r="U213" s="13">
        <v>45685</v>
      </c>
      <c r="V213" s="9" t="s">
        <v>47</v>
      </c>
      <c r="W213" s="9">
        <v>22770457</v>
      </c>
      <c r="X213" s="9">
        <v>3311105</v>
      </c>
      <c r="Y213" s="9">
        <v>69250994</v>
      </c>
      <c r="Z213" s="9" t="s">
        <v>39</v>
      </c>
      <c r="AA213" s="9">
        <v>1420170364</v>
      </c>
      <c r="AB213" s="9">
        <v>78070</v>
      </c>
      <c r="AC213" s="9" t="s">
        <v>41</v>
      </c>
      <c r="AD213" s="9" t="s">
        <v>132</v>
      </c>
      <c r="AE213" s="9" t="s">
        <v>133</v>
      </c>
      <c r="AF213" s="9" t="s">
        <v>133</v>
      </c>
      <c r="AG213" s="14" t="str">
        <f t="shared" si="8"/>
        <v>EXAMENES DE LABORATORIO</v>
      </c>
      <c r="AH213" s="9">
        <v>0</v>
      </c>
      <c r="AI213" s="9">
        <v>0</v>
      </c>
      <c r="AJ213" s="9">
        <v>90753000</v>
      </c>
      <c r="AK213" s="9">
        <v>0</v>
      </c>
      <c r="AL213" s="26" t="s">
        <v>52</v>
      </c>
      <c r="AM213" s="14" t="s">
        <v>508</v>
      </c>
      <c r="AN213" s="27" t="str">
        <f t="shared" si="9"/>
        <v>13297684|90753000|135980273|65384109</v>
      </c>
      <c r="AO213" t="s">
        <v>44</v>
      </c>
      <c r="AP213" t="b">
        <v>0</v>
      </c>
      <c r="AQ213" t="s">
        <v>763</v>
      </c>
    </row>
    <row r="214" spans="1:43" x14ac:dyDescent="0.2">
      <c r="A214" s="14" t="s">
        <v>500</v>
      </c>
      <c r="B214" s="17">
        <v>13297684</v>
      </c>
      <c r="C214" s="14" t="s">
        <v>67</v>
      </c>
      <c r="D214" s="9">
        <v>13297684</v>
      </c>
      <c r="E214" s="9" t="s">
        <v>67</v>
      </c>
      <c r="F214" s="7">
        <v>45658</v>
      </c>
      <c r="G214" s="20" t="s">
        <v>36</v>
      </c>
      <c r="H214" s="8">
        <v>135980274</v>
      </c>
      <c r="I214" s="19">
        <v>135980274</v>
      </c>
      <c r="J214" s="10">
        <v>37204</v>
      </c>
      <c r="K214" s="10">
        <v>26043</v>
      </c>
      <c r="L214" s="10">
        <v>11161</v>
      </c>
      <c r="M214" s="10">
        <v>0</v>
      </c>
      <c r="N214" s="11">
        <v>11161</v>
      </c>
      <c r="O214" s="12">
        <v>135980274</v>
      </c>
      <c r="P214" s="9">
        <v>285123</v>
      </c>
      <c r="Q214" s="9" t="s">
        <v>37</v>
      </c>
      <c r="R214" s="13">
        <v>45685</v>
      </c>
      <c r="S214" s="22">
        <v>45685</v>
      </c>
      <c r="T214" s="13">
        <v>45685</v>
      </c>
      <c r="U214" s="13">
        <v>45685</v>
      </c>
      <c r="V214" s="9" t="s">
        <v>47</v>
      </c>
      <c r="W214" s="9">
        <v>22560874</v>
      </c>
      <c r="X214" s="9">
        <v>2040929</v>
      </c>
      <c r="Y214" s="9">
        <v>68808689</v>
      </c>
      <c r="Z214" s="9" t="s">
        <v>39</v>
      </c>
      <c r="AA214" s="9">
        <v>2022025</v>
      </c>
      <c r="AB214" s="9">
        <v>77562</v>
      </c>
      <c r="AC214" s="9" t="s">
        <v>41</v>
      </c>
      <c r="AD214" s="9" t="s">
        <v>132</v>
      </c>
      <c r="AE214" s="9" t="s">
        <v>133</v>
      </c>
      <c r="AF214" s="9" t="s">
        <v>133</v>
      </c>
      <c r="AG214" s="14" t="str">
        <f t="shared" si="8"/>
        <v>EXAMENES DE LABORATORIO</v>
      </c>
      <c r="AH214" s="9" t="s">
        <v>758</v>
      </c>
      <c r="AI214" s="9">
        <v>0</v>
      </c>
      <c r="AJ214" s="9">
        <v>90753000</v>
      </c>
      <c r="AK214" s="9">
        <v>0</v>
      </c>
      <c r="AL214" s="26" t="s">
        <v>69</v>
      </c>
      <c r="AM214" s="14" t="s">
        <v>508</v>
      </c>
      <c r="AN214" s="27" t="str">
        <f t="shared" si="9"/>
        <v>13297684|90753000|135980274|135980274</v>
      </c>
      <c r="AO214" t="s">
        <v>758</v>
      </c>
      <c r="AP214" t="b">
        <v>1</v>
      </c>
      <c r="AQ214" t="s">
        <v>764</v>
      </c>
    </row>
    <row r="215" spans="1:43" x14ac:dyDescent="0.2">
      <c r="A215" s="14" t="s">
        <v>500</v>
      </c>
      <c r="B215" s="17">
        <v>13297684</v>
      </c>
      <c r="C215" s="14" t="s">
        <v>67</v>
      </c>
      <c r="D215" s="9">
        <v>13297684</v>
      </c>
      <c r="E215" s="9" t="s">
        <v>67</v>
      </c>
      <c r="F215" s="7">
        <v>45717</v>
      </c>
      <c r="G215" s="20" t="s">
        <v>46</v>
      </c>
      <c r="H215" s="8">
        <v>135980274</v>
      </c>
      <c r="I215" s="19">
        <v>65384110</v>
      </c>
      <c r="J215" s="10">
        <v>11132</v>
      </c>
      <c r="K215" s="10">
        <v>0</v>
      </c>
      <c r="L215" s="10">
        <v>11132</v>
      </c>
      <c r="M215" s="10">
        <v>0</v>
      </c>
      <c r="N215" s="11">
        <v>11132</v>
      </c>
      <c r="O215" s="12">
        <v>135980274</v>
      </c>
      <c r="P215" s="9">
        <v>285123</v>
      </c>
      <c r="Q215" s="9" t="s">
        <v>37</v>
      </c>
      <c r="R215" s="13">
        <v>45717</v>
      </c>
      <c r="S215" s="22">
        <v>45742</v>
      </c>
      <c r="T215" s="13">
        <v>45685</v>
      </c>
      <c r="U215" s="13">
        <v>45685</v>
      </c>
      <c r="V215" s="9" t="s">
        <v>47</v>
      </c>
      <c r="W215" s="9">
        <v>22770457</v>
      </c>
      <c r="X215" s="9">
        <v>3311105</v>
      </c>
      <c r="Y215" s="9">
        <v>69250995</v>
      </c>
      <c r="Z215" s="9" t="s">
        <v>39</v>
      </c>
      <c r="AA215" s="9">
        <v>1420170364</v>
      </c>
      <c r="AB215" s="9">
        <v>78070</v>
      </c>
      <c r="AC215" s="9" t="s">
        <v>41</v>
      </c>
      <c r="AD215" s="9" t="s">
        <v>132</v>
      </c>
      <c r="AE215" s="9" t="s">
        <v>133</v>
      </c>
      <c r="AF215" s="9" t="s">
        <v>133</v>
      </c>
      <c r="AG215" s="14" t="str">
        <f t="shared" si="8"/>
        <v>EXAMENES DE LABORATORIO</v>
      </c>
      <c r="AH215" s="9">
        <v>0</v>
      </c>
      <c r="AI215" s="9">
        <v>0</v>
      </c>
      <c r="AJ215" s="9">
        <v>90753000</v>
      </c>
      <c r="AK215" s="9">
        <v>0</v>
      </c>
      <c r="AL215" s="26" t="s">
        <v>52</v>
      </c>
      <c r="AM215" s="14" t="s">
        <v>508</v>
      </c>
      <c r="AN215" s="27" t="str">
        <f t="shared" si="9"/>
        <v>13297684|90753000|135980274|65384110</v>
      </c>
      <c r="AO215" t="s">
        <v>44</v>
      </c>
      <c r="AP215" t="b">
        <v>0</v>
      </c>
      <c r="AQ215" t="s">
        <v>763</v>
      </c>
    </row>
    <row r="216" spans="1:43" x14ac:dyDescent="0.2">
      <c r="A216" s="14" t="s">
        <v>500</v>
      </c>
      <c r="B216" s="17">
        <v>11297522</v>
      </c>
      <c r="C216" s="14" t="s">
        <v>211</v>
      </c>
      <c r="D216" s="9">
        <v>11297522</v>
      </c>
      <c r="E216" s="9" t="s">
        <v>211</v>
      </c>
      <c r="F216" s="7">
        <v>45658</v>
      </c>
      <c r="G216" s="20" t="s">
        <v>36</v>
      </c>
      <c r="H216" s="8">
        <v>136011207</v>
      </c>
      <c r="I216" s="19">
        <v>136011207</v>
      </c>
      <c r="J216" s="10">
        <v>99841</v>
      </c>
      <c r="K216" s="10">
        <v>69889</v>
      </c>
      <c r="L216" s="10">
        <v>29952</v>
      </c>
      <c r="M216" s="10">
        <v>0</v>
      </c>
      <c r="N216" s="11">
        <v>29952</v>
      </c>
      <c r="O216" s="12">
        <v>136011207</v>
      </c>
      <c r="P216" s="9">
        <v>285123</v>
      </c>
      <c r="Q216" s="9" t="s">
        <v>37</v>
      </c>
      <c r="R216" s="13">
        <v>45686</v>
      </c>
      <c r="S216" s="22">
        <v>45686</v>
      </c>
      <c r="T216" s="13">
        <v>45686</v>
      </c>
      <c r="U216" s="13">
        <v>45686</v>
      </c>
      <c r="V216" s="9" t="s">
        <v>47</v>
      </c>
      <c r="W216" s="9">
        <v>22560906</v>
      </c>
      <c r="X216" s="9">
        <v>2040929</v>
      </c>
      <c r="Y216" s="9">
        <v>68809380</v>
      </c>
      <c r="Z216" s="9" t="s">
        <v>39</v>
      </c>
      <c r="AA216" s="9">
        <v>2022025</v>
      </c>
      <c r="AB216" s="9">
        <v>77562</v>
      </c>
      <c r="AC216" s="9" t="s">
        <v>41</v>
      </c>
      <c r="AD216" s="9" t="s">
        <v>134</v>
      </c>
      <c r="AE216" s="9" t="s">
        <v>135</v>
      </c>
      <c r="AF216" s="9" t="s">
        <v>135</v>
      </c>
      <c r="AG216" s="14" t="str">
        <f t="shared" si="8"/>
        <v>EXAMENES RADIOLOGICOS</v>
      </c>
      <c r="AH216" s="9" t="s">
        <v>758</v>
      </c>
      <c r="AI216" s="9">
        <v>0</v>
      </c>
      <c r="AJ216" s="9">
        <v>76098454</v>
      </c>
      <c r="AK216" s="9" t="s">
        <v>161</v>
      </c>
      <c r="AL216" s="26" t="s">
        <v>69</v>
      </c>
      <c r="AM216" s="14" t="s">
        <v>557</v>
      </c>
      <c r="AN216" s="27" t="str">
        <f t="shared" si="9"/>
        <v>11297522|76098454|136011207|136011207</v>
      </c>
      <c r="AO216" t="s">
        <v>758</v>
      </c>
      <c r="AP216" t="b">
        <v>1</v>
      </c>
      <c r="AQ216" t="s">
        <v>764</v>
      </c>
    </row>
    <row r="217" spans="1:43" x14ac:dyDescent="0.2">
      <c r="A217" s="14" t="s">
        <v>500</v>
      </c>
      <c r="B217" s="17">
        <v>11297522</v>
      </c>
      <c r="C217" s="14" t="s">
        <v>211</v>
      </c>
      <c r="D217" s="9">
        <v>11297522</v>
      </c>
      <c r="E217" s="9" t="s">
        <v>211</v>
      </c>
      <c r="F217" s="7">
        <v>45717</v>
      </c>
      <c r="G217" s="20" t="s">
        <v>46</v>
      </c>
      <c r="H217" s="8">
        <v>136011207</v>
      </c>
      <c r="I217" s="19">
        <v>65383926</v>
      </c>
      <c r="J217" s="10">
        <v>29943</v>
      </c>
      <c r="K217" s="10">
        <v>0</v>
      </c>
      <c r="L217" s="10">
        <v>29943</v>
      </c>
      <c r="M217" s="10">
        <v>0</v>
      </c>
      <c r="N217" s="11">
        <v>29943</v>
      </c>
      <c r="O217" s="12">
        <v>136011207</v>
      </c>
      <c r="P217" s="9">
        <v>285123</v>
      </c>
      <c r="Q217" s="9" t="s">
        <v>37</v>
      </c>
      <c r="R217" s="13">
        <v>45717</v>
      </c>
      <c r="S217" s="22">
        <v>45742</v>
      </c>
      <c r="T217" s="13">
        <v>45686</v>
      </c>
      <c r="U217" s="13">
        <v>45686</v>
      </c>
      <c r="V217" s="9" t="s">
        <v>47</v>
      </c>
      <c r="W217" s="9">
        <v>22770463</v>
      </c>
      <c r="X217" s="9">
        <v>3311105</v>
      </c>
      <c r="Y217" s="9">
        <v>69250815</v>
      </c>
      <c r="Z217" s="9" t="s">
        <v>39</v>
      </c>
      <c r="AA217" s="9">
        <v>73190231140</v>
      </c>
      <c r="AB217" s="9">
        <v>78070</v>
      </c>
      <c r="AC217" s="9" t="s">
        <v>41</v>
      </c>
      <c r="AD217" s="9" t="s">
        <v>134</v>
      </c>
      <c r="AE217" s="9" t="s">
        <v>135</v>
      </c>
      <c r="AF217" s="9" t="s">
        <v>135</v>
      </c>
      <c r="AG217" s="14" t="str">
        <f t="shared" si="8"/>
        <v>EXAMENES RADIOLOGICOS</v>
      </c>
      <c r="AH217" s="9">
        <v>0</v>
      </c>
      <c r="AI217" s="9">
        <v>0</v>
      </c>
      <c r="AJ217" s="9">
        <v>76098454</v>
      </c>
      <c r="AK217" s="9" t="s">
        <v>161</v>
      </c>
      <c r="AL217" s="26" t="s">
        <v>52</v>
      </c>
      <c r="AM217" s="14" t="s">
        <v>557</v>
      </c>
      <c r="AN217" s="27" t="str">
        <f t="shared" si="9"/>
        <v>11297522|76098454|136011207|65383926</v>
      </c>
      <c r="AO217" t="s">
        <v>44</v>
      </c>
      <c r="AP217" t="b">
        <v>0</v>
      </c>
      <c r="AQ217" t="s">
        <v>763</v>
      </c>
    </row>
    <row r="218" spans="1:43" x14ac:dyDescent="0.2">
      <c r="A218" s="14" t="s">
        <v>500</v>
      </c>
      <c r="B218" s="17">
        <v>11297522</v>
      </c>
      <c r="C218" s="14" t="s">
        <v>211</v>
      </c>
      <c r="D218" s="9">
        <v>11297522</v>
      </c>
      <c r="E218" s="9" t="s">
        <v>211</v>
      </c>
      <c r="F218" s="7">
        <v>45658</v>
      </c>
      <c r="G218" s="20" t="s">
        <v>36</v>
      </c>
      <c r="H218" s="8">
        <v>136014898</v>
      </c>
      <c r="I218" s="19">
        <v>136014898</v>
      </c>
      <c r="J218" s="10">
        <v>12654</v>
      </c>
      <c r="K218" s="10">
        <v>8722</v>
      </c>
      <c r="L218" s="10">
        <v>3932</v>
      </c>
      <c r="M218" s="10">
        <v>0</v>
      </c>
      <c r="N218" s="11">
        <v>3932</v>
      </c>
      <c r="O218" s="12">
        <v>136014898</v>
      </c>
      <c r="P218" s="9">
        <v>285123</v>
      </c>
      <c r="Q218" s="9" t="s">
        <v>37</v>
      </c>
      <c r="R218" s="13">
        <v>45686</v>
      </c>
      <c r="S218" s="22">
        <v>45686</v>
      </c>
      <c r="T218" s="13">
        <v>45686</v>
      </c>
      <c r="U218" s="13">
        <v>45686</v>
      </c>
      <c r="V218" s="9" t="s">
        <v>47</v>
      </c>
      <c r="W218" s="9">
        <v>22560906</v>
      </c>
      <c r="X218" s="9">
        <v>2040929</v>
      </c>
      <c r="Y218" s="9">
        <v>68809484</v>
      </c>
      <c r="Z218" s="9" t="s">
        <v>39</v>
      </c>
      <c r="AA218" s="9">
        <v>2022025</v>
      </c>
      <c r="AB218" s="9">
        <v>77562</v>
      </c>
      <c r="AC218" s="9" t="s">
        <v>41</v>
      </c>
      <c r="AD218" s="9" t="s">
        <v>65</v>
      </c>
      <c r="AE218" s="9" t="s">
        <v>66</v>
      </c>
      <c r="AF218" s="9" t="s">
        <v>66</v>
      </c>
      <c r="AG218" s="14" t="str">
        <f t="shared" si="8"/>
        <v>PROCEDIMIENTOS TERAPEUTICOS</v>
      </c>
      <c r="AH218" s="9" t="s">
        <v>758</v>
      </c>
      <c r="AI218" s="9">
        <v>0</v>
      </c>
      <c r="AJ218" s="9">
        <v>76098454</v>
      </c>
      <c r="AK218" s="9" t="s">
        <v>161</v>
      </c>
      <c r="AL218" s="26" t="s">
        <v>69</v>
      </c>
      <c r="AM218" s="14" t="s">
        <v>557</v>
      </c>
      <c r="AN218" s="27" t="str">
        <f t="shared" si="9"/>
        <v>11297522|76098454|136014898|136014898</v>
      </c>
      <c r="AO218" t="s">
        <v>758</v>
      </c>
      <c r="AP218" t="b">
        <v>1</v>
      </c>
      <c r="AQ218" t="s">
        <v>764</v>
      </c>
    </row>
    <row r="219" spans="1:43" x14ac:dyDescent="0.2">
      <c r="A219" s="14" t="s">
        <v>500</v>
      </c>
      <c r="B219" s="17">
        <v>11297522</v>
      </c>
      <c r="C219" s="14" t="s">
        <v>211</v>
      </c>
      <c r="D219" s="9">
        <v>11297522</v>
      </c>
      <c r="E219" s="9" t="s">
        <v>211</v>
      </c>
      <c r="F219" s="7">
        <v>45717</v>
      </c>
      <c r="G219" s="20" t="s">
        <v>46</v>
      </c>
      <c r="H219" s="8">
        <v>136014898</v>
      </c>
      <c r="I219" s="19">
        <v>65383927</v>
      </c>
      <c r="J219" s="10">
        <v>3838</v>
      </c>
      <c r="K219" s="10">
        <v>0</v>
      </c>
      <c r="L219" s="10">
        <v>3838</v>
      </c>
      <c r="M219" s="10">
        <v>0</v>
      </c>
      <c r="N219" s="11">
        <v>3838</v>
      </c>
      <c r="O219" s="12">
        <v>136014898</v>
      </c>
      <c r="P219" s="9">
        <v>285123</v>
      </c>
      <c r="Q219" s="9" t="s">
        <v>37</v>
      </c>
      <c r="R219" s="13">
        <v>45717</v>
      </c>
      <c r="S219" s="22">
        <v>45742</v>
      </c>
      <c r="T219" s="13">
        <v>45686</v>
      </c>
      <c r="U219" s="13">
        <v>45686</v>
      </c>
      <c r="V219" s="9" t="s">
        <v>47</v>
      </c>
      <c r="W219" s="9">
        <v>22770463</v>
      </c>
      <c r="X219" s="9">
        <v>3311105</v>
      </c>
      <c r="Y219" s="9">
        <v>69250816</v>
      </c>
      <c r="Z219" s="9" t="s">
        <v>39</v>
      </c>
      <c r="AA219" s="9">
        <v>73190231140</v>
      </c>
      <c r="AB219" s="9">
        <v>78070</v>
      </c>
      <c r="AC219" s="9" t="s">
        <v>41</v>
      </c>
      <c r="AD219" s="9" t="s">
        <v>65</v>
      </c>
      <c r="AE219" s="9" t="s">
        <v>66</v>
      </c>
      <c r="AF219" s="9" t="s">
        <v>66</v>
      </c>
      <c r="AG219" s="14" t="str">
        <f t="shared" si="8"/>
        <v>PROCEDIMIENTOS TERAPEUTICOS</v>
      </c>
      <c r="AH219" s="9">
        <v>0</v>
      </c>
      <c r="AI219" s="9">
        <v>0</v>
      </c>
      <c r="AJ219" s="9">
        <v>76098454</v>
      </c>
      <c r="AK219" s="9" t="s">
        <v>161</v>
      </c>
      <c r="AL219" s="26" t="s">
        <v>52</v>
      </c>
      <c r="AM219" s="14" t="s">
        <v>557</v>
      </c>
      <c r="AN219" s="27" t="str">
        <f t="shared" si="9"/>
        <v>11297522|76098454|136014898|65383927</v>
      </c>
      <c r="AO219" t="s">
        <v>44</v>
      </c>
      <c r="AP219" t="b">
        <v>0</v>
      </c>
      <c r="AQ219" t="s">
        <v>763</v>
      </c>
    </row>
    <row r="220" spans="1:43" x14ac:dyDescent="0.2">
      <c r="A220" s="14" t="s">
        <v>500</v>
      </c>
      <c r="B220" s="17">
        <v>19069393</v>
      </c>
      <c r="C220" s="14" t="s">
        <v>212</v>
      </c>
      <c r="D220" s="9">
        <v>19069393</v>
      </c>
      <c r="E220" s="9" t="s">
        <v>212</v>
      </c>
      <c r="F220" s="7">
        <v>45689</v>
      </c>
      <c r="G220" s="20" t="s">
        <v>36</v>
      </c>
      <c r="H220" s="8">
        <v>136166928</v>
      </c>
      <c r="I220" s="19">
        <v>136166928</v>
      </c>
      <c r="J220" s="10">
        <v>21264</v>
      </c>
      <c r="K220" s="10">
        <v>17012</v>
      </c>
      <c r="L220" s="10">
        <v>4252</v>
      </c>
      <c r="M220" s="10">
        <v>0</v>
      </c>
      <c r="N220" s="11">
        <v>4252</v>
      </c>
      <c r="O220" s="12">
        <v>136166928</v>
      </c>
      <c r="P220" s="9">
        <v>285123</v>
      </c>
      <c r="Q220" s="9" t="s">
        <v>37</v>
      </c>
      <c r="R220" s="13">
        <v>45693</v>
      </c>
      <c r="S220" s="22">
        <v>45693</v>
      </c>
      <c r="T220" s="13">
        <v>45693</v>
      </c>
      <c r="U220" s="13">
        <v>45693</v>
      </c>
      <c r="V220" s="9" t="s">
        <v>47</v>
      </c>
      <c r="W220" s="9">
        <v>22566243</v>
      </c>
      <c r="X220" s="9">
        <v>2101551</v>
      </c>
      <c r="Y220" s="9">
        <v>68821472</v>
      </c>
      <c r="Z220" s="9" t="s">
        <v>39</v>
      </c>
      <c r="AA220" s="9">
        <v>9022025</v>
      </c>
      <c r="AB220" s="9">
        <v>77586</v>
      </c>
      <c r="AC220" s="9" t="s">
        <v>41</v>
      </c>
      <c r="AD220" s="9" t="s">
        <v>132</v>
      </c>
      <c r="AE220" s="9" t="s">
        <v>133</v>
      </c>
      <c r="AF220" s="9" t="s">
        <v>133</v>
      </c>
      <c r="AG220" s="14" t="str">
        <f t="shared" si="8"/>
        <v>EXAMENES DE LABORATORIO</v>
      </c>
      <c r="AH220" s="9" t="s">
        <v>758</v>
      </c>
      <c r="AI220" s="9">
        <v>0</v>
      </c>
      <c r="AJ220" s="9">
        <v>96885930</v>
      </c>
      <c r="AK220" s="9">
        <v>7</v>
      </c>
      <c r="AL220" s="26" t="s">
        <v>69</v>
      </c>
      <c r="AM220" s="14" t="s">
        <v>558</v>
      </c>
      <c r="AN220" s="27" t="str">
        <f t="shared" si="9"/>
        <v>19069393|96885930|136166928|136166928</v>
      </c>
      <c r="AO220" t="s">
        <v>758</v>
      </c>
      <c r="AP220" t="b">
        <v>1</v>
      </c>
      <c r="AQ220" t="s">
        <v>764</v>
      </c>
    </row>
    <row r="221" spans="1:43" x14ac:dyDescent="0.2">
      <c r="A221" s="14" t="s">
        <v>500</v>
      </c>
      <c r="B221" s="17">
        <v>19069393</v>
      </c>
      <c r="C221" s="14" t="s">
        <v>212</v>
      </c>
      <c r="D221" s="9">
        <v>19069393</v>
      </c>
      <c r="E221" s="9" t="s">
        <v>212</v>
      </c>
      <c r="F221" s="7">
        <v>45717</v>
      </c>
      <c r="G221" s="20" t="s">
        <v>46</v>
      </c>
      <c r="H221" s="8">
        <v>136166928</v>
      </c>
      <c r="I221" s="19">
        <v>65384477</v>
      </c>
      <c r="J221" s="10">
        <v>4220</v>
      </c>
      <c r="K221" s="10">
        <v>0</v>
      </c>
      <c r="L221" s="10">
        <v>4220</v>
      </c>
      <c r="M221" s="10">
        <v>0</v>
      </c>
      <c r="N221" s="11">
        <v>4220</v>
      </c>
      <c r="O221" s="12">
        <v>136166928</v>
      </c>
      <c r="P221" s="9">
        <v>285123</v>
      </c>
      <c r="Q221" s="9" t="s">
        <v>37</v>
      </c>
      <c r="R221" s="13">
        <v>45717</v>
      </c>
      <c r="S221" s="22">
        <v>45742</v>
      </c>
      <c r="T221" s="13">
        <v>45693</v>
      </c>
      <c r="U221" s="13">
        <v>45693</v>
      </c>
      <c r="V221" s="9" t="s">
        <v>47</v>
      </c>
      <c r="W221" s="9">
        <v>22770550</v>
      </c>
      <c r="X221" s="9">
        <v>3311105</v>
      </c>
      <c r="Y221" s="9">
        <v>69251343</v>
      </c>
      <c r="Z221" s="9" t="s">
        <v>39</v>
      </c>
      <c r="AA221" s="9">
        <v>1990479600</v>
      </c>
      <c r="AB221" s="9">
        <v>78070</v>
      </c>
      <c r="AC221" s="9" t="s">
        <v>41</v>
      </c>
      <c r="AD221" s="9" t="s">
        <v>132</v>
      </c>
      <c r="AE221" s="9" t="s">
        <v>133</v>
      </c>
      <c r="AF221" s="9" t="s">
        <v>133</v>
      </c>
      <c r="AG221" s="14" t="str">
        <f t="shared" si="8"/>
        <v>EXAMENES DE LABORATORIO</v>
      </c>
      <c r="AH221" s="9">
        <v>0</v>
      </c>
      <c r="AI221" s="9">
        <v>0</v>
      </c>
      <c r="AJ221" s="9">
        <v>96885930</v>
      </c>
      <c r="AK221" s="9">
        <v>7</v>
      </c>
      <c r="AL221" s="26" t="s">
        <v>52</v>
      </c>
      <c r="AM221" s="14" t="s">
        <v>558</v>
      </c>
      <c r="AN221" s="27" t="str">
        <f t="shared" si="9"/>
        <v>19069393|96885930|136166928|65384477</v>
      </c>
      <c r="AO221" t="s">
        <v>44</v>
      </c>
      <c r="AP221" t="b">
        <v>0</v>
      </c>
      <c r="AQ221" t="s">
        <v>763</v>
      </c>
    </row>
    <row r="222" spans="1:43" x14ac:dyDescent="0.2">
      <c r="A222" s="14" t="s">
        <v>500</v>
      </c>
      <c r="B222" s="17">
        <v>16771325</v>
      </c>
      <c r="C222" s="14" t="s">
        <v>213</v>
      </c>
      <c r="D222" s="9">
        <v>16771325</v>
      </c>
      <c r="E222" s="9" t="s">
        <v>213</v>
      </c>
      <c r="F222" s="7">
        <v>45689</v>
      </c>
      <c r="G222" s="20" t="s">
        <v>36</v>
      </c>
      <c r="H222" s="8">
        <v>136261605</v>
      </c>
      <c r="I222" s="19">
        <v>136261605</v>
      </c>
      <c r="J222" s="10">
        <v>29172</v>
      </c>
      <c r="K222" s="10">
        <v>17503</v>
      </c>
      <c r="L222" s="10">
        <v>11669</v>
      </c>
      <c r="M222" s="10">
        <v>0</v>
      </c>
      <c r="N222" s="11">
        <v>11669</v>
      </c>
      <c r="O222" s="12">
        <v>136261605</v>
      </c>
      <c r="P222" s="9">
        <v>285123</v>
      </c>
      <c r="Q222" s="9" t="s">
        <v>37</v>
      </c>
      <c r="R222" s="13">
        <v>45698</v>
      </c>
      <c r="S222" s="22">
        <v>45698</v>
      </c>
      <c r="T222" s="13">
        <v>45698</v>
      </c>
      <c r="U222" s="13">
        <v>45698</v>
      </c>
      <c r="V222" s="9" t="s">
        <v>47</v>
      </c>
      <c r="W222" s="9">
        <v>22598344</v>
      </c>
      <c r="X222" s="9">
        <v>2171709</v>
      </c>
      <c r="Y222" s="9">
        <v>68875739</v>
      </c>
      <c r="Z222" s="9" t="s">
        <v>39</v>
      </c>
      <c r="AA222" s="9">
        <v>16022025</v>
      </c>
      <c r="AB222" s="9">
        <v>77646</v>
      </c>
      <c r="AC222" s="9" t="s">
        <v>41</v>
      </c>
      <c r="AD222" s="9" t="s">
        <v>132</v>
      </c>
      <c r="AE222" s="9" t="s">
        <v>133</v>
      </c>
      <c r="AF222" s="9" t="s">
        <v>133</v>
      </c>
      <c r="AG222" s="14" t="str">
        <f t="shared" si="8"/>
        <v>EXAMENES DE LABORATORIO</v>
      </c>
      <c r="AH222" s="9" t="s">
        <v>758</v>
      </c>
      <c r="AI222" s="9">
        <v>0</v>
      </c>
      <c r="AJ222" s="9">
        <v>96986050</v>
      </c>
      <c r="AK222" s="9">
        <v>3</v>
      </c>
      <c r="AL222" s="26" t="s">
        <v>69</v>
      </c>
      <c r="AM222" s="14" t="s">
        <v>559</v>
      </c>
      <c r="AN222" s="27" t="str">
        <f t="shared" si="9"/>
        <v>16771325|96986050|136261605|136261605</v>
      </c>
      <c r="AO222" t="s">
        <v>758</v>
      </c>
      <c r="AP222" t="b">
        <v>1</v>
      </c>
      <c r="AQ222" t="s">
        <v>764</v>
      </c>
    </row>
    <row r="223" spans="1:43" x14ac:dyDescent="0.2">
      <c r="A223" s="14" t="s">
        <v>500</v>
      </c>
      <c r="B223" s="17">
        <v>16771325</v>
      </c>
      <c r="C223" s="14" t="s">
        <v>213</v>
      </c>
      <c r="D223" s="9">
        <v>16771325</v>
      </c>
      <c r="E223" s="9" t="s">
        <v>213</v>
      </c>
      <c r="F223" s="7">
        <v>45717</v>
      </c>
      <c r="G223" s="20" t="s">
        <v>46</v>
      </c>
      <c r="H223" s="8">
        <v>136261605</v>
      </c>
      <c r="I223" s="19">
        <v>65384383</v>
      </c>
      <c r="J223" s="10">
        <v>11506</v>
      </c>
      <c r="K223" s="10">
        <v>0</v>
      </c>
      <c r="L223" s="10">
        <v>11506</v>
      </c>
      <c r="M223" s="10">
        <v>0</v>
      </c>
      <c r="N223" s="11">
        <v>11506</v>
      </c>
      <c r="O223" s="12">
        <v>136261605</v>
      </c>
      <c r="P223" s="9">
        <v>285123</v>
      </c>
      <c r="Q223" s="9" t="s">
        <v>37</v>
      </c>
      <c r="R223" s="13">
        <v>45717</v>
      </c>
      <c r="S223" s="22">
        <v>45742</v>
      </c>
      <c r="T223" s="13">
        <v>45698</v>
      </c>
      <c r="U223" s="13">
        <v>45698</v>
      </c>
      <c r="V223" s="9" t="s">
        <v>47</v>
      </c>
      <c r="W223" s="9">
        <v>22770582</v>
      </c>
      <c r="X223" s="9">
        <v>3311105</v>
      </c>
      <c r="Y223" s="9">
        <v>69251261</v>
      </c>
      <c r="Z223" s="9" t="s">
        <v>39</v>
      </c>
      <c r="AA223" s="9">
        <v>17240018327</v>
      </c>
      <c r="AB223" s="9">
        <v>78070</v>
      </c>
      <c r="AC223" s="9" t="s">
        <v>41</v>
      </c>
      <c r="AD223" s="9" t="s">
        <v>132</v>
      </c>
      <c r="AE223" s="9" t="s">
        <v>133</v>
      </c>
      <c r="AF223" s="9" t="s">
        <v>133</v>
      </c>
      <c r="AG223" s="14" t="str">
        <f t="shared" si="8"/>
        <v>EXAMENES DE LABORATORIO</v>
      </c>
      <c r="AH223" s="9">
        <v>0</v>
      </c>
      <c r="AI223" s="9">
        <v>0</v>
      </c>
      <c r="AJ223" s="9">
        <v>96986050</v>
      </c>
      <c r="AK223" s="9">
        <v>3</v>
      </c>
      <c r="AL223" s="26" t="s">
        <v>52</v>
      </c>
      <c r="AM223" s="14" t="s">
        <v>559</v>
      </c>
      <c r="AN223" s="27" t="str">
        <f t="shared" si="9"/>
        <v>16771325|96986050|136261605|65384383</v>
      </c>
      <c r="AO223" t="s">
        <v>44</v>
      </c>
      <c r="AP223" t="b">
        <v>0</v>
      </c>
      <c r="AQ223" t="s">
        <v>763</v>
      </c>
    </row>
    <row r="224" spans="1:43" x14ac:dyDescent="0.2">
      <c r="A224" s="14" t="s">
        <v>500</v>
      </c>
      <c r="B224" s="17">
        <v>16771325</v>
      </c>
      <c r="C224" s="14" t="s">
        <v>213</v>
      </c>
      <c r="D224" s="9">
        <v>16771325</v>
      </c>
      <c r="E224" s="9" t="s">
        <v>213</v>
      </c>
      <c r="F224" s="7">
        <v>45689</v>
      </c>
      <c r="G224" s="20" t="s">
        <v>36</v>
      </c>
      <c r="H224" s="8">
        <v>136261606</v>
      </c>
      <c r="I224" s="19">
        <v>136261606</v>
      </c>
      <c r="J224" s="10">
        <v>31629</v>
      </c>
      <c r="K224" s="10">
        <v>24347</v>
      </c>
      <c r="L224" s="10">
        <v>7282</v>
      </c>
      <c r="M224" s="10">
        <v>0</v>
      </c>
      <c r="N224" s="11">
        <v>7282</v>
      </c>
      <c r="O224" s="12">
        <v>136261606</v>
      </c>
      <c r="P224" s="9">
        <v>285123</v>
      </c>
      <c r="Q224" s="9" t="s">
        <v>37</v>
      </c>
      <c r="R224" s="13">
        <v>45698</v>
      </c>
      <c r="S224" s="22">
        <v>45698</v>
      </c>
      <c r="T224" s="13">
        <v>45698</v>
      </c>
      <c r="U224" s="13">
        <v>45698</v>
      </c>
      <c r="V224" s="9" t="s">
        <v>47</v>
      </c>
      <c r="W224" s="9">
        <v>22598344</v>
      </c>
      <c r="X224" s="9">
        <v>2171709</v>
      </c>
      <c r="Y224" s="9">
        <v>68875738</v>
      </c>
      <c r="Z224" s="9" t="s">
        <v>39</v>
      </c>
      <c r="AA224" s="9">
        <v>16022025</v>
      </c>
      <c r="AB224" s="9">
        <v>77646</v>
      </c>
      <c r="AC224" s="9" t="s">
        <v>41</v>
      </c>
      <c r="AD224" s="9" t="s">
        <v>132</v>
      </c>
      <c r="AE224" s="9" t="s">
        <v>133</v>
      </c>
      <c r="AF224" s="9" t="s">
        <v>133</v>
      </c>
      <c r="AG224" s="14" t="str">
        <f t="shared" si="8"/>
        <v>EXAMENES DE LABORATORIO</v>
      </c>
      <c r="AH224" s="9" t="s">
        <v>758</v>
      </c>
      <c r="AI224" s="9">
        <v>0</v>
      </c>
      <c r="AJ224" s="9">
        <v>96986050</v>
      </c>
      <c r="AK224" s="9">
        <v>3</v>
      </c>
      <c r="AL224" s="26" t="s">
        <v>69</v>
      </c>
      <c r="AM224" s="14" t="s">
        <v>559</v>
      </c>
      <c r="AN224" s="27" t="str">
        <f t="shared" si="9"/>
        <v>16771325|96986050|136261606|136261606</v>
      </c>
      <c r="AO224" t="s">
        <v>758</v>
      </c>
      <c r="AP224" t="b">
        <v>1</v>
      </c>
      <c r="AQ224" t="s">
        <v>764</v>
      </c>
    </row>
    <row r="225" spans="1:43" x14ac:dyDescent="0.2">
      <c r="A225" s="14" t="s">
        <v>500</v>
      </c>
      <c r="B225" s="17">
        <v>16771325</v>
      </c>
      <c r="C225" s="14" t="s">
        <v>213</v>
      </c>
      <c r="D225" s="9">
        <v>16771325</v>
      </c>
      <c r="E225" s="9" t="s">
        <v>213</v>
      </c>
      <c r="F225" s="7">
        <v>45717</v>
      </c>
      <c r="G225" s="20" t="s">
        <v>46</v>
      </c>
      <c r="H225" s="8">
        <v>136261606</v>
      </c>
      <c r="I225" s="19">
        <v>65384384</v>
      </c>
      <c r="J225" s="10">
        <v>7286</v>
      </c>
      <c r="K225" s="10">
        <v>0</v>
      </c>
      <c r="L225" s="10">
        <v>7286</v>
      </c>
      <c r="M225" s="10">
        <v>0</v>
      </c>
      <c r="N225" s="11">
        <v>7286</v>
      </c>
      <c r="O225" s="12">
        <v>136261606</v>
      </c>
      <c r="P225" s="9">
        <v>285123</v>
      </c>
      <c r="Q225" s="9" t="s">
        <v>37</v>
      </c>
      <c r="R225" s="13">
        <v>45717</v>
      </c>
      <c r="S225" s="22">
        <v>45742</v>
      </c>
      <c r="T225" s="13">
        <v>45698</v>
      </c>
      <c r="U225" s="13">
        <v>45698</v>
      </c>
      <c r="V225" s="9" t="s">
        <v>47</v>
      </c>
      <c r="W225" s="9">
        <v>22770582</v>
      </c>
      <c r="X225" s="9">
        <v>3311105</v>
      </c>
      <c r="Y225" s="9">
        <v>69251262</v>
      </c>
      <c r="Z225" s="9" t="s">
        <v>39</v>
      </c>
      <c r="AA225" s="9">
        <v>17240018327</v>
      </c>
      <c r="AB225" s="9">
        <v>78070</v>
      </c>
      <c r="AC225" s="9" t="s">
        <v>41</v>
      </c>
      <c r="AD225" s="9" t="s">
        <v>132</v>
      </c>
      <c r="AE225" s="9" t="s">
        <v>133</v>
      </c>
      <c r="AF225" s="9" t="s">
        <v>133</v>
      </c>
      <c r="AG225" s="14" t="str">
        <f t="shared" si="8"/>
        <v>EXAMENES DE LABORATORIO</v>
      </c>
      <c r="AH225" s="9">
        <v>0</v>
      </c>
      <c r="AI225" s="9">
        <v>0</v>
      </c>
      <c r="AJ225" s="9">
        <v>96986050</v>
      </c>
      <c r="AK225" s="9">
        <v>3</v>
      </c>
      <c r="AL225" s="26" t="s">
        <v>52</v>
      </c>
      <c r="AM225" s="14" t="s">
        <v>559</v>
      </c>
      <c r="AN225" s="27" t="str">
        <f t="shared" si="9"/>
        <v>16771325|96986050|136261606|65384384</v>
      </c>
      <c r="AO225" t="s">
        <v>44</v>
      </c>
      <c r="AP225" t="b">
        <v>0</v>
      </c>
      <c r="AQ225" t="s">
        <v>763</v>
      </c>
    </row>
    <row r="226" spans="1:43" x14ac:dyDescent="0.2">
      <c r="A226" s="14" t="s">
        <v>500</v>
      </c>
      <c r="B226" s="17">
        <v>16771325</v>
      </c>
      <c r="C226" s="14" t="s">
        <v>213</v>
      </c>
      <c r="D226" s="9">
        <v>16771325</v>
      </c>
      <c r="E226" s="9" t="s">
        <v>213</v>
      </c>
      <c r="F226" s="7">
        <v>45689</v>
      </c>
      <c r="G226" s="20" t="s">
        <v>36</v>
      </c>
      <c r="H226" s="8">
        <v>136261607</v>
      </c>
      <c r="I226" s="19">
        <v>136261607</v>
      </c>
      <c r="J226" s="10">
        <v>2405</v>
      </c>
      <c r="K226" s="10">
        <v>1924</v>
      </c>
      <c r="L226" s="10">
        <v>481</v>
      </c>
      <c r="M226" s="10">
        <v>0</v>
      </c>
      <c r="N226" s="11">
        <v>481</v>
      </c>
      <c r="O226" s="12">
        <v>136261607</v>
      </c>
      <c r="P226" s="9">
        <v>285123</v>
      </c>
      <c r="Q226" s="9" t="s">
        <v>37</v>
      </c>
      <c r="R226" s="13">
        <v>45698</v>
      </c>
      <c r="S226" s="22">
        <v>45698</v>
      </c>
      <c r="T226" s="13">
        <v>45698</v>
      </c>
      <c r="U226" s="13">
        <v>45698</v>
      </c>
      <c r="V226" s="9" t="s">
        <v>47</v>
      </c>
      <c r="W226" s="9">
        <v>22598344</v>
      </c>
      <c r="X226" s="9">
        <v>2171709</v>
      </c>
      <c r="Y226" s="9">
        <v>68875737</v>
      </c>
      <c r="Z226" s="9" t="s">
        <v>39</v>
      </c>
      <c r="AA226" s="9">
        <v>16022025</v>
      </c>
      <c r="AB226" s="9">
        <v>77646</v>
      </c>
      <c r="AC226" s="9" t="s">
        <v>41</v>
      </c>
      <c r="AD226" s="9" t="s">
        <v>132</v>
      </c>
      <c r="AE226" s="9" t="s">
        <v>133</v>
      </c>
      <c r="AF226" s="9" t="s">
        <v>133</v>
      </c>
      <c r="AG226" s="14" t="str">
        <f t="shared" si="8"/>
        <v>EXAMENES DE LABORATORIO</v>
      </c>
      <c r="AH226" s="9" t="s">
        <v>758</v>
      </c>
      <c r="AI226" s="9">
        <v>0</v>
      </c>
      <c r="AJ226" s="9">
        <v>96986050</v>
      </c>
      <c r="AK226" s="9">
        <v>3</v>
      </c>
      <c r="AL226" s="26" t="s">
        <v>69</v>
      </c>
      <c r="AM226" s="14" t="s">
        <v>559</v>
      </c>
      <c r="AN226" s="27" t="str">
        <f t="shared" si="9"/>
        <v>16771325|96986050|136261607|136261607</v>
      </c>
      <c r="AO226" t="s">
        <v>758</v>
      </c>
      <c r="AP226" t="b">
        <v>1</v>
      </c>
      <c r="AQ226" t="s">
        <v>764</v>
      </c>
    </row>
    <row r="227" spans="1:43" x14ac:dyDescent="0.2">
      <c r="A227" s="14" t="s">
        <v>500</v>
      </c>
      <c r="B227" s="17">
        <v>16771325</v>
      </c>
      <c r="C227" s="14" t="s">
        <v>213</v>
      </c>
      <c r="D227" s="9">
        <v>16771325</v>
      </c>
      <c r="E227" s="9" t="s">
        <v>213</v>
      </c>
      <c r="F227" s="7">
        <v>45717</v>
      </c>
      <c r="G227" s="20" t="s">
        <v>46</v>
      </c>
      <c r="H227" s="8">
        <v>136261607</v>
      </c>
      <c r="I227" s="19">
        <v>65384385</v>
      </c>
      <c r="J227" s="10">
        <v>767</v>
      </c>
      <c r="K227" s="10">
        <v>0</v>
      </c>
      <c r="L227" s="10">
        <v>767</v>
      </c>
      <c r="M227" s="10">
        <v>0</v>
      </c>
      <c r="N227" s="11">
        <v>767</v>
      </c>
      <c r="O227" s="12">
        <v>136261607</v>
      </c>
      <c r="P227" s="9">
        <v>285123</v>
      </c>
      <c r="Q227" s="9" t="s">
        <v>37</v>
      </c>
      <c r="R227" s="13">
        <v>45717</v>
      </c>
      <c r="S227" s="22">
        <v>45742</v>
      </c>
      <c r="T227" s="13">
        <v>45698</v>
      </c>
      <c r="U227" s="13">
        <v>45698</v>
      </c>
      <c r="V227" s="9" t="s">
        <v>47</v>
      </c>
      <c r="W227" s="9">
        <v>22770582</v>
      </c>
      <c r="X227" s="9">
        <v>3311105</v>
      </c>
      <c r="Y227" s="9">
        <v>69251263</v>
      </c>
      <c r="Z227" s="9" t="s">
        <v>39</v>
      </c>
      <c r="AA227" s="9">
        <v>17240018327</v>
      </c>
      <c r="AB227" s="9">
        <v>78070</v>
      </c>
      <c r="AC227" s="9" t="s">
        <v>41</v>
      </c>
      <c r="AD227" s="9" t="s">
        <v>132</v>
      </c>
      <c r="AE227" s="9" t="s">
        <v>133</v>
      </c>
      <c r="AF227" s="9" t="s">
        <v>133</v>
      </c>
      <c r="AG227" s="14" t="str">
        <f t="shared" si="8"/>
        <v>EXAMENES DE LABORATORIO</v>
      </c>
      <c r="AH227" s="9">
        <v>0</v>
      </c>
      <c r="AI227" s="9">
        <v>0</v>
      </c>
      <c r="AJ227" s="9">
        <v>96986050</v>
      </c>
      <c r="AK227" s="9">
        <v>3</v>
      </c>
      <c r="AL227" s="26" t="s">
        <v>52</v>
      </c>
      <c r="AM227" s="14" t="s">
        <v>559</v>
      </c>
      <c r="AN227" s="27" t="str">
        <f t="shared" si="9"/>
        <v>16771325|96986050|136261607|65384385</v>
      </c>
      <c r="AO227" t="s">
        <v>44</v>
      </c>
      <c r="AP227" t="b">
        <v>0</v>
      </c>
      <c r="AQ227" t="s">
        <v>763</v>
      </c>
    </row>
    <row r="228" spans="1:43" x14ac:dyDescent="0.2">
      <c r="A228" s="14" t="s">
        <v>500</v>
      </c>
      <c r="B228" s="17">
        <v>16771325</v>
      </c>
      <c r="C228" s="14" t="s">
        <v>213</v>
      </c>
      <c r="D228" s="9">
        <v>16771325</v>
      </c>
      <c r="E228" s="9" t="s">
        <v>213</v>
      </c>
      <c r="F228" s="7">
        <v>45689</v>
      </c>
      <c r="G228" s="20" t="s">
        <v>36</v>
      </c>
      <c r="H228" s="8">
        <v>136261611</v>
      </c>
      <c r="I228" s="19">
        <v>136261611</v>
      </c>
      <c r="J228" s="10">
        <v>4875</v>
      </c>
      <c r="K228" s="10">
        <v>3900</v>
      </c>
      <c r="L228" s="10">
        <v>975</v>
      </c>
      <c r="M228" s="10">
        <v>0</v>
      </c>
      <c r="N228" s="11">
        <v>975</v>
      </c>
      <c r="O228" s="12">
        <v>136261611</v>
      </c>
      <c r="P228" s="9">
        <v>285123</v>
      </c>
      <c r="Q228" s="9" t="s">
        <v>37</v>
      </c>
      <c r="R228" s="13">
        <v>45698</v>
      </c>
      <c r="S228" s="22">
        <v>45698</v>
      </c>
      <c r="T228" s="13">
        <v>45698</v>
      </c>
      <c r="U228" s="13">
        <v>45698</v>
      </c>
      <c r="V228" s="9" t="s">
        <v>47</v>
      </c>
      <c r="W228" s="9">
        <v>22598344</v>
      </c>
      <c r="X228" s="9">
        <v>2171709</v>
      </c>
      <c r="Y228" s="9">
        <v>68875740</v>
      </c>
      <c r="Z228" s="9" t="s">
        <v>39</v>
      </c>
      <c r="AA228" s="9">
        <v>16022025</v>
      </c>
      <c r="AB228" s="9">
        <v>77646</v>
      </c>
      <c r="AC228" s="9" t="s">
        <v>41</v>
      </c>
      <c r="AD228" s="9" t="s">
        <v>132</v>
      </c>
      <c r="AE228" s="9" t="s">
        <v>133</v>
      </c>
      <c r="AF228" s="9" t="s">
        <v>133</v>
      </c>
      <c r="AG228" s="14" t="str">
        <f t="shared" si="8"/>
        <v>EXAMENES DE LABORATORIO</v>
      </c>
      <c r="AH228" s="9" t="s">
        <v>758</v>
      </c>
      <c r="AI228" s="9">
        <v>0</v>
      </c>
      <c r="AJ228" s="9">
        <v>96986050</v>
      </c>
      <c r="AK228" s="9">
        <v>3</v>
      </c>
      <c r="AL228" s="26" t="s">
        <v>69</v>
      </c>
      <c r="AM228" s="14" t="s">
        <v>559</v>
      </c>
      <c r="AN228" s="27" t="str">
        <f t="shared" si="9"/>
        <v>16771325|96986050|136261611|136261611</v>
      </c>
      <c r="AO228" t="s">
        <v>758</v>
      </c>
      <c r="AP228" t="b">
        <v>1</v>
      </c>
      <c r="AQ228" t="s">
        <v>764</v>
      </c>
    </row>
    <row r="229" spans="1:43" x14ac:dyDescent="0.2">
      <c r="A229" s="14" t="s">
        <v>500</v>
      </c>
      <c r="B229" s="17">
        <v>16771325</v>
      </c>
      <c r="C229" s="14" t="s">
        <v>213</v>
      </c>
      <c r="D229" s="9">
        <v>16771325</v>
      </c>
      <c r="E229" s="9" t="s">
        <v>213</v>
      </c>
      <c r="F229" s="7">
        <v>45717</v>
      </c>
      <c r="G229" s="20" t="s">
        <v>46</v>
      </c>
      <c r="H229" s="8">
        <v>136261611</v>
      </c>
      <c r="I229" s="19">
        <v>65384386</v>
      </c>
      <c r="J229" s="10">
        <v>767</v>
      </c>
      <c r="K229" s="10">
        <v>0</v>
      </c>
      <c r="L229" s="10">
        <v>767</v>
      </c>
      <c r="M229" s="10">
        <v>0</v>
      </c>
      <c r="N229" s="11">
        <v>767</v>
      </c>
      <c r="O229" s="12">
        <v>136261611</v>
      </c>
      <c r="P229" s="9">
        <v>285123</v>
      </c>
      <c r="Q229" s="9" t="s">
        <v>37</v>
      </c>
      <c r="R229" s="13">
        <v>45717</v>
      </c>
      <c r="S229" s="22">
        <v>45742</v>
      </c>
      <c r="T229" s="13">
        <v>45698</v>
      </c>
      <c r="U229" s="13">
        <v>45698</v>
      </c>
      <c r="V229" s="9" t="s">
        <v>47</v>
      </c>
      <c r="W229" s="9">
        <v>22770582</v>
      </c>
      <c r="X229" s="9">
        <v>3311105</v>
      </c>
      <c r="Y229" s="9">
        <v>69251264</v>
      </c>
      <c r="Z229" s="9" t="s">
        <v>39</v>
      </c>
      <c r="AA229" s="9">
        <v>17240018327</v>
      </c>
      <c r="AB229" s="9">
        <v>78070</v>
      </c>
      <c r="AC229" s="9" t="s">
        <v>41</v>
      </c>
      <c r="AD229" s="9" t="s">
        <v>132</v>
      </c>
      <c r="AE229" s="9" t="s">
        <v>133</v>
      </c>
      <c r="AF229" s="9" t="s">
        <v>133</v>
      </c>
      <c r="AG229" s="14" t="str">
        <f t="shared" si="8"/>
        <v>EXAMENES DE LABORATORIO</v>
      </c>
      <c r="AH229" s="9">
        <v>0</v>
      </c>
      <c r="AI229" s="9">
        <v>0</v>
      </c>
      <c r="AJ229" s="9">
        <v>96986050</v>
      </c>
      <c r="AK229" s="9">
        <v>3</v>
      </c>
      <c r="AL229" s="26" t="s">
        <v>52</v>
      </c>
      <c r="AM229" s="14" t="s">
        <v>559</v>
      </c>
      <c r="AN229" s="27" t="str">
        <f t="shared" si="9"/>
        <v>16771325|96986050|136261611|65384386</v>
      </c>
      <c r="AO229" t="s">
        <v>44</v>
      </c>
      <c r="AP229" t="b">
        <v>0</v>
      </c>
      <c r="AQ229" t="s">
        <v>763</v>
      </c>
    </row>
    <row r="230" spans="1:43" x14ac:dyDescent="0.2">
      <c r="A230" s="14" t="s">
        <v>500</v>
      </c>
      <c r="B230" s="17">
        <v>16771325</v>
      </c>
      <c r="C230" s="14" t="s">
        <v>213</v>
      </c>
      <c r="D230" s="9">
        <v>16771325</v>
      </c>
      <c r="E230" s="9" t="s">
        <v>213</v>
      </c>
      <c r="F230" s="7">
        <v>45689</v>
      </c>
      <c r="G230" s="20" t="s">
        <v>36</v>
      </c>
      <c r="H230" s="8">
        <v>136261670</v>
      </c>
      <c r="I230" s="19">
        <v>136261670</v>
      </c>
      <c r="J230" s="10">
        <v>49476</v>
      </c>
      <c r="K230" s="10">
        <v>37026</v>
      </c>
      <c r="L230" s="10">
        <v>12450</v>
      </c>
      <c r="M230" s="10">
        <v>0</v>
      </c>
      <c r="N230" s="11">
        <v>12450</v>
      </c>
      <c r="O230" s="12">
        <v>136261670</v>
      </c>
      <c r="P230" s="9">
        <v>285123</v>
      </c>
      <c r="Q230" s="9" t="s">
        <v>37</v>
      </c>
      <c r="R230" s="13">
        <v>45698</v>
      </c>
      <c r="S230" s="22">
        <v>45698</v>
      </c>
      <c r="T230" s="13">
        <v>45698</v>
      </c>
      <c r="U230" s="13">
        <v>45698</v>
      </c>
      <c r="V230" s="9" t="s">
        <v>47</v>
      </c>
      <c r="W230" s="9">
        <v>22598344</v>
      </c>
      <c r="X230" s="9">
        <v>2171709</v>
      </c>
      <c r="Y230" s="9">
        <v>68875742</v>
      </c>
      <c r="Z230" s="9" t="s">
        <v>39</v>
      </c>
      <c r="AA230" s="9">
        <v>16022025</v>
      </c>
      <c r="AB230" s="9">
        <v>77646</v>
      </c>
      <c r="AC230" s="9" t="s">
        <v>41</v>
      </c>
      <c r="AD230" s="9" t="s">
        <v>65</v>
      </c>
      <c r="AE230" s="9" t="s">
        <v>66</v>
      </c>
      <c r="AF230" s="9" t="s">
        <v>66</v>
      </c>
      <c r="AG230" s="14" t="str">
        <f t="shared" si="8"/>
        <v>PROCEDIMIENTOS TERAPEUTICOS</v>
      </c>
      <c r="AH230" s="9" t="s">
        <v>758</v>
      </c>
      <c r="AI230" s="9">
        <v>0</v>
      </c>
      <c r="AJ230" s="9">
        <v>76098454</v>
      </c>
      <c r="AK230" s="9" t="s">
        <v>161</v>
      </c>
      <c r="AL230" s="26" t="s">
        <v>69</v>
      </c>
      <c r="AM230" s="14" t="s">
        <v>559</v>
      </c>
      <c r="AN230" s="27" t="str">
        <f t="shared" si="9"/>
        <v>16771325|76098454|136261670|136261670</v>
      </c>
      <c r="AO230" t="s">
        <v>758</v>
      </c>
      <c r="AP230" t="b">
        <v>1</v>
      </c>
      <c r="AQ230" t="s">
        <v>764</v>
      </c>
    </row>
    <row r="231" spans="1:43" x14ac:dyDescent="0.2">
      <c r="A231" s="14" t="s">
        <v>500</v>
      </c>
      <c r="B231" s="17">
        <v>16771325</v>
      </c>
      <c r="C231" s="14" t="s">
        <v>213</v>
      </c>
      <c r="D231" s="9">
        <v>16771325</v>
      </c>
      <c r="E231" s="9" t="s">
        <v>213</v>
      </c>
      <c r="F231" s="7">
        <v>45717</v>
      </c>
      <c r="G231" s="20" t="s">
        <v>46</v>
      </c>
      <c r="H231" s="8">
        <v>136261670</v>
      </c>
      <c r="I231" s="19">
        <v>65384387</v>
      </c>
      <c r="J231" s="10">
        <v>12659</v>
      </c>
      <c r="K231" s="10">
        <v>0</v>
      </c>
      <c r="L231" s="10">
        <v>12659</v>
      </c>
      <c r="M231" s="10">
        <v>0</v>
      </c>
      <c r="N231" s="11">
        <v>12659</v>
      </c>
      <c r="O231" s="12">
        <v>136261670</v>
      </c>
      <c r="P231" s="9">
        <v>285123</v>
      </c>
      <c r="Q231" s="9" t="s">
        <v>37</v>
      </c>
      <c r="R231" s="13">
        <v>45717</v>
      </c>
      <c r="S231" s="22">
        <v>45742</v>
      </c>
      <c r="T231" s="13">
        <v>45698</v>
      </c>
      <c r="U231" s="13">
        <v>45698</v>
      </c>
      <c r="V231" s="9" t="s">
        <v>47</v>
      </c>
      <c r="W231" s="9">
        <v>22770582</v>
      </c>
      <c r="X231" s="9">
        <v>3311105</v>
      </c>
      <c r="Y231" s="9">
        <v>69251265</v>
      </c>
      <c r="Z231" s="9" t="s">
        <v>39</v>
      </c>
      <c r="AA231" s="9">
        <v>17240018327</v>
      </c>
      <c r="AB231" s="9">
        <v>78070</v>
      </c>
      <c r="AC231" s="9" t="s">
        <v>41</v>
      </c>
      <c r="AD231" s="9" t="s">
        <v>65</v>
      </c>
      <c r="AE231" s="9" t="s">
        <v>66</v>
      </c>
      <c r="AF231" s="9" t="s">
        <v>66</v>
      </c>
      <c r="AG231" s="14" t="str">
        <f t="shared" si="8"/>
        <v>PROCEDIMIENTOS TERAPEUTICOS</v>
      </c>
      <c r="AH231" s="9">
        <v>0</v>
      </c>
      <c r="AI231" s="9">
        <v>0</v>
      </c>
      <c r="AJ231" s="9">
        <v>76098454</v>
      </c>
      <c r="AK231" s="9" t="s">
        <v>161</v>
      </c>
      <c r="AL231" s="26" t="s">
        <v>52</v>
      </c>
      <c r="AM231" s="14" t="s">
        <v>559</v>
      </c>
      <c r="AN231" s="27" t="str">
        <f t="shared" si="9"/>
        <v>16771325|76098454|136261670|65384387</v>
      </c>
      <c r="AO231" t="s">
        <v>44</v>
      </c>
      <c r="AP231" t="b">
        <v>0</v>
      </c>
      <c r="AQ231" t="s">
        <v>763</v>
      </c>
    </row>
    <row r="232" spans="1:43" x14ac:dyDescent="0.2">
      <c r="A232" s="14" t="s">
        <v>500</v>
      </c>
      <c r="B232" s="17">
        <v>10151614</v>
      </c>
      <c r="C232" s="14" t="s">
        <v>214</v>
      </c>
      <c r="D232" s="9">
        <v>10151614</v>
      </c>
      <c r="E232" s="9" t="s">
        <v>214</v>
      </c>
      <c r="F232" s="7">
        <v>45689</v>
      </c>
      <c r="G232" s="20" t="s">
        <v>36</v>
      </c>
      <c r="H232" s="8">
        <v>136278405</v>
      </c>
      <c r="I232" s="19">
        <v>136278405</v>
      </c>
      <c r="J232" s="10">
        <v>83440</v>
      </c>
      <c r="K232" s="10">
        <v>19379</v>
      </c>
      <c r="L232" s="10">
        <v>64061</v>
      </c>
      <c r="M232" s="10">
        <v>0</v>
      </c>
      <c r="N232" s="11">
        <v>64061</v>
      </c>
      <c r="O232" s="12">
        <v>136278405</v>
      </c>
      <c r="P232" s="9">
        <v>285123</v>
      </c>
      <c r="Q232" s="9" t="s">
        <v>37</v>
      </c>
      <c r="R232" s="13">
        <v>45698</v>
      </c>
      <c r="S232" s="22">
        <v>45698</v>
      </c>
      <c r="T232" s="13">
        <v>45698</v>
      </c>
      <c r="U232" s="13">
        <v>45698</v>
      </c>
      <c r="V232" s="9" t="s">
        <v>58</v>
      </c>
      <c r="W232" s="9">
        <v>22598321</v>
      </c>
      <c r="X232" s="9">
        <v>2171709</v>
      </c>
      <c r="Y232" s="9">
        <v>68876177</v>
      </c>
      <c r="Z232" s="9" t="s">
        <v>39</v>
      </c>
      <c r="AA232" s="9">
        <v>16022025</v>
      </c>
      <c r="AB232" s="9">
        <v>77646</v>
      </c>
      <c r="AC232" s="9" t="s">
        <v>41</v>
      </c>
      <c r="AD232" s="9" t="s">
        <v>71</v>
      </c>
      <c r="AE232" s="9" t="s">
        <v>72</v>
      </c>
      <c r="AF232" s="9" t="s">
        <v>73</v>
      </c>
      <c r="AG232" s="14" t="str">
        <f t="shared" si="8"/>
        <v>CONSULTA PSIQUIATRICA</v>
      </c>
      <c r="AH232" s="9" t="s">
        <v>758</v>
      </c>
      <c r="AI232" s="9">
        <v>0</v>
      </c>
      <c r="AJ232" s="9">
        <v>71023600</v>
      </c>
      <c r="AK232" s="9">
        <v>3</v>
      </c>
      <c r="AL232" s="26" t="s">
        <v>69</v>
      </c>
      <c r="AM232" s="14" t="s">
        <v>560</v>
      </c>
      <c r="AN232" s="27" t="str">
        <f t="shared" si="9"/>
        <v>10151614|71023600|136278405|136278405</v>
      </c>
      <c r="AO232" t="s">
        <v>758</v>
      </c>
      <c r="AP232" t="b">
        <v>1</v>
      </c>
      <c r="AQ232" t="s">
        <v>764</v>
      </c>
    </row>
    <row r="233" spans="1:43" x14ac:dyDescent="0.2">
      <c r="A233" s="14" t="s">
        <v>500</v>
      </c>
      <c r="B233" s="17">
        <v>10151614</v>
      </c>
      <c r="C233" s="14" t="s">
        <v>214</v>
      </c>
      <c r="D233" s="9">
        <v>10151614</v>
      </c>
      <c r="E233" s="9" t="s">
        <v>214</v>
      </c>
      <c r="F233" s="7">
        <v>45717</v>
      </c>
      <c r="G233" s="20" t="s">
        <v>46</v>
      </c>
      <c r="H233" s="8">
        <v>136278405</v>
      </c>
      <c r="I233" s="19">
        <v>65383805</v>
      </c>
      <c r="J233" s="10">
        <v>64064</v>
      </c>
      <c r="K233" s="10">
        <v>0</v>
      </c>
      <c r="L233" s="10">
        <v>64064</v>
      </c>
      <c r="M233" s="10">
        <v>0</v>
      </c>
      <c r="N233" s="11">
        <v>64064</v>
      </c>
      <c r="O233" s="12">
        <v>136278405</v>
      </c>
      <c r="P233" s="9">
        <v>285123</v>
      </c>
      <c r="Q233" s="9" t="s">
        <v>37</v>
      </c>
      <c r="R233" s="13">
        <v>45717</v>
      </c>
      <c r="S233" s="22">
        <v>45742</v>
      </c>
      <c r="T233" s="13">
        <v>45698</v>
      </c>
      <c r="U233" s="13">
        <v>45698</v>
      </c>
      <c r="V233" s="9" t="s">
        <v>58</v>
      </c>
      <c r="W233" s="9">
        <v>22770577</v>
      </c>
      <c r="X233" s="9">
        <v>3311105</v>
      </c>
      <c r="Y233" s="9">
        <v>69250694</v>
      </c>
      <c r="Z233" s="9" t="s">
        <v>39</v>
      </c>
      <c r="AA233" s="9">
        <v>210689048</v>
      </c>
      <c r="AB233" s="9">
        <v>78070</v>
      </c>
      <c r="AC233" s="9" t="s">
        <v>41</v>
      </c>
      <c r="AD233" s="9" t="s">
        <v>71</v>
      </c>
      <c r="AE233" s="9" t="s">
        <v>72</v>
      </c>
      <c r="AF233" s="9" t="s">
        <v>73</v>
      </c>
      <c r="AG233" s="14" t="str">
        <f t="shared" si="8"/>
        <v>CONSULTA PSIQUIATRICA</v>
      </c>
      <c r="AH233" s="9">
        <v>0</v>
      </c>
      <c r="AI233" s="9">
        <v>0</v>
      </c>
      <c r="AJ233" s="9">
        <v>71023600</v>
      </c>
      <c r="AK233" s="9">
        <v>3</v>
      </c>
      <c r="AL233" s="26" t="s">
        <v>52</v>
      </c>
      <c r="AM233" s="14" t="s">
        <v>560</v>
      </c>
      <c r="AN233" s="27" t="str">
        <f t="shared" si="9"/>
        <v>10151614|71023600|136278405|65383805</v>
      </c>
      <c r="AO233" t="s">
        <v>44</v>
      </c>
      <c r="AP233" t="b">
        <v>0</v>
      </c>
      <c r="AQ233" t="s">
        <v>763</v>
      </c>
    </row>
    <row r="234" spans="1:43" x14ac:dyDescent="0.2">
      <c r="A234" s="14" t="s">
        <v>500</v>
      </c>
      <c r="B234" s="17">
        <v>16771325</v>
      </c>
      <c r="C234" s="14" t="s">
        <v>213</v>
      </c>
      <c r="D234" s="9">
        <v>16771325</v>
      </c>
      <c r="E234" s="9" t="s">
        <v>213</v>
      </c>
      <c r="F234" s="7">
        <v>45689</v>
      </c>
      <c r="G234" s="20" t="s">
        <v>36</v>
      </c>
      <c r="H234" s="8">
        <v>136289637</v>
      </c>
      <c r="I234" s="19">
        <v>136289637</v>
      </c>
      <c r="J234" s="10">
        <v>15099</v>
      </c>
      <c r="K234" s="10">
        <v>11189</v>
      </c>
      <c r="L234" s="10">
        <v>3910</v>
      </c>
      <c r="M234" s="10">
        <v>0</v>
      </c>
      <c r="N234" s="11">
        <v>3910</v>
      </c>
      <c r="O234" s="12">
        <v>136289637</v>
      </c>
      <c r="P234" s="9">
        <v>285123</v>
      </c>
      <c r="Q234" s="9" t="s">
        <v>37</v>
      </c>
      <c r="R234" s="13">
        <v>45699</v>
      </c>
      <c r="S234" s="22">
        <v>45699</v>
      </c>
      <c r="T234" s="13">
        <v>45699</v>
      </c>
      <c r="U234" s="13">
        <v>45699</v>
      </c>
      <c r="V234" s="9" t="s">
        <v>47</v>
      </c>
      <c r="W234" s="9">
        <v>22598372</v>
      </c>
      <c r="X234" s="9">
        <v>2171709</v>
      </c>
      <c r="Y234" s="9">
        <v>68876408</v>
      </c>
      <c r="Z234" s="9" t="s">
        <v>39</v>
      </c>
      <c r="AA234" s="9">
        <v>16022025</v>
      </c>
      <c r="AB234" s="9">
        <v>77646</v>
      </c>
      <c r="AC234" s="9" t="s">
        <v>41</v>
      </c>
      <c r="AD234" s="9" t="s">
        <v>65</v>
      </c>
      <c r="AE234" s="9" t="s">
        <v>66</v>
      </c>
      <c r="AF234" s="9" t="s">
        <v>66</v>
      </c>
      <c r="AG234" s="14" t="str">
        <f t="shared" si="8"/>
        <v>PROCEDIMIENTOS TERAPEUTICOS</v>
      </c>
      <c r="AH234" s="9" t="s">
        <v>758</v>
      </c>
      <c r="AI234" s="9">
        <v>0</v>
      </c>
      <c r="AJ234" s="9">
        <v>76098454</v>
      </c>
      <c r="AK234" s="9" t="s">
        <v>161</v>
      </c>
      <c r="AL234" s="26" t="s">
        <v>69</v>
      </c>
      <c r="AM234" s="14" t="s">
        <v>559</v>
      </c>
      <c r="AN234" s="27" t="str">
        <f t="shared" si="9"/>
        <v>16771325|76098454|136289637|136289637</v>
      </c>
      <c r="AO234" t="s">
        <v>758</v>
      </c>
      <c r="AP234" t="b">
        <v>1</v>
      </c>
      <c r="AQ234" t="s">
        <v>764</v>
      </c>
    </row>
    <row r="235" spans="1:43" x14ac:dyDescent="0.2">
      <c r="A235" s="14" t="s">
        <v>500</v>
      </c>
      <c r="B235" s="17">
        <v>16771325</v>
      </c>
      <c r="C235" s="14" t="s">
        <v>213</v>
      </c>
      <c r="D235" s="9">
        <v>16771325</v>
      </c>
      <c r="E235" s="9" t="s">
        <v>213</v>
      </c>
      <c r="F235" s="7">
        <v>45717</v>
      </c>
      <c r="G235" s="20" t="s">
        <v>46</v>
      </c>
      <c r="H235" s="8">
        <v>136289637</v>
      </c>
      <c r="I235" s="19">
        <v>65384388</v>
      </c>
      <c r="J235" s="10">
        <v>3839</v>
      </c>
      <c r="K235" s="10">
        <v>0</v>
      </c>
      <c r="L235" s="10">
        <v>3839</v>
      </c>
      <c r="M235" s="10">
        <v>0</v>
      </c>
      <c r="N235" s="11">
        <v>3839</v>
      </c>
      <c r="O235" s="12">
        <v>136289637</v>
      </c>
      <c r="P235" s="9">
        <v>285123</v>
      </c>
      <c r="Q235" s="9" t="s">
        <v>37</v>
      </c>
      <c r="R235" s="13">
        <v>45717</v>
      </c>
      <c r="S235" s="22">
        <v>45742</v>
      </c>
      <c r="T235" s="13">
        <v>45699</v>
      </c>
      <c r="U235" s="13">
        <v>45699</v>
      </c>
      <c r="V235" s="9" t="s">
        <v>47</v>
      </c>
      <c r="W235" s="9">
        <v>22770592</v>
      </c>
      <c r="X235" s="9">
        <v>3311105</v>
      </c>
      <c r="Y235" s="9">
        <v>69251266</v>
      </c>
      <c r="Z235" s="9" t="s">
        <v>39</v>
      </c>
      <c r="AA235" s="9">
        <v>17240018327</v>
      </c>
      <c r="AB235" s="9">
        <v>78070</v>
      </c>
      <c r="AC235" s="9" t="s">
        <v>41</v>
      </c>
      <c r="AD235" s="9" t="s">
        <v>65</v>
      </c>
      <c r="AE235" s="9" t="s">
        <v>66</v>
      </c>
      <c r="AF235" s="9" t="s">
        <v>66</v>
      </c>
      <c r="AG235" s="14" t="str">
        <f t="shared" si="8"/>
        <v>PROCEDIMIENTOS TERAPEUTICOS</v>
      </c>
      <c r="AH235" s="9">
        <v>0</v>
      </c>
      <c r="AI235" s="9">
        <v>0</v>
      </c>
      <c r="AJ235" s="9">
        <v>76098454</v>
      </c>
      <c r="AK235" s="9" t="s">
        <v>161</v>
      </c>
      <c r="AL235" s="26" t="s">
        <v>52</v>
      </c>
      <c r="AM235" s="14" t="s">
        <v>559</v>
      </c>
      <c r="AN235" s="27" t="str">
        <f t="shared" si="9"/>
        <v>16771325|76098454|136289637|65384388</v>
      </c>
      <c r="AO235" t="s">
        <v>44</v>
      </c>
      <c r="AP235" t="b">
        <v>0</v>
      </c>
      <c r="AQ235" t="s">
        <v>763</v>
      </c>
    </row>
    <row r="236" spans="1:43" x14ac:dyDescent="0.2">
      <c r="A236" s="14" t="s">
        <v>500</v>
      </c>
      <c r="B236" s="17">
        <v>13983202</v>
      </c>
      <c r="C236" s="14" t="s">
        <v>204</v>
      </c>
      <c r="D236" s="9">
        <v>13983202</v>
      </c>
      <c r="E236" s="9" t="s">
        <v>204</v>
      </c>
      <c r="F236" s="7">
        <v>45689</v>
      </c>
      <c r="G236" s="20" t="s">
        <v>36</v>
      </c>
      <c r="H236" s="8">
        <v>136324038</v>
      </c>
      <c r="I236" s="19">
        <v>136324038</v>
      </c>
      <c r="J236" s="10">
        <v>613248</v>
      </c>
      <c r="K236" s="10">
        <v>507542</v>
      </c>
      <c r="L236" s="10">
        <v>105706</v>
      </c>
      <c r="M236" s="10">
        <v>0</v>
      </c>
      <c r="N236" s="11">
        <v>105706</v>
      </c>
      <c r="O236" s="12">
        <v>136324038</v>
      </c>
      <c r="P236" s="9">
        <v>285123</v>
      </c>
      <c r="Q236" s="9" t="s">
        <v>37</v>
      </c>
      <c r="R236" s="13">
        <v>45700</v>
      </c>
      <c r="S236" s="22">
        <v>45700</v>
      </c>
      <c r="T236" s="13">
        <v>45700</v>
      </c>
      <c r="U236" s="13">
        <v>45700</v>
      </c>
      <c r="V236" s="9" t="s">
        <v>47</v>
      </c>
      <c r="W236" s="9">
        <v>22598413</v>
      </c>
      <c r="X236" s="9">
        <v>2171709</v>
      </c>
      <c r="Y236" s="9">
        <v>68877380</v>
      </c>
      <c r="Z236" s="9" t="s">
        <v>39</v>
      </c>
      <c r="AA236" s="9">
        <v>16022025</v>
      </c>
      <c r="AB236" s="9">
        <v>77646</v>
      </c>
      <c r="AC236" s="9" t="s">
        <v>41</v>
      </c>
      <c r="AD236" s="9" t="s">
        <v>134</v>
      </c>
      <c r="AE236" s="9" t="s">
        <v>135</v>
      </c>
      <c r="AF236" s="9" t="s">
        <v>135</v>
      </c>
      <c r="AG236" s="14" t="str">
        <f t="shared" si="8"/>
        <v>EXAMENES RADIOLOGICOS</v>
      </c>
      <c r="AH236" s="9" t="s">
        <v>758</v>
      </c>
      <c r="AI236" s="9">
        <v>0</v>
      </c>
      <c r="AJ236" s="9">
        <v>76055963</v>
      </c>
      <c r="AK236" s="9">
        <v>6</v>
      </c>
      <c r="AL236" s="26" t="s">
        <v>69</v>
      </c>
      <c r="AM236" s="14" t="s">
        <v>551</v>
      </c>
      <c r="AN236" s="27" t="str">
        <f t="shared" si="9"/>
        <v>13983202|76055963|136324038|136324038</v>
      </c>
      <c r="AO236" t="s">
        <v>758</v>
      </c>
      <c r="AP236" t="b">
        <v>1</v>
      </c>
      <c r="AQ236" t="s">
        <v>764</v>
      </c>
    </row>
    <row r="237" spans="1:43" x14ac:dyDescent="0.2">
      <c r="A237" s="14" t="s">
        <v>500</v>
      </c>
      <c r="B237" s="17">
        <v>13983202</v>
      </c>
      <c r="C237" s="14" t="s">
        <v>204</v>
      </c>
      <c r="D237" s="9">
        <v>13983202</v>
      </c>
      <c r="E237" s="9" t="s">
        <v>204</v>
      </c>
      <c r="F237" s="7">
        <v>45717</v>
      </c>
      <c r="G237" s="20" t="s">
        <v>46</v>
      </c>
      <c r="H237" s="8">
        <v>136324038</v>
      </c>
      <c r="I237" s="19">
        <v>65384179</v>
      </c>
      <c r="J237" s="10">
        <v>105619</v>
      </c>
      <c r="K237" s="10">
        <v>0</v>
      </c>
      <c r="L237" s="10">
        <v>105619</v>
      </c>
      <c r="M237" s="10">
        <v>0</v>
      </c>
      <c r="N237" s="11">
        <v>105619</v>
      </c>
      <c r="O237" s="12">
        <v>136324038</v>
      </c>
      <c r="P237" s="9">
        <v>285123</v>
      </c>
      <c r="Q237" s="9" t="s">
        <v>37</v>
      </c>
      <c r="R237" s="13">
        <v>45717</v>
      </c>
      <c r="S237" s="22">
        <v>45742</v>
      </c>
      <c r="T237" s="13">
        <v>45700</v>
      </c>
      <c r="U237" s="13">
        <v>45700</v>
      </c>
      <c r="V237" s="9" t="s">
        <v>47</v>
      </c>
      <c r="W237" s="9">
        <v>22770605</v>
      </c>
      <c r="X237" s="9">
        <v>3311105</v>
      </c>
      <c r="Y237" s="9">
        <v>69251057</v>
      </c>
      <c r="Z237" s="9" t="s">
        <v>39</v>
      </c>
      <c r="AA237" s="9">
        <v>3250175202</v>
      </c>
      <c r="AB237" s="9">
        <v>78070</v>
      </c>
      <c r="AC237" s="9" t="s">
        <v>41</v>
      </c>
      <c r="AD237" s="9" t="s">
        <v>134</v>
      </c>
      <c r="AE237" s="9" t="s">
        <v>135</v>
      </c>
      <c r="AF237" s="9" t="s">
        <v>135</v>
      </c>
      <c r="AG237" s="14" t="str">
        <f t="shared" si="8"/>
        <v>EXAMENES RADIOLOGICOS</v>
      </c>
      <c r="AH237" s="9">
        <v>0</v>
      </c>
      <c r="AI237" s="9">
        <v>0</v>
      </c>
      <c r="AJ237" s="9">
        <v>76055963</v>
      </c>
      <c r="AK237" s="9">
        <v>6</v>
      </c>
      <c r="AL237" s="26" t="s">
        <v>52</v>
      </c>
      <c r="AM237" s="14" t="s">
        <v>551</v>
      </c>
      <c r="AN237" s="27" t="str">
        <f t="shared" si="9"/>
        <v>13983202|76055963|136324038|65384179</v>
      </c>
      <c r="AO237" t="s">
        <v>44</v>
      </c>
      <c r="AP237" t="b">
        <v>0</v>
      </c>
      <c r="AQ237" t="s">
        <v>763</v>
      </c>
    </row>
    <row r="238" spans="1:43" x14ac:dyDescent="0.2">
      <c r="A238" s="14" t="s">
        <v>500</v>
      </c>
      <c r="B238" s="17">
        <v>13939234</v>
      </c>
      <c r="C238" s="14" t="s">
        <v>215</v>
      </c>
      <c r="D238" s="9">
        <v>23636061</v>
      </c>
      <c r="E238" s="9" t="s">
        <v>216</v>
      </c>
      <c r="F238" s="7">
        <v>45689</v>
      </c>
      <c r="G238" s="20" t="s">
        <v>36</v>
      </c>
      <c r="H238" s="8">
        <v>136325334</v>
      </c>
      <c r="I238" s="19">
        <v>136325334</v>
      </c>
      <c r="J238" s="10">
        <v>114720</v>
      </c>
      <c r="K238" s="10">
        <v>59954</v>
      </c>
      <c r="L238" s="10">
        <v>54766</v>
      </c>
      <c r="M238" s="10">
        <v>0</v>
      </c>
      <c r="N238" s="11">
        <v>54766</v>
      </c>
      <c r="O238" s="12">
        <v>136325334</v>
      </c>
      <c r="P238" s="9">
        <v>285123</v>
      </c>
      <c r="Q238" s="9" t="s">
        <v>37</v>
      </c>
      <c r="R238" s="13">
        <v>45700</v>
      </c>
      <c r="S238" s="22">
        <v>45700</v>
      </c>
      <c r="T238" s="13">
        <v>45700</v>
      </c>
      <c r="U238" s="13">
        <v>45700</v>
      </c>
      <c r="V238" s="9" t="s">
        <v>47</v>
      </c>
      <c r="W238" s="9">
        <v>22598412</v>
      </c>
      <c r="X238" s="9">
        <v>2171709</v>
      </c>
      <c r="Y238" s="9">
        <v>68877412</v>
      </c>
      <c r="Z238" s="9" t="s">
        <v>39</v>
      </c>
      <c r="AA238" s="9">
        <v>16022025</v>
      </c>
      <c r="AB238" s="9">
        <v>77646</v>
      </c>
      <c r="AC238" s="9" t="s">
        <v>41</v>
      </c>
      <c r="AD238" s="9" t="s">
        <v>65</v>
      </c>
      <c r="AE238" s="9" t="s">
        <v>66</v>
      </c>
      <c r="AF238" s="9" t="s">
        <v>66</v>
      </c>
      <c r="AG238" s="14" t="str">
        <f t="shared" si="8"/>
        <v>PROCEDIMIENTOS TERAPEUTICOS</v>
      </c>
      <c r="AH238" s="9" t="s">
        <v>758</v>
      </c>
      <c r="AI238" s="9">
        <v>0</v>
      </c>
      <c r="AJ238" s="9">
        <v>96923250</v>
      </c>
      <c r="AK238" s="9">
        <v>2</v>
      </c>
      <c r="AL238" s="26" t="s">
        <v>69</v>
      </c>
      <c r="AM238" s="14" t="s">
        <v>561</v>
      </c>
      <c r="AN238" s="27" t="str">
        <f t="shared" si="9"/>
        <v>13939234|96923250|136325334|136325334</v>
      </c>
      <c r="AO238" t="s">
        <v>758</v>
      </c>
      <c r="AP238" t="b">
        <v>1</v>
      </c>
      <c r="AQ238" t="s">
        <v>764</v>
      </c>
    </row>
    <row r="239" spans="1:43" x14ac:dyDescent="0.2">
      <c r="A239" s="14" t="s">
        <v>500</v>
      </c>
      <c r="B239" s="17">
        <v>13939234</v>
      </c>
      <c r="C239" s="14" t="s">
        <v>215</v>
      </c>
      <c r="D239" s="9">
        <v>23636061</v>
      </c>
      <c r="E239" s="9" t="s">
        <v>216</v>
      </c>
      <c r="F239" s="7">
        <v>45717</v>
      </c>
      <c r="G239" s="20" t="s">
        <v>46</v>
      </c>
      <c r="H239" s="8">
        <v>136325334</v>
      </c>
      <c r="I239" s="19">
        <v>65384173</v>
      </c>
      <c r="J239" s="10">
        <v>54922</v>
      </c>
      <c r="K239" s="10">
        <v>0</v>
      </c>
      <c r="L239" s="10">
        <v>54922</v>
      </c>
      <c r="M239" s="10">
        <v>0</v>
      </c>
      <c r="N239" s="11">
        <v>54922</v>
      </c>
      <c r="O239" s="12">
        <v>136325334</v>
      </c>
      <c r="P239" s="9">
        <v>285123</v>
      </c>
      <c r="Q239" s="9" t="s">
        <v>37</v>
      </c>
      <c r="R239" s="13">
        <v>45717</v>
      </c>
      <c r="S239" s="22">
        <v>45742</v>
      </c>
      <c r="T239" s="13">
        <v>45700</v>
      </c>
      <c r="U239" s="13">
        <v>45700</v>
      </c>
      <c r="V239" s="9" t="s">
        <v>47</v>
      </c>
      <c r="W239" s="9">
        <v>22770604</v>
      </c>
      <c r="X239" s="9">
        <v>3311105</v>
      </c>
      <c r="Y239" s="9">
        <v>69251051</v>
      </c>
      <c r="Z239" s="9" t="s">
        <v>39</v>
      </c>
      <c r="AA239" s="9">
        <v>63376337</v>
      </c>
      <c r="AB239" s="9">
        <v>78070</v>
      </c>
      <c r="AC239" s="9" t="s">
        <v>41</v>
      </c>
      <c r="AD239" s="9" t="s">
        <v>65</v>
      </c>
      <c r="AE239" s="9" t="s">
        <v>66</v>
      </c>
      <c r="AF239" s="9" t="s">
        <v>66</v>
      </c>
      <c r="AG239" s="14" t="str">
        <f t="shared" si="8"/>
        <v>PROCEDIMIENTOS TERAPEUTICOS</v>
      </c>
      <c r="AH239" s="9">
        <v>0</v>
      </c>
      <c r="AI239" s="9">
        <v>0</v>
      </c>
      <c r="AJ239" s="9">
        <v>96923250</v>
      </c>
      <c r="AK239" s="9">
        <v>2</v>
      </c>
      <c r="AL239" s="26" t="s">
        <v>52</v>
      </c>
      <c r="AM239" s="14" t="s">
        <v>561</v>
      </c>
      <c r="AN239" s="27" t="str">
        <f t="shared" si="9"/>
        <v>13939234|96923250|136325334|65384173</v>
      </c>
      <c r="AO239" t="s">
        <v>44</v>
      </c>
      <c r="AP239" t="b">
        <v>0</v>
      </c>
      <c r="AQ239" t="s">
        <v>763</v>
      </c>
    </row>
    <row r="240" spans="1:43" x14ac:dyDescent="0.2">
      <c r="A240" s="14" t="s">
        <v>500</v>
      </c>
      <c r="B240" s="17">
        <v>13939234</v>
      </c>
      <c r="C240" s="14" t="s">
        <v>215</v>
      </c>
      <c r="D240" s="9">
        <v>23636061</v>
      </c>
      <c r="E240" s="9" t="s">
        <v>216</v>
      </c>
      <c r="F240" s="7">
        <v>45689</v>
      </c>
      <c r="G240" s="20" t="s">
        <v>36</v>
      </c>
      <c r="H240" s="8">
        <v>136325400</v>
      </c>
      <c r="I240" s="19">
        <v>136325400</v>
      </c>
      <c r="J240" s="10">
        <v>11500</v>
      </c>
      <c r="K240" s="10">
        <v>6542</v>
      </c>
      <c r="L240" s="10">
        <v>4958</v>
      </c>
      <c r="M240" s="10">
        <v>0</v>
      </c>
      <c r="N240" s="11">
        <v>4958</v>
      </c>
      <c r="O240" s="12">
        <v>136325400</v>
      </c>
      <c r="P240" s="9">
        <v>285123</v>
      </c>
      <c r="Q240" s="9" t="s">
        <v>37</v>
      </c>
      <c r="R240" s="13">
        <v>45700</v>
      </c>
      <c r="S240" s="22">
        <v>45700</v>
      </c>
      <c r="T240" s="13">
        <v>45700</v>
      </c>
      <c r="U240" s="13">
        <v>45700</v>
      </c>
      <c r="V240" s="9" t="s">
        <v>47</v>
      </c>
      <c r="W240" s="9">
        <v>22598412</v>
      </c>
      <c r="X240" s="9">
        <v>2171709</v>
      </c>
      <c r="Y240" s="9">
        <v>68877414</v>
      </c>
      <c r="Z240" s="9" t="s">
        <v>39</v>
      </c>
      <c r="AA240" s="9">
        <v>16022025</v>
      </c>
      <c r="AB240" s="9">
        <v>77646</v>
      </c>
      <c r="AC240" s="9" t="s">
        <v>41</v>
      </c>
      <c r="AD240" s="9" t="s">
        <v>65</v>
      </c>
      <c r="AE240" s="9" t="s">
        <v>66</v>
      </c>
      <c r="AF240" s="9" t="s">
        <v>66</v>
      </c>
      <c r="AG240" s="14" t="str">
        <f t="shared" si="8"/>
        <v>PROCEDIMIENTOS TERAPEUTICOS</v>
      </c>
      <c r="AH240" s="9" t="s">
        <v>758</v>
      </c>
      <c r="AI240" s="9">
        <v>0</v>
      </c>
      <c r="AJ240" s="9">
        <v>96923250</v>
      </c>
      <c r="AK240" s="9">
        <v>2</v>
      </c>
      <c r="AL240" s="26" t="s">
        <v>69</v>
      </c>
      <c r="AM240" s="14" t="s">
        <v>561</v>
      </c>
      <c r="AN240" s="27" t="str">
        <f t="shared" si="9"/>
        <v>13939234|96923250|136325400|136325400</v>
      </c>
      <c r="AO240" t="s">
        <v>758</v>
      </c>
      <c r="AP240" t="b">
        <v>1</v>
      </c>
      <c r="AQ240" t="s">
        <v>764</v>
      </c>
    </row>
    <row r="241" spans="1:43" x14ac:dyDescent="0.2">
      <c r="A241" s="14" t="s">
        <v>500</v>
      </c>
      <c r="B241" s="17">
        <v>13939234</v>
      </c>
      <c r="C241" s="14" t="s">
        <v>215</v>
      </c>
      <c r="D241" s="9">
        <v>23636061</v>
      </c>
      <c r="E241" s="9" t="s">
        <v>216</v>
      </c>
      <c r="F241" s="7">
        <v>45717</v>
      </c>
      <c r="G241" s="20" t="s">
        <v>46</v>
      </c>
      <c r="H241" s="8">
        <v>136325400</v>
      </c>
      <c r="I241" s="19">
        <v>65384174</v>
      </c>
      <c r="J241" s="10">
        <v>4992</v>
      </c>
      <c r="K241" s="10">
        <v>0</v>
      </c>
      <c r="L241" s="10">
        <v>4992</v>
      </c>
      <c r="M241" s="10">
        <v>0</v>
      </c>
      <c r="N241" s="11">
        <v>4992</v>
      </c>
      <c r="O241" s="12">
        <v>136325400</v>
      </c>
      <c r="P241" s="9">
        <v>285123</v>
      </c>
      <c r="Q241" s="9" t="s">
        <v>37</v>
      </c>
      <c r="R241" s="13">
        <v>45717</v>
      </c>
      <c r="S241" s="22">
        <v>45742</v>
      </c>
      <c r="T241" s="13">
        <v>45700</v>
      </c>
      <c r="U241" s="13">
        <v>45700</v>
      </c>
      <c r="V241" s="9" t="s">
        <v>47</v>
      </c>
      <c r="W241" s="9">
        <v>22770604</v>
      </c>
      <c r="X241" s="9">
        <v>3311105</v>
      </c>
      <c r="Y241" s="9">
        <v>69251052</v>
      </c>
      <c r="Z241" s="9" t="s">
        <v>39</v>
      </c>
      <c r="AA241" s="9">
        <v>63376337</v>
      </c>
      <c r="AB241" s="9">
        <v>78070</v>
      </c>
      <c r="AC241" s="9" t="s">
        <v>41</v>
      </c>
      <c r="AD241" s="9" t="s">
        <v>65</v>
      </c>
      <c r="AE241" s="9" t="s">
        <v>66</v>
      </c>
      <c r="AF241" s="9" t="s">
        <v>66</v>
      </c>
      <c r="AG241" s="14" t="str">
        <f t="shared" si="8"/>
        <v>PROCEDIMIENTOS TERAPEUTICOS</v>
      </c>
      <c r="AH241" s="9">
        <v>0</v>
      </c>
      <c r="AI241" s="9">
        <v>0</v>
      </c>
      <c r="AJ241" s="9">
        <v>96923250</v>
      </c>
      <c r="AK241" s="9">
        <v>2</v>
      </c>
      <c r="AL241" s="26" t="s">
        <v>52</v>
      </c>
      <c r="AM241" s="14" t="s">
        <v>561</v>
      </c>
      <c r="AN241" s="27" t="str">
        <f t="shared" si="9"/>
        <v>13939234|96923250|136325400|65384174</v>
      </c>
      <c r="AO241" t="s">
        <v>44</v>
      </c>
      <c r="AP241" t="b">
        <v>0</v>
      </c>
      <c r="AQ241" t="s">
        <v>763</v>
      </c>
    </row>
    <row r="242" spans="1:43" x14ac:dyDescent="0.2">
      <c r="A242" s="14" t="s">
        <v>500</v>
      </c>
      <c r="B242" s="17">
        <v>12480709</v>
      </c>
      <c r="C242" s="14" t="s">
        <v>217</v>
      </c>
      <c r="D242" s="9">
        <v>12480709</v>
      </c>
      <c r="E242" s="9" t="s">
        <v>217</v>
      </c>
      <c r="F242" s="7">
        <v>45689</v>
      </c>
      <c r="G242" s="20" t="s">
        <v>36</v>
      </c>
      <c r="H242" s="8">
        <v>136400609</v>
      </c>
      <c r="I242" s="19">
        <v>136400609</v>
      </c>
      <c r="J242" s="10">
        <v>748183</v>
      </c>
      <c r="K242" s="10">
        <v>585922</v>
      </c>
      <c r="L242" s="10">
        <v>162261</v>
      </c>
      <c r="M242" s="10">
        <v>0</v>
      </c>
      <c r="N242" s="11">
        <v>162261</v>
      </c>
      <c r="O242" s="12">
        <v>136400609</v>
      </c>
      <c r="P242" s="9">
        <v>285123</v>
      </c>
      <c r="Q242" s="9" t="s">
        <v>37</v>
      </c>
      <c r="R242" s="13">
        <v>45704</v>
      </c>
      <c r="S242" s="22">
        <v>45704</v>
      </c>
      <c r="T242" s="13">
        <v>45704</v>
      </c>
      <c r="U242" s="13">
        <v>45704</v>
      </c>
      <c r="V242" s="9" t="s">
        <v>47</v>
      </c>
      <c r="W242" s="9">
        <v>22621720</v>
      </c>
      <c r="X242" s="9">
        <v>2250942</v>
      </c>
      <c r="Y242" s="9">
        <v>68909177</v>
      </c>
      <c r="Z242" s="9" t="s">
        <v>39</v>
      </c>
      <c r="AA242" s="9">
        <v>23022025</v>
      </c>
      <c r="AB242" s="9">
        <v>77703</v>
      </c>
      <c r="AC242" s="9" t="s">
        <v>41</v>
      </c>
      <c r="AD242" s="9" t="s">
        <v>134</v>
      </c>
      <c r="AE242" s="9" t="s">
        <v>135</v>
      </c>
      <c r="AF242" s="9" t="s">
        <v>135</v>
      </c>
      <c r="AG242" s="14" t="str">
        <f t="shared" si="8"/>
        <v>EXAMENES RADIOLOGICOS</v>
      </c>
      <c r="AH242" s="9" t="s">
        <v>758</v>
      </c>
      <c r="AI242" s="9">
        <v>0</v>
      </c>
      <c r="AJ242" s="9">
        <v>76436880</v>
      </c>
      <c r="AK242" s="9">
        <v>0</v>
      </c>
      <c r="AL242" s="26" t="s">
        <v>69</v>
      </c>
      <c r="AM242" s="14" t="s">
        <v>562</v>
      </c>
      <c r="AN242" s="27" t="str">
        <f t="shared" si="9"/>
        <v>12480709|76436880|136400609|136400609</v>
      </c>
      <c r="AO242" t="s">
        <v>758</v>
      </c>
      <c r="AP242" t="b">
        <v>1</v>
      </c>
      <c r="AQ242" t="s">
        <v>764</v>
      </c>
    </row>
    <row r="243" spans="1:43" x14ac:dyDescent="0.2">
      <c r="A243" s="14" t="s">
        <v>500</v>
      </c>
      <c r="B243" s="17">
        <v>12480709</v>
      </c>
      <c r="C243" s="14" t="s">
        <v>217</v>
      </c>
      <c r="D243" s="9">
        <v>12480709</v>
      </c>
      <c r="E243" s="9" t="s">
        <v>217</v>
      </c>
      <c r="F243" s="7">
        <v>45717</v>
      </c>
      <c r="G243" s="20" t="s">
        <v>46</v>
      </c>
      <c r="H243" s="8">
        <v>136400609</v>
      </c>
      <c r="I243" s="19">
        <v>65384015</v>
      </c>
      <c r="J243" s="10">
        <v>162331</v>
      </c>
      <c r="K243" s="10">
        <v>0</v>
      </c>
      <c r="L243" s="10">
        <v>162331</v>
      </c>
      <c r="M243" s="10">
        <v>0</v>
      </c>
      <c r="N243" s="11">
        <v>162331</v>
      </c>
      <c r="O243" s="12">
        <v>136400609</v>
      </c>
      <c r="P243" s="9">
        <v>285123</v>
      </c>
      <c r="Q243" s="9" t="s">
        <v>37</v>
      </c>
      <c r="R243" s="13">
        <v>45717</v>
      </c>
      <c r="S243" s="22">
        <v>45742</v>
      </c>
      <c r="T243" s="13">
        <v>45704</v>
      </c>
      <c r="U243" s="13">
        <v>45704</v>
      </c>
      <c r="V243" s="9" t="s">
        <v>47</v>
      </c>
      <c r="W243" s="9">
        <v>22770639</v>
      </c>
      <c r="X243" s="9">
        <v>3311105</v>
      </c>
      <c r="Y243" s="9">
        <v>69250903</v>
      </c>
      <c r="Z243" s="9" t="s">
        <v>39</v>
      </c>
      <c r="AA243" s="9">
        <v>4266455</v>
      </c>
      <c r="AB243" s="9">
        <v>78070</v>
      </c>
      <c r="AC243" s="9" t="s">
        <v>41</v>
      </c>
      <c r="AD243" s="9" t="s">
        <v>134</v>
      </c>
      <c r="AE243" s="9" t="s">
        <v>135</v>
      </c>
      <c r="AF243" s="9" t="s">
        <v>135</v>
      </c>
      <c r="AG243" s="14" t="str">
        <f t="shared" si="8"/>
        <v>EXAMENES RADIOLOGICOS</v>
      </c>
      <c r="AH243" s="9">
        <v>0</v>
      </c>
      <c r="AI243" s="9">
        <v>0</v>
      </c>
      <c r="AJ243" s="9">
        <v>76436880</v>
      </c>
      <c r="AK243" s="9">
        <v>0</v>
      </c>
      <c r="AL243" s="26" t="s">
        <v>52</v>
      </c>
      <c r="AM243" s="14" t="s">
        <v>562</v>
      </c>
      <c r="AN243" s="27" t="str">
        <f t="shared" si="9"/>
        <v>12480709|76436880|136400609|65384015</v>
      </c>
      <c r="AO243" t="s">
        <v>44</v>
      </c>
      <c r="AP243" t="b">
        <v>0</v>
      </c>
      <c r="AQ243" t="s">
        <v>763</v>
      </c>
    </row>
    <row r="244" spans="1:43" x14ac:dyDescent="0.2">
      <c r="A244" s="14" t="s">
        <v>500</v>
      </c>
      <c r="B244" s="17">
        <v>15961242</v>
      </c>
      <c r="C244" s="14" t="s">
        <v>218</v>
      </c>
      <c r="D244" s="9">
        <v>15961242</v>
      </c>
      <c r="E244" s="9" t="s">
        <v>218</v>
      </c>
      <c r="F244" s="7">
        <v>45689</v>
      </c>
      <c r="G244" s="20" t="s">
        <v>36</v>
      </c>
      <c r="H244" s="8">
        <v>136436297</v>
      </c>
      <c r="I244" s="19">
        <v>136436297</v>
      </c>
      <c r="J244" s="10">
        <v>33740</v>
      </c>
      <c r="K244" s="10">
        <v>25400</v>
      </c>
      <c r="L244" s="10">
        <v>8340</v>
      </c>
      <c r="M244" s="10">
        <v>0</v>
      </c>
      <c r="N244" s="11">
        <v>8340</v>
      </c>
      <c r="O244" s="12">
        <v>136436297</v>
      </c>
      <c r="P244" s="9">
        <v>285123</v>
      </c>
      <c r="Q244" s="9" t="s">
        <v>37</v>
      </c>
      <c r="R244" s="13">
        <v>45706</v>
      </c>
      <c r="S244" s="22">
        <v>45706</v>
      </c>
      <c r="T244" s="13">
        <v>45706</v>
      </c>
      <c r="U244" s="13">
        <v>45706</v>
      </c>
      <c r="V244" s="9" t="s">
        <v>47</v>
      </c>
      <c r="W244" s="9">
        <v>22621796</v>
      </c>
      <c r="X244" s="9">
        <v>2250942</v>
      </c>
      <c r="Y244" s="9">
        <v>68910037</v>
      </c>
      <c r="Z244" s="9" t="s">
        <v>39</v>
      </c>
      <c r="AA244" s="9">
        <v>23022025</v>
      </c>
      <c r="AB244" s="9">
        <v>77703</v>
      </c>
      <c r="AC244" s="9" t="s">
        <v>41</v>
      </c>
      <c r="AD244" s="9" t="s">
        <v>132</v>
      </c>
      <c r="AE244" s="9" t="s">
        <v>133</v>
      </c>
      <c r="AF244" s="9" t="s">
        <v>133</v>
      </c>
      <c r="AG244" s="14" t="str">
        <f t="shared" si="8"/>
        <v>EXAMENES DE LABORATORIO</v>
      </c>
      <c r="AH244" s="9" t="s">
        <v>758</v>
      </c>
      <c r="AI244" s="9">
        <v>0</v>
      </c>
      <c r="AJ244" s="9">
        <v>99573490</v>
      </c>
      <c r="AK244" s="9">
        <v>7</v>
      </c>
      <c r="AL244" s="26" t="s">
        <v>69</v>
      </c>
      <c r="AM244" s="14" t="s">
        <v>563</v>
      </c>
      <c r="AN244" s="27" t="str">
        <f t="shared" si="9"/>
        <v>15961242|99573490|136436297|136436297</v>
      </c>
      <c r="AO244" t="s">
        <v>758</v>
      </c>
      <c r="AP244" t="b">
        <v>1</v>
      </c>
      <c r="AQ244" t="s">
        <v>764</v>
      </c>
    </row>
    <row r="245" spans="1:43" x14ac:dyDescent="0.2">
      <c r="A245" s="14" t="s">
        <v>500</v>
      </c>
      <c r="B245" s="17">
        <v>15961242</v>
      </c>
      <c r="C245" s="14" t="s">
        <v>218</v>
      </c>
      <c r="D245" s="9">
        <v>15961242</v>
      </c>
      <c r="E245" s="9" t="s">
        <v>218</v>
      </c>
      <c r="F245" s="7">
        <v>45717</v>
      </c>
      <c r="G245" s="20" t="s">
        <v>46</v>
      </c>
      <c r="H245" s="8">
        <v>136436297</v>
      </c>
      <c r="I245" s="19">
        <v>65384348</v>
      </c>
      <c r="J245" s="10">
        <v>8465</v>
      </c>
      <c r="K245" s="10">
        <v>0</v>
      </c>
      <c r="L245" s="10">
        <v>8465</v>
      </c>
      <c r="M245" s="10">
        <v>0</v>
      </c>
      <c r="N245" s="11">
        <v>8465</v>
      </c>
      <c r="O245" s="12">
        <v>136436297</v>
      </c>
      <c r="P245" s="9">
        <v>285123</v>
      </c>
      <c r="Q245" s="9" t="s">
        <v>37</v>
      </c>
      <c r="R245" s="13">
        <v>45717</v>
      </c>
      <c r="S245" s="22">
        <v>45742</v>
      </c>
      <c r="T245" s="13">
        <v>45706</v>
      </c>
      <c r="U245" s="13">
        <v>45706</v>
      </c>
      <c r="V245" s="9" t="s">
        <v>47</v>
      </c>
      <c r="W245" s="9">
        <v>22770658</v>
      </c>
      <c r="X245" s="9">
        <v>3311105</v>
      </c>
      <c r="Y245" s="9">
        <v>69251231</v>
      </c>
      <c r="Z245" s="9" t="s">
        <v>39</v>
      </c>
      <c r="AA245" s="9">
        <v>16010015256</v>
      </c>
      <c r="AB245" s="9">
        <v>78070</v>
      </c>
      <c r="AC245" s="9" t="s">
        <v>41</v>
      </c>
      <c r="AD245" s="9" t="s">
        <v>132</v>
      </c>
      <c r="AE245" s="9" t="s">
        <v>133</v>
      </c>
      <c r="AF245" s="9" t="s">
        <v>133</v>
      </c>
      <c r="AG245" s="14" t="str">
        <f t="shared" ref="AG245:AG299" si="10">+AF245</f>
        <v>EXAMENES DE LABORATORIO</v>
      </c>
      <c r="AH245" s="9">
        <v>0</v>
      </c>
      <c r="AI245" s="9">
        <v>0</v>
      </c>
      <c r="AJ245" s="9">
        <v>99573490</v>
      </c>
      <c r="AK245" s="9">
        <v>7</v>
      </c>
      <c r="AL245" s="26" t="s">
        <v>52</v>
      </c>
      <c r="AM245" s="14" t="s">
        <v>563</v>
      </c>
      <c r="AN245" s="27" t="str">
        <f t="shared" si="9"/>
        <v>15961242|99573490|136436297|65384348</v>
      </c>
      <c r="AO245" t="s">
        <v>44</v>
      </c>
      <c r="AP245" t="b">
        <v>0</v>
      </c>
      <c r="AQ245" t="s">
        <v>763</v>
      </c>
    </row>
    <row r="246" spans="1:43" x14ac:dyDescent="0.2">
      <c r="A246" s="14" t="s">
        <v>500</v>
      </c>
      <c r="B246" s="17">
        <v>15961242</v>
      </c>
      <c r="C246" s="14" t="s">
        <v>218</v>
      </c>
      <c r="D246" s="9">
        <v>15961242</v>
      </c>
      <c r="E246" s="9" t="s">
        <v>218</v>
      </c>
      <c r="F246" s="7">
        <v>45689</v>
      </c>
      <c r="G246" s="20" t="s">
        <v>36</v>
      </c>
      <c r="H246" s="8">
        <v>136436298</v>
      </c>
      <c r="I246" s="19">
        <v>136436298</v>
      </c>
      <c r="J246" s="10">
        <v>14290</v>
      </c>
      <c r="K246" s="10">
        <v>11098</v>
      </c>
      <c r="L246" s="10">
        <v>3192</v>
      </c>
      <c r="M246" s="10">
        <v>0</v>
      </c>
      <c r="N246" s="11">
        <v>3192</v>
      </c>
      <c r="O246" s="12">
        <v>136436298</v>
      </c>
      <c r="P246" s="9">
        <v>285123</v>
      </c>
      <c r="Q246" s="9" t="s">
        <v>37</v>
      </c>
      <c r="R246" s="13">
        <v>45706</v>
      </c>
      <c r="S246" s="22">
        <v>45706</v>
      </c>
      <c r="T246" s="13">
        <v>45706</v>
      </c>
      <c r="U246" s="13">
        <v>45706</v>
      </c>
      <c r="V246" s="9" t="s">
        <v>47</v>
      </c>
      <c r="W246" s="9">
        <v>22621796</v>
      </c>
      <c r="X246" s="9">
        <v>2250942</v>
      </c>
      <c r="Y246" s="9">
        <v>68910036</v>
      </c>
      <c r="Z246" s="9" t="s">
        <v>39</v>
      </c>
      <c r="AA246" s="9">
        <v>23022025</v>
      </c>
      <c r="AB246" s="9">
        <v>77703</v>
      </c>
      <c r="AC246" s="9" t="s">
        <v>41</v>
      </c>
      <c r="AD246" s="9" t="s">
        <v>132</v>
      </c>
      <c r="AE246" s="9" t="s">
        <v>133</v>
      </c>
      <c r="AF246" s="9" t="s">
        <v>133</v>
      </c>
      <c r="AG246" s="14" t="str">
        <f t="shared" si="10"/>
        <v>EXAMENES DE LABORATORIO</v>
      </c>
      <c r="AH246" s="9" t="s">
        <v>758</v>
      </c>
      <c r="AI246" s="9">
        <v>0</v>
      </c>
      <c r="AJ246" s="9">
        <v>99573490</v>
      </c>
      <c r="AK246" s="9">
        <v>7</v>
      </c>
      <c r="AL246" s="26" t="s">
        <v>69</v>
      </c>
      <c r="AM246" s="14" t="s">
        <v>563</v>
      </c>
      <c r="AN246" s="27" t="str">
        <f t="shared" si="9"/>
        <v>15961242|99573490|136436298|136436298</v>
      </c>
      <c r="AO246" t="s">
        <v>758</v>
      </c>
      <c r="AP246" t="b">
        <v>1</v>
      </c>
      <c r="AQ246" t="s">
        <v>764</v>
      </c>
    </row>
    <row r="247" spans="1:43" x14ac:dyDescent="0.2">
      <c r="A247" s="14" t="s">
        <v>500</v>
      </c>
      <c r="B247" s="17">
        <v>15961242</v>
      </c>
      <c r="C247" s="14" t="s">
        <v>218</v>
      </c>
      <c r="D247" s="9">
        <v>15961242</v>
      </c>
      <c r="E247" s="9" t="s">
        <v>218</v>
      </c>
      <c r="F247" s="7">
        <v>45717</v>
      </c>
      <c r="G247" s="20" t="s">
        <v>46</v>
      </c>
      <c r="H247" s="8">
        <v>136436298</v>
      </c>
      <c r="I247" s="19">
        <v>65384349</v>
      </c>
      <c r="J247" s="10">
        <v>3078</v>
      </c>
      <c r="K247" s="10">
        <v>0</v>
      </c>
      <c r="L247" s="10">
        <v>3078</v>
      </c>
      <c r="M247" s="10">
        <v>0</v>
      </c>
      <c r="N247" s="11">
        <v>3078</v>
      </c>
      <c r="O247" s="12">
        <v>136436298</v>
      </c>
      <c r="P247" s="9">
        <v>285123</v>
      </c>
      <c r="Q247" s="9" t="s">
        <v>37</v>
      </c>
      <c r="R247" s="13">
        <v>45717</v>
      </c>
      <c r="S247" s="22">
        <v>45742</v>
      </c>
      <c r="T247" s="13">
        <v>45706</v>
      </c>
      <c r="U247" s="13">
        <v>45706</v>
      </c>
      <c r="V247" s="9" t="s">
        <v>47</v>
      </c>
      <c r="W247" s="9">
        <v>22770658</v>
      </c>
      <c r="X247" s="9">
        <v>3311105</v>
      </c>
      <c r="Y247" s="9">
        <v>69251232</v>
      </c>
      <c r="Z247" s="9" t="s">
        <v>39</v>
      </c>
      <c r="AA247" s="9">
        <v>16010015256</v>
      </c>
      <c r="AB247" s="9">
        <v>78070</v>
      </c>
      <c r="AC247" s="9" t="s">
        <v>41</v>
      </c>
      <c r="AD247" s="9" t="s">
        <v>132</v>
      </c>
      <c r="AE247" s="9" t="s">
        <v>133</v>
      </c>
      <c r="AF247" s="9" t="s">
        <v>133</v>
      </c>
      <c r="AG247" s="14" t="str">
        <f t="shared" si="10"/>
        <v>EXAMENES DE LABORATORIO</v>
      </c>
      <c r="AH247" s="9">
        <v>0</v>
      </c>
      <c r="AI247" s="9">
        <v>0</v>
      </c>
      <c r="AJ247" s="9">
        <v>99573490</v>
      </c>
      <c r="AK247" s="9">
        <v>7</v>
      </c>
      <c r="AL247" s="26" t="s">
        <v>52</v>
      </c>
      <c r="AM247" s="14" t="s">
        <v>563</v>
      </c>
      <c r="AN247" s="27" t="str">
        <f t="shared" si="9"/>
        <v>15961242|99573490|136436298|65384349</v>
      </c>
      <c r="AO247" t="s">
        <v>44</v>
      </c>
      <c r="AP247" t="b">
        <v>0</v>
      </c>
      <c r="AQ247" t="s">
        <v>763</v>
      </c>
    </row>
    <row r="248" spans="1:43" x14ac:dyDescent="0.2">
      <c r="A248" s="14" t="s">
        <v>500</v>
      </c>
      <c r="B248" s="17">
        <v>13963498</v>
      </c>
      <c r="C248" s="14" t="s">
        <v>208</v>
      </c>
      <c r="D248" s="9">
        <v>13963498</v>
      </c>
      <c r="E248" s="9" t="s">
        <v>208</v>
      </c>
      <c r="F248" s="7">
        <v>45689</v>
      </c>
      <c r="G248" s="20" t="s">
        <v>36</v>
      </c>
      <c r="H248" s="8">
        <v>136459699</v>
      </c>
      <c r="I248" s="19">
        <v>136459699</v>
      </c>
      <c r="J248" s="10">
        <v>366676</v>
      </c>
      <c r="K248" s="10">
        <v>337397</v>
      </c>
      <c r="L248" s="10">
        <v>29279</v>
      </c>
      <c r="M248" s="10">
        <v>0</v>
      </c>
      <c r="N248" s="11">
        <v>29279</v>
      </c>
      <c r="O248" s="12">
        <v>136459699</v>
      </c>
      <c r="P248" s="9">
        <v>285123</v>
      </c>
      <c r="Q248" s="9" t="s">
        <v>37</v>
      </c>
      <c r="R248" s="13">
        <v>45706</v>
      </c>
      <c r="S248" s="22">
        <v>45706</v>
      </c>
      <c r="T248" s="13">
        <v>45706</v>
      </c>
      <c r="U248" s="13">
        <v>45706</v>
      </c>
      <c r="V248" s="9" t="s">
        <v>47</v>
      </c>
      <c r="W248" s="9">
        <v>22621787</v>
      </c>
      <c r="X248" s="9">
        <v>2250942</v>
      </c>
      <c r="Y248" s="9">
        <v>68910606</v>
      </c>
      <c r="Z248" s="9" t="s">
        <v>39</v>
      </c>
      <c r="AA248" s="9">
        <v>23022025</v>
      </c>
      <c r="AB248" s="9">
        <v>77703</v>
      </c>
      <c r="AC248" s="9" t="s">
        <v>41</v>
      </c>
      <c r="AD248" s="9" t="s">
        <v>134</v>
      </c>
      <c r="AE248" s="9" t="s">
        <v>135</v>
      </c>
      <c r="AF248" s="9" t="s">
        <v>135</v>
      </c>
      <c r="AG248" s="14" t="str">
        <f t="shared" si="10"/>
        <v>EXAMENES RADIOLOGICOS</v>
      </c>
      <c r="AH248" s="9" t="s">
        <v>758</v>
      </c>
      <c r="AI248" s="9">
        <v>0</v>
      </c>
      <c r="AJ248" s="9">
        <v>78317440</v>
      </c>
      <c r="AK248" s="9">
        <v>5</v>
      </c>
      <c r="AL248" s="26" t="s">
        <v>69</v>
      </c>
      <c r="AM248" s="14" t="s">
        <v>554</v>
      </c>
      <c r="AN248" s="27" t="str">
        <f t="shared" si="9"/>
        <v>13963498|78317440|136459699|136459699</v>
      </c>
      <c r="AO248" t="s">
        <v>758</v>
      </c>
      <c r="AP248" t="b">
        <v>1</v>
      </c>
      <c r="AQ248" t="s">
        <v>764</v>
      </c>
    </row>
    <row r="249" spans="1:43" x14ac:dyDescent="0.2">
      <c r="A249" s="14" t="s">
        <v>500</v>
      </c>
      <c r="B249" s="17">
        <v>13963498</v>
      </c>
      <c r="C249" s="14" t="s">
        <v>208</v>
      </c>
      <c r="D249" s="9">
        <v>13963498</v>
      </c>
      <c r="E249" s="9" t="s">
        <v>208</v>
      </c>
      <c r="F249" s="7">
        <v>45717</v>
      </c>
      <c r="G249" s="20" t="s">
        <v>46</v>
      </c>
      <c r="H249" s="8">
        <v>136459699</v>
      </c>
      <c r="I249" s="19">
        <v>65384176</v>
      </c>
      <c r="J249" s="10">
        <v>29257</v>
      </c>
      <c r="K249" s="10">
        <v>0</v>
      </c>
      <c r="L249" s="10">
        <v>29257</v>
      </c>
      <c r="M249" s="10">
        <v>0</v>
      </c>
      <c r="N249" s="11">
        <v>29257</v>
      </c>
      <c r="O249" s="12">
        <v>136459699</v>
      </c>
      <c r="P249" s="9">
        <v>285123</v>
      </c>
      <c r="Q249" s="9" t="s">
        <v>37</v>
      </c>
      <c r="R249" s="13">
        <v>45717</v>
      </c>
      <c r="S249" s="22">
        <v>45742</v>
      </c>
      <c r="T249" s="13">
        <v>45706</v>
      </c>
      <c r="U249" s="13">
        <v>45706</v>
      </c>
      <c r="V249" s="9" t="s">
        <v>47</v>
      </c>
      <c r="W249" s="9">
        <v>22770656</v>
      </c>
      <c r="X249" s="9">
        <v>3311105</v>
      </c>
      <c r="Y249" s="9">
        <v>69251054</v>
      </c>
      <c r="Z249" s="9" t="s">
        <v>39</v>
      </c>
      <c r="AA249" s="9">
        <v>463060</v>
      </c>
      <c r="AB249" s="9">
        <v>78070</v>
      </c>
      <c r="AC249" s="9" t="s">
        <v>41</v>
      </c>
      <c r="AD249" s="9" t="s">
        <v>134</v>
      </c>
      <c r="AE249" s="9" t="s">
        <v>135</v>
      </c>
      <c r="AF249" s="9" t="s">
        <v>135</v>
      </c>
      <c r="AG249" s="14" t="str">
        <f t="shared" si="10"/>
        <v>EXAMENES RADIOLOGICOS</v>
      </c>
      <c r="AH249" s="9">
        <v>0</v>
      </c>
      <c r="AI249" s="9">
        <v>0</v>
      </c>
      <c r="AJ249" s="9">
        <v>78317440</v>
      </c>
      <c r="AK249" s="9">
        <v>5</v>
      </c>
      <c r="AL249" s="26" t="s">
        <v>52</v>
      </c>
      <c r="AM249" s="14" t="s">
        <v>554</v>
      </c>
      <c r="AN249" s="27" t="str">
        <f t="shared" si="9"/>
        <v>13963498|78317440|136459699|65384176</v>
      </c>
      <c r="AO249" t="s">
        <v>44</v>
      </c>
      <c r="AP249" t="b">
        <v>0</v>
      </c>
      <c r="AQ249" t="s">
        <v>763</v>
      </c>
    </row>
    <row r="250" spans="1:43" x14ac:dyDescent="0.2">
      <c r="A250" s="14" t="s">
        <v>500</v>
      </c>
      <c r="B250" s="17">
        <v>11297522</v>
      </c>
      <c r="C250" s="14" t="s">
        <v>211</v>
      </c>
      <c r="D250" s="9">
        <v>11297522</v>
      </c>
      <c r="E250" s="9" t="s">
        <v>211</v>
      </c>
      <c r="F250" s="7">
        <v>45689</v>
      </c>
      <c r="G250" s="20" t="s">
        <v>36</v>
      </c>
      <c r="H250" s="8">
        <v>136466627</v>
      </c>
      <c r="I250" s="19">
        <v>136466627</v>
      </c>
      <c r="J250" s="10">
        <v>7059</v>
      </c>
      <c r="K250" s="10">
        <v>5774</v>
      </c>
      <c r="L250" s="10">
        <v>1285</v>
      </c>
      <c r="M250" s="10">
        <v>0</v>
      </c>
      <c r="N250" s="11">
        <v>1285</v>
      </c>
      <c r="O250" s="12">
        <v>136466627</v>
      </c>
      <c r="P250" s="9">
        <v>285123</v>
      </c>
      <c r="Q250" s="9" t="s">
        <v>37</v>
      </c>
      <c r="R250" s="13">
        <v>45707</v>
      </c>
      <c r="S250" s="22">
        <v>45707</v>
      </c>
      <c r="T250" s="13">
        <v>45707</v>
      </c>
      <c r="U250" s="13">
        <v>45707</v>
      </c>
      <c r="V250" s="9" t="s">
        <v>47</v>
      </c>
      <c r="W250" s="9">
        <v>22621819</v>
      </c>
      <c r="X250" s="9">
        <v>2250942</v>
      </c>
      <c r="Y250" s="9">
        <v>68910825</v>
      </c>
      <c r="Z250" s="9" t="s">
        <v>39</v>
      </c>
      <c r="AA250" s="9">
        <v>23022025</v>
      </c>
      <c r="AB250" s="9">
        <v>77703</v>
      </c>
      <c r="AC250" s="9" t="s">
        <v>41</v>
      </c>
      <c r="AD250" s="9" t="s">
        <v>132</v>
      </c>
      <c r="AE250" s="9" t="s">
        <v>133</v>
      </c>
      <c r="AF250" s="9" t="s">
        <v>133</v>
      </c>
      <c r="AG250" s="14" t="str">
        <f t="shared" si="10"/>
        <v>EXAMENES DE LABORATORIO</v>
      </c>
      <c r="AH250" s="9" t="s">
        <v>758</v>
      </c>
      <c r="AI250" s="9">
        <v>0</v>
      </c>
      <c r="AJ250" s="9">
        <v>96986050</v>
      </c>
      <c r="AK250" s="9">
        <v>3</v>
      </c>
      <c r="AL250" s="26" t="s">
        <v>69</v>
      </c>
      <c r="AM250" s="14" t="s">
        <v>557</v>
      </c>
      <c r="AN250" s="27" t="str">
        <f t="shared" si="9"/>
        <v>11297522|96986050|136466627|136466627</v>
      </c>
      <c r="AO250" t="s">
        <v>758</v>
      </c>
      <c r="AP250" t="b">
        <v>1</v>
      </c>
      <c r="AQ250" t="s">
        <v>764</v>
      </c>
    </row>
    <row r="251" spans="1:43" x14ac:dyDescent="0.2">
      <c r="A251" s="14" t="s">
        <v>500</v>
      </c>
      <c r="B251" s="17">
        <v>11297522</v>
      </c>
      <c r="C251" s="14" t="s">
        <v>211</v>
      </c>
      <c r="D251" s="9">
        <v>11297522</v>
      </c>
      <c r="E251" s="9" t="s">
        <v>211</v>
      </c>
      <c r="F251" s="7">
        <v>45717</v>
      </c>
      <c r="G251" s="20" t="s">
        <v>46</v>
      </c>
      <c r="H251" s="8">
        <v>136466627</v>
      </c>
      <c r="I251" s="19">
        <v>65383928</v>
      </c>
      <c r="J251" s="10">
        <v>1540</v>
      </c>
      <c r="K251" s="10">
        <v>0</v>
      </c>
      <c r="L251" s="10">
        <v>1540</v>
      </c>
      <c r="M251" s="10">
        <v>0</v>
      </c>
      <c r="N251" s="11">
        <v>1540</v>
      </c>
      <c r="O251" s="12">
        <v>136466627</v>
      </c>
      <c r="P251" s="9">
        <v>285123</v>
      </c>
      <c r="Q251" s="9" t="s">
        <v>37</v>
      </c>
      <c r="R251" s="13">
        <v>45717</v>
      </c>
      <c r="S251" s="22">
        <v>45742</v>
      </c>
      <c r="T251" s="13">
        <v>45707</v>
      </c>
      <c r="U251" s="13">
        <v>45707</v>
      </c>
      <c r="V251" s="9" t="s">
        <v>47</v>
      </c>
      <c r="W251" s="9">
        <v>22770666</v>
      </c>
      <c r="X251" s="9">
        <v>3311105</v>
      </c>
      <c r="Y251" s="9">
        <v>69250817</v>
      </c>
      <c r="Z251" s="9" t="s">
        <v>39</v>
      </c>
      <c r="AA251" s="9">
        <v>73190231140</v>
      </c>
      <c r="AB251" s="9">
        <v>78070</v>
      </c>
      <c r="AC251" s="9" t="s">
        <v>41</v>
      </c>
      <c r="AD251" s="9" t="s">
        <v>132</v>
      </c>
      <c r="AE251" s="9" t="s">
        <v>133</v>
      </c>
      <c r="AF251" s="9" t="s">
        <v>133</v>
      </c>
      <c r="AG251" s="14" t="str">
        <f t="shared" si="10"/>
        <v>EXAMENES DE LABORATORIO</v>
      </c>
      <c r="AH251" s="9">
        <v>0</v>
      </c>
      <c r="AI251" s="9">
        <v>0</v>
      </c>
      <c r="AJ251" s="9">
        <v>96986050</v>
      </c>
      <c r="AK251" s="9">
        <v>3</v>
      </c>
      <c r="AL251" s="26" t="s">
        <v>52</v>
      </c>
      <c r="AM251" s="14" t="s">
        <v>557</v>
      </c>
      <c r="AN251" s="27" t="str">
        <f t="shared" si="9"/>
        <v>11297522|96986050|136466627|65383928</v>
      </c>
      <c r="AO251" t="s">
        <v>44</v>
      </c>
      <c r="AP251" t="b">
        <v>0</v>
      </c>
      <c r="AQ251" t="s">
        <v>763</v>
      </c>
    </row>
    <row r="252" spans="1:43" x14ac:dyDescent="0.2">
      <c r="A252" s="14" t="s">
        <v>500</v>
      </c>
      <c r="B252" s="17">
        <v>6347523</v>
      </c>
      <c r="C252" s="14" t="s">
        <v>219</v>
      </c>
      <c r="D252" s="9">
        <v>22331061</v>
      </c>
      <c r="E252" s="9" t="s">
        <v>220</v>
      </c>
      <c r="F252" s="7">
        <v>45689</v>
      </c>
      <c r="G252" s="20" t="s">
        <v>36</v>
      </c>
      <c r="H252" s="8">
        <v>136477385</v>
      </c>
      <c r="I252" s="19">
        <v>136477385</v>
      </c>
      <c r="J252" s="10">
        <v>41584</v>
      </c>
      <c r="K252" s="10">
        <v>39089</v>
      </c>
      <c r="L252" s="10">
        <v>2495</v>
      </c>
      <c r="M252" s="10">
        <v>0</v>
      </c>
      <c r="N252" s="11">
        <v>2495</v>
      </c>
      <c r="O252" s="12">
        <v>136477385</v>
      </c>
      <c r="P252" s="9">
        <v>285123</v>
      </c>
      <c r="Q252" s="9" t="s">
        <v>37</v>
      </c>
      <c r="R252" s="13">
        <v>45707</v>
      </c>
      <c r="S252" s="22">
        <v>45707</v>
      </c>
      <c r="T252" s="13">
        <v>45707</v>
      </c>
      <c r="U252" s="13">
        <v>45707</v>
      </c>
      <c r="V252" s="9" t="s">
        <v>47</v>
      </c>
      <c r="W252" s="9">
        <v>22621808</v>
      </c>
      <c r="X252" s="9">
        <v>2250942</v>
      </c>
      <c r="Y252" s="9">
        <v>68911082</v>
      </c>
      <c r="Z252" s="9" t="s">
        <v>39</v>
      </c>
      <c r="AA252" s="9">
        <v>23022025</v>
      </c>
      <c r="AB252" s="9">
        <v>77703</v>
      </c>
      <c r="AC252" s="9" t="s">
        <v>41</v>
      </c>
      <c r="AD252" s="9" t="s">
        <v>65</v>
      </c>
      <c r="AE252" s="9" t="s">
        <v>66</v>
      </c>
      <c r="AF252" s="9" t="s">
        <v>66</v>
      </c>
      <c r="AG252" s="14" t="str">
        <f t="shared" si="10"/>
        <v>PROCEDIMIENTOS TERAPEUTICOS</v>
      </c>
      <c r="AH252" s="9" t="s">
        <v>758</v>
      </c>
      <c r="AI252" s="9">
        <v>0</v>
      </c>
      <c r="AJ252" s="9">
        <v>76436880</v>
      </c>
      <c r="AK252" s="9">
        <v>0</v>
      </c>
      <c r="AL252" s="26" t="s">
        <v>69</v>
      </c>
      <c r="AM252" s="14" t="s">
        <v>564</v>
      </c>
      <c r="AN252" s="27" t="str">
        <f t="shared" si="9"/>
        <v>6347523|76436880|136477385|136477385</v>
      </c>
      <c r="AO252" t="s">
        <v>758</v>
      </c>
      <c r="AP252" t="b">
        <v>1</v>
      </c>
      <c r="AQ252" t="s">
        <v>764</v>
      </c>
    </row>
    <row r="253" spans="1:43" x14ac:dyDescent="0.2">
      <c r="A253" s="14" t="s">
        <v>500</v>
      </c>
      <c r="B253" s="17">
        <v>6347523</v>
      </c>
      <c r="C253" s="14" t="s">
        <v>219</v>
      </c>
      <c r="D253" s="9">
        <v>22331061</v>
      </c>
      <c r="E253" s="9" t="s">
        <v>220</v>
      </c>
      <c r="F253" s="7">
        <v>45717</v>
      </c>
      <c r="G253" s="20" t="s">
        <v>46</v>
      </c>
      <c r="H253" s="8">
        <v>136477385</v>
      </c>
      <c r="I253" s="19">
        <v>65383585</v>
      </c>
      <c r="J253" s="10">
        <v>2310</v>
      </c>
      <c r="K253" s="10">
        <v>0</v>
      </c>
      <c r="L253" s="10">
        <v>2310</v>
      </c>
      <c r="M253" s="10">
        <v>0</v>
      </c>
      <c r="N253" s="11">
        <v>2310</v>
      </c>
      <c r="O253" s="12">
        <v>136477385</v>
      </c>
      <c r="P253" s="9">
        <v>285123</v>
      </c>
      <c r="Q253" s="9" t="s">
        <v>37</v>
      </c>
      <c r="R253" s="13">
        <v>45717</v>
      </c>
      <c r="S253" s="22">
        <v>45742</v>
      </c>
      <c r="T253" s="13">
        <v>45707</v>
      </c>
      <c r="U253" s="13">
        <v>45707</v>
      </c>
      <c r="V253" s="9" t="s">
        <v>47</v>
      </c>
      <c r="W253" s="9">
        <v>22770660</v>
      </c>
      <c r="X253" s="9">
        <v>3311105</v>
      </c>
      <c r="Y253" s="9">
        <v>69250476</v>
      </c>
      <c r="Z253" s="9" t="s">
        <v>39</v>
      </c>
      <c r="AA253" s="9">
        <v>611502001</v>
      </c>
      <c r="AB253" s="9">
        <v>78070</v>
      </c>
      <c r="AC253" s="9" t="s">
        <v>41</v>
      </c>
      <c r="AD253" s="9" t="s">
        <v>65</v>
      </c>
      <c r="AE253" s="9" t="s">
        <v>66</v>
      </c>
      <c r="AF253" s="9" t="s">
        <v>66</v>
      </c>
      <c r="AG253" s="14" t="str">
        <f t="shared" si="10"/>
        <v>PROCEDIMIENTOS TERAPEUTICOS</v>
      </c>
      <c r="AH253" s="9">
        <v>0</v>
      </c>
      <c r="AI253" s="9">
        <v>0</v>
      </c>
      <c r="AJ253" s="9">
        <v>76436880</v>
      </c>
      <c r="AK253" s="9">
        <v>0</v>
      </c>
      <c r="AL253" s="26" t="s">
        <v>52</v>
      </c>
      <c r="AM253" s="14" t="s">
        <v>564</v>
      </c>
      <c r="AN253" s="27" t="str">
        <f t="shared" si="9"/>
        <v>6347523|76436880|136477385|65383585</v>
      </c>
      <c r="AO253" t="s">
        <v>44</v>
      </c>
      <c r="AP253" t="b">
        <v>0</v>
      </c>
      <c r="AQ253" t="s">
        <v>763</v>
      </c>
    </row>
    <row r="254" spans="1:43" x14ac:dyDescent="0.2">
      <c r="A254" s="14" t="s">
        <v>500</v>
      </c>
      <c r="B254" s="17">
        <v>6347523</v>
      </c>
      <c r="C254" s="14" t="s">
        <v>219</v>
      </c>
      <c r="D254" s="9">
        <v>22331061</v>
      </c>
      <c r="E254" s="9" t="s">
        <v>220</v>
      </c>
      <c r="F254" s="7">
        <v>45689</v>
      </c>
      <c r="G254" s="20" t="s">
        <v>36</v>
      </c>
      <c r="H254" s="8">
        <v>136492882</v>
      </c>
      <c r="I254" s="19">
        <v>136492882</v>
      </c>
      <c r="J254" s="10">
        <v>137822</v>
      </c>
      <c r="K254" s="10">
        <v>112920</v>
      </c>
      <c r="L254" s="10">
        <v>24902</v>
      </c>
      <c r="M254" s="10">
        <v>0</v>
      </c>
      <c r="N254" s="11">
        <v>24902</v>
      </c>
      <c r="O254" s="12">
        <v>136492882</v>
      </c>
      <c r="P254" s="9">
        <v>285123</v>
      </c>
      <c r="Q254" s="9" t="s">
        <v>37</v>
      </c>
      <c r="R254" s="13">
        <v>45708</v>
      </c>
      <c r="S254" s="22">
        <v>45708</v>
      </c>
      <c r="T254" s="13">
        <v>45708</v>
      </c>
      <c r="U254" s="13">
        <v>45708</v>
      </c>
      <c r="V254" s="9" t="s">
        <v>47</v>
      </c>
      <c r="W254" s="9">
        <v>22621857</v>
      </c>
      <c r="X254" s="9">
        <v>2250942</v>
      </c>
      <c r="Y254" s="9">
        <v>68911437</v>
      </c>
      <c r="Z254" s="9" t="s">
        <v>39</v>
      </c>
      <c r="AA254" s="9">
        <v>23022025</v>
      </c>
      <c r="AB254" s="9">
        <v>77703</v>
      </c>
      <c r="AC254" s="9" t="s">
        <v>41</v>
      </c>
      <c r="AD254" s="9" t="s">
        <v>132</v>
      </c>
      <c r="AE254" s="9" t="s">
        <v>133</v>
      </c>
      <c r="AF254" s="9" t="s">
        <v>133</v>
      </c>
      <c r="AG254" s="14" t="str">
        <f t="shared" si="10"/>
        <v>EXAMENES DE LABORATORIO</v>
      </c>
      <c r="AH254" s="9" t="s">
        <v>758</v>
      </c>
      <c r="AI254" s="9">
        <v>0</v>
      </c>
      <c r="AJ254" s="9">
        <v>96770100</v>
      </c>
      <c r="AK254" s="9">
        <v>9</v>
      </c>
      <c r="AL254" s="26" t="s">
        <v>69</v>
      </c>
      <c r="AM254" s="14" t="s">
        <v>564</v>
      </c>
      <c r="AN254" s="27" t="str">
        <f t="shared" si="9"/>
        <v>6347523|96770100|136492882|136492882</v>
      </c>
      <c r="AO254" t="s">
        <v>758</v>
      </c>
      <c r="AP254" t="b">
        <v>1</v>
      </c>
      <c r="AQ254" t="s">
        <v>764</v>
      </c>
    </row>
    <row r="255" spans="1:43" x14ac:dyDescent="0.2">
      <c r="A255" s="14" t="s">
        <v>500</v>
      </c>
      <c r="B255" s="17">
        <v>6347523</v>
      </c>
      <c r="C255" s="14" t="s">
        <v>219</v>
      </c>
      <c r="D255" s="9">
        <v>22331061</v>
      </c>
      <c r="E255" s="9" t="s">
        <v>220</v>
      </c>
      <c r="F255" s="7">
        <v>45717</v>
      </c>
      <c r="G255" s="20" t="s">
        <v>46</v>
      </c>
      <c r="H255" s="8">
        <v>136492882</v>
      </c>
      <c r="I255" s="19">
        <v>65383586</v>
      </c>
      <c r="J255" s="10">
        <v>25425</v>
      </c>
      <c r="K255" s="10">
        <v>0</v>
      </c>
      <c r="L255" s="10">
        <v>25425</v>
      </c>
      <c r="M255" s="10">
        <v>0</v>
      </c>
      <c r="N255" s="11">
        <v>25425</v>
      </c>
      <c r="O255" s="12">
        <v>136492882</v>
      </c>
      <c r="P255" s="9">
        <v>285123</v>
      </c>
      <c r="Q255" s="9" t="s">
        <v>37</v>
      </c>
      <c r="R255" s="13">
        <v>45717</v>
      </c>
      <c r="S255" s="22">
        <v>45742</v>
      </c>
      <c r="T255" s="13">
        <v>45708</v>
      </c>
      <c r="U255" s="13">
        <v>45708</v>
      </c>
      <c r="V255" s="9" t="s">
        <v>47</v>
      </c>
      <c r="W255" s="9">
        <v>22770675</v>
      </c>
      <c r="X255" s="9">
        <v>3311105</v>
      </c>
      <c r="Y255" s="9">
        <v>69250477</v>
      </c>
      <c r="Z255" s="9" t="s">
        <v>39</v>
      </c>
      <c r="AA255" s="9">
        <v>611502001</v>
      </c>
      <c r="AB255" s="9">
        <v>78070</v>
      </c>
      <c r="AC255" s="9" t="s">
        <v>41</v>
      </c>
      <c r="AD255" s="9" t="s">
        <v>132</v>
      </c>
      <c r="AE255" s="9" t="s">
        <v>133</v>
      </c>
      <c r="AF255" s="9" t="s">
        <v>133</v>
      </c>
      <c r="AG255" s="14" t="str">
        <f t="shared" si="10"/>
        <v>EXAMENES DE LABORATORIO</v>
      </c>
      <c r="AH255" s="9">
        <v>0</v>
      </c>
      <c r="AI255" s="9">
        <v>0</v>
      </c>
      <c r="AJ255" s="9">
        <v>96770100</v>
      </c>
      <c r="AK255" s="9">
        <v>9</v>
      </c>
      <c r="AL255" s="26" t="s">
        <v>52</v>
      </c>
      <c r="AM255" s="14" t="s">
        <v>564</v>
      </c>
      <c r="AN255" s="27" t="str">
        <f t="shared" si="9"/>
        <v>6347523|96770100|136492882|65383586</v>
      </c>
      <c r="AO255" t="s">
        <v>44</v>
      </c>
      <c r="AP255" t="b">
        <v>0</v>
      </c>
      <c r="AQ255" t="s">
        <v>763</v>
      </c>
    </row>
    <row r="256" spans="1:43" x14ac:dyDescent="0.2">
      <c r="A256" s="14" t="s">
        <v>500</v>
      </c>
      <c r="B256" s="17">
        <v>6347523</v>
      </c>
      <c r="C256" s="14" t="s">
        <v>219</v>
      </c>
      <c r="D256" s="9">
        <v>22331061</v>
      </c>
      <c r="E256" s="9" t="s">
        <v>220</v>
      </c>
      <c r="F256" s="7">
        <v>45689</v>
      </c>
      <c r="G256" s="20" t="s">
        <v>36</v>
      </c>
      <c r="H256" s="8">
        <v>136492883</v>
      </c>
      <c r="I256" s="19">
        <v>136492883</v>
      </c>
      <c r="J256" s="10">
        <v>215953</v>
      </c>
      <c r="K256" s="10">
        <v>183203</v>
      </c>
      <c r="L256" s="10">
        <v>32750</v>
      </c>
      <c r="M256" s="10">
        <v>0</v>
      </c>
      <c r="N256" s="11">
        <v>32750</v>
      </c>
      <c r="O256" s="12">
        <v>136492883</v>
      </c>
      <c r="P256" s="9">
        <v>285123</v>
      </c>
      <c r="Q256" s="9" t="s">
        <v>37</v>
      </c>
      <c r="R256" s="13">
        <v>45708</v>
      </c>
      <c r="S256" s="22">
        <v>45708</v>
      </c>
      <c r="T256" s="13">
        <v>45708</v>
      </c>
      <c r="U256" s="13">
        <v>45708</v>
      </c>
      <c r="V256" s="9" t="s">
        <v>47</v>
      </c>
      <c r="W256" s="9">
        <v>22621857</v>
      </c>
      <c r="X256" s="9">
        <v>2250942</v>
      </c>
      <c r="Y256" s="9">
        <v>68911436</v>
      </c>
      <c r="Z256" s="9" t="s">
        <v>39</v>
      </c>
      <c r="AA256" s="9">
        <v>23022025</v>
      </c>
      <c r="AB256" s="9">
        <v>77703</v>
      </c>
      <c r="AC256" s="9" t="s">
        <v>41</v>
      </c>
      <c r="AD256" s="9" t="s">
        <v>132</v>
      </c>
      <c r="AE256" s="9" t="s">
        <v>133</v>
      </c>
      <c r="AF256" s="9" t="s">
        <v>133</v>
      </c>
      <c r="AG256" s="14" t="str">
        <f t="shared" si="10"/>
        <v>EXAMENES DE LABORATORIO</v>
      </c>
      <c r="AH256" s="9" t="s">
        <v>758</v>
      </c>
      <c r="AI256" s="9">
        <v>0</v>
      </c>
      <c r="AJ256" s="9">
        <v>96770100</v>
      </c>
      <c r="AK256" s="9">
        <v>9</v>
      </c>
      <c r="AL256" s="26" t="s">
        <v>69</v>
      </c>
      <c r="AM256" s="14" t="s">
        <v>564</v>
      </c>
      <c r="AN256" s="27" t="str">
        <f t="shared" si="9"/>
        <v>6347523|96770100|136492883|136492883</v>
      </c>
      <c r="AO256" t="s">
        <v>758</v>
      </c>
      <c r="AP256" t="b">
        <v>1</v>
      </c>
      <c r="AQ256" t="s">
        <v>764</v>
      </c>
    </row>
    <row r="257" spans="1:43" x14ac:dyDescent="0.2">
      <c r="A257" s="14" t="s">
        <v>500</v>
      </c>
      <c r="B257" s="17">
        <v>6347523</v>
      </c>
      <c r="C257" s="14" t="s">
        <v>219</v>
      </c>
      <c r="D257" s="9">
        <v>22331061</v>
      </c>
      <c r="E257" s="9" t="s">
        <v>220</v>
      </c>
      <c r="F257" s="7">
        <v>45717</v>
      </c>
      <c r="G257" s="20" t="s">
        <v>46</v>
      </c>
      <c r="H257" s="8">
        <v>136492883</v>
      </c>
      <c r="I257" s="19">
        <v>65383587</v>
      </c>
      <c r="J257" s="10">
        <v>33131</v>
      </c>
      <c r="K257" s="10">
        <v>0</v>
      </c>
      <c r="L257" s="10">
        <v>33131</v>
      </c>
      <c r="M257" s="10">
        <v>0</v>
      </c>
      <c r="N257" s="11">
        <v>33131</v>
      </c>
      <c r="O257" s="12">
        <v>136492883</v>
      </c>
      <c r="P257" s="9">
        <v>285123</v>
      </c>
      <c r="Q257" s="9" t="s">
        <v>37</v>
      </c>
      <c r="R257" s="13">
        <v>45717</v>
      </c>
      <c r="S257" s="22">
        <v>45742</v>
      </c>
      <c r="T257" s="13">
        <v>45708</v>
      </c>
      <c r="U257" s="13">
        <v>45708</v>
      </c>
      <c r="V257" s="9" t="s">
        <v>47</v>
      </c>
      <c r="W257" s="9">
        <v>22770675</v>
      </c>
      <c r="X257" s="9">
        <v>3311105</v>
      </c>
      <c r="Y257" s="9">
        <v>69250478</v>
      </c>
      <c r="Z257" s="9" t="s">
        <v>39</v>
      </c>
      <c r="AA257" s="9">
        <v>611502001</v>
      </c>
      <c r="AB257" s="9">
        <v>78070</v>
      </c>
      <c r="AC257" s="9" t="s">
        <v>41</v>
      </c>
      <c r="AD257" s="9" t="s">
        <v>132</v>
      </c>
      <c r="AE257" s="9" t="s">
        <v>133</v>
      </c>
      <c r="AF257" s="9" t="s">
        <v>133</v>
      </c>
      <c r="AG257" s="14" t="str">
        <f t="shared" si="10"/>
        <v>EXAMENES DE LABORATORIO</v>
      </c>
      <c r="AH257" s="9">
        <v>0</v>
      </c>
      <c r="AI257" s="9">
        <v>0</v>
      </c>
      <c r="AJ257" s="9">
        <v>96770100</v>
      </c>
      <c r="AK257" s="9">
        <v>9</v>
      </c>
      <c r="AL257" s="26" t="s">
        <v>52</v>
      </c>
      <c r="AM257" s="14" t="s">
        <v>564</v>
      </c>
      <c r="AN257" s="27" t="str">
        <f t="shared" si="9"/>
        <v>6347523|96770100|136492883|65383587</v>
      </c>
      <c r="AO257" t="s">
        <v>44</v>
      </c>
      <c r="AP257" t="b">
        <v>0</v>
      </c>
      <c r="AQ257" t="s">
        <v>763</v>
      </c>
    </row>
    <row r="258" spans="1:43" x14ac:dyDescent="0.2">
      <c r="A258" s="14" t="s">
        <v>500</v>
      </c>
      <c r="B258" s="17">
        <v>11594083</v>
      </c>
      <c r="C258" s="14" t="s">
        <v>221</v>
      </c>
      <c r="D258" s="9">
        <v>21377974</v>
      </c>
      <c r="E258" s="9" t="s">
        <v>222</v>
      </c>
      <c r="F258" s="7">
        <v>45689</v>
      </c>
      <c r="G258" s="20" t="s">
        <v>36</v>
      </c>
      <c r="H258" s="8">
        <v>136583211</v>
      </c>
      <c r="I258" s="19">
        <v>136583211</v>
      </c>
      <c r="J258" s="10">
        <v>14608</v>
      </c>
      <c r="K258" s="10">
        <v>9555</v>
      </c>
      <c r="L258" s="10">
        <v>5053</v>
      </c>
      <c r="M258" s="10">
        <v>0</v>
      </c>
      <c r="N258" s="11">
        <v>5053</v>
      </c>
      <c r="O258" s="12">
        <v>136583211</v>
      </c>
      <c r="P258" s="9">
        <v>285123</v>
      </c>
      <c r="Q258" s="9" t="s">
        <v>37</v>
      </c>
      <c r="R258" s="13">
        <v>45712</v>
      </c>
      <c r="S258" s="22">
        <v>45712</v>
      </c>
      <c r="T258" s="13">
        <v>45712</v>
      </c>
      <c r="U258" s="13">
        <v>45712</v>
      </c>
      <c r="V258" s="9" t="s">
        <v>47</v>
      </c>
      <c r="W258" s="9">
        <v>22646311</v>
      </c>
      <c r="X258" s="9">
        <v>3041018</v>
      </c>
      <c r="Y258" s="9">
        <v>68951371</v>
      </c>
      <c r="Z258" s="9" t="s">
        <v>39</v>
      </c>
      <c r="AA258" s="9">
        <v>2032025</v>
      </c>
      <c r="AB258" s="9">
        <v>77760</v>
      </c>
      <c r="AC258" s="9" t="s">
        <v>41</v>
      </c>
      <c r="AD258" s="9" t="s">
        <v>132</v>
      </c>
      <c r="AE258" s="9" t="s">
        <v>133</v>
      </c>
      <c r="AF258" s="9" t="s">
        <v>133</v>
      </c>
      <c r="AG258" s="14" t="str">
        <f t="shared" si="10"/>
        <v>EXAMENES DE LABORATORIO</v>
      </c>
      <c r="AH258" s="9" t="s">
        <v>758</v>
      </c>
      <c r="AI258" s="9">
        <v>0</v>
      </c>
      <c r="AJ258" s="9">
        <v>81949100</v>
      </c>
      <c r="AK258" s="9">
        <v>3</v>
      </c>
      <c r="AL258" s="26" t="s">
        <v>69</v>
      </c>
      <c r="AM258" s="14" t="s">
        <v>565</v>
      </c>
      <c r="AN258" s="27" t="str">
        <f t="shared" si="9"/>
        <v>11594083|81949100|136583211|136583211</v>
      </c>
      <c r="AO258" t="s">
        <v>758</v>
      </c>
      <c r="AP258" t="b">
        <v>1</v>
      </c>
      <c r="AQ258" t="s">
        <v>764</v>
      </c>
    </row>
    <row r="259" spans="1:43" x14ac:dyDescent="0.2">
      <c r="A259" s="14" t="s">
        <v>500</v>
      </c>
      <c r="B259" s="17">
        <v>11594083</v>
      </c>
      <c r="C259" s="14" t="s">
        <v>221</v>
      </c>
      <c r="D259" s="9">
        <v>21377974</v>
      </c>
      <c r="E259" s="9" t="s">
        <v>222</v>
      </c>
      <c r="F259" s="7">
        <v>45717</v>
      </c>
      <c r="G259" s="20" t="s">
        <v>46</v>
      </c>
      <c r="H259" s="8">
        <v>136583211</v>
      </c>
      <c r="I259" s="19">
        <v>65383946</v>
      </c>
      <c r="J259" s="10">
        <v>5016</v>
      </c>
      <c r="K259" s="10">
        <v>0</v>
      </c>
      <c r="L259" s="10">
        <v>5016</v>
      </c>
      <c r="M259" s="10">
        <v>0</v>
      </c>
      <c r="N259" s="11">
        <v>5016</v>
      </c>
      <c r="O259" s="12">
        <v>136583211</v>
      </c>
      <c r="P259" s="9">
        <v>285123</v>
      </c>
      <c r="Q259" s="9" t="s">
        <v>37</v>
      </c>
      <c r="R259" s="13">
        <v>45717</v>
      </c>
      <c r="S259" s="22">
        <v>45742</v>
      </c>
      <c r="T259" s="13">
        <v>45712</v>
      </c>
      <c r="U259" s="13">
        <v>45712</v>
      </c>
      <c r="V259" s="9" t="s">
        <v>47</v>
      </c>
      <c r="W259" s="9">
        <v>22770700</v>
      </c>
      <c r="X259" s="9">
        <v>3311105</v>
      </c>
      <c r="Y259" s="9">
        <v>69250834</v>
      </c>
      <c r="Z259" s="9" t="s">
        <v>39</v>
      </c>
      <c r="AA259" s="9">
        <v>12085648</v>
      </c>
      <c r="AB259" s="9">
        <v>78070</v>
      </c>
      <c r="AC259" s="9" t="s">
        <v>41</v>
      </c>
      <c r="AD259" s="9" t="s">
        <v>132</v>
      </c>
      <c r="AE259" s="9" t="s">
        <v>133</v>
      </c>
      <c r="AF259" s="9" t="s">
        <v>133</v>
      </c>
      <c r="AG259" s="14" t="str">
        <f t="shared" si="10"/>
        <v>EXAMENES DE LABORATORIO</v>
      </c>
      <c r="AH259" s="9">
        <v>0</v>
      </c>
      <c r="AI259" s="9">
        <v>0</v>
      </c>
      <c r="AJ259" s="9">
        <v>81949100</v>
      </c>
      <c r="AK259" s="9">
        <v>3</v>
      </c>
      <c r="AL259" s="26" t="s">
        <v>52</v>
      </c>
      <c r="AM259" s="14" t="s">
        <v>565</v>
      </c>
      <c r="AN259" s="27" t="str">
        <f t="shared" ref="AN259:AN322" si="11">B259&amp;"|"&amp;AJ259&amp;"|"&amp;H259&amp;"|"&amp;I259</f>
        <v>11594083|81949100|136583211|65383946</v>
      </c>
      <c r="AO259" t="s">
        <v>44</v>
      </c>
      <c r="AP259" t="b">
        <v>0</v>
      </c>
      <c r="AQ259" t="s">
        <v>763</v>
      </c>
    </row>
    <row r="260" spans="1:43" x14ac:dyDescent="0.2">
      <c r="A260" s="14" t="s">
        <v>500</v>
      </c>
      <c r="B260" s="17">
        <v>13963498</v>
      </c>
      <c r="C260" s="14" t="s">
        <v>208</v>
      </c>
      <c r="D260" s="9">
        <v>13963498</v>
      </c>
      <c r="E260" s="9" t="s">
        <v>208</v>
      </c>
      <c r="F260" s="7">
        <v>45689</v>
      </c>
      <c r="G260" s="20" t="s">
        <v>36</v>
      </c>
      <c r="H260" s="8">
        <v>136642076</v>
      </c>
      <c r="I260" s="19">
        <v>136642076</v>
      </c>
      <c r="J260" s="10">
        <v>33527</v>
      </c>
      <c r="K260" s="10">
        <v>28776</v>
      </c>
      <c r="L260" s="10">
        <v>4751</v>
      </c>
      <c r="M260" s="10">
        <v>0</v>
      </c>
      <c r="N260" s="11">
        <v>4751</v>
      </c>
      <c r="O260" s="12">
        <v>136642076</v>
      </c>
      <c r="P260" s="9">
        <v>285123</v>
      </c>
      <c r="Q260" s="9" t="s">
        <v>37</v>
      </c>
      <c r="R260" s="13">
        <v>45715</v>
      </c>
      <c r="S260" s="22">
        <v>45715</v>
      </c>
      <c r="T260" s="13">
        <v>45715</v>
      </c>
      <c r="U260" s="13">
        <v>45715</v>
      </c>
      <c r="V260" s="9" t="s">
        <v>47</v>
      </c>
      <c r="W260" s="9">
        <v>22646453</v>
      </c>
      <c r="X260" s="9">
        <v>3041018</v>
      </c>
      <c r="Y260" s="9">
        <v>68952927</v>
      </c>
      <c r="Z260" s="9" t="s">
        <v>39</v>
      </c>
      <c r="AA260" s="9">
        <v>2032025</v>
      </c>
      <c r="AB260" s="9">
        <v>77760</v>
      </c>
      <c r="AC260" s="9" t="s">
        <v>41</v>
      </c>
      <c r="AD260" s="9" t="s">
        <v>132</v>
      </c>
      <c r="AE260" s="9" t="s">
        <v>133</v>
      </c>
      <c r="AF260" s="9" t="s">
        <v>133</v>
      </c>
      <c r="AG260" s="14" t="str">
        <f t="shared" si="10"/>
        <v>EXAMENES DE LABORATORIO</v>
      </c>
      <c r="AH260" s="9" t="s">
        <v>758</v>
      </c>
      <c r="AI260" s="9">
        <v>0</v>
      </c>
      <c r="AJ260" s="9">
        <v>99573490</v>
      </c>
      <c r="AK260" s="9">
        <v>7</v>
      </c>
      <c r="AL260" s="26" t="s">
        <v>69</v>
      </c>
      <c r="AM260" s="14" t="s">
        <v>554</v>
      </c>
      <c r="AN260" s="27" t="str">
        <f t="shared" si="11"/>
        <v>13963498|99573490|136642076|136642076</v>
      </c>
      <c r="AO260" t="s">
        <v>758</v>
      </c>
      <c r="AP260" t="b">
        <v>1</v>
      </c>
      <c r="AQ260" t="s">
        <v>764</v>
      </c>
    </row>
    <row r="261" spans="1:43" x14ac:dyDescent="0.2">
      <c r="A261" s="14" t="s">
        <v>500</v>
      </c>
      <c r="B261" s="17">
        <v>13963498</v>
      </c>
      <c r="C261" s="14" t="s">
        <v>208</v>
      </c>
      <c r="D261" s="9">
        <v>13963498</v>
      </c>
      <c r="E261" s="9" t="s">
        <v>208</v>
      </c>
      <c r="F261" s="7">
        <v>45717</v>
      </c>
      <c r="G261" s="20" t="s">
        <v>46</v>
      </c>
      <c r="H261" s="8">
        <v>136642076</v>
      </c>
      <c r="I261" s="19">
        <v>65384177</v>
      </c>
      <c r="J261" s="10">
        <v>5020</v>
      </c>
      <c r="K261" s="10">
        <v>0</v>
      </c>
      <c r="L261" s="10">
        <v>5020</v>
      </c>
      <c r="M261" s="10">
        <v>0</v>
      </c>
      <c r="N261" s="11">
        <v>5020</v>
      </c>
      <c r="O261" s="12">
        <v>136642076</v>
      </c>
      <c r="P261" s="9">
        <v>285123</v>
      </c>
      <c r="Q261" s="9" t="s">
        <v>37</v>
      </c>
      <c r="R261" s="13">
        <v>45717</v>
      </c>
      <c r="S261" s="22">
        <v>45742</v>
      </c>
      <c r="T261" s="13">
        <v>45715</v>
      </c>
      <c r="U261" s="13">
        <v>45715</v>
      </c>
      <c r="V261" s="9" t="s">
        <v>47</v>
      </c>
      <c r="W261" s="9">
        <v>22770737</v>
      </c>
      <c r="X261" s="9">
        <v>3311105</v>
      </c>
      <c r="Y261" s="9">
        <v>69251055</v>
      </c>
      <c r="Z261" s="9" t="s">
        <v>39</v>
      </c>
      <c r="AA261" s="9">
        <v>463060</v>
      </c>
      <c r="AB261" s="9">
        <v>78070</v>
      </c>
      <c r="AC261" s="9" t="s">
        <v>41</v>
      </c>
      <c r="AD261" s="9" t="s">
        <v>132</v>
      </c>
      <c r="AE261" s="9" t="s">
        <v>133</v>
      </c>
      <c r="AF261" s="9" t="s">
        <v>133</v>
      </c>
      <c r="AG261" s="14" t="str">
        <f t="shared" si="10"/>
        <v>EXAMENES DE LABORATORIO</v>
      </c>
      <c r="AH261" s="9">
        <v>0</v>
      </c>
      <c r="AI261" s="9">
        <v>0</v>
      </c>
      <c r="AJ261" s="9">
        <v>99573490</v>
      </c>
      <c r="AK261" s="9">
        <v>7</v>
      </c>
      <c r="AL261" s="26" t="s">
        <v>52</v>
      </c>
      <c r="AM261" s="14" t="s">
        <v>554</v>
      </c>
      <c r="AN261" s="27" t="str">
        <f t="shared" si="11"/>
        <v>13963498|99573490|136642076|65384177</v>
      </c>
      <c r="AO261" t="s">
        <v>44</v>
      </c>
      <c r="AP261" t="b">
        <v>0</v>
      </c>
      <c r="AQ261" t="s">
        <v>763</v>
      </c>
    </row>
    <row r="262" spans="1:43" x14ac:dyDescent="0.2">
      <c r="A262" s="14" t="s">
        <v>500</v>
      </c>
      <c r="B262" s="17">
        <v>8573655</v>
      </c>
      <c r="C262" s="14" t="s">
        <v>223</v>
      </c>
      <c r="D262" s="9">
        <v>20163889</v>
      </c>
      <c r="E262" s="9" t="s">
        <v>224</v>
      </c>
      <c r="F262" s="7">
        <v>45717</v>
      </c>
      <c r="G262" s="20" t="s">
        <v>36</v>
      </c>
      <c r="H262" s="8">
        <v>136704758</v>
      </c>
      <c r="I262" s="19">
        <v>136704758</v>
      </c>
      <c r="J262" s="10">
        <v>32979</v>
      </c>
      <c r="K262" s="10">
        <v>23085</v>
      </c>
      <c r="L262" s="10">
        <v>9894</v>
      </c>
      <c r="M262" s="10">
        <v>0</v>
      </c>
      <c r="N262" s="11">
        <v>9894</v>
      </c>
      <c r="O262" s="12">
        <v>136704758</v>
      </c>
      <c r="P262" s="9">
        <v>285123</v>
      </c>
      <c r="Q262" s="9" t="s">
        <v>37</v>
      </c>
      <c r="R262" s="13">
        <v>45717</v>
      </c>
      <c r="S262" s="22">
        <v>45717</v>
      </c>
      <c r="T262" s="13">
        <v>45717</v>
      </c>
      <c r="U262" s="13">
        <v>45717</v>
      </c>
      <c r="V262" s="9" t="s">
        <v>58</v>
      </c>
      <c r="W262" s="9">
        <v>22676559</v>
      </c>
      <c r="X262" s="9">
        <v>3101656</v>
      </c>
      <c r="Y262" s="9">
        <v>68997647</v>
      </c>
      <c r="Z262" s="9" t="s">
        <v>39</v>
      </c>
      <c r="AA262" s="9">
        <v>9032025</v>
      </c>
      <c r="AB262" s="9">
        <v>77868</v>
      </c>
      <c r="AC262" s="9" t="s">
        <v>41</v>
      </c>
      <c r="AD262" s="9" t="s">
        <v>71</v>
      </c>
      <c r="AE262" s="9" t="s">
        <v>72</v>
      </c>
      <c r="AF262" s="9" t="s">
        <v>73</v>
      </c>
      <c r="AG262" s="14" t="str">
        <f t="shared" si="10"/>
        <v>CONSULTA PSIQUIATRICA</v>
      </c>
      <c r="AH262" s="9" t="s">
        <v>758</v>
      </c>
      <c r="AI262" s="9">
        <v>0</v>
      </c>
      <c r="AJ262" s="9">
        <v>76098454</v>
      </c>
      <c r="AK262" s="9" t="s">
        <v>161</v>
      </c>
      <c r="AL262" s="26" t="s">
        <v>69</v>
      </c>
      <c r="AM262" s="14" t="s">
        <v>566</v>
      </c>
      <c r="AN262" s="27" t="str">
        <f t="shared" si="11"/>
        <v>8573655|76098454|136704758|136704758</v>
      </c>
      <c r="AO262" t="s">
        <v>758</v>
      </c>
      <c r="AP262" t="b">
        <v>1</v>
      </c>
      <c r="AQ262" t="s">
        <v>764</v>
      </c>
    </row>
    <row r="263" spans="1:43" x14ac:dyDescent="0.2">
      <c r="A263" s="14" t="s">
        <v>500</v>
      </c>
      <c r="B263" s="17">
        <v>8573655</v>
      </c>
      <c r="C263" s="14" t="s">
        <v>223</v>
      </c>
      <c r="D263" s="9">
        <v>20163889</v>
      </c>
      <c r="E263" s="9" t="s">
        <v>224</v>
      </c>
      <c r="F263" s="7">
        <v>45717</v>
      </c>
      <c r="G263" s="20" t="s">
        <v>46</v>
      </c>
      <c r="H263" s="8">
        <v>136704758</v>
      </c>
      <c r="I263" s="19">
        <v>65383676</v>
      </c>
      <c r="J263" s="10">
        <v>10052</v>
      </c>
      <c r="K263" s="10">
        <v>0</v>
      </c>
      <c r="L263" s="10">
        <v>10052</v>
      </c>
      <c r="M263" s="10">
        <v>0</v>
      </c>
      <c r="N263" s="11">
        <v>10052</v>
      </c>
      <c r="O263" s="12">
        <v>136704758</v>
      </c>
      <c r="P263" s="9">
        <v>285123</v>
      </c>
      <c r="Q263" s="9" t="s">
        <v>37</v>
      </c>
      <c r="R263" s="13">
        <v>45717</v>
      </c>
      <c r="S263" s="22">
        <v>45742</v>
      </c>
      <c r="T263" s="13">
        <v>45717</v>
      </c>
      <c r="U263" s="13">
        <v>45717</v>
      </c>
      <c r="V263" s="9" t="s">
        <v>58</v>
      </c>
      <c r="W263" s="9">
        <v>22772353</v>
      </c>
      <c r="X263" s="9">
        <v>3311105</v>
      </c>
      <c r="Y263" s="9">
        <v>69250567</v>
      </c>
      <c r="Z263" s="9" t="s">
        <v>39</v>
      </c>
      <c r="AA263" s="9">
        <v>213192158</v>
      </c>
      <c r="AB263" s="9">
        <v>78070</v>
      </c>
      <c r="AC263" s="9" t="s">
        <v>41</v>
      </c>
      <c r="AD263" s="9" t="s">
        <v>71</v>
      </c>
      <c r="AE263" s="9" t="s">
        <v>72</v>
      </c>
      <c r="AF263" s="9" t="s">
        <v>73</v>
      </c>
      <c r="AG263" s="14" t="str">
        <f t="shared" si="10"/>
        <v>CONSULTA PSIQUIATRICA</v>
      </c>
      <c r="AH263" s="9">
        <v>0</v>
      </c>
      <c r="AI263" s="9">
        <v>0</v>
      </c>
      <c r="AJ263" s="9">
        <v>76098454</v>
      </c>
      <c r="AK263" s="9" t="s">
        <v>161</v>
      </c>
      <c r="AL263" s="26" t="s">
        <v>52</v>
      </c>
      <c r="AM263" s="14" t="s">
        <v>566</v>
      </c>
      <c r="AN263" s="27" t="str">
        <f t="shared" si="11"/>
        <v>8573655|76098454|136704758|65383676</v>
      </c>
      <c r="AO263" t="s">
        <v>44</v>
      </c>
      <c r="AP263" t="b">
        <v>0</v>
      </c>
      <c r="AQ263" t="s">
        <v>763</v>
      </c>
    </row>
    <row r="264" spans="1:43" x14ac:dyDescent="0.2">
      <c r="A264" s="14" t="s">
        <v>500</v>
      </c>
      <c r="B264" s="17">
        <v>13031474</v>
      </c>
      <c r="C264" s="14" t="s">
        <v>225</v>
      </c>
      <c r="D264" s="9">
        <v>13031474</v>
      </c>
      <c r="E264" s="9" t="s">
        <v>225</v>
      </c>
      <c r="F264" s="7">
        <v>45717</v>
      </c>
      <c r="G264" s="20" t="s">
        <v>36</v>
      </c>
      <c r="H264" s="8">
        <v>136715980</v>
      </c>
      <c r="I264" s="19">
        <v>136715980</v>
      </c>
      <c r="J264" s="10">
        <v>290055</v>
      </c>
      <c r="K264" s="10">
        <v>152095</v>
      </c>
      <c r="L264" s="10">
        <v>137960</v>
      </c>
      <c r="M264" s="10">
        <v>0</v>
      </c>
      <c r="N264" s="11">
        <v>137960</v>
      </c>
      <c r="O264" s="12">
        <v>136715980</v>
      </c>
      <c r="P264" s="9">
        <v>285123</v>
      </c>
      <c r="Q264" s="9" t="s">
        <v>37</v>
      </c>
      <c r="R264" s="13">
        <v>45719</v>
      </c>
      <c r="S264" s="22">
        <v>45719</v>
      </c>
      <c r="T264" s="13">
        <v>45719</v>
      </c>
      <c r="U264" s="13">
        <v>45719</v>
      </c>
      <c r="V264" s="9" t="s">
        <v>47</v>
      </c>
      <c r="W264" s="9">
        <v>22676603</v>
      </c>
      <c r="X264" s="9">
        <v>3101656</v>
      </c>
      <c r="Y264" s="9">
        <v>68996631</v>
      </c>
      <c r="Z264" s="9" t="s">
        <v>39</v>
      </c>
      <c r="AA264" s="9">
        <v>9032025</v>
      </c>
      <c r="AB264" s="9">
        <v>77868</v>
      </c>
      <c r="AC264" s="9" t="s">
        <v>41</v>
      </c>
      <c r="AD264" s="9" t="s">
        <v>65</v>
      </c>
      <c r="AE264" s="9" t="s">
        <v>66</v>
      </c>
      <c r="AF264" s="9" t="s">
        <v>66</v>
      </c>
      <c r="AG264" s="14" t="str">
        <f t="shared" si="10"/>
        <v>PROCEDIMIENTOS TERAPEUTICOS</v>
      </c>
      <c r="AH264" s="9" t="s">
        <v>758</v>
      </c>
      <c r="AI264" s="9">
        <v>0</v>
      </c>
      <c r="AJ264" s="9">
        <v>78317440</v>
      </c>
      <c r="AK264" s="9">
        <v>5</v>
      </c>
      <c r="AL264" s="26" t="s">
        <v>69</v>
      </c>
      <c r="AM264" s="14" t="s">
        <v>567</v>
      </c>
      <c r="AN264" s="27" t="str">
        <f t="shared" si="11"/>
        <v>13031474|78317440|136715980|136715980</v>
      </c>
      <c r="AO264" t="s">
        <v>758</v>
      </c>
      <c r="AP264" t="b">
        <v>1</v>
      </c>
      <c r="AQ264" t="s">
        <v>764</v>
      </c>
    </row>
    <row r="265" spans="1:43" x14ac:dyDescent="0.2">
      <c r="A265" s="14" t="s">
        <v>500</v>
      </c>
      <c r="B265" s="17">
        <v>13031474</v>
      </c>
      <c r="C265" s="14" t="s">
        <v>225</v>
      </c>
      <c r="D265" s="9">
        <v>13031474</v>
      </c>
      <c r="E265" s="9" t="s">
        <v>225</v>
      </c>
      <c r="F265" s="7">
        <v>45717</v>
      </c>
      <c r="G265" s="20" t="s">
        <v>46</v>
      </c>
      <c r="H265" s="8">
        <v>136715980</v>
      </c>
      <c r="I265" s="19">
        <v>65384065</v>
      </c>
      <c r="J265" s="10">
        <v>118013</v>
      </c>
      <c r="K265" s="10">
        <v>0</v>
      </c>
      <c r="L265" s="10">
        <v>118013</v>
      </c>
      <c r="M265" s="10">
        <v>0</v>
      </c>
      <c r="N265" s="11">
        <v>118013</v>
      </c>
      <c r="O265" s="12">
        <v>136715980</v>
      </c>
      <c r="P265" s="9">
        <v>285123</v>
      </c>
      <c r="Q265" s="9" t="s">
        <v>37</v>
      </c>
      <c r="R265" s="13">
        <v>45719</v>
      </c>
      <c r="S265" s="22">
        <v>45742</v>
      </c>
      <c r="T265" s="13">
        <v>45719</v>
      </c>
      <c r="U265" s="13">
        <v>45719</v>
      </c>
      <c r="V265" s="9" t="s">
        <v>47</v>
      </c>
      <c r="W265" s="9">
        <v>22772368</v>
      </c>
      <c r="X265" s="9">
        <v>3311105</v>
      </c>
      <c r="Y265" s="9">
        <v>69250953</v>
      </c>
      <c r="Z265" s="9" t="s">
        <v>39</v>
      </c>
      <c r="AA265" s="9">
        <v>73378419</v>
      </c>
      <c r="AB265" s="9">
        <v>78070</v>
      </c>
      <c r="AC265" s="9" t="s">
        <v>41</v>
      </c>
      <c r="AD265" s="9" t="s">
        <v>65</v>
      </c>
      <c r="AE265" s="9" t="s">
        <v>66</v>
      </c>
      <c r="AF265" s="9" t="s">
        <v>66</v>
      </c>
      <c r="AG265" s="14" t="str">
        <f t="shared" si="10"/>
        <v>PROCEDIMIENTOS TERAPEUTICOS</v>
      </c>
      <c r="AH265" s="9">
        <v>0</v>
      </c>
      <c r="AI265" s="9">
        <v>0</v>
      </c>
      <c r="AJ265" s="9">
        <v>78317440</v>
      </c>
      <c r="AK265" s="9">
        <v>5</v>
      </c>
      <c r="AL265" s="26" t="s">
        <v>52</v>
      </c>
      <c r="AM265" s="14" t="s">
        <v>567</v>
      </c>
      <c r="AN265" s="27" t="str">
        <f t="shared" si="11"/>
        <v>13031474|78317440|136715980|65384065</v>
      </c>
      <c r="AO265" t="s">
        <v>44</v>
      </c>
      <c r="AP265" t="b">
        <v>0</v>
      </c>
      <c r="AQ265" t="s">
        <v>763</v>
      </c>
    </row>
    <row r="266" spans="1:43" x14ac:dyDescent="0.2">
      <c r="A266" s="14" t="s">
        <v>500</v>
      </c>
      <c r="B266" s="17">
        <v>10151614</v>
      </c>
      <c r="C266" s="14" t="s">
        <v>214</v>
      </c>
      <c r="D266" s="9">
        <v>10151614</v>
      </c>
      <c r="E266" s="9" t="s">
        <v>214</v>
      </c>
      <c r="F266" s="7">
        <v>45717</v>
      </c>
      <c r="G266" s="20" t="s">
        <v>36</v>
      </c>
      <c r="H266" s="8">
        <v>136733761</v>
      </c>
      <c r="I266" s="19">
        <v>136733761</v>
      </c>
      <c r="J266" s="10">
        <v>54758</v>
      </c>
      <c r="K266" s="10">
        <v>40532</v>
      </c>
      <c r="L266" s="10">
        <v>14226</v>
      </c>
      <c r="M266" s="10">
        <v>0</v>
      </c>
      <c r="N266" s="11">
        <v>14226</v>
      </c>
      <c r="O266" s="12">
        <v>136733761</v>
      </c>
      <c r="P266" s="9">
        <v>285123</v>
      </c>
      <c r="Q266" s="9" t="s">
        <v>37</v>
      </c>
      <c r="R266" s="13">
        <v>45719</v>
      </c>
      <c r="S266" s="22">
        <v>45719</v>
      </c>
      <c r="T266" s="13">
        <v>45719</v>
      </c>
      <c r="U266" s="13">
        <v>45719</v>
      </c>
      <c r="V266" s="9" t="s">
        <v>58</v>
      </c>
      <c r="W266" s="9">
        <v>22676582</v>
      </c>
      <c r="X266" s="9">
        <v>3101656</v>
      </c>
      <c r="Y266" s="9">
        <v>68996678</v>
      </c>
      <c r="Z266" s="9" t="s">
        <v>39</v>
      </c>
      <c r="AA266" s="9">
        <v>9032025</v>
      </c>
      <c r="AB266" s="9">
        <v>77868</v>
      </c>
      <c r="AC266" s="9" t="s">
        <v>41</v>
      </c>
      <c r="AD266" s="9" t="s">
        <v>71</v>
      </c>
      <c r="AE266" s="9" t="s">
        <v>72</v>
      </c>
      <c r="AF266" s="9" t="s">
        <v>73</v>
      </c>
      <c r="AG266" s="14" t="str">
        <f t="shared" si="10"/>
        <v>CONSULTA PSIQUIATRICA</v>
      </c>
      <c r="AH266" s="9" t="s">
        <v>758</v>
      </c>
      <c r="AI266" s="9">
        <v>0</v>
      </c>
      <c r="AJ266" s="9">
        <v>71023600</v>
      </c>
      <c r="AK266" s="9">
        <v>3</v>
      </c>
      <c r="AL266" s="26" t="s">
        <v>69</v>
      </c>
      <c r="AM266" s="14" t="s">
        <v>560</v>
      </c>
      <c r="AN266" s="27" t="str">
        <f t="shared" si="11"/>
        <v>10151614|71023600|136733761|136733761</v>
      </c>
      <c r="AO266" t="s">
        <v>758</v>
      </c>
      <c r="AP266" t="b">
        <v>1</v>
      </c>
      <c r="AQ266" t="s">
        <v>764</v>
      </c>
    </row>
    <row r="267" spans="1:43" x14ac:dyDescent="0.2">
      <c r="A267" s="14" t="s">
        <v>500</v>
      </c>
      <c r="B267" s="17">
        <v>10151614</v>
      </c>
      <c r="C267" s="14" t="s">
        <v>214</v>
      </c>
      <c r="D267" s="9">
        <v>10151614</v>
      </c>
      <c r="E267" s="9" t="s">
        <v>214</v>
      </c>
      <c r="F267" s="7">
        <v>45717</v>
      </c>
      <c r="G267" s="20" t="s">
        <v>46</v>
      </c>
      <c r="H267" s="8">
        <v>136733761</v>
      </c>
      <c r="I267" s="19">
        <v>65383806</v>
      </c>
      <c r="J267" s="10">
        <v>14316</v>
      </c>
      <c r="K267" s="10">
        <v>0</v>
      </c>
      <c r="L267" s="10">
        <v>14316</v>
      </c>
      <c r="M267" s="10">
        <v>0</v>
      </c>
      <c r="N267" s="11">
        <v>14316</v>
      </c>
      <c r="O267" s="12">
        <v>136733761</v>
      </c>
      <c r="P267" s="9">
        <v>285123</v>
      </c>
      <c r="Q267" s="9" t="s">
        <v>37</v>
      </c>
      <c r="R267" s="13">
        <v>45719</v>
      </c>
      <c r="S267" s="22">
        <v>45742</v>
      </c>
      <c r="T267" s="13">
        <v>45719</v>
      </c>
      <c r="U267" s="13">
        <v>45719</v>
      </c>
      <c r="V267" s="9" t="s">
        <v>58</v>
      </c>
      <c r="W267" s="9">
        <v>22772363</v>
      </c>
      <c r="X267" s="9">
        <v>3311105</v>
      </c>
      <c r="Y267" s="9">
        <v>69250695</v>
      </c>
      <c r="Z267" s="9" t="s">
        <v>39</v>
      </c>
      <c r="AA267" s="9">
        <v>210689048</v>
      </c>
      <c r="AB267" s="9">
        <v>78070</v>
      </c>
      <c r="AC267" s="9" t="s">
        <v>41</v>
      </c>
      <c r="AD267" s="9" t="s">
        <v>71</v>
      </c>
      <c r="AE267" s="9" t="s">
        <v>72</v>
      </c>
      <c r="AF267" s="9" t="s">
        <v>73</v>
      </c>
      <c r="AG267" s="14" t="str">
        <f t="shared" si="10"/>
        <v>CONSULTA PSIQUIATRICA</v>
      </c>
      <c r="AH267" s="9">
        <v>0</v>
      </c>
      <c r="AI267" s="9">
        <v>0</v>
      </c>
      <c r="AJ267" s="9">
        <v>71023600</v>
      </c>
      <c r="AK267" s="9">
        <v>3</v>
      </c>
      <c r="AL267" s="26" t="s">
        <v>52</v>
      </c>
      <c r="AM267" s="14" t="s">
        <v>560</v>
      </c>
      <c r="AN267" s="27" t="str">
        <f t="shared" si="11"/>
        <v>10151614|71023600|136733761|65383806</v>
      </c>
      <c r="AO267" t="s">
        <v>44</v>
      </c>
      <c r="AP267" t="b">
        <v>0</v>
      </c>
      <c r="AQ267" t="s">
        <v>763</v>
      </c>
    </row>
    <row r="268" spans="1:43" x14ac:dyDescent="0.2">
      <c r="A268" s="14" t="s">
        <v>500</v>
      </c>
      <c r="B268" s="17">
        <v>11946769</v>
      </c>
      <c r="C268" s="14" t="s">
        <v>199</v>
      </c>
      <c r="D268" s="9">
        <v>11946769</v>
      </c>
      <c r="E268" s="9" t="s">
        <v>199</v>
      </c>
      <c r="F268" s="7">
        <v>45717</v>
      </c>
      <c r="G268" s="20" t="s">
        <v>36</v>
      </c>
      <c r="H268" s="8">
        <v>136763432</v>
      </c>
      <c r="I268" s="19">
        <v>136763432</v>
      </c>
      <c r="J268" s="10">
        <v>24427</v>
      </c>
      <c r="K268" s="10">
        <v>20763</v>
      </c>
      <c r="L268" s="10">
        <v>3664</v>
      </c>
      <c r="M268" s="10">
        <v>0</v>
      </c>
      <c r="N268" s="11">
        <v>3664</v>
      </c>
      <c r="O268" s="12">
        <v>136763432</v>
      </c>
      <c r="P268" s="9">
        <v>285123</v>
      </c>
      <c r="Q268" s="9" t="s">
        <v>37</v>
      </c>
      <c r="R268" s="13">
        <v>45720</v>
      </c>
      <c r="S268" s="22">
        <v>45720</v>
      </c>
      <c r="T268" s="13">
        <v>45720</v>
      </c>
      <c r="U268" s="13">
        <v>45720</v>
      </c>
      <c r="V268" s="9" t="s">
        <v>47</v>
      </c>
      <c r="W268" s="9">
        <v>22676651</v>
      </c>
      <c r="X268" s="9">
        <v>3101656</v>
      </c>
      <c r="Y268" s="9">
        <v>68997084</v>
      </c>
      <c r="Z268" s="9" t="s">
        <v>39</v>
      </c>
      <c r="AA268" s="9">
        <v>9032025</v>
      </c>
      <c r="AB268" s="9">
        <v>77868</v>
      </c>
      <c r="AC268" s="9" t="s">
        <v>41</v>
      </c>
      <c r="AD268" s="9" t="s">
        <v>134</v>
      </c>
      <c r="AE268" s="9" t="s">
        <v>135</v>
      </c>
      <c r="AF268" s="9" t="s">
        <v>135</v>
      </c>
      <c r="AG268" s="14" t="str">
        <f t="shared" si="10"/>
        <v>EXAMENES RADIOLOGICOS</v>
      </c>
      <c r="AH268" s="9" t="s">
        <v>758</v>
      </c>
      <c r="AI268" s="9">
        <v>0</v>
      </c>
      <c r="AJ268" s="9">
        <v>76098454</v>
      </c>
      <c r="AK268" s="9" t="s">
        <v>161</v>
      </c>
      <c r="AL268" s="26" t="s">
        <v>69</v>
      </c>
      <c r="AM268" s="14" t="s">
        <v>547</v>
      </c>
      <c r="AN268" s="27" t="str">
        <f t="shared" si="11"/>
        <v>11946769|76098454|136763432|136763432</v>
      </c>
      <c r="AO268" t="s">
        <v>758</v>
      </c>
      <c r="AP268" t="b">
        <v>1</v>
      </c>
      <c r="AQ268" t="s">
        <v>764</v>
      </c>
    </row>
    <row r="269" spans="1:43" x14ac:dyDescent="0.2">
      <c r="A269" s="14" t="s">
        <v>500</v>
      </c>
      <c r="B269" s="17">
        <v>11946769</v>
      </c>
      <c r="C269" s="14" t="s">
        <v>199</v>
      </c>
      <c r="D269" s="9">
        <v>11946769</v>
      </c>
      <c r="E269" s="9" t="s">
        <v>199</v>
      </c>
      <c r="F269" s="7">
        <v>45717</v>
      </c>
      <c r="G269" s="20" t="s">
        <v>46</v>
      </c>
      <c r="H269" s="8">
        <v>136763432</v>
      </c>
      <c r="I269" s="19">
        <v>65383981</v>
      </c>
      <c r="J269" s="10">
        <v>3870</v>
      </c>
      <c r="K269" s="10">
        <v>0</v>
      </c>
      <c r="L269" s="10">
        <v>3870</v>
      </c>
      <c r="M269" s="10">
        <v>0</v>
      </c>
      <c r="N269" s="11">
        <v>3870</v>
      </c>
      <c r="O269" s="12">
        <v>136763432</v>
      </c>
      <c r="P269" s="9">
        <v>285123</v>
      </c>
      <c r="Q269" s="9" t="s">
        <v>37</v>
      </c>
      <c r="R269" s="13">
        <v>45720</v>
      </c>
      <c r="S269" s="22">
        <v>45742</v>
      </c>
      <c r="T269" s="13">
        <v>45720</v>
      </c>
      <c r="U269" s="13">
        <v>45720</v>
      </c>
      <c r="V269" s="9" t="s">
        <v>47</v>
      </c>
      <c r="W269" s="9">
        <v>22772392</v>
      </c>
      <c r="X269" s="9">
        <v>3311105</v>
      </c>
      <c r="Y269" s="9">
        <v>69250869</v>
      </c>
      <c r="Z269" s="9" t="s">
        <v>39</v>
      </c>
      <c r="AA269" s="9">
        <v>970593489</v>
      </c>
      <c r="AB269" s="9">
        <v>78070</v>
      </c>
      <c r="AC269" s="9" t="s">
        <v>41</v>
      </c>
      <c r="AD269" s="9" t="s">
        <v>134</v>
      </c>
      <c r="AE269" s="9" t="s">
        <v>135</v>
      </c>
      <c r="AF269" s="9" t="s">
        <v>135</v>
      </c>
      <c r="AG269" s="14" t="str">
        <f t="shared" si="10"/>
        <v>EXAMENES RADIOLOGICOS</v>
      </c>
      <c r="AH269" s="9">
        <v>0</v>
      </c>
      <c r="AI269" s="9">
        <v>0</v>
      </c>
      <c r="AJ269" s="9">
        <v>76098454</v>
      </c>
      <c r="AK269" s="9" t="s">
        <v>161</v>
      </c>
      <c r="AL269" s="26" t="s">
        <v>52</v>
      </c>
      <c r="AM269" s="14" t="s">
        <v>547</v>
      </c>
      <c r="AN269" s="27" t="str">
        <f t="shared" si="11"/>
        <v>11946769|76098454|136763432|65383981</v>
      </c>
      <c r="AO269" t="s">
        <v>44</v>
      </c>
      <c r="AP269" t="b">
        <v>0</v>
      </c>
      <c r="AQ269" t="s">
        <v>763</v>
      </c>
    </row>
    <row r="270" spans="1:43" x14ac:dyDescent="0.2">
      <c r="A270" s="14" t="s">
        <v>500</v>
      </c>
      <c r="B270" s="17">
        <v>14011130</v>
      </c>
      <c r="C270" s="14" t="s">
        <v>226</v>
      </c>
      <c r="D270" s="9">
        <v>23056718</v>
      </c>
      <c r="E270" s="9" t="s">
        <v>227</v>
      </c>
      <c r="F270" s="7">
        <v>45717</v>
      </c>
      <c r="G270" s="20" t="s">
        <v>36</v>
      </c>
      <c r="H270" s="8">
        <v>136770400</v>
      </c>
      <c r="I270" s="19">
        <v>136770400</v>
      </c>
      <c r="J270" s="10">
        <v>12654</v>
      </c>
      <c r="K270" s="10">
        <v>9570</v>
      </c>
      <c r="L270" s="10">
        <v>3084</v>
      </c>
      <c r="M270" s="10">
        <v>0</v>
      </c>
      <c r="N270" s="11">
        <v>3084</v>
      </c>
      <c r="O270" s="12">
        <v>136770400</v>
      </c>
      <c r="P270" s="9">
        <v>285123</v>
      </c>
      <c r="Q270" s="9" t="s">
        <v>37</v>
      </c>
      <c r="R270" s="13">
        <v>45720</v>
      </c>
      <c r="S270" s="22">
        <v>45720</v>
      </c>
      <c r="T270" s="13">
        <v>45720</v>
      </c>
      <c r="U270" s="13">
        <v>45720</v>
      </c>
      <c r="V270" s="9" t="s">
        <v>47</v>
      </c>
      <c r="W270" s="9">
        <v>22676664</v>
      </c>
      <c r="X270" s="9">
        <v>3101656</v>
      </c>
      <c r="Y270" s="9">
        <v>68997840</v>
      </c>
      <c r="Z270" s="9" t="s">
        <v>39</v>
      </c>
      <c r="AA270" s="9">
        <v>9032025</v>
      </c>
      <c r="AB270" s="9">
        <v>77868</v>
      </c>
      <c r="AC270" s="9" t="s">
        <v>41</v>
      </c>
      <c r="AD270" s="9" t="s">
        <v>65</v>
      </c>
      <c r="AE270" s="9" t="s">
        <v>66</v>
      </c>
      <c r="AF270" s="9" t="s">
        <v>66</v>
      </c>
      <c r="AG270" s="14" t="str">
        <f t="shared" si="10"/>
        <v>PROCEDIMIENTOS TERAPEUTICOS</v>
      </c>
      <c r="AH270" s="9" t="s">
        <v>758</v>
      </c>
      <c r="AI270" s="9">
        <v>0</v>
      </c>
      <c r="AJ270" s="9">
        <v>76098454</v>
      </c>
      <c r="AK270" s="9" t="s">
        <v>161</v>
      </c>
      <c r="AL270" s="26" t="s">
        <v>69</v>
      </c>
      <c r="AM270" s="14" t="s">
        <v>568</v>
      </c>
      <c r="AN270" s="27" t="str">
        <f t="shared" si="11"/>
        <v>14011130|76098454|136770400|136770400</v>
      </c>
      <c r="AO270" t="s">
        <v>758</v>
      </c>
      <c r="AP270" t="b">
        <v>1</v>
      </c>
      <c r="AQ270" t="s">
        <v>764</v>
      </c>
    </row>
    <row r="271" spans="1:43" x14ac:dyDescent="0.2">
      <c r="A271" s="14" t="s">
        <v>500</v>
      </c>
      <c r="B271" s="17">
        <v>14011130</v>
      </c>
      <c r="C271" s="14" t="s">
        <v>226</v>
      </c>
      <c r="D271" s="9">
        <v>23056718</v>
      </c>
      <c r="E271" s="9" t="s">
        <v>227</v>
      </c>
      <c r="F271" s="7">
        <v>45717</v>
      </c>
      <c r="G271" s="20" t="s">
        <v>46</v>
      </c>
      <c r="H271" s="8">
        <v>136770400</v>
      </c>
      <c r="I271" s="19">
        <v>65384192</v>
      </c>
      <c r="J271" s="10">
        <v>3096</v>
      </c>
      <c r="K271" s="10">
        <v>0</v>
      </c>
      <c r="L271" s="10">
        <v>3096</v>
      </c>
      <c r="M271" s="10">
        <v>0</v>
      </c>
      <c r="N271" s="11">
        <v>3096</v>
      </c>
      <c r="O271" s="12">
        <v>136770400</v>
      </c>
      <c r="P271" s="9">
        <v>285123</v>
      </c>
      <c r="Q271" s="9" t="s">
        <v>37</v>
      </c>
      <c r="R271" s="13">
        <v>45720</v>
      </c>
      <c r="S271" s="22">
        <v>45742</v>
      </c>
      <c r="T271" s="13">
        <v>45720</v>
      </c>
      <c r="U271" s="13">
        <v>45720</v>
      </c>
      <c r="V271" s="9" t="s">
        <v>47</v>
      </c>
      <c r="W271" s="9">
        <v>22772395</v>
      </c>
      <c r="X271" s="9">
        <v>3311105</v>
      </c>
      <c r="Y271" s="9">
        <v>69251068</v>
      </c>
      <c r="Z271" s="9" t="s">
        <v>39</v>
      </c>
      <c r="AA271" s="9">
        <v>68951852</v>
      </c>
      <c r="AB271" s="9">
        <v>78070</v>
      </c>
      <c r="AC271" s="9" t="s">
        <v>41</v>
      </c>
      <c r="AD271" s="9" t="s">
        <v>65</v>
      </c>
      <c r="AE271" s="9" t="s">
        <v>66</v>
      </c>
      <c r="AF271" s="9" t="s">
        <v>66</v>
      </c>
      <c r="AG271" s="14" t="str">
        <f t="shared" si="10"/>
        <v>PROCEDIMIENTOS TERAPEUTICOS</v>
      </c>
      <c r="AH271" s="9">
        <v>0</v>
      </c>
      <c r="AI271" s="9">
        <v>0</v>
      </c>
      <c r="AJ271" s="9">
        <v>76098454</v>
      </c>
      <c r="AK271" s="9" t="s">
        <v>161</v>
      </c>
      <c r="AL271" s="26" t="s">
        <v>52</v>
      </c>
      <c r="AM271" s="14" t="s">
        <v>568</v>
      </c>
      <c r="AN271" s="27" t="str">
        <f t="shared" si="11"/>
        <v>14011130|76098454|136770400|65384192</v>
      </c>
      <c r="AO271" t="s">
        <v>44</v>
      </c>
      <c r="AP271" t="b">
        <v>0</v>
      </c>
      <c r="AQ271" t="s">
        <v>763</v>
      </c>
    </row>
    <row r="272" spans="1:43" x14ac:dyDescent="0.2">
      <c r="A272" s="14" t="s">
        <v>500</v>
      </c>
      <c r="B272" s="17">
        <v>15106738</v>
      </c>
      <c r="C272" s="14" t="s">
        <v>228</v>
      </c>
      <c r="D272" s="9">
        <v>23216419</v>
      </c>
      <c r="E272" s="9" t="s">
        <v>229</v>
      </c>
      <c r="F272" s="7">
        <v>45717</v>
      </c>
      <c r="G272" s="20" t="s">
        <v>36</v>
      </c>
      <c r="H272" s="8">
        <v>136770464</v>
      </c>
      <c r="I272" s="19">
        <v>136770464</v>
      </c>
      <c r="J272" s="10">
        <v>15280</v>
      </c>
      <c r="K272" s="10">
        <v>13604</v>
      </c>
      <c r="L272" s="10">
        <v>1676</v>
      </c>
      <c r="M272" s="10">
        <v>0</v>
      </c>
      <c r="N272" s="11">
        <v>1676</v>
      </c>
      <c r="O272" s="12">
        <v>136770464</v>
      </c>
      <c r="P272" s="9">
        <v>285123</v>
      </c>
      <c r="Q272" s="9" t="s">
        <v>37</v>
      </c>
      <c r="R272" s="13">
        <v>45720</v>
      </c>
      <c r="S272" s="22">
        <v>45720</v>
      </c>
      <c r="T272" s="13">
        <v>45720</v>
      </c>
      <c r="U272" s="13">
        <v>45720</v>
      </c>
      <c r="V272" s="9" t="s">
        <v>47</v>
      </c>
      <c r="W272" s="9">
        <v>22676667</v>
      </c>
      <c r="X272" s="9">
        <v>3101656</v>
      </c>
      <c r="Y272" s="9">
        <v>68993397</v>
      </c>
      <c r="Z272" s="9" t="s">
        <v>39</v>
      </c>
      <c r="AA272" s="9">
        <v>9032025</v>
      </c>
      <c r="AB272" s="9">
        <v>77868</v>
      </c>
      <c r="AC272" s="9" t="s">
        <v>41</v>
      </c>
      <c r="AD272" s="9" t="s">
        <v>134</v>
      </c>
      <c r="AE272" s="9" t="s">
        <v>135</v>
      </c>
      <c r="AF272" s="9" t="s">
        <v>135</v>
      </c>
      <c r="AG272" s="14" t="str">
        <f t="shared" si="10"/>
        <v>EXAMENES RADIOLOGICOS</v>
      </c>
      <c r="AH272" s="9" t="s">
        <v>758</v>
      </c>
      <c r="AI272" s="9">
        <v>0</v>
      </c>
      <c r="AJ272" s="9">
        <v>77270020</v>
      </c>
      <c r="AK272" s="9">
        <v>2</v>
      </c>
      <c r="AL272" s="26" t="s">
        <v>69</v>
      </c>
      <c r="AM272" s="14" t="s">
        <v>569</v>
      </c>
      <c r="AN272" s="27" t="str">
        <f t="shared" si="11"/>
        <v>15106738|77270020|136770464|136770464</v>
      </c>
      <c r="AO272" t="s">
        <v>758</v>
      </c>
      <c r="AP272" t="b">
        <v>1</v>
      </c>
      <c r="AQ272" t="s">
        <v>764</v>
      </c>
    </row>
    <row r="273" spans="1:43" x14ac:dyDescent="0.2">
      <c r="A273" s="14" t="s">
        <v>500</v>
      </c>
      <c r="B273" s="17">
        <v>15106738</v>
      </c>
      <c r="C273" s="14" t="s">
        <v>228</v>
      </c>
      <c r="D273" s="9">
        <v>23216419</v>
      </c>
      <c r="E273" s="9" t="s">
        <v>229</v>
      </c>
      <c r="F273" s="7">
        <v>45717</v>
      </c>
      <c r="G273" s="20" t="s">
        <v>46</v>
      </c>
      <c r="H273" s="8">
        <v>136770464</v>
      </c>
      <c r="I273" s="19">
        <v>65384253</v>
      </c>
      <c r="J273" s="10">
        <v>1548</v>
      </c>
      <c r="K273" s="10">
        <v>0</v>
      </c>
      <c r="L273" s="10">
        <v>1548</v>
      </c>
      <c r="M273" s="10">
        <v>0</v>
      </c>
      <c r="N273" s="11">
        <v>1548</v>
      </c>
      <c r="O273" s="12">
        <v>136770464</v>
      </c>
      <c r="P273" s="9">
        <v>285123</v>
      </c>
      <c r="Q273" s="9" t="s">
        <v>37</v>
      </c>
      <c r="R273" s="13">
        <v>45720</v>
      </c>
      <c r="S273" s="22">
        <v>45742</v>
      </c>
      <c r="T273" s="13">
        <v>45720</v>
      </c>
      <c r="U273" s="13">
        <v>45720</v>
      </c>
      <c r="V273" s="9" t="s">
        <v>47</v>
      </c>
      <c r="W273" s="9">
        <v>22772396</v>
      </c>
      <c r="X273" s="9">
        <v>3311105</v>
      </c>
      <c r="Y273" s="9">
        <v>69251126</v>
      </c>
      <c r="Z273" s="9" t="s">
        <v>39</v>
      </c>
      <c r="AA273" s="9">
        <v>16010010070</v>
      </c>
      <c r="AB273" s="9">
        <v>78070</v>
      </c>
      <c r="AC273" s="9" t="s">
        <v>41</v>
      </c>
      <c r="AD273" s="9" t="s">
        <v>134</v>
      </c>
      <c r="AE273" s="9" t="s">
        <v>135</v>
      </c>
      <c r="AF273" s="9" t="s">
        <v>135</v>
      </c>
      <c r="AG273" s="14" t="str">
        <f t="shared" si="10"/>
        <v>EXAMENES RADIOLOGICOS</v>
      </c>
      <c r="AH273" s="9">
        <v>0</v>
      </c>
      <c r="AI273" s="9">
        <v>0</v>
      </c>
      <c r="AJ273" s="9">
        <v>77270020</v>
      </c>
      <c r="AK273" s="9">
        <v>2</v>
      </c>
      <c r="AL273" s="26" t="s">
        <v>52</v>
      </c>
      <c r="AM273" s="14" t="s">
        <v>569</v>
      </c>
      <c r="AN273" s="27" t="str">
        <f t="shared" si="11"/>
        <v>15106738|77270020|136770464|65384253</v>
      </c>
      <c r="AO273" t="s">
        <v>44</v>
      </c>
      <c r="AP273" t="b">
        <v>0</v>
      </c>
      <c r="AQ273" t="s">
        <v>763</v>
      </c>
    </row>
    <row r="274" spans="1:43" x14ac:dyDescent="0.2">
      <c r="A274" s="14" t="s">
        <v>500</v>
      </c>
      <c r="B274" s="17">
        <v>7813243</v>
      </c>
      <c r="C274" s="14" t="s">
        <v>230</v>
      </c>
      <c r="D274" s="9">
        <v>7813243</v>
      </c>
      <c r="E274" s="9" t="s">
        <v>230</v>
      </c>
      <c r="F274" s="7">
        <v>45717</v>
      </c>
      <c r="G274" s="20" t="s">
        <v>36</v>
      </c>
      <c r="H274" s="8">
        <v>136781436</v>
      </c>
      <c r="I274" s="19">
        <v>136781436</v>
      </c>
      <c r="J274" s="10">
        <v>49630</v>
      </c>
      <c r="K274" s="10">
        <v>41760</v>
      </c>
      <c r="L274" s="10">
        <v>7870</v>
      </c>
      <c r="M274" s="10">
        <v>0</v>
      </c>
      <c r="N274" s="11">
        <v>7870</v>
      </c>
      <c r="O274" s="12">
        <v>136781436</v>
      </c>
      <c r="P274" s="9">
        <v>285123</v>
      </c>
      <c r="Q274" s="9" t="s">
        <v>37</v>
      </c>
      <c r="R274" s="13">
        <v>45721</v>
      </c>
      <c r="S274" s="22">
        <v>45721</v>
      </c>
      <c r="T274" s="13">
        <v>45721</v>
      </c>
      <c r="U274" s="13">
        <v>45721</v>
      </c>
      <c r="V274" s="9" t="s">
        <v>47</v>
      </c>
      <c r="W274" s="9">
        <v>22676691</v>
      </c>
      <c r="X274" s="9">
        <v>3101656</v>
      </c>
      <c r="Y274" s="9">
        <v>68995375</v>
      </c>
      <c r="Z274" s="9" t="s">
        <v>39</v>
      </c>
      <c r="AA274" s="9">
        <v>9032025</v>
      </c>
      <c r="AB274" s="9">
        <v>77868</v>
      </c>
      <c r="AC274" s="9" t="s">
        <v>41</v>
      </c>
      <c r="AD274" s="9" t="s">
        <v>132</v>
      </c>
      <c r="AE274" s="9" t="s">
        <v>133</v>
      </c>
      <c r="AF274" s="9" t="s">
        <v>133</v>
      </c>
      <c r="AG274" s="14" t="str">
        <f t="shared" si="10"/>
        <v>EXAMENES DE LABORATORIO</v>
      </c>
      <c r="AH274" s="9" t="s">
        <v>758</v>
      </c>
      <c r="AI274" s="9">
        <v>0</v>
      </c>
      <c r="AJ274" s="9">
        <v>92051000</v>
      </c>
      <c r="AK274" s="9">
        <v>0</v>
      </c>
      <c r="AL274" s="26" t="s">
        <v>69</v>
      </c>
      <c r="AM274" s="14" t="s">
        <v>570</v>
      </c>
      <c r="AN274" s="27" t="str">
        <f t="shared" si="11"/>
        <v>7813243|92051000|136781436|136781436</v>
      </c>
      <c r="AO274" t="s">
        <v>758</v>
      </c>
      <c r="AP274" t="b">
        <v>1</v>
      </c>
      <c r="AQ274" t="s">
        <v>764</v>
      </c>
    </row>
    <row r="275" spans="1:43" x14ac:dyDescent="0.2">
      <c r="A275" s="14" t="s">
        <v>500</v>
      </c>
      <c r="B275" s="17">
        <v>7813243</v>
      </c>
      <c r="C275" s="14" t="s">
        <v>230</v>
      </c>
      <c r="D275" s="9">
        <v>7813243</v>
      </c>
      <c r="E275" s="9" t="s">
        <v>230</v>
      </c>
      <c r="F275" s="7">
        <v>45717</v>
      </c>
      <c r="G275" s="20" t="s">
        <v>46</v>
      </c>
      <c r="H275" s="8">
        <v>136781436</v>
      </c>
      <c r="I275" s="19">
        <v>65383628</v>
      </c>
      <c r="J275" s="10">
        <v>8129</v>
      </c>
      <c r="K275" s="10">
        <v>0</v>
      </c>
      <c r="L275" s="10">
        <v>8129</v>
      </c>
      <c r="M275" s="10">
        <v>0</v>
      </c>
      <c r="N275" s="11">
        <v>8129</v>
      </c>
      <c r="O275" s="12">
        <v>136781436</v>
      </c>
      <c r="P275" s="9">
        <v>285123</v>
      </c>
      <c r="Q275" s="9" t="s">
        <v>37</v>
      </c>
      <c r="R275" s="13">
        <v>45721</v>
      </c>
      <c r="S275" s="22">
        <v>45742</v>
      </c>
      <c r="T275" s="13">
        <v>45721</v>
      </c>
      <c r="U275" s="13">
        <v>45721</v>
      </c>
      <c r="V275" s="9" t="s">
        <v>47</v>
      </c>
      <c r="W275" s="9">
        <v>22772401</v>
      </c>
      <c r="X275" s="9">
        <v>3311105</v>
      </c>
      <c r="Y275" s="9">
        <v>69250519</v>
      </c>
      <c r="Z275" s="9" t="s">
        <v>39</v>
      </c>
      <c r="AA275" s="9">
        <v>50918307</v>
      </c>
      <c r="AB275" s="9">
        <v>78070</v>
      </c>
      <c r="AC275" s="9" t="s">
        <v>41</v>
      </c>
      <c r="AD275" s="9" t="s">
        <v>132</v>
      </c>
      <c r="AE275" s="9" t="s">
        <v>133</v>
      </c>
      <c r="AF275" s="9" t="s">
        <v>133</v>
      </c>
      <c r="AG275" s="14" t="str">
        <f t="shared" si="10"/>
        <v>EXAMENES DE LABORATORIO</v>
      </c>
      <c r="AH275" s="9">
        <v>0</v>
      </c>
      <c r="AI275" s="9">
        <v>0</v>
      </c>
      <c r="AJ275" s="9">
        <v>92051000</v>
      </c>
      <c r="AK275" s="9">
        <v>0</v>
      </c>
      <c r="AL275" s="26" t="s">
        <v>52</v>
      </c>
      <c r="AM275" s="14" t="s">
        <v>570</v>
      </c>
      <c r="AN275" s="27" t="str">
        <f t="shared" si="11"/>
        <v>7813243|92051000|136781436|65383628</v>
      </c>
      <c r="AO275" t="s">
        <v>44</v>
      </c>
      <c r="AP275" t="b">
        <v>0</v>
      </c>
      <c r="AQ275" t="s">
        <v>763</v>
      </c>
    </row>
    <row r="276" spans="1:43" x14ac:dyDescent="0.2">
      <c r="A276" s="14" t="s">
        <v>500</v>
      </c>
      <c r="B276" s="17">
        <v>7813243</v>
      </c>
      <c r="C276" s="14" t="s">
        <v>230</v>
      </c>
      <c r="D276" s="9">
        <v>7813243</v>
      </c>
      <c r="E276" s="9" t="s">
        <v>230</v>
      </c>
      <c r="F276" s="7">
        <v>45717</v>
      </c>
      <c r="G276" s="20" t="s">
        <v>36</v>
      </c>
      <c r="H276" s="8">
        <v>136781437</v>
      </c>
      <c r="I276" s="19">
        <v>136781437</v>
      </c>
      <c r="J276" s="10">
        <v>37280</v>
      </c>
      <c r="K276" s="10">
        <v>31689</v>
      </c>
      <c r="L276" s="10">
        <v>5591</v>
      </c>
      <c r="M276" s="10">
        <v>0</v>
      </c>
      <c r="N276" s="11">
        <v>5591</v>
      </c>
      <c r="O276" s="12">
        <v>136781437</v>
      </c>
      <c r="P276" s="9">
        <v>285123</v>
      </c>
      <c r="Q276" s="9" t="s">
        <v>37</v>
      </c>
      <c r="R276" s="13">
        <v>45721</v>
      </c>
      <c r="S276" s="22">
        <v>45721</v>
      </c>
      <c r="T276" s="13">
        <v>45721</v>
      </c>
      <c r="U276" s="13">
        <v>45721</v>
      </c>
      <c r="V276" s="9" t="s">
        <v>47</v>
      </c>
      <c r="W276" s="9">
        <v>22676691</v>
      </c>
      <c r="X276" s="9">
        <v>3101656</v>
      </c>
      <c r="Y276" s="9">
        <v>68994217</v>
      </c>
      <c r="Z276" s="9" t="s">
        <v>39</v>
      </c>
      <c r="AA276" s="9">
        <v>9032025</v>
      </c>
      <c r="AB276" s="9">
        <v>77868</v>
      </c>
      <c r="AC276" s="9" t="s">
        <v>41</v>
      </c>
      <c r="AD276" s="9" t="s">
        <v>132</v>
      </c>
      <c r="AE276" s="9" t="s">
        <v>133</v>
      </c>
      <c r="AF276" s="9" t="s">
        <v>133</v>
      </c>
      <c r="AG276" s="14" t="str">
        <f t="shared" si="10"/>
        <v>EXAMENES DE LABORATORIO</v>
      </c>
      <c r="AH276" s="9" t="s">
        <v>758</v>
      </c>
      <c r="AI276" s="9">
        <v>0</v>
      </c>
      <c r="AJ276" s="9">
        <v>92051000</v>
      </c>
      <c r="AK276" s="9">
        <v>0</v>
      </c>
      <c r="AL276" s="26" t="s">
        <v>69</v>
      </c>
      <c r="AM276" s="14" t="s">
        <v>570</v>
      </c>
      <c r="AN276" s="27" t="str">
        <f t="shared" si="11"/>
        <v>7813243|92051000|136781437|136781437</v>
      </c>
      <c r="AO276" t="s">
        <v>758</v>
      </c>
      <c r="AP276" t="b">
        <v>1</v>
      </c>
      <c r="AQ276" t="s">
        <v>764</v>
      </c>
    </row>
    <row r="277" spans="1:43" x14ac:dyDescent="0.2">
      <c r="A277" s="14" t="s">
        <v>500</v>
      </c>
      <c r="B277" s="17">
        <v>7813243</v>
      </c>
      <c r="C277" s="14" t="s">
        <v>230</v>
      </c>
      <c r="D277" s="9">
        <v>7813243</v>
      </c>
      <c r="E277" s="9" t="s">
        <v>230</v>
      </c>
      <c r="F277" s="7">
        <v>45717</v>
      </c>
      <c r="G277" s="20" t="s">
        <v>46</v>
      </c>
      <c r="H277" s="8">
        <v>136781437</v>
      </c>
      <c r="I277" s="19">
        <v>65383629</v>
      </c>
      <c r="J277" s="10">
        <v>5031</v>
      </c>
      <c r="K277" s="10">
        <v>0</v>
      </c>
      <c r="L277" s="10">
        <v>5031</v>
      </c>
      <c r="M277" s="10">
        <v>0</v>
      </c>
      <c r="N277" s="11">
        <v>5031</v>
      </c>
      <c r="O277" s="12">
        <v>136781437</v>
      </c>
      <c r="P277" s="9">
        <v>285123</v>
      </c>
      <c r="Q277" s="9" t="s">
        <v>37</v>
      </c>
      <c r="R277" s="13">
        <v>45721</v>
      </c>
      <c r="S277" s="22">
        <v>45742</v>
      </c>
      <c r="T277" s="13">
        <v>45721</v>
      </c>
      <c r="U277" s="13">
        <v>45721</v>
      </c>
      <c r="V277" s="9" t="s">
        <v>47</v>
      </c>
      <c r="W277" s="9">
        <v>22772401</v>
      </c>
      <c r="X277" s="9">
        <v>3311105</v>
      </c>
      <c r="Y277" s="9">
        <v>69250520</v>
      </c>
      <c r="Z277" s="9" t="s">
        <v>39</v>
      </c>
      <c r="AA277" s="9">
        <v>50918307</v>
      </c>
      <c r="AB277" s="9">
        <v>78070</v>
      </c>
      <c r="AC277" s="9" t="s">
        <v>41</v>
      </c>
      <c r="AD277" s="9" t="s">
        <v>132</v>
      </c>
      <c r="AE277" s="9" t="s">
        <v>133</v>
      </c>
      <c r="AF277" s="9" t="s">
        <v>133</v>
      </c>
      <c r="AG277" s="14" t="str">
        <f t="shared" si="10"/>
        <v>EXAMENES DE LABORATORIO</v>
      </c>
      <c r="AH277" s="9">
        <v>0</v>
      </c>
      <c r="AI277" s="9">
        <v>0</v>
      </c>
      <c r="AJ277" s="9">
        <v>92051000</v>
      </c>
      <c r="AK277" s="9">
        <v>0</v>
      </c>
      <c r="AL277" s="26" t="s">
        <v>52</v>
      </c>
      <c r="AM277" s="14" t="s">
        <v>570</v>
      </c>
      <c r="AN277" s="27" t="str">
        <f t="shared" si="11"/>
        <v>7813243|92051000|136781437|65383629</v>
      </c>
      <c r="AO277" t="s">
        <v>44</v>
      </c>
      <c r="AP277" t="b">
        <v>0</v>
      </c>
      <c r="AQ277" t="s">
        <v>763</v>
      </c>
    </row>
    <row r="278" spans="1:43" x14ac:dyDescent="0.2">
      <c r="A278" s="14" t="s">
        <v>500</v>
      </c>
      <c r="B278" s="17">
        <v>7813243</v>
      </c>
      <c r="C278" s="14" t="s">
        <v>230</v>
      </c>
      <c r="D278" s="9">
        <v>7813243</v>
      </c>
      <c r="E278" s="9" t="s">
        <v>230</v>
      </c>
      <c r="F278" s="7">
        <v>45717</v>
      </c>
      <c r="G278" s="20" t="s">
        <v>36</v>
      </c>
      <c r="H278" s="8">
        <v>136781438</v>
      </c>
      <c r="I278" s="19">
        <v>136781438</v>
      </c>
      <c r="J278" s="10">
        <v>48980</v>
      </c>
      <c r="K278" s="10">
        <v>34111</v>
      </c>
      <c r="L278" s="10">
        <v>14869</v>
      </c>
      <c r="M278" s="10">
        <v>0</v>
      </c>
      <c r="N278" s="11">
        <v>14869</v>
      </c>
      <c r="O278" s="12">
        <v>136781438</v>
      </c>
      <c r="P278" s="9">
        <v>285123</v>
      </c>
      <c r="Q278" s="9" t="s">
        <v>37</v>
      </c>
      <c r="R278" s="13">
        <v>45721</v>
      </c>
      <c r="S278" s="22">
        <v>45721</v>
      </c>
      <c r="T278" s="13">
        <v>45721</v>
      </c>
      <c r="U278" s="13">
        <v>45721</v>
      </c>
      <c r="V278" s="9" t="s">
        <v>47</v>
      </c>
      <c r="W278" s="9">
        <v>22676691</v>
      </c>
      <c r="X278" s="9">
        <v>3101656</v>
      </c>
      <c r="Y278" s="9">
        <v>68997722</v>
      </c>
      <c r="Z278" s="9" t="s">
        <v>39</v>
      </c>
      <c r="AA278" s="9">
        <v>9032025</v>
      </c>
      <c r="AB278" s="9">
        <v>77868</v>
      </c>
      <c r="AC278" s="9" t="s">
        <v>41</v>
      </c>
      <c r="AD278" s="9" t="s">
        <v>132</v>
      </c>
      <c r="AE278" s="9" t="s">
        <v>133</v>
      </c>
      <c r="AF278" s="9" t="s">
        <v>133</v>
      </c>
      <c r="AG278" s="14" t="str">
        <f t="shared" si="10"/>
        <v>EXAMENES DE LABORATORIO</v>
      </c>
      <c r="AH278" s="9" t="s">
        <v>758</v>
      </c>
      <c r="AI278" s="9">
        <v>0</v>
      </c>
      <c r="AJ278" s="9">
        <v>92051000</v>
      </c>
      <c r="AK278" s="9">
        <v>0</v>
      </c>
      <c r="AL278" s="26" t="s">
        <v>69</v>
      </c>
      <c r="AM278" s="14" t="s">
        <v>570</v>
      </c>
      <c r="AN278" s="27" t="str">
        <f t="shared" si="11"/>
        <v>7813243|92051000|136781438|136781438</v>
      </c>
      <c r="AO278" t="s">
        <v>758</v>
      </c>
      <c r="AP278" t="b">
        <v>1</v>
      </c>
      <c r="AQ278" t="s">
        <v>764</v>
      </c>
    </row>
    <row r="279" spans="1:43" x14ac:dyDescent="0.2">
      <c r="A279" s="14" t="s">
        <v>500</v>
      </c>
      <c r="B279" s="17">
        <v>7813243</v>
      </c>
      <c r="C279" s="14" t="s">
        <v>230</v>
      </c>
      <c r="D279" s="9">
        <v>7813243</v>
      </c>
      <c r="E279" s="9" t="s">
        <v>230</v>
      </c>
      <c r="F279" s="7">
        <v>45717</v>
      </c>
      <c r="G279" s="20" t="s">
        <v>46</v>
      </c>
      <c r="H279" s="8">
        <v>136781438</v>
      </c>
      <c r="I279" s="19">
        <v>65383630</v>
      </c>
      <c r="J279" s="10">
        <v>12389</v>
      </c>
      <c r="K279" s="10">
        <v>0</v>
      </c>
      <c r="L279" s="10">
        <v>12389</v>
      </c>
      <c r="M279" s="10">
        <v>0</v>
      </c>
      <c r="N279" s="11">
        <v>12389</v>
      </c>
      <c r="O279" s="12">
        <v>136781438</v>
      </c>
      <c r="P279" s="9">
        <v>285123</v>
      </c>
      <c r="Q279" s="9" t="s">
        <v>37</v>
      </c>
      <c r="R279" s="13">
        <v>45721</v>
      </c>
      <c r="S279" s="22">
        <v>45742</v>
      </c>
      <c r="T279" s="13">
        <v>45721</v>
      </c>
      <c r="U279" s="13">
        <v>45721</v>
      </c>
      <c r="V279" s="9" t="s">
        <v>47</v>
      </c>
      <c r="W279" s="9">
        <v>22772401</v>
      </c>
      <c r="X279" s="9">
        <v>3311105</v>
      </c>
      <c r="Y279" s="9">
        <v>69250521</v>
      </c>
      <c r="Z279" s="9" t="s">
        <v>39</v>
      </c>
      <c r="AA279" s="9">
        <v>50918307</v>
      </c>
      <c r="AB279" s="9">
        <v>78070</v>
      </c>
      <c r="AC279" s="9" t="s">
        <v>41</v>
      </c>
      <c r="AD279" s="9" t="s">
        <v>132</v>
      </c>
      <c r="AE279" s="9" t="s">
        <v>133</v>
      </c>
      <c r="AF279" s="9" t="s">
        <v>133</v>
      </c>
      <c r="AG279" s="14" t="str">
        <f t="shared" si="10"/>
        <v>EXAMENES DE LABORATORIO</v>
      </c>
      <c r="AH279" s="9">
        <v>0</v>
      </c>
      <c r="AI279" s="9">
        <v>0</v>
      </c>
      <c r="AJ279" s="9">
        <v>92051000</v>
      </c>
      <c r="AK279" s="9">
        <v>0</v>
      </c>
      <c r="AL279" s="26" t="s">
        <v>52</v>
      </c>
      <c r="AM279" s="14" t="s">
        <v>570</v>
      </c>
      <c r="AN279" s="27" t="str">
        <f t="shared" si="11"/>
        <v>7813243|92051000|136781438|65383630</v>
      </c>
      <c r="AO279" t="s">
        <v>44</v>
      </c>
      <c r="AP279" t="b">
        <v>0</v>
      </c>
      <c r="AQ279" t="s">
        <v>763</v>
      </c>
    </row>
    <row r="280" spans="1:43" x14ac:dyDescent="0.2">
      <c r="A280" s="14" t="s">
        <v>500</v>
      </c>
      <c r="B280" s="17">
        <v>7813243</v>
      </c>
      <c r="C280" s="14" t="s">
        <v>230</v>
      </c>
      <c r="D280" s="9">
        <v>7813243</v>
      </c>
      <c r="E280" s="9" t="s">
        <v>230</v>
      </c>
      <c r="F280" s="7">
        <v>45717</v>
      </c>
      <c r="G280" s="20" t="s">
        <v>36</v>
      </c>
      <c r="H280" s="8">
        <v>136781439</v>
      </c>
      <c r="I280" s="19">
        <v>136781439</v>
      </c>
      <c r="J280" s="10">
        <v>4610</v>
      </c>
      <c r="K280" s="10">
        <v>3862</v>
      </c>
      <c r="L280" s="10">
        <v>748</v>
      </c>
      <c r="M280" s="10">
        <v>0</v>
      </c>
      <c r="N280" s="11">
        <v>748</v>
      </c>
      <c r="O280" s="12">
        <v>136781439</v>
      </c>
      <c r="P280" s="9">
        <v>285123</v>
      </c>
      <c r="Q280" s="9" t="s">
        <v>37</v>
      </c>
      <c r="R280" s="13">
        <v>45721</v>
      </c>
      <c r="S280" s="22">
        <v>45721</v>
      </c>
      <c r="T280" s="13">
        <v>45721</v>
      </c>
      <c r="U280" s="13">
        <v>45721</v>
      </c>
      <c r="V280" s="9" t="s">
        <v>47</v>
      </c>
      <c r="W280" s="9">
        <v>22676691</v>
      </c>
      <c r="X280" s="9">
        <v>3101656</v>
      </c>
      <c r="Y280" s="9">
        <v>68995878</v>
      </c>
      <c r="Z280" s="9" t="s">
        <v>39</v>
      </c>
      <c r="AA280" s="9">
        <v>9032025</v>
      </c>
      <c r="AB280" s="9">
        <v>77868</v>
      </c>
      <c r="AC280" s="9" t="s">
        <v>41</v>
      </c>
      <c r="AD280" s="9" t="s">
        <v>132</v>
      </c>
      <c r="AE280" s="9" t="s">
        <v>133</v>
      </c>
      <c r="AF280" s="9" t="s">
        <v>133</v>
      </c>
      <c r="AG280" s="14" t="str">
        <f t="shared" si="10"/>
        <v>EXAMENES DE LABORATORIO</v>
      </c>
      <c r="AH280" s="9" t="s">
        <v>758</v>
      </c>
      <c r="AI280" s="9">
        <v>0</v>
      </c>
      <c r="AJ280" s="9">
        <v>92051000</v>
      </c>
      <c r="AK280" s="9">
        <v>0</v>
      </c>
      <c r="AL280" s="26" t="s">
        <v>69</v>
      </c>
      <c r="AM280" s="14" t="s">
        <v>570</v>
      </c>
      <c r="AN280" s="27" t="str">
        <f t="shared" si="11"/>
        <v>7813243|92051000|136781439|136781439</v>
      </c>
      <c r="AO280" t="s">
        <v>758</v>
      </c>
      <c r="AP280" t="b">
        <v>1</v>
      </c>
      <c r="AQ280" t="s">
        <v>764</v>
      </c>
    </row>
    <row r="281" spans="1:43" x14ac:dyDescent="0.2">
      <c r="A281" s="14" t="s">
        <v>500</v>
      </c>
      <c r="B281" s="17">
        <v>7813243</v>
      </c>
      <c r="C281" s="14" t="s">
        <v>230</v>
      </c>
      <c r="D281" s="9">
        <v>7813243</v>
      </c>
      <c r="E281" s="9" t="s">
        <v>230</v>
      </c>
      <c r="F281" s="7">
        <v>45717</v>
      </c>
      <c r="G281" s="20" t="s">
        <v>46</v>
      </c>
      <c r="H281" s="8">
        <v>136781439</v>
      </c>
      <c r="I281" s="19">
        <v>65383631</v>
      </c>
      <c r="J281" s="10">
        <v>774</v>
      </c>
      <c r="K281" s="10">
        <v>0</v>
      </c>
      <c r="L281" s="10">
        <v>774</v>
      </c>
      <c r="M281" s="10">
        <v>0</v>
      </c>
      <c r="N281" s="11">
        <v>774</v>
      </c>
      <c r="O281" s="12">
        <v>136781439</v>
      </c>
      <c r="P281" s="9">
        <v>285123</v>
      </c>
      <c r="Q281" s="9" t="s">
        <v>37</v>
      </c>
      <c r="R281" s="13">
        <v>45721</v>
      </c>
      <c r="S281" s="22">
        <v>45742</v>
      </c>
      <c r="T281" s="13">
        <v>45721</v>
      </c>
      <c r="U281" s="13">
        <v>45721</v>
      </c>
      <c r="V281" s="9" t="s">
        <v>47</v>
      </c>
      <c r="W281" s="9">
        <v>22772401</v>
      </c>
      <c r="X281" s="9">
        <v>3311105</v>
      </c>
      <c r="Y281" s="9">
        <v>69250522</v>
      </c>
      <c r="Z281" s="9" t="s">
        <v>39</v>
      </c>
      <c r="AA281" s="9">
        <v>50918307</v>
      </c>
      <c r="AB281" s="9">
        <v>78070</v>
      </c>
      <c r="AC281" s="9" t="s">
        <v>41</v>
      </c>
      <c r="AD281" s="9" t="s">
        <v>132</v>
      </c>
      <c r="AE281" s="9" t="s">
        <v>133</v>
      </c>
      <c r="AF281" s="9" t="s">
        <v>133</v>
      </c>
      <c r="AG281" s="14" t="str">
        <f t="shared" si="10"/>
        <v>EXAMENES DE LABORATORIO</v>
      </c>
      <c r="AH281" s="9">
        <v>0</v>
      </c>
      <c r="AI281" s="9">
        <v>0</v>
      </c>
      <c r="AJ281" s="9">
        <v>92051000</v>
      </c>
      <c r="AK281" s="9">
        <v>0</v>
      </c>
      <c r="AL281" s="26" t="s">
        <v>52</v>
      </c>
      <c r="AM281" s="14" t="s">
        <v>570</v>
      </c>
      <c r="AN281" s="27" t="str">
        <f t="shared" si="11"/>
        <v>7813243|92051000|136781439|65383631</v>
      </c>
      <c r="AO281" t="s">
        <v>44</v>
      </c>
      <c r="AP281" t="b">
        <v>0</v>
      </c>
      <c r="AQ281" t="s">
        <v>763</v>
      </c>
    </row>
    <row r="282" spans="1:43" x14ac:dyDescent="0.2">
      <c r="A282" s="14" t="s">
        <v>500</v>
      </c>
      <c r="B282" s="17">
        <v>7895144</v>
      </c>
      <c r="C282" s="14" t="s">
        <v>231</v>
      </c>
      <c r="D282" s="9">
        <v>7895144</v>
      </c>
      <c r="E282" s="9" t="s">
        <v>231</v>
      </c>
      <c r="F282" s="7">
        <v>45717</v>
      </c>
      <c r="G282" s="20" t="s">
        <v>36</v>
      </c>
      <c r="H282" s="8">
        <v>136814362</v>
      </c>
      <c r="I282" s="19">
        <v>136814362</v>
      </c>
      <c r="J282" s="10">
        <v>28028</v>
      </c>
      <c r="K282" s="10">
        <v>19620</v>
      </c>
      <c r="L282" s="10">
        <v>8408</v>
      </c>
      <c r="M282" s="10">
        <v>0</v>
      </c>
      <c r="N282" s="11">
        <v>8408</v>
      </c>
      <c r="O282" s="12">
        <v>136814362</v>
      </c>
      <c r="P282" s="9">
        <v>285123</v>
      </c>
      <c r="Q282" s="9" t="s">
        <v>37</v>
      </c>
      <c r="R282" s="13">
        <v>45722</v>
      </c>
      <c r="S282" s="22">
        <v>45722</v>
      </c>
      <c r="T282" s="13">
        <v>45722</v>
      </c>
      <c r="U282" s="13">
        <v>45722</v>
      </c>
      <c r="V282" s="9" t="s">
        <v>47</v>
      </c>
      <c r="W282" s="9">
        <v>22676754</v>
      </c>
      <c r="X282" s="9">
        <v>3101656</v>
      </c>
      <c r="Y282" s="9">
        <v>68997667</v>
      </c>
      <c r="Z282" s="9" t="s">
        <v>39</v>
      </c>
      <c r="AA282" s="9">
        <v>9032025</v>
      </c>
      <c r="AB282" s="9">
        <v>77868</v>
      </c>
      <c r="AC282" s="9" t="s">
        <v>41</v>
      </c>
      <c r="AD282" s="9" t="s">
        <v>132</v>
      </c>
      <c r="AE282" s="9" t="s">
        <v>133</v>
      </c>
      <c r="AF282" s="9" t="s">
        <v>133</v>
      </c>
      <c r="AG282" s="14" t="str">
        <f t="shared" si="10"/>
        <v>EXAMENES DE LABORATORIO</v>
      </c>
      <c r="AH282" s="9" t="s">
        <v>758</v>
      </c>
      <c r="AI282" s="9">
        <v>0</v>
      </c>
      <c r="AJ282" s="9">
        <v>96986050</v>
      </c>
      <c r="AK282" s="9">
        <v>3</v>
      </c>
      <c r="AL282" s="26" t="s">
        <v>69</v>
      </c>
      <c r="AM282" s="14" t="s">
        <v>571</v>
      </c>
      <c r="AN282" s="27" t="str">
        <f t="shared" si="11"/>
        <v>7895144|96986050|136814362|136814362</v>
      </c>
      <c r="AO282" t="s">
        <v>758</v>
      </c>
      <c r="AP282" t="b">
        <v>1</v>
      </c>
      <c r="AQ282" t="s">
        <v>764</v>
      </c>
    </row>
    <row r="283" spans="1:43" x14ac:dyDescent="0.2">
      <c r="A283" s="14" t="s">
        <v>500</v>
      </c>
      <c r="B283" s="17">
        <v>7895144</v>
      </c>
      <c r="C283" s="14" t="s">
        <v>231</v>
      </c>
      <c r="D283" s="9">
        <v>7895144</v>
      </c>
      <c r="E283" s="9" t="s">
        <v>231</v>
      </c>
      <c r="F283" s="7">
        <v>45717</v>
      </c>
      <c r="G283" s="20" t="s">
        <v>46</v>
      </c>
      <c r="H283" s="8">
        <v>136814362</v>
      </c>
      <c r="I283" s="19">
        <v>65383637</v>
      </c>
      <c r="J283" s="10">
        <v>8133</v>
      </c>
      <c r="K283" s="10">
        <v>0</v>
      </c>
      <c r="L283" s="10">
        <v>8133</v>
      </c>
      <c r="M283" s="10">
        <v>0</v>
      </c>
      <c r="N283" s="11">
        <v>8133</v>
      </c>
      <c r="O283" s="12">
        <v>136814362</v>
      </c>
      <c r="P283" s="9">
        <v>285123</v>
      </c>
      <c r="Q283" s="9" t="s">
        <v>37</v>
      </c>
      <c r="R283" s="13">
        <v>45722</v>
      </c>
      <c r="S283" s="22">
        <v>45742</v>
      </c>
      <c r="T283" s="13">
        <v>45722</v>
      </c>
      <c r="U283" s="13">
        <v>45722</v>
      </c>
      <c r="V283" s="9" t="s">
        <v>47</v>
      </c>
      <c r="W283" s="9">
        <v>22772420</v>
      </c>
      <c r="X283" s="9">
        <v>3311105</v>
      </c>
      <c r="Y283" s="9">
        <v>69250528</v>
      </c>
      <c r="Z283" s="9" t="s">
        <v>39</v>
      </c>
      <c r="AA283" s="9">
        <v>970483683</v>
      </c>
      <c r="AB283" s="9">
        <v>78070</v>
      </c>
      <c r="AC283" s="9" t="s">
        <v>41</v>
      </c>
      <c r="AD283" s="9" t="s">
        <v>132</v>
      </c>
      <c r="AE283" s="9" t="s">
        <v>133</v>
      </c>
      <c r="AF283" s="9" t="s">
        <v>133</v>
      </c>
      <c r="AG283" s="14" t="str">
        <f t="shared" si="10"/>
        <v>EXAMENES DE LABORATORIO</v>
      </c>
      <c r="AH283" s="9">
        <v>0</v>
      </c>
      <c r="AI283" s="9">
        <v>0</v>
      </c>
      <c r="AJ283" s="9">
        <v>96986050</v>
      </c>
      <c r="AK283" s="9">
        <v>3</v>
      </c>
      <c r="AL283" s="26" t="s">
        <v>52</v>
      </c>
      <c r="AM283" s="14" t="s">
        <v>571</v>
      </c>
      <c r="AN283" s="27" t="str">
        <f t="shared" si="11"/>
        <v>7895144|96986050|136814362|65383637</v>
      </c>
      <c r="AO283" t="s">
        <v>44</v>
      </c>
      <c r="AP283" t="b">
        <v>0</v>
      </c>
      <c r="AQ283" t="s">
        <v>763</v>
      </c>
    </row>
    <row r="284" spans="1:43" x14ac:dyDescent="0.2">
      <c r="A284" s="14" t="s">
        <v>500</v>
      </c>
      <c r="B284" s="17">
        <v>7895144</v>
      </c>
      <c r="C284" s="14" t="s">
        <v>231</v>
      </c>
      <c r="D284" s="9">
        <v>7895144</v>
      </c>
      <c r="E284" s="9" t="s">
        <v>231</v>
      </c>
      <c r="F284" s="7">
        <v>45717</v>
      </c>
      <c r="G284" s="20" t="s">
        <v>36</v>
      </c>
      <c r="H284" s="8">
        <v>136814363</v>
      </c>
      <c r="I284" s="19">
        <v>136814363</v>
      </c>
      <c r="J284" s="10">
        <v>70913</v>
      </c>
      <c r="K284" s="10">
        <v>22292</v>
      </c>
      <c r="L284" s="10">
        <v>48621</v>
      </c>
      <c r="M284" s="10">
        <v>0</v>
      </c>
      <c r="N284" s="11">
        <v>48621</v>
      </c>
      <c r="O284" s="12">
        <v>136814363</v>
      </c>
      <c r="P284" s="9">
        <v>285123</v>
      </c>
      <c r="Q284" s="9" t="s">
        <v>37</v>
      </c>
      <c r="R284" s="13">
        <v>45722</v>
      </c>
      <c r="S284" s="22">
        <v>45722</v>
      </c>
      <c r="T284" s="13">
        <v>45722</v>
      </c>
      <c r="U284" s="13">
        <v>45722</v>
      </c>
      <c r="V284" s="9" t="s">
        <v>47</v>
      </c>
      <c r="W284" s="9">
        <v>22676754</v>
      </c>
      <c r="X284" s="9">
        <v>3101656</v>
      </c>
      <c r="Y284" s="9">
        <v>68995816</v>
      </c>
      <c r="Z284" s="9" t="s">
        <v>39</v>
      </c>
      <c r="AA284" s="9">
        <v>9032025</v>
      </c>
      <c r="AB284" s="9">
        <v>77868</v>
      </c>
      <c r="AC284" s="9" t="s">
        <v>41</v>
      </c>
      <c r="AD284" s="9" t="s">
        <v>132</v>
      </c>
      <c r="AE284" s="9" t="s">
        <v>133</v>
      </c>
      <c r="AF284" s="9" t="s">
        <v>133</v>
      </c>
      <c r="AG284" s="14" t="str">
        <f t="shared" si="10"/>
        <v>EXAMENES DE LABORATORIO</v>
      </c>
      <c r="AH284" s="9" t="s">
        <v>758</v>
      </c>
      <c r="AI284" s="9">
        <v>0</v>
      </c>
      <c r="AJ284" s="9">
        <v>96986050</v>
      </c>
      <c r="AK284" s="9">
        <v>3</v>
      </c>
      <c r="AL284" s="26" t="s">
        <v>69</v>
      </c>
      <c r="AM284" s="14" t="s">
        <v>571</v>
      </c>
      <c r="AN284" s="27" t="str">
        <f t="shared" si="11"/>
        <v>7895144|96986050|136814363|136814363</v>
      </c>
      <c r="AO284" t="s">
        <v>758</v>
      </c>
      <c r="AP284" t="b">
        <v>1</v>
      </c>
      <c r="AQ284" t="s">
        <v>764</v>
      </c>
    </row>
    <row r="285" spans="1:43" x14ac:dyDescent="0.2">
      <c r="A285" s="14" t="s">
        <v>500</v>
      </c>
      <c r="B285" s="17">
        <v>7895144</v>
      </c>
      <c r="C285" s="14" t="s">
        <v>231</v>
      </c>
      <c r="D285" s="9">
        <v>7895144</v>
      </c>
      <c r="E285" s="9" t="s">
        <v>231</v>
      </c>
      <c r="F285" s="7">
        <v>45717</v>
      </c>
      <c r="G285" s="20" t="s">
        <v>46</v>
      </c>
      <c r="H285" s="8">
        <v>136814363</v>
      </c>
      <c r="I285" s="19">
        <v>65383638</v>
      </c>
      <c r="J285" s="10">
        <v>40286</v>
      </c>
      <c r="K285" s="10">
        <v>0</v>
      </c>
      <c r="L285" s="10">
        <v>40286</v>
      </c>
      <c r="M285" s="10">
        <v>0</v>
      </c>
      <c r="N285" s="11">
        <v>40286</v>
      </c>
      <c r="O285" s="12">
        <v>136814363</v>
      </c>
      <c r="P285" s="9">
        <v>285123</v>
      </c>
      <c r="Q285" s="9" t="s">
        <v>37</v>
      </c>
      <c r="R285" s="13">
        <v>45722</v>
      </c>
      <c r="S285" s="22">
        <v>45742</v>
      </c>
      <c r="T285" s="13">
        <v>45722</v>
      </c>
      <c r="U285" s="13">
        <v>45722</v>
      </c>
      <c r="V285" s="9" t="s">
        <v>47</v>
      </c>
      <c r="W285" s="9">
        <v>22772420</v>
      </c>
      <c r="X285" s="9">
        <v>3311105</v>
      </c>
      <c r="Y285" s="9">
        <v>69250529</v>
      </c>
      <c r="Z285" s="9" t="s">
        <v>39</v>
      </c>
      <c r="AA285" s="9">
        <v>970483683</v>
      </c>
      <c r="AB285" s="9">
        <v>78070</v>
      </c>
      <c r="AC285" s="9" t="s">
        <v>41</v>
      </c>
      <c r="AD285" s="9" t="s">
        <v>132</v>
      </c>
      <c r="AE285" s="9" t="s">
        <v>133</v>
      </c>
      <c r="AF285" s="9" t="s">
        <v>133</v>
      </c>
      <c r="AG285" s="14" t="str">
        <f t="shared" si="10"/>
        <v>EXAMENES DE LABORATORIO</v>
      </c>
      <c r="AH285" s="9">
        <v>0</v>
      </c>
      <c r="AI285" s="9">
        <v>0</v>
      </c>
      <c r="AJ285" s="9">
        <v>96986050</v>
      </c>
      <c r="AK285" s="9">
        <v>3</v>
      </c>
      <c r="AL285" s="26" t="s">
        <v>52</v>
      </c>
      <c r="AM285" s="14" t="s">
        <v>571</v>
      </c>
      <c r="AN285" s="27" t="str">
        <f t="shared" si="11"/>
        <v>7895144|96986050|136814363|65383638</v>
      </c>
      <c r="AO285" t="s">
        <v>44</v>
      </c>
      <c r="AP285" t="b">
        <v>0</v>
      </c>
      <c r="AQ285" t="s">
        <v>763</v>
      </c>
    </row>
    <row r="286" spans="1:43" x14ac:dyDescent="0.2">
      <c r="A286" s="14" t="s">
        <v>500</v>
      </c>
      <c r="B286" s="17">
        <v>14011130</v>
      </c>
      <c r="C286" s="14" t="s">
        <v>226</v>
      </c>
      <c r="D286" s="9">
        <v>14011130</v>
      </c>
      <c r="E286" s="9" t="s">
        <v>226</v>
      </c>
      <c r="F286" s="7">
        <v>45717</v>
      </c>
      <c r="G286" s="20" t="s">
        <v>36</v>
      </c>
      <c r="H286" s="8">
        <v>136828730</v>
      </c>
      <c r="I286" s="19">
        <v>136828730</v>
      </c>
      <c r="J286" s="10">
        <v>10740</v>
      </c>
      <c r="K286" s="10">
        <v>8592</v>
      </c>
      <c r="L286" s="10">
        <v>2148</v>
      </c>
      <c r="M286" s="10">
        <v>0</v>
      </c>
      <c r="N286" s="11">
        <v>2148</v>
      </c>
      <c r="O286" s="12">
        <v>136828730</v>
      </c>
      <c r="P286" s="9">
        <v>285123</v>
      </c>
      <c r="Q286" s="9" t="s">
        <v>37</v>
      </c>
      <c r="R286" s="13">
        <v>45722</v>
      </c>
      <c r="S286" s="22">
        <v>45722</v>
      </c>
      <c r="T286" s="13">
        <v>45722</v>
      </c>
      <c r="U286" s="13">
        <v>45722</v>
      </c>
      <c r="V286" s="9" t="s">
        <v>47</v>
      </c>
      <c r="W286" s="9">
        <v>22676782</v>
      </c>
      <c r="X286" s="9">
        <v>3101656</v>
      </c>
      <c r="Y286" s="9">
        <v>68995154</v>
      </c>
      <c r="Z286" s="9" t="s">
        <v>39</v>
      </c>
      <c r="AA286" s="9">
        <v>9032025</v>
      </c>
      <c r="AB286" s="9">
        <v>77868</v>
      </c>
      <c r="AC286" s="9" t="s">
        <v>41</v>
      </c>
      <c r="AD286" s="9" t="s">
        <v>65</v>
      </c>
      <c r="AE286" s="9" t="s">
        <v>66</v>
      </c>
      <c r="AF286" s="9" t="s">
        <v>66</v>
      </c>
      <c r="AG286" s="14" t="str">
        <f t="shared" si="10"/>
        <v>PROCEDIMIENTOS TERAPEUTICOS</v>
      </c>
      <c r="AH286" s="9" t="s">
        <v>758</v>
      </c>
      <c r="AI286" s="9">
        <v>0</v>
      </c>
      <c r="AJ286" s="9">
        <v>77270020</v>
      </c>
      <c r="AK286" s="9">
        <v>2</v>
      </c>
      <c r="AL286" s="26" t="s">
        <v>69</v>
      </c>
      <c r="AM286" s="14" t="s">
        <v>568</v>
      </c>
      <c r="AN286" s="27" t="str">
        <f t="shared" si="11"/>
        <v>14011130|77270020|136828730|136828730</v>
      </c>
      <c r="AO286" t="s">
        <v>758</v>
      </c>
      <c r="AP286" t="b">
        <v>1</v>
      </c>
      <c r="AQ286" t="s">
        <v>764</v>
      </c>
    </row>
    <row r="287" spans="1:43" x14ac:dyDescent="0.2">
      <c r="A287" s="14" t="s">
        <v>500</v>
      </c>
      <c r="B287" s="17">
        <v>14011130</v>
      </c>
      <c r="C287" s="14" t="s">
        <v>226</v>
      </c>
      <c r="D287" s="9">
        <v>14011130</v>
      </c>
      <c r="E287" s="9" t="s">
        <v>226</v>
      </c>
      <c r="F287" s="7">
        <v>45717</v>
      </c>
      <c r="G287" s="20" t="s">
        <v>46</v>
      </c>
      <c r="H287" s="8">
        <v>136828730</v>
      </c>
      <c r="I287" s="19">
        <v>65384187</v>
      </c>
      <c r="J287" s="10">
        <v>2324</v>
      </c>
      <c r="K287" s="10">
        <v>0</v>
      </c>
      <c r="L287" s="10">
        <v>2324</v>
      </c>
      <c r="M287" s="10">
        <v>0</v>
      </c>
      <c r="N287" s="11">
        <v>2324</v>
      </c>
      <c r="O287" s="12">
        <v>136828730</v>
      </c>
      <c r="P287" s="9">
        <v>285123</v>
      </c>
      <c r="Q287" s="9" t="s">
        <v>37</v>
      </c>
      <c r="R287" s="13">
        <v>45722</v>
      </c>
      <c r="S287" s="22">
        <v>45742</v>
      </c>
      <c r="T287" s="13">
        <v>45722</v>
      </c>
      <c r="U287" s="13">
        <v>45722</v>
      </c>
      <c r="V287" s="9" t="s">
        <v>47</v>
      </c>
      <c r="W287" s="9">
        <v>22772435</v>
      </c>
      <c r="X287" s="9">
        <v>3311105</v>
      </c>
      <c r="Y287" s="9">
        <v>69251063</v>
      </c>
      <c r="Z287" s="9" t="s">
        <v>39</v>
      </c>
      <c r="AA287" s="9">
        <v>68951852</v>
      </c>
      <c r="AB287" s="9">
        <v>78070</v>
      </c>
      <c r="AC287" s="9" t="s">
        <v>41</v>
      </c>
      <c r="AD287" s="9" t="s">
        <v>65</v>
      </c>
      <c r="AE287" s="9" t="s">
        <v>66</v>
      </c>
      <c r="AF287" s="9" t="s">
        <v>66</v>
      </c>
      <c r="AG287" s="14" t="str">
        <f t="shared" si="10"/>
        <v>PROCEDIMIENTOS TERAPEUTICOS</v>
      </c>
      <c r="AH287" s="9">
        <v>0</v>
      </c>
      <c r="AI287" s="9">
        <v>0</v>
      </c>
      <c r="AJ287" s="9">
        <v>77270020</v>
      </c>
      <c r="AK287" s="9">
        <v>2</v>
      </c>
      <c r="AL287" s="26" t="s">
        <v>52</v>
      </c>
      <c r="AM287" s="14" t="s">
        <v>568</v>
      </c>
      <c r="AN287" s="27" t="str">
        <f t="shared" si="11"/>
        <v>14011130|77270020|136828730|65384187</v>
      </c>
      <c r="AO287" t="s">
        <v>44</v>
      </c>
      <c r="AP287" t="b">
        <v>0</v>
      </c>
      <c r="AQ287" t="s">
        <v>763</v>
      </c>
    </row>
    <row r="288" spans="1:43" x14ac:dyDescent="0.2">
      <c r="A288" s="14" t="s">
        <v>500</v>
      </c>
      <c r="B288" s="17">
        <v>10125251</v>
      </c>
      <c r="C288" s="14" t="s">
        <v>207</v>
      </c>
      <c r="D288" s="9">
        <v>10125251</v>
      </c>
      <c r="E288" s="9" t="s">
        <v>207</v>
      </c>
      <c r="F288" s="7">
        <v>45717</v>
      </c>
      <c r="G288" s="20" t="s">
        <v>36</v>
      </c>
      <c r="H288" s="8">
        <v>136840550</v>
      </c>
      <c r="I288" s="19">
        <v>136840550</v>
      </c>
      <c r="J288" s="10">
        <v>23640</v>
      </c>
      <c r="K288" s="10">
        <v>20094</v>
      </c>
      <c r="L288" s="10">
        <v>3546</v>
      </c>
      <c r="M288" s="10">
        <v>0</v>
      </c>
      <c r="N288" s="11">
        <v>3546</v>
      </c>
      <c r="O288" s="12">
        <v>136840550</v>
      </c>
      <c r="P288" s="9">
        <v>285123</v>
      </c>
      <c r="Q288" s="9" t="s">
        <v>37</v>
      </c>
      <c r="R288" s="13">
        <v>45722</v>
      </c>
      <c r="S288" s="22">
        <v>45722</v>
      </c>
      <c r="T288" s="13">
        <v>45722</v>
      </c>
      <c r="U288" s="13">
        <v>45722</v>
      </c>
      <c r="V288" s="9" t="s">
        <v>47</v>
      </c>
      <c r="W288" s="9">
        <v>22676763</v>
      </c>
      <c r="X288" s="9">
        <v>3101656</v>
      </c>
      <c r="Y288" s="9">
        <v>68994469</v>
      </c>
      <c r="Z288" s="9" t="s">
        <v>39</v>
      </c>
      <c r="AA288" s="9">
        <v>9032025</v>
      </c>
      <c r="AB288" s="9">
        <v>77868</v>
      </c>
      <c r="AC288" s="9" t="s">
        <v>41</v>
      </c>
      <c r="AD288" s="9" t="s">
        <v>134</v>
      </c>
      <c r="AE288" s="9" t="s">
        <v>135</v>
      </c>
      <c r="AF288" s="9" t="s">
        <v>135</v>
      </c>
      <c r="AG288" s="14" t="str">
        <f t="shared" si="10"/>
        <v>EXAMENES RADIOLOGICOS</v>
      </c>
      <c r="AH288" s="9" t="s">
        <v>758</v>
      </c>
      <c r="AI288" s="9">
        <v>0</v>
      </c>
      <c r="AJ288" s="9">
        <v>96942400</v>
      </c>
      <c r="AK288" s="9">
        <v>2</v>
      </c>
      <c r="AL288" s="26" t="s">
        <v>69</v>
      </c>
      <c r="AM288" s="14" t="s">
        <v>553</v>
      </c>
      <c r="AN288" s="27" t="str">
        <f t="shared" si="11"/>
        <v>10125251|96942400|136840550|136840550</v>
      </c>
      <c r="AO288" t="s">
        <v>758</v>
      </c>
      <c r="AP288" t="b">
        <v>1</v>
      </c>
      <c r="AQ288" t="s">
        <v>764</v>
      </c>
    </row>
    <row r="289" spans="1:43" x14ac:dyDescent="0.2">
      <c r="A289" s="14" t="s">
        <v>500</v>
      </c>
      <c r="B289" s="17">
        <v>10125251</v>
      </c>
      <c r="C289" s="14" t="s">
        <v>207</v>
      </c>
      <c r="D289" s="9">
        <v>10125251</v>
      </c>
      <c r="E289" s="9" t="s">
        <v>207</v>
      </c>
      <c r="F289" s="7">
        <v>45717</v>
      </c>
      <c r="G289" s="20" t="s">
        <v>46</v>
      </c>
      <c r="H289" s="8">
        <v>136840550</v>
      </c>
      <c r="I289" s="19">
        <v>65383800</v>
      </c>
      <c r="J289" s="10">
        <v>3486</v>
      </c>
      <c r="K289" s="10">
        <v>0</v>
      </c>
      <c r="L289" s="10">
        <v>3486</v>
      </c>
      <c r="M289" s="10">
        <v>0</v>
      </c>
      <c r="N289" s="11">
        <v>3486</v>
      </c>
      <c r="O289" s="12">
        <v>136840550</v>
      </c>
      <c r="P289" s="9">
        <v>285123</v>
      </c>
      <c r="Q289" s="9" t="s">
        <v>37</v>
      </c>
      <c r="R289" s="13">
        <v>45722</v>
      </c>
      <c r="S289" s="22">
        <v>45742</v>
      </c>
      <c r="T289" s="13">
        <v>45722</v>
      </c>
      <c r="U289" s="13">
        <v>45722</v>
      </c>
      <c r="V289" s="9" t="s">
        <v>47</v>
      </c>
      <c r="W289" s="9">
        <v>22772423</v>
      </c>
      <c r="X289" s="9">
        <v>3311105</v>
      </c>
      <c r="Y289" s="9">
        <v>69250689</v>
      </c>
      <c r="Z289" s="9" t="s">
        <v>39</v>
      </c>
      <c r="AA289" s="9">
        <v>13038066</v>
      </c>
      <c r="AB289" s="9">
        <v>78070</v>
      </c>
      <c r="AC289" s="9" t="s">
        <v>41</v>
      </c>
      <c r="AD289" s="9" t="s">
        <v>134</v>
      </c>
      <c r="AE289" s="9" t="s">
        <v>135</v>
      </c>
      <c r="AF289" s="9" t="s">
        <v>135</v>
      </c>
      <c r="AG289" s="14" t="str">
        <f t="shared" si="10"/>
        <v>EXAMENES RADIOLOGICOS</v>
      </c>
      <c r="AH289" s="9">
        <v>0</v>
      </c>
      <c r="AI289" s="9">
        <v>0</v>
      </c>
      <c r="AJ289" s="9">
        <v>96942400</v>
      </c>
      <c r="AK289" s="9">
        <v>2</v>
      </c>
      <c r="AL289" s="26" t="s">
        <v>52</v>
      </c>
      <c r="AM289" s="14" t="s">
        <v>553</v>
      </c>
      <c r="AN289" s="27" t="str">
        <f t="shared" si="11"/>
        <v>10125251|96942400|136840550|65383800</v>
      </c>
      <c r="AO289" t="s">
        <v>44</v>
      </c>
      <c r="AP289" t="b">
        <v>0</v>
      </c>
      <c r="AQ289" t="s">
        <v>763</v>
      </c>
    </row>
    <row r="290" spans="1:43" x14ac:dyDescent="0.2">
      <c r="A290" s="14" t="s">
        <v>500</v>
      </c>
      <c r="B290" s="17">
        <v>10125251</v>
      </c>
      <c r="C290" s="14" t="s">
        <v>207</v>
      </c>
      <c r="D290" s="9">
        <v>10125251</v>
      </c>
      <c r="E290" s="9" t="s">
        <v>207</v>
      </c>
      <c r="F290" s="7">
        <v>45717</v>
      </c>
      <c r="G290" s="20" t="s">
        <v>36</v>
      </c>
      <c r="H290" s="8">
        <v>136840596</v>
      </c>
      <c r="I290" s="19">
        <v>136840596</v>
      </c>
      <c r="J290" s="10">
        <v>18920</v>
      </c>
      <c r="K290" s="10">
        <v>16082</v>
      </c>
      <c r="L290" s="10">
        <v>2838</v>
      </c>
      <c r="M290" s="10">
        <v>0</v>
      </c>
      <c r="N290" s="11">
        <v>2838</v>
      </c>
      <c r="O290" s="12">
        <v>136840596</v>
      </c>
      <c r="P290" s="9">
        <v>285123</v>
      </c>
      <c r="Q290" s="9" t="s">
        <v>37</v>
      </c>
      <c r="R290" s="13">
        <v>45722</v>
      </c>
      <c r="S290" s="22">
        <v>45722</v>
      </c>
      <c r="T290" s="13">
        <v>45722</v>
      </c>
      <c r="U290" s="13">
        <v>45722</v>
      </c>
      <c r="V290" s="9" t="s">
        <v>47</v>
      </c>
      <c r="W290" s="9">
        <v>22676763</v>
      </c>
      <c r="X290" s="9">
        <v>3101656</v>
      </c>
      <c r="Y290" s="9">
        <v>68993862</v>
      </c>
      <c r="Z290" s="9" t="s">
        <v>39</v>
      </c>
      <c r="AA290" s="9">
        <v>9032025</v>
      </c>
      <c r="AB290" s="9">
        <v>77868</v>
      </c>
      <c r="AC290" s="9" t="s">
        <v>41</v>
      </c>
      <c r="AD290" s="9" t="s">
        <v>134</v>
      </c>
      <c r="AE290" s="9" t="s">
        <v>135</v>
      </c>
      <c r="AF290" s="9" t="s">
        <v>135</v>
      </c>
      <c r="AG290" s="14" t="str">
        <f t="shared" si="10"/>
        <v>EXAMENES RADIOLOGICOS</v>
      </c>
      <c r="AH290" s="9" t="s">
        <v>758</v>
      </c>
      <c r="AI290" s="9">
        <v>0</v>
      </c>
      <c r="AJ290" s="9">
        <v>96942400</v>
      </c>
      <c r="AK290" s="9">
        <v>2</v>
      </c>
      <c r="AL290" s="26" t="s">
        <v>69</v>
      </c>
      <c r="AM290" s="14" t="s">
        <v>553</v>
      </c>
      <c r="AN290" s="27" t="str">
        <f t="shared" si="11"/>
        <v>10125251|96942400|136840596|136840596</v>
      </c>
      <c r="AO290" t="s">
        <v>758</v>
      </c>
      <c r="AP290" t="b">
        <v>1</v>
      </c>
      <c r="AQ290" t="s">
        <v>764</v>
      </c>
    </row>
    <row r="291" spans="1:43" x14ac:dyDescent="0.2">
      <c r="A291" s="14" t="s">
        <v>500</v>
      </c>
      <c r="B291" s="17">
        <v>10125251</v>
      </c>
      <c r="C291" s="14" t="s">
        <v>207</v>
      </c>
      <c r="D291" s="9">
        <v>10125251</v>
      </c>
      <c r="E291" s="9" t="s">
        <v>207</v>
      </c>
      <c r="F291" s="7">
        <v>45717</v>
      </c>
      <c r="G291" s="20" t="s">
        <v>46</v>
      </c>
      <c r="H291" s="8">
        <v>136840596</v>
      </c>
      <c r="I291" s="19">
        <v>65383801</v>
      </c>
      <c r="J291" s="10">
        <v>3099</v>
      </c>
      <c r="K291" s="10">
        <v>0</v>
      </c>
      <c r="L291" s="10">
        <v>3099</v>
      </c>
      <c r="M291" s="10">
        <v>0</v>
      </c>
      <c r="N291" s="11">
        <v>3099</v>
      </c>
      <c r="O291" s="12">
        <v>136840596</v>
      </c>
      <c r="P291" s="9">
        <v>285123</v>
      </c>
      <c r="Q291" s="9" t="s">
        <v>37</v>
      </c>
      <c r="R291" s="13">
        <v>45722</v>
      </c>
      <c r="S291" s="22">
        <v>45742</v>
      </c>
      <c r="T291" s="13">
        <v>45722</v>
      </c>
      <c r="U291" s="13">
        <v>45722</v>
      </c>
      <c r="V291" s="9" t="s">
        <v>47</v>
      </c>
      <c r="W291" s="9">
        <v>22772423</v>
      </c>
      <c r="X291" s="9">
        <v>3311105</v>
      </c>
      <c r="Y291" s="9">
        <v>69250690</v>
      </c>
      <c r="Z291" s="9" t="s">
        <v>39</v>
      </c>
      <c r="AA291" s="9">
        <v>13038066</v>
      </c>
      <c r="AB291" s="9">
        <v>78070</v>
      </c>
      <c r="AC291" s="9" t="s">
        <v>41</v>
      </c>
      <c r="AD291" s="9" t="s">
        <v>134</v>
      </c>
      <c r="AE291" s="9" t="s">
        <v>135</v>
      </c>
      <c r="AF291" s="9" t="s">
        <v>135</v>
      </c>
      <c r="AG291" s="14" t="str">
        <f t="shared" si="10"/>
        <v>EXAMENES RADIOLOGICOS</v>
      </c>
      <c r="AH291" s="9">
        <v>0</v>
      </c>
      <c r="AI291" s="9">
        <v>0</v>
      </c>
      <c r="AJ291" s="9">
        <v>96942400</v>
      </c>
      <c r="AK291" s="9">
        <v>2</v>
      </c>
      <c r="AL291" s="26" t="s">
        <v>52</v>
      </c>
      <c r="AM291" s="14" t="s">
        <v>553</v>
      </c>
      <c r="AN291" s="27" t="str">
        <f t="shared" si="11"/>
        <v>10125251|96942400|136840596|65383801</v>
      </c>
      <c r="AO291" t="s">
        <v>44</v>
      </c>
      <c r="AP291" t="b">
        <v>0</v>
      </c>
      <c r="AQ291" t="s">
        <v>763</v>
      </c>
    </row>
    <row r="292" spans="1:43" x14ac:dyDescent="0.2">
      <c r="A292" s="14" t="s">
        <v>500</v>
      </c>
      <c r="B292" s="17">
        <v>16695748</v>
      </c>
      <c r="C292" s="14" t="s">
        <v>57</v>
      </c>
      <c r="D292" s="9">
        <v>16695748</v>
      </c>
      <c r="E292" s="9" t="s">
        <v>57</v>
      </c>
      <c r="F292" s="7">
        <v>45717</v>
      </c>
      <c r="G292" s="20" t="s">
        <v>36</v>
      </c>
      <c r="H292" s="8">
        <v>136849213</v>
      </c>
      <c r="I292" s="19">
        <v>136849213</v>
      </c>
      <c r="J292" s="10">
        <v>14860</v>
      </c>
      <c r="K292" s="10">
        <v>10402</v>
      </c>
      <c r="L292" s="10">
        <v>4458</v>
      </c>
      <c r="M292" s="10">
        <v>0</v>
      </c>
      <c r="N292" s="11">
        <v>4458</v>
      </c>
      <c r="O292" s="12">
        <v>136849213</v>
      </c>
      <c r="P292" s="9">
        <v>285123</v>
      </c>
      <c r="Q292" s="9" t="s">
        <v>37</v>
      </c>
      <c r="R292" s="13">
        <v>45723</v>
      </c>
      <c r="S292" s="22">
        <v>45723</v>
      </c>
      <c r="T292" s="13">
        <v>45723</v>
      </c>
      <c r="U292" s="13">
        <v>45723</v>
      </c>
      <c r="V292" s="9" t="s">
        <v>47</v>
      </c>
      <c r="W292" s="9">
        <v>22676848</v>
      </c>
      <c r="X292" s="9">
        <v>3101656</v>
      </c>
      <c r="Y292" s="9">
        <v>68993157</v>
      </c>
      <c r="Z292" s="9" t="s">
        <v>39</v>
      </c>
      <c r="AA292" s="9">
        <v>9032025</v>
      </c>
      <c r="AB292" s="9">
        <v>77868</v>
      </c>
      <c r="AC292" s="9" t="s">
        <v>41</v>
      </c>
      <c r="AD292" s="9" t="s">
        <v>132</v>
      </c>
      <c r="AE292" s="9" t="s">
        <v>133</v>
      </c>
      <c r="AF292" s="9" t="s">
        <v>133</v>
      </c>
      <c r="AG292" s="14" t="str">
        <f t="shared" si="10"/>
        <v>EXAMENES DE LABORATORIO</v>
      </c>
      <c r="AH292" s="9" t="s">
        <v>758</v>
      </c>
      <c r="AI292" s="9">
        <v>0</v>
      </c>
      <c r="AJ292" s="9">
        <v>96942400</v>
      </c>
      <c r="AK292" s="9">
        <v>2</v>
      </c>
      <c r="AL292" s="26" t="s">
        <v>69</v>
      </c>
      <c r="AM292" s="14" t="s">
        <v>505</v>
      </c>
      <c r="AN292" s="27" t="str">
        <f t="shared" si="11"/>
        <v>16695748|96942400|136849213|136849213</v>
      </c>
      <c r="AO292" t="s">
        <v>758</v>
      </c>
      <c r="AP292" t="b">
        <v>1</v>
      </c>
      <c r="AQ292" t="s">
        <v>764</v>
      </c>
    </row>
    <row r="293" spans="1:43" x14ac:dyDescent="0.2">
      <c r="A293" s="14" t="s">
        <v>500</v>
      </c>
      <c r="B293" s="17">
        <v>16695748</v>
      </c>
      <c r="C293" s="14" t="s">
        <v>57</v>
      </c>
      <c r="D293" s="9">
        <v>16695748</v>
      </c>
      <c r="E293" s="9" t="s">
        <v>57</v>
      </c>
      <c r="F293" s="7">
        <v>45717</v>
      </c>
      <c r="G293" s="20" t="s">
        <v>46</v>
      </c>
      <c r="H293" s="8">
        <v>136849213</v>
      </c>
      <c r="I293" s="19">
        <v>65384379</v>
      </c>
      <c r="J293" s="10">
        <v>4649</v>
      </c>
      <c r="K293" s="10">
        <v>0</v>
      </c>
      <c r="L293" s="10">
        <v>4649</v>
      </c>
      <c r="M293" s="10">
        <v>0</v>
      </c>
      <c r="N293" s="11">
        <v>4649</v>
      </c>
      <c r="O293" s="12">
        <v>136849213</v>
      </c>
      <c r="P293" s="9">
        <v>285123</v>
      </c>
      <c r="Q293" s="9" t="s">
        <v>37</v>
      </c>
      <c r="R293" s="13">
        <v>45723</v>
      </c>
      <c r="S293" s="22">
        <v>45742</v>
      </c>
      <c r="T293" s="13">
        <v>45723</v>
      </c>
      <c r="U293" s="13">
        <v>45723</v>
      </c>
      <c r="V293" s="9" t="s">
        <v>47</v>
      </c>
      <c r="W293" s="9">
        <v>22772454</v>
      </c>
      <c r="X293" s="9">
        <v>3311105</v>
      </c>
      <c r="Y293" s="9">
        <v>69251257</v>
      </c>
      <c r="Z293" s="9" t="s">
        <v>39</v>
      </c>
      <c r="AA293" s="9">
        <v>76659184</v>
      </c>
      <c r="AB293" s="9">
        <v>78070</v>
      </c>
      <c r="AC293" s="9" t="s">
        <v>41</v>
      </c>
      <c r="AD293" s="9" t="s">
        <v>132</v>
      </c>
      <c r="AE293" s="9" t="s">
        <v>133</v>
      </c>
      <c r="AF293" s="9" t="s">
        <v>133</v>
      </c>
      <c r="AG293" s="14" t="str">
        <f t="shared" si="10"/>
        <v>EXAMENES DE LABORATORIO</v>
      </c>
      <c r="AH293" s="9">
        <v>0</v>
      </c>
      <c r="AI293" s="9">
        <v>0</v>
      </c>
      <c r="AJ293" s="9">
        <v>96942400</v>
      </c>
      <c r="AK293" s="9">
        <v>2</v>
      </c>
      <c r="AL293" s="26" t="s">
        <v>52</v>
      </c>
      <c r="AM293" s="14" t="s">
        <v>505</v>
      </c>
      <c r="AN293" s="27" t="str">
        <f t="shared" si="11"/>
        <v>16695748|96942400|136849213|65384379</v>
      </c>
      <c r="AO293" t="s">
        <v>44</v>
      </c>
      <c r="AP293" t="b">
        <v>0</v>
      </c>
      <c r="AQ293" t="s">
        <v>763</v>
      </c>
    </row>
    <row r="294" spans="1:43" x14ac:dyDescent="0.2">
      <c r="A294" s="14" t="s">
        <v>500</v>
      </c>
      <c r="B294" s="17">
        <v>16695748</v>
      </c>
      <c r="C294" s="14" t="s">
        <v>57</v>
      </c>
      <c r="D294" s="9">
        <v>16695748</v>
      </c>
      <c r="E294" s="9" t="s">
        <v>57</v>
      </c>
      <c r="F294" s="7">
        <v>45717</v>
      </c>
      <c r="G294" s="20" t="s">
        <v>36</v>
      </c>
      <c r="H294" s="8">
        <v>136850152</v>
      </c>
      <c r="I294" s="19">
        <v>136850152</v>
      </c>
      <c r="J294" s="10">
        <v>11500</v>
      </c>
      <c r="K294" s="10">
        <v>8050</v>
      </c>
      <c r="L294" s="10">
        <v>3450</v>
      </c>
      <c r="M294" s="10">
        <v>0</v>
      </c>
      <c r="N294" s="11">
        <v>3450</v>
      </c>
      <c r="O294" s="12">
        <v>136850152</v>
      </c>
      <c r="P294" s="9">
        <v>285123</v>
      </c>
      <c r="Q294" s="9" t="s">
        <v>37</v>
      </c>
      <c r="R294" s="13">
        <v>45723</v>
      </c>
      <c r="S294" s="22">
        <v>45723</v>
      </c>
      <c r="T294" s="13">
        <v>45723</v>
      </c>
      <c r="U294" s="13">
        <v>45723</v>
      </c>
      <c r="V294" s="9" t="s">
        <v>47</v>
      </c>
      <c r="W294" s="9">
        <v>22676848</v>
      </c>
      <c r="X294" s="9">
        <v>3101656</v>
      </c>
      <c r="Y294" s="9">
        <v>68994320</v>
      </c>
      <c r="Z294" s="9" t="s">
        <v>39</v>
      </c>
      <c r="AA294" s="9">
        <v>9032025</v>
      </c>
      <c r="AB294" s="9">
        <v>77868</v>
      </c>
      <c r="AC294" s="9" t="s">
        <v>41</v>
      </c>
      <c r="AD294" s="9" t="s">
        <v>65</v>
      </c>
      <c r="AE294" s="9" t="s">
        <v>66</v>
      </c>
      <c r="AF294" s="9" t="s">
        <v>66</v>
      </c>
      <c r="AG294" s="14" t="str">
        <f t="shared" si="10"/>
        <v>PROCEDIMIENTOS TERAPEUTICOS</v>
      </c>
      <c r="AH294" s="9" t="s">
        <v>758</v>
      </c>
      <c r="AI294" s="9">
        <v>0</v>
      </c>
      <c r="AJ294" s="9">
        <v>96942400</v>
      </c>
      <c r="AK294" s="9">
        <v>2</v>
      </c>
      <c r="AL294" s="26" t="s">
        <v>69</v>
      </c>
      <c r="AM294" s="14" t="s">
        <v>505</v>
      </c>
      <c r="AN294" s="27" t="str">
        <f t="shared" si="11"/>
        <v>16695748|96942400|136850152|136850152</v>
      </c>
      <c r="AO294" t="s">
        <v>758</v>
      </c>
      <c r="AP294" t="b">
        <v>1</v>
      </c>
      <c r="AQ294" t="s">
        <v>764</v>
      </c>
    </row>
    <row r="295" spans="1:43" x14ac:dyDescent="0.2">
      <c r="A295" s="14" t="s">
        <v>500</v>
      </c>
      <c r="B295" s="17">
        <v>16695748</v>
      </c>
      <c r="C295" s="14" t="s">
        <v>57</v>
      </c>
      <c r="D295" s="9">
        <v>16695748</v>
      </c>
      <c r="E295" s="9" t="s">
        <v>57</v>
      </c>
      <c r="F295" s="7">
        <v>45717</v>
      </c>
      <c r="G295" s="20" t="s">
        <v>46</v>
      </c>
      <c r="H295" s="8">
        <v>136850152</v>
      </c>
      <c r="I295" s="19">
        <v>65384380</v>
      </c>
      <c r="J295" s="10">
        <v>3487</v>
      </c>
      <c r="K295" s="10">
        <v>0</v>
      </c>
      <c r="L295" s="10">
        <v>3487</v>
      </c>
      <c r="M295" s="10">
        <v>0</v>
      </c>
      <c r="N295" s="11">
        <v>3487</v>
      </c>
      <c r="O295" s="12">
        <v>136850152</v>
      </c>
      <c r="P295" s="9">
        <v>285123</v>
      </c>
      <c r="Q295" s="9" t="s">
        <v>37</v>
      </c>
      <c r="R295" s="13">
        <v>45723</v>
      </c>
      <c r="S295" s="22">
        <v>45742</v>
      </c>
      <c r="T295" s="13">
        <v>45723</v>
      </c>
      <c r="U295" s="13">
        <v>45723</v>
      </c>
      <c r="V295" s="9" t="s">
        <v>47</v>
      </c>
      <c r="W295" s="9">
        <v>22772454</v>
      </c>
      <c r="X295" s="9">
        <v>3311105</v>
      </c>
      <c r="Y295" s="9">
        <v>69251258</v>
      </c>
      <c r="Z295" s="9" t="s">
        <v>39</v>
      </c>
      <c r="AA295" s="9">
        <v>76659184</v>
      </c>
      <c r="AB295" s="9">
        <v>78070</v>
      </c>
      <c r="AC295" s="9" t="s">
        <v>41</v>
      </c>
      <c r="AD295" s="9" t="s">
        <v>65</v>
      </c>
      <c r="AE295" s="9" t="s">
        <v>66</v>
      </c>
      <c r="AF295" s="9" t="s">
        <v>66</v>
      </c>
      <c r="AG295" s="14" t="str">
        <f t="shared" si="10"/>
        <v>PROCEDIMIENTOS TERAPEUTICOS</v>
      </c>
      <c r="AH295" s="9">
        <v>0</v>
      </c>
      <c r="AI295" s="9">
        <v>0</v>
      </c>
      <c r="AJ295" s="9">
        <v>96942400</v>
      </c>
      <c r="AK295" s="9">
        <v>2</v>
      </c>
      <c r="AL295" s="26" t="s">
        <v>52</v>
      </c>
      <c r="AM295" s="14" t="s">
        <v>505</v>
      </c>
      <c r="AN295" s="27" t="str">
        <f t="shared" si="11"/>
        <v>16695748|96942400|136850152|65384380</v>
      </c>
      <c r="AO295" t="s">
        <v>44</v>
      </c>
      <c r="AP295" t="b">
        <v>0</v>
      </c>
      <c r="AQ295" t="s">
        <v>763</v>
      </c>
    </row>
    <row r="296" spans="1:43" x14ac:dyDescent="0.2">
      <c r="A296" s="14" t="s">
        <v>500</v>
      </c>
      <c r="B296" s="17">
        <v>8573655</v>
      </c>
      <c r="C296" s="14" t="s">
        <v>223</v>
      </c>
      <c r="D296" s="9">
        <v>20163889</v>
      </c>
      <c r="E296" s="9" t="s">
        <v>224</v>
      </c>
      <c r="F296" s="7">
        <v>45717</v>
      </c>
      <c r="G296" s="20" t="s">
        <v>36</v>
      </c>
      <c r="H296" s="8">
        <v>136886854</v>
      </c>
      <c r="I296" s="19">
        <v>136886854</v>
      </c>
      <c r="J296" s="10">
        <v>32979</v>
      </c>
      <c r="K296" s="10">
        <v>23085</v>
      </c>
      <c r="L296" s="10">
        <v>9894</v>
      </c>
      <c r="M296" s="10">
        <v>0</v>
      </c>
      <c r="N296" s="11">
        <v>9894</v>
      </c>
      <c r="O296" s="12">
        <v>136886854</v>
      </c>
      <c r="P296" s="9">
        <v>285123</v>
      </c>
      <c r="Q296" s="9" t="s">
        <v>37</v>
      </c>
      <c r="R296" s="13">
        <v>45724</v>
      </c>
      <c r="S296" s="22">
        <v>45724</v>
      </c>
      <c r="T296" s="13">
        <v>45724</v>
      </c>
      <c r="U296" s="13">
        <v>45724</v>
      </c>
      <c r="V296" s="9" t="s">
        <v>58</v>
      </c>
      <c r="W296" s="9">
        <v>22676862</v>
      </c>
      <c r="X296" s="9">
        <v>3101656</v>
      </c>
      <c r="Y296" s="9">
        <v>68995158</v>
      </c>
      <c r="Z296" s="9" t="s">
        <v>39</v>
      </c>
      <c r="AA296" s="9">
        <v>9032025</v>
      </c>
      <c r="AB296" s="9">
        <v>77868</v>
      </c>
      <c r="AC296" s="9" t="s">
        <v>41</v>
      </c>
      <c r="AD296" s="9" t="s">
        <v>71</v>
      </c>
      <c r="AE296" s="9" t="s">
        <v>72</v>
      </c>
      <c r="AF296" s="9" t="s">
        <v>73</v>
      </c>
      <c r="AG296" s="14" t="str">
        <f t="shared" si="10"/>
        <v>CONSULTA PSIQUIATRICA</v>
      </c>
      <c r="AH296" s="9" t="s">
        <v>758</v>
      </c>
      <c r="AI296" s="9">
        <v>0</v>
      </c>
      <c r="AJ296" s="9">
        <v>76098454</v>
      </c>
      <c r="AK296" s="9" t="s">
        <v>161</v>
      </c>
      <c r="AL296" s="26" t="s">
        <v>69</v>
      </c>
      <c r="AM296" s="14" t="s">
        <v>566</v>
      </c>
      <c r="AN296" s="27" t="str">
        <f t="shared" si="11"/>
        <v>8573655|76098454|136886854|136886854</v>
      </c>
      <c r="AO296" t="s">
        <v>758</v>
      </c>
      <c r="AP296" t="b">
        <v>1</v>
      </c>
      <c r="AQ296" t="s">
        <v>764</v>
      </c>
    </row>
    <row r="297" spans="1:43" x14ac:dyDescent="0.2">
      <c r="A297" s="14" t="s">
        <v>500</v>
      </c>
      <c r="B297" s="17">
        <v>8573655</v>
      </c>
      <c r="C297" s="14" t="s">
        <v>223</v>
      </c>
      <c r="D297" s="9">
        <v>20163889</v>
      </c>
      <c r="E297" s="9" t="s">
        <v>224</v>
      </c>
      <c r="F297" s="7">
        <v>45717</v>
      </c>
      <c r="G297" s="20" t="s">
        <v>46</v>
      </c>
      <c r="H297" s="8">
        <v>136886854</v>
      </c>
      <c r="I297" s="19">
        <v>65383677</v>
      </c>
      <c r="J297" s="10">
        <v>10079</v>
      </c>
      <c r="K297" s="10">
        <v>0</v>
      </c>
      <c r="L297" s="10">
        <v>10079</v>
      </c>
      <c r="M297" s="10">
        <v>0</v>
      </c>
      <c r="N297" s="11">
        <v>10079</v>
      </c>
      <c r="O297" s="12">
        <v>136886854</v>
      </c>
      <c r="P297" s="9">
        <v>285123</v>
      </c>
      <c r="Q297" s="9" t="s">
        <v>37</v>
      </c>
      <c r="R297" s="13">
        <v>45724</v>
      </c>
      <c r="S297" s="22">
        <v>45742</v>
      </c>
      <c r="T297" s="13">
        <v>45724</v>
      </c>
      <c r="U297" s="13">
        <v>45724</v>
      </c>
      <c r="V297" s="9" t="s">
        <v>58</v>
      </c>
      <c r="W297" s="9">
        <v>22772459</v>
      </c>
      <c r="X297" s="9">
        <v>3311105</v>
      </c>
      <c r="Y297" s="9">
        <v>69250568</v>
      </c>
      <c r="Z297" s="9" t="s">
        <v>39</v>
      </c>
      <c r="AA297" s="9">
        <v>213192158</v>
      </c>
      <c r="AB297" s="9">
        <v>78070</v>
      </c>
      <c r="AC297" s="9" t="s">
        <v>41</v>
      </c>
      <c r="AD297" s="9" t="s">
        <v>71</v>
      </c>
      <c r="AE297" s="9" t="s">
        <v>72</v>
      </c>
      <c r="AF297" s="9" t="s">
        <v>73</v>
      </c>
      <c r="AG297" s="14" t="str">
        <f t="shared" si="10"/>
        <v>CONSULTA PSIQUIATRICA</v>
      </c>
      <c r="AH297" s="9">
        <v>0</v>
      </c>
      <c r="AI297" s="9">
        <v>0</v>
      </c>
      <c r="AJ297" s="9">
        <v>76098454</v>
      </c>
      <c r="AK297" s="9" t="s">
        <v>161</v>
      </c>
      <c r="AL297" s="26" t="s">
        <v>52</v>
      </c>
      <c r="AM297" s="14" t="s">
        <v>566</v>
      </c>
      <c r="AN297" s="27" t="str">
        <f t="shared" si="11"/>
        <v>8573655|76098454|136886854|65383677</v>
      </c>
      <c r="AO297" t="s">
        <v>44</v>
      </c>
      <c r="AP297" t="b">
        <v>0</v>
      </c>
      <c r="AQ297" t="s">
        <v>763</v>
      </c>
    </row>
    <row r="298" spans="1:43" x14ac:dyDescent="0.2">
      <c r="A298" s="14" t="s">
        <v>500</v>
      </c>
      <c r="B298" s="17">
        <v>11946769</v>
      </c>
      <c r="C298" s="14" t="s">
        <v>199</v>
      </c>
      <c r="D298" s="9">
        <v>11946769</v>
      </c>
      <c r="E298" s="9" t="s">
        <v>199</v>
      </c>
      <c r="F298" s="7">
        <v>45717</v>
      </c>
      <c r="G298" s="20" t="s">
        <v>36</v>
      </c>
      <c r="H298" s="8">
        <v>136889208</v>
      </c>
      <c r="I298" s="19">
        <v>136889208</v>
      </c>
      <c r="J298" s="10">
        <v>165818</v>
      </c>
      <c r="K298" s="10">
        <v>140946</v>
      </c>
      <c r="L298" s="10">
        <v>24872</v>
      </c>
      <c r="M298" s="10">
        <v>0</v>
      </c>
      <c r="N298" s="11">
        <v>24872</v>
      </c>
      <c r="O298" s="12">
        <v>136889208</v>
      </c>
      <c r="P298" s="9">
        <v>285123</v>
      </c>
      <c r="Q298" s="9" t="s">
        <v>37</v>
      </c>
      <c r="R298" s="13">
        <v>45725</v>
      </c>
      <c r="S298" s="22">
        <v>45725</v>
      </c>
      <c r="T298" s="13">
        <v>45725</v>
      </c>
      <c r="U298" s="13">
        <v>45725</v>
      </c>
      <c r="V298" s="9" t="s">
        <v>47</v>
      </c>
      <c r="W298" s="9">
        <v>22703054</v>
      </c>
      <c r="X298" s="9">
        <v>3181006</v>
      </c>
      <c r="Y298" s="9">
        <v>69051504</v>
      </c>
      <c r="Z298" s="9" t="s">
        <v>39</v>
      </c>
      <c r="AA298" s="9">
        <v>16032025</v>
      </c>
      <c r="AB298" s="9">
        <v>77922</v>
      </c>
      <c r="AC298" s="9" t="s">
        <v>41</v>
      </c>
      <c r="AD298" s="9" t="s">
        <v>134</v>
      </c>
      <c r="AE298" s="9" t="s">
        <v>135</v>
      </c>
      <c r="AF298" s="9" t="s">
        <v>135</v>
      </c>
      <c r="AG298" s="14" t="str">
        <f t="shared" si="10"/>
        <v>EXAMENES RADIOLOGICOS</v>
      </c>
      <c r="AH298" s="9" t="s">
        <v>758</v>
      </c>
      <c r="AI298" s="9">
        <v>0</v>
      </c>
      <c r="AJ298" s="9">
        <v>76098454</v>
      </c>
      <c r="AK298" s="9" t="s">
        <v>161</v>
      </c>
      <c r="AL298" s="26" t="s">
        <v>69</v>
      </c>
      <c r="AM298" s="14" t="s">
        <v>547</v>
      </c>
      <c r="AN298" s="27" t="str">
        <f t="shared" si="11"/>
        <v>11946769|76098454|136889208|136889208</v>
      </c>
      <c r="AO298" t="s">
        <v>758</v>
      </c>
      <c r="AP298" t="b">
        <v>1</v>
      </c>
      <c r="AQ298" t="s">
        <v>764</v>
      </c>
    </row>
    <row r="299" spans="1:43" x14ac:dyDescent="0.2">
      <c r="A299" s="14" t="s">
        <v>500</v>
      </c>
      <c r="B299" s="17">
        <v>11946769</v>
      </c>
      <c r="C299" s="14" t="s">
        <v>199</v>
      </c>
      <c r="D299" s="9">
        <v>11946769</v>
      </c>
      <c r="E299" s="9" t="s">
        <v>199</v>
      </c>
      <c r="F299" s="7">
        <v>45717</v>
      </c>
      <c r="G299" s="20" t="s">
        <v>46</v>
      </c>
      <c r="H299" s="8">
        <v>136889208</v>
      </c>
      <c r="I299" s="19">
        <v>65383982</v>
      </c>
      <c r="J299" s="10">
        <v>24821</v>
      </c>
      <c r="K299" s="10">
        <v>0</v>
      </c>
      <c r="L299" s="10">
        <v>24821</v>
      </c>
      <c r="M299" s="10">
        <v>0</v>
      </c>
      <c r="N299" s="11">
        <v>24821</v>
      </c>
      <c r="O299" s="12">
        <v>136889208</v>
      </c>
      <c r="P299" s="9">
        <v>285123</v>
      </c>
      <c r="Q299" s="9" t="s">
        <v>37</v>
      </c>
      <c r="R299" s="13">
        <v>45725</v>
      </c>
      <c r="S299" s="22">
        <v>45742</v>
      </c>
      <c r="T299" s="13">
        <v>45725</v>
      </c>
      <c r="U299" s="13">
        <v>45725</v>
      </c>
      <c r="V299" s="9" t="s">
        <v>47</v>
      </c>
      <c r="W299" s="9">
        <v>22772467</v>
      </c>
      <c r="X299" s="9">
        <v>3311105</v>
      </c>
      <c r="Y299" s="9">
        <v>69250870</v>
      </c>
      <c r="Z299" s="9" t="s">
        <v>39</v>
      </c>
      <c r="AA299" s="9">
        <v>970593489</v>
      </c>
      <c r="AB299" s="9">
        <v>78070</v>
      </c>
      <c r="AC299" s="9" t="s">
        <v>41</v>
      </c>
      <c r="AD299" s="9" t="s">
        <v>134</v>
      </c>
      <c r="AE299" s="9" t="s">
        <v>135</v>
      </c>
      <c r="AF299" s="9" t="s">
        <v>135</v>
      </c>
      <c r="AG299" s="14" t="str">
        <f t="shared" si="10"/>
        <v>EXAMENES RADIOLOGICOS</v>
      </c>
      <c r="AH299" s="9">
        <v>0</v>
      </c>
      <c r="AI299" s="9">
        <v>0</v>
      </c>
      <c r="AJ299" s="9">
        <v>76098454</v>
      </c>
      <c r="AK299" s="9" t="s">
        <v>161</v>
      </c>
      <c r="AL299" s="26" t="s">
        <v>52</v>
      </c>
      <c r="AM299" s="14" t="s">
        <v>547</v>
      </c>
      <c r="AN299" s="27" t="str">
        <f t="shared" si="11"/>
        <v>11946769|76098454|136889208|65383982</v>
      </c>
      <c r="AO299" t="s">
        <v>44</v>
      </c>
      <c r="AP299" t="b">
        <v>0</v>
      </c>
      <c r="AQ299" t="s">
        <v>763</v>
      </c>
    </row>
    <row r="300" spans="1:43" x14ac:dyDescent="0.2">
      <c r="A300" s="14" t="s">
        <v>500</v>
      </c>
      <c r="B300" s="17">
        <v>21442073</v>
      </c>
      <c r="C300" s="14" t="s">
        <v>232</v>
      </c>
      <c r="D300" s="9">
        <v>21442073</v>
      </c>
      <c r="E300" s="9" t="s">
        <v>232</v>
      </c>
      <c r="F300" s="7">
        <v>45689</v>
      </c>
      <c r="G300" s="20" t="s">
        <v>36</v>
      </c>
      <c r="H300" s="8">
        <v>242932336</v>
      </c>
      <c r="I300" s="19">
        <v>985666</v>
      </c>
      <c r="J300" s="10">
        <v>22200</v>
      </c>
      <c r="K300" s="10">
        <v>0</v>
      </c>
      <c r="L300" s="10">
        <v>22200</v>
      </c>
      <c r="M300" s="10">
        <v>0</v>
      </c>
      <c r="N300" s="11">
        <v>22200</v>
      </c>
      <c r="O300" s="12">
        <v>242932336</v>
      </c>
      <c r="P300" s="9">
        <v>285123</v>
      </c>
      <c r="Q300" s="9" t="s">
        <v>37</v>
      </c>
      <c r="R300" s="13">
        <v>45705</v>
      </c>
      <c r="S300" s="22">
        <v>45705</v>
      </c>
      <c r="T300" s="13">
        <v>45684</v>
      </c>
      <c r="U300" s="13">
        <v>45684</v>
      </c>
      <c r="V300" s="9" t="s">
        <v>47</v>
      </c>
      <c r="W300" s="9">
        <v>22616394</v>
      </c>
      <c r="X300" s="9">
        <v>2251257</v>
      </c>
      <c r="Y300" s="9">
        <v>68922830</v>
      </c>
      <c r="Z300" s="9" t="s">
        <v>39</v>
      </c>
      <c r="AA300" s="9">
        <v>1713549343</v>
      </c>
      <c r="AB300" s="9">
        <v>77692</v>
      </c>
      <c r="AC300" s="9" t="s">
        <v>41</v>
      </c>
      <c r="AD300" s="9" t="s">
        <v>165</v>
      </c>
      <c r="AE300" s="9" t="s">
        <v>166</v>
      </c>
      <c r="AF300" s="9" t="s">
        <v>124</v>
      </c>
      <c r="AG300" s="14" t="s">
        <v>125</v>
      </c>
      <c r="AH300" s="9">
        <v>0</v>
      </c>
      <c r="AI300" s="9">
        <v>0</v>
      </c>
      <c r="AJ300" s="9">
        <v>59111330</v>
      </c>
      <c r="AK300" s="9">
        <v>5</v>
      </c>
      <c r="AL300" s="26" t="s">
        <v>52</v>
      </c>
      <c r="AM300" s="14" t="s">
        <v>572</v>
      </c>
      <c r="AN300" s="27" t="str">
        <f t="shared" si="11"/>
        <v>21442073|59111330|242932336|985666</v>
      </c>
      <c r="AO300" t="s">
        <v>44</v>
      </c>
      <c r="AP300" t="b">
        <v>0</v>
      </c>
      <c r="AQ300" t="s">
        <v>763</v>
      </c>
    </row>
    <row r="301" spans="1:43" x14ac:dyDescent="0.2">
      <c r="A301" s="14" t="s">
        <v>500</v>
      </c>
      <c r="B301" s="17">
        <v>21442073</v>
      </c>
      <c r="C301" s="14" t="s">
        <v>232</v>
      </c>
      <c r="D301" s="9">
        <v>21442073</v>
      </c>
      <c r="E301" s="9" t="s">
        <v>232</v>
      </c>
      <c r="F301" s="7">
        <v>45717</v>
      </c>
      <c r="G301" s="20" t="s">
        <v>46</v>
      </c>
      <c r="H301" s="8">
        <v>242932336</v>
      </c>
      <c r="I301" s="19">
        <v>65213308</v>
      </c>
      <c r="J301" s="10">
        <v>22637</v>
      </c>
      <c r="K301" s="10">
        <v>0</v>
      </c>
      <c r="L301" s="10">
        <v>22637</v>
      </c>
      <c r="M301" s="10">
        <v>0</v>
      </c>
      <c r="N301" s="11">
        <v>22637</v>
      </c>
      <c r="O301" s="12">
        <v>242932336</v>
      </c>
      <c r="P301" s="9">
        <v>285123</v>
      </c>
      <c r="Q301" s="9" t="s">
        <v>37</v>
      </c>
      <c r="R301" s="13">
        <v>45717</v>
      </c>
      <c r="S301" s="22">
        <v>45733</v>
      </c>
      <c r="T301" s="13">
        <v>45684</v>
      </c>
      <c r="U301" s="13">
        <v>45684</v>
      </c>
      <c r="V301" s="9" t="s">
        <v>47</v>
      </c>
      <c r="W301" s="9">
        <v>22753722</v>
      </c>
      <c r="X301" s="9">
        <v>3251558</v>
      </c>
      <c r="Y301" s="9">
        <v>69156675</v>
      </c>
      <c r="Z301" s="9" t="s">
        <v>39</v>
      </c>
      <c r="AA301" s="9">
        <v>1713549343</v>
      </c>
      <c r="AB301" s="9">
        <v>78017</v>
      </c>
      <c r="AC301" s="9" t="s">
        <v>41</v>
      </c>
      <c r="AD301" s="9" t="s">
        <v>165</v>
      </c>
      <c r="AE301" s="9" t="s">
        <v>166</v>
      </c>
      <c r="AF301" s="9" t="s">
        <v>124</v>
      </c>
      <c r="AG301" s="14" t="s">
        <v>125</v>
      </c>
      <c r="AH301" s="9">
        <v>0</v>
      </c>
      <c r="AI301" s="9">
        <v>0</v>
      </c>
      <c r="AJ301" s="9">
        <v>59111330</v>
      </c>
      <c r="AK301" s="9">
        <v>5</v>
      </c>
      <c r="AL301" s="26" t="s">
        <v>52</v>
      </c>
      <c r="AM301" s="14" t="s">
        <v>572</v>
      </c>
      <c r="AN301" s="27" t="str">
        <f t="shared" si="11"/>
        <v>21442073|59111330|242932336|65213308</v>
      </c>
      <c r="AO301" t="s">
        <v>44</v>
      </c>
      <c r="AP301" t="b">
        <v>0</v>
      </c>
      <c r="AQ301" t="s">
        <v>763</v>
      </c>
    </row>
    <row r="302" spans="1:43" x14ac:dyDescent="0.2">
      <c r="A302" s="14" t="s">
        <v>500</v>
      </c>
      <c r="B302" s="17">
        <v>13228306</v>
      </c>
      <c r="C302" s="14" t="s">
        <v>233</v>
      </c>
      <c r="D302" s="9">
        <v>13228306</v>
      </c>
      <c r="E302" s="9" t="s">
        <v>233</v>
      </c>
      <c r="F302" s="7">
        <v>45689</v>
      </c>
      <c r="G302" s="20" t="s">
        <v>36</v>
      </c>
      <c r="H302" s="8">
        <v>316930228</v>
      </c>
      <c r="I302" s="19">
        <v>988762</v>
      </c>
      <c r="J302" s="10">
        <v>31229</v>
      </c>
      <c r="K302" s="10">
        <v>9486</v>
      </c>
      <c r="L302" s="10">
        <v>21743</v>
      </c>
      <c r="M302" s="10">
        <v>0</v>
      </c>
      <c r="N302" s="11">
        <v>21743</v>
      </c>
      <c r="O302" s="12">
        <v>316930228</v>
      </c>
      <c r="P302" s="9">
        <v>285123</v>
      </c>
      <c r="Q302" s="9" t="s">
        <v>37</v>
      </c>
      <c r="R302" s="13">
        <v>45714</v>
      </c>
      <c r="S302" s="22">
        <v>45714</v>
      </c>
      <c r="T302" s="13">
        <v>45702</v>
      </c>
      <c r="U302" s="13">
        <v>45702</v>
      </c>
      <c r="V302" s="9" t="s">
        <v>47</v>
      </c>
      <c r="W302" s="9">
        <v>22640391</v>
      </c>
      <c r="X302" s="9">
        <v>3031016</v>
      </c>
      <c r="Y302" s="9">
        <v>68930799</v>
      </c>
      <c r="Z302" s="9" t="s">
        <v>39</v>
      </c>
      <c r="AA302" s="9">
        <v>14070048661</v>
      </c>
      <c r="AB302" s="9">
        <v>77739</v>
      </c>
      <c r="AC302" s="9" t="s">
        <v>41</v>
      </c>
      <c r="AD302" s="9" t="s">
        <v>128</v>
      </c>
      <c r="AE302" s="9" t="s">
        <v>129</v>
      </c>
      <c r="AF302" s="9" t="s">
        <v>124</v>
      </c>
      <c r="AG302" s="14" t="s">
        <v>125</v>
      </c>
      <c r="AH302" s="9">
        <v>0</v>
      </c>
      <c r="AI302" s="9">
        <v>0</v>
      </c>
      <c r="AJ302" s="9">
        <v>76378831</v>
      </c>
      <c r="AK302" s="9">
        <v>8</v>
      </c>
      <c r="AL302" s="26" t="s">
        <v>52</v>
      </c>
      <c r="AM302" s="14" t="s">
        <v>573</v>
      </c>
      <c r="AN302" s="27" t="str">
        <f t="shared" si="11"/>
        <v>13228306|76378831|316930228|988762</v>
      </c>
      <c r="AO302" t="s">
        <v>44</v>
      </c>
      <c r="AP302" t="b">
        <v>0</v>
      </c>
      <c r="AQ302" t="s">
        <v>763</v>
      </c>
    </row>
    <row r="303" spans="1:43" x14ac:dyDescent="0.2">
      <c r="A303" s="14" t="s">
        <v>500</v>
      </c>
      <c r="B303" s="17">
        <v>13228306</v>
      </c>
      <c r="C303" s="14" t="s">
        <v>233</v>
      </c>
      <c r="D303" s="9">
        <v>13228306</v>
      </c>
      <c r="E303" s="9" t="s">
        <v>233</v>
      </c>
      <c r="F303" s="7">
        <v>45717</v>
      </c>
      <c r="G303" s="20" t="s">
        <v>46</v>
      </c>
      <c r="H303" s="8">
        <v>316930228</v>
      </c>
      <c r="I303" s="19">
        <v>65213087</v>
      </c>
      <c r="J303" s="10">
        <v>21935</v>
      </c>
      <c r="K303" s="10">
        <v>0</v>
      </c>
      <c r="L303" s="10">
        <v>21935</v>
      </c>
      <c r="M303" s="10">
        <v>0</v>
      </c>
      <c r="N303" s="11">
        <v>21935</v>
      </c>
      <c r="O303" s="12">
        <v>316930228</v>
      </c>
      <c r="P303" s="9">
        <v>285123</v>
      </c>
      <c r="Q303" s="9" t="s">
        <v>37</v>
      </c>
      <c r="R303" s="13">
        <v>45717</v>
      </c>
      <c r="S303" s="22">
        <v>45733</v>
      </c>
      <c r="T303" s="13">
        <v>45702</v>
      </c>
      <c r="U303" s="13">
        <v>45702</v>
      </c>
      <c r="V303" s="9" t="s">
        <v>47</v>
      </c>
      <c r="W303" s="9">
        <v>22753788</v>
      </c>
      <c r="X303" s="9">
        <v>3251558</v>
      </c>
      <c r="Y303" s="9">
        <v>69156483</v>
      </c>
      <c r="Z303" s="9" t="s">
        <v>39</v>
      </c>
      <c r="AA303" s="9">
        <v>14070048661</v>
      </c>
      <c r="AB303" s="9">
        <v>78017</v>
      </c>
      <c r="AC303" s="9" t="s">
        <v>41</v>
      </c>
      <c r="AD303" s="9" t="s">
        <v>128</v>
      </c>
      <c r="AE303" s="9" t="s">
        <v>129</v>
      </c>
      <c r="AF303" s="9" t="s">
        <v>124</v>
      </c>
      <c r="AG303" s="14" t="s">
        <v>125</v>
      </c>
      <c r="AH303" s="9">
        <v>0</v>
      </c>
      <c r="AI303" s="9">
        <v>0</v>
      </c>
      <c r="AJ303" s="9">
        <v>76378831</v>
      </c>
      <c r="AK303" s="9">
        <v>8</v>
      </c>
      <c r="AL303" s="26" t="s">
        <v>52</v>
      </c>
      <c r="AM303" s="14" t="s">
        <v>573</v>
      </c>
      <c r="AN303" s="27" t="str">
        <f t="shared" si="11"/>
        <v>13228306|76378831|316930228|65213087</v>
      </c>
      <c r="AO303" t="s">
        <v>44</v>
      </c>
      <c r="AP303" t="b">
        <v>0</v>
      </c>
      <c r="AQ303" t="s">
        <v>763</v>
      </c>
    </row>
    <row r="304" spans="1:43" x14ac:dyDescent="0.2">
      <c r="A304" s="14" t="s">
        <v>500</v>
      </c>
      <c r="B304" s="17">
        <v>16427949</v>
      </c>
      <c r="C304" s="14" t="s">
        <v>179</v>
      </c>
      <c r="D304" s="9">
        <v>16427949</v>
      </c>
      <c r="E304" s="9" t="s">
        <v>179</v>
      </c>
      <c r="F304" s="7">
        <v>45689</v>
      </c>
      <c r="G304" s="20" t="s">
        <v>36</v>
      </c>
      <c r="H304" s="8">
        <v>321698578</v>
      </c>
      <c r="I304" s="19">
        <v>986664</v>
      </c>
      <c r="J304" s="10">
        <v>28129</v>
      </c>
      <c r="K304" s="10">
        <v>0</v>
      </c>
      <c r="L304" s="10">
        <v>16877</v>
      </c>
      <c r="M304" s="10">
        <v>0</v>
      </c>
      <c r="N304" s="11">
        <v>16877</v>
      </c>
      <c r="O304" s="12">
        <v>321698578</v>
      </c>
      <c r="P304" s="9">
        <v>285123</v>
      </c>
      <c r="Q304" s="9" t="s">
        <v>37</v>
      </c>
      <c r="R304" s="13">
        <v>45707</v>
      </c>
      <c r="S304" s="22">
        <v>45707</v>
      </c>
      <c r="T304" s="13">
        <v>45675</v>
      </c>
      <c r="U304" s="13">
        <v>45675</v>
      </c>
      <c r="V304" s="9" t="s">
        <v>47</v>
      </c>
      <c r="W304" s="9">
        <v>22616411</v>
      </c>
      <c r="X304" s="9">
        <v>2251257</v>
      </c>
      <c r="Y304" s="9">
        <v>68923144</v>
      </c>
      <c r="Z304" s="9" t="s">
        <v>39</v>
      </c>
      <c r="AA304" s="9">
        <v>36670179791</v>
      </c>
      <c r="AB304" s="9">
        <v>77692</v>
      </c>
      <c r="AC304" s="9" t="s">
        <v>41</v>
      </c>
      <c r="AD304" s="9" t="s">
        <v>128</v>
      </c>
      <c r="AE304" s="9" t="s">
        <v>129</v>
      </c>
      <c r="AF304" s="9" t="s">
        <v>124</v>
      </c>
      <c r="AG304" s="14" t="s">
        <v>125</v>
      </c>
      <c r="AH304" s="9">
        <v>0</v>
      </c>
      <c r="AI304" s="9">
        <v>0</v>
      </c>
      <c r="AJ304" s="9">
        <v>76378831</v>
      </c>
      <c r="AK304" s="9">
        <v>8</v>
      </c>
      <c r="AL304" s="26" t="s">
        <v>52</v>
      </c>
      <c r="AM304" s="14" t="s">
        <v>533</v>
      </c>
      <c r="AN304" s="27" t="str">
        <f t="shared" si="11"/>
        <v>16427949|76378831|321698578|986664</v>
      </c>
      <c r="AO304" t="s">
        <v>44</v>
      </c>
      <c r="AP304" t="b">
        <v>0</v>
      </c>
      <c r="AQ304" t="s">
        <v>763</v>
      </c>
    </row>
    <row r="305" spans="1:43" x14ac:dyDescent="0.2">
      <c r="A305" s="14" t="s">
        <v>500</v>
      </c>
      <c r="B305" s="17">
        <v>16427949</v>
      </c>
      <c r="C305" s="14" t="s">
        <v>179</v>
      </c>
      <c r="D305" s="9">
        <v>16427949</v>
      </c>
      <c r="E305" s="9" t="s">
        <v>179</v>
      </c>
      <c r="F305" s="7">
        <v>45717</v>
      </c>
      <c r="G305" s="20" t="s">
        <v>46</v>
      </c>
      <c r="H305" s="8">
        <v>321698578</v>
      </c>
      <c r="I305" s="19">
        <v>65213212</v>
      </c>
      <c r="J305" s="10">
        <v>28041</v>
      </c>
      <c r="K305" s="10">
        <v>0</v>
      </c>
      <c r="L305" s="10">
        <v>28041</v>
      </c>
      <c r="M305" s="10">
        <v>0</v>
      </c>
      <c r="N305" s="11">
        <v>28041</v>
      </c>
      <c r="O305" s="12">
        <v>321698578</v>
      </c>
      <c r="P305" s="9">
        <v>285123</v>
      </c>
      <c r="Q305" s="9" t="s">
        <v>37</v>
      </c>
      <c r="R305" s="13">
        <v>45717</v>
      </c>
      <c r="S305" s="22">
        <v>45733</v>
      </c>
      <c r="T305" s="13">
        <v>45675</v>
      </c>
      <c r="U305" s="13">
        <v>45675</v>
      </c>
      <c r="V305" s="9" t="s">
        <v>47</v>
      </c>
      <c r="W305" s="9">
        <v>22753603</v>
      </c>
      <c r="X305" s="9">
        <v>3251558</v>
      </c>
      <c r="Y305" s="9">
        <v>69156593</v>
      </c>
      <c r="Z305" s="9" t="s">
        <v>39</v>
      </c>
      <c r="AA305" s="9">
        <v>36670179791</v>
      </c>
      <c r="AB305" s="9">
        <v>78017</v>
      </c>
      <c r="AC305" s="9" t="s">
        <v>41</v>
      </c>
      <c r="AD305" s="9" t="s">
        <v>128</v>
      </c>
      <c r="AE305" s="9" t="s">
        <v>129</v>
      </c>
      <c r="AF305" s="9" t="s">
        <v>124</v>
      </c>
      <c r="AG305" s="14" t="s">
        <v>125</v>
      </c>
      <c r="AH305" s="9">
        <v>0</v>
      </c>
      <c r="AI305" s="9">
        <v>0</v>
      </c>
      <c r="AJ305" s="9">
        <v>76378831</v>
      </c>
      <c r="AK305" s="9">
        <v>8</v>
      </c>
      <c r="AL305" s="26" t="s">
        <v>52</v>
      </c>
      <c r="AM305" s="14" t="s">
        <v>533</v>
      </c>
      <c r="AN305" s="27" t="str">
        <f t="shared" si="11"/>
        <v>16427949|76378831|321698578|65213212</v>
      </c>
      <c r="AO305" t="s">
        <v>44</v>
      </c>
      <c r="AP305" t="b">
        <v>0</v>
      </c>
      <c r="AQ305" t="s">
        <v>763</v>
      </c>
    </row>
    <row r="306" spans="1:43" x14ac:dyDescent="0.2">
      <c r="A306" s="14" t="s">
        <v>500</v>
      </c>
      <c r="B306" s="17">
        <v>16427949</v>
      </c>
      <c r="C306" s="14" t="s">
        <v>179</v>
      </c>
      <c r="D306" s="9">
        <v>16427949</v>
      </c>
      <c r="E306" s="9" t="s">
        <v>179</v>
      </c>
      <c r="F306" s="7">
        <v>45689</v>
      </c>
      <c r="G306" s="20" t="s">
        <v>36</v>
      </c>
      <c r="H306" s="8">
        <v>327992095</v>
      </c>
      <c r="I306" s="19">
        <v>986666</v>
      </c>
      <c r="J306" s="10">
        <v>107353</v>
      </c>
      <c r="K306" s="10">
        <v>0</v>
      </c>
      <c r="L306" s="10">
        <v>64412</v>
      </c>
      <c r="M306" s="10">
        <v>0</v>
      </c>
      <c r="N306" s="11">
        <v>64412</v>
      </c>
      <c r="O306" s="12">
        <v>327992095</v>
      </c>
      <c r="P306" s="9">
        <v>285123</v>
      </c>
      <c r="Q306" s="9" t="s">
        <v>37</v>
      </c>
      <c r="R306" s="13">
        <v>45707</v>
      </c>
      <c r="S306" s="22">
        <v>45707</v>
      </c>
      <c r="T306" s="13">
        <v>45688</v>
      </c>
      <c r="U306" s="13">
        <v>45688</v>
      </c>
      <c r="V306" s="9" t="s">
        <v>47</v>
      </c>
      <c r="W306" s="9">
        <v>22616411</v>
      </c>
      <c r="X306" s="9">
        <v>2251257</v>
      </c>
      <c r="Y306" s="9">
        <v>68923145</v>
      </c>
      <c r="Z306" s="9" t="s">
        <v>39</v>
      </c>
      <c r="AA306" s="9">
        <v>36670179791</v>
      </c>
      <c r="AB306" s="9">
        <v>77692</v>
      </c>
      <c r="AC306" s="9" t="s">
        <v>41</v>
      </c>
      <c r="AD306" s="9" t="s">
        <v>128</v>
      </c>
      <c r="AE306" s="9" t="s">
        <v>129</v>
      </c>
      <c r="AF306" s="9" t="s">
        <v>124</v>
      </c>
      <c r="AG306" s="14" t="s">
        <v>125</v>
      </c>
      <c r="AH306" s="9">
        <v>0</v>
      </c>
      <c r="AI306" s="9">
        <v>0</v>
      </c>
      <c r="AJ306" s="9">
        <v>76378831</v>
      </c>
      <c r="AK306" s="9">
        <v>8</v>
      </c>
      <c r="AL306" s="26" t="s">
        <v>52</v>
      </c>
      <c r="AM306" s="14" t="s">
        <v>533</v>
      </c>
      <c r="AN306" s="27" t="str">
        <f t="shared" si="11"/>
        <v>16427949|76378831|327992095|986666</v>
      </c>
      <c r="AO306" t="s">
        <v>44</v>
      </c>
      <c r="AP306" t="b">
        <v>0</v>
      </c>
      <c r="AQ306" t="s">
        <v>763</v>
      </c>
    </row>
    <row r="307" spans="1:43" x14ac:dyDescent="0.2">
      <c r="A307" s="14" t="s">
        <v>500</v>
      </c>
      <c r="B307" s="17">
        <v>16427949</v>
      </c>
      <c r="C307" s="14" t="s">
        <v>179</v>
      </c>
      <c r="D307" s="9">
        <v>16427949</v>
      </c>
      <c r="E307" s="9" t="s">
        <v>179</v>
      </c>
      <c r="F307" s="7">
        <v>45717</v>
      </c>
      <c r="G307" s="20" t="s">
        <v>46</v>
      </c>
      <c r="H307" s="8">
        <v>327992095</v>
      </c>
      <c r="I307" s="19">
        <v>65213213</v>
      </c>
      <c r="J307" s="10">
        <v>107469</v>
      </c>
      <c r="K307" s="10">
        <v>0</v>
      </c>
      <c r="L307" s="10">
        <v>107469</v>
      </c>
      <c r="M307" s="10">
        <v>0</v>
      </c>
      <c r="N307" s="11">
        <v>107469</v>
      </c>
      <c r="O307" s="12">
        <v>327992095</v>
      </c>
      <c r="P307" s="9">
        <v>285123</v>
      </c>
      <c r="Q307" s="9" t="s">
        <v>37</v>
      </c>
      <c r="R307" s="13">
        <v>45717</v>
      </c>
      <c r="S307" s="22">
        <v>45733</v>
      </c>
      <c r="T307" s="13">
        <v>45688</v>
      </c>
      <c r="U307" s="13">
        <v>45688</v>
      </c>
      <c r="V307" s="9" t="s">
        <v>47</v>
      </c>
      <c r="W307" s="9">
        <v>22753689</v>
      </c>
      <c r="X307" s="9">
        <v>3251558</v>
      </c>
      <c r="Y307" s="9">
        <v>69156594</v>
      </c>
      <c r="Z307" s="9" t="s">
        <v>39</v>
      </c>
      <c r="AA307" s="9">
        <v>36670179791</v>
      </c>
      <c r="AB307" s="9">
        <v>78017</v>
      </c>
      <c r="AC307" s="9" t="s">
        <v>41</v>
      </c>
      <c r="AD307" s="9" t="s">
        <v>128</v>
      </c>
      <c r="AE307" s="9" t="s">
        <v>129</v>
      </c>
      <c r="AF307" s="9" t="s">
        <v>124</v>
      </c>
      <c r="AG307" s="14" t="s">
        <v>125</v>
      </c>
      <c r="AH307" s="9">
        <v>0</v>
      </c>
      <c r="AI307" s="9">
        <v>0</v>
      </c>
      <c r="AJ307" s="9">
        <v>76378831</v>
      </c>
      <c r="AK307" s="9">
        <v>8</v>
      </c>
      <c r="AL307" s="26" t="s">
        <v>52</v>
      </c>
      <c r="AM307" s="14" t="s">
        <v>533</v>
      </c>
      <c r="AN307" s="27" t="str">
        <f t="shared" si="11"/>
        <v>16427949|76378831|327992095|65213213</v>
      </c>
      <c r="AO307" t="s">
        <v>44</v>
      </c>
      <c r="AP307" t="b">
        <v>0</v>
      </c>
      <c r="AQ307" t="s">
        <v>763</v>
      </c>
    </row>
    <row r="308" spans="1:43" x14ac:dyDescent="0.2">
      <c r="A308" s="14" t="s">
        <v>500</v>
      </c>
      <c r="B308" s="17">
        <v>8376812</v>
      </c>
      <c r="C308" s="14" t="s">
        <v>234</v>
      </c>
      <c r="D308" s="9">
        <v>22055770</v>
      </c>
      <c r="E308" s="9" t="s">
        <v>235</v>
      </c>
      <c r="F308" s="7">
        <v>45658</v>
      </c>
      <c r="G308" s="20" t="s">
        <v>36</v>
      </c>
      <c r="H308" s="8">
        <v>370124354</v>
      </c>
      <c r="I308" s="19">
        <v>370124354</v>
      </c>
      <c r="J308" s="10">
        <v>45456</v>
      </c>
      <c r="K308" s="10">
        <v>36365</v>
      </c>
      <c r="L308" s="10">
        <v>9091</v>
      </c>
      <c r="M308" s="10">
        <v>0</v>
      </c>
      <c r="N308" s="11">
        <v>9091</v>
      </c>
      <c r="O308" s="12">
        <v>370124354</v>
      </c>
      <c r="P308" s="9">
        <v>285123</v>
      </c>
      <c r="Q308" s="9" t="s">
        <v>37</v>
      </c>
      <c r="R308" s="13">
        <v>45660</v>
      </c>
      <c r="S308" s="22">
        <v>45660</v>
      </c>
      <c r="T308" s="13">
        <v>45660</v>
      </c>
      <c r="U308" s="13">
        <v>45660</v>
      </c>
      <c r="V308" s="9" t="s">
        <v>47</v>
      </c>
      <c r="W308" s="9">
        <v>22473651</v>
      </c>
      <c r="X308" s="9">
        <v>1061637</v>
      </c>
      <c r="Y308" s="9">
        <v>68611626</v>
      </c>
      <c r="Z308" s="9" t="s">
        <v>39</v>
      </c>
      <c r="AA308" s="9">
        <v>5012025</v>
      </c>
      <c r="AB308" s="9">
        <v>77320</v>
      </c>
      <c r="AC308" s="9" t="s">
        <v>41</v>
      </c>
      <c r="AD308" s="9" t="s">
        <v>132</v>
      </c>
      <c r="AE308" s="9" t="s">
        <v>133</v>
      </c>
      <c r="AF308" s="9" t="s">
        <v>133</v>
      </c>
      <c r="AG308" s="14" t="str">
        <f t="shared" ref="AG308:AG371" si="12">+AF308</f>
        <v>EXAMENES DE LABORATORIO</v>
      </c>
      <c r="AH308" s="9" t="s">
        <v>758</v>
      </c>
      <c r="AI308" s="9">
        <v>0</v>
      </c>
      <c r="AJ308" s="9">
        <v>77040170</v>
      </c>
      <c r="AK308" s="9">
        <v>4</v>
      </c>
      <c r="AL308" s="26" t="s">
        <v>76</v>
      </c>
      <c r="AM308" s="14" t="s">
        <v>574</v>
      </c>
      <c r="AN308" s="27" t="str">
        <f t="shared" si="11"/>
        <v>8376812|77040170|370124354|370124354</v>
      </c>
      <c r="AO308" t="s">
        <v>758</v>
      </c>
      <c r="AP308" t="b">
        <v>1</v>
      </c>
      <c r="AQ308" t="s">
        <v>764</v>
      </c>
    </row>
    <row r="309" spans="1:43" x14ac:dyDescent="0.2">
      <c r="A309" s="14" t="s">
        <v>500</v>
      </c>
      <c r="B309" s="17">
        <v>8376812</v>
      </c>
      <c r="C309" s="14" t="s">
        <v>234</v>
      </c>
      <c r="D309" s="9">
        <v>22055770</v>
      </c>
      <c r="E309" s="9" t="s">
        <v>235</v>
      </c>
      <c r="F309" s="7">
        <v>45717</v>
      </c>
      <c r="G309" s="20" t="s">
        <v>46</v>
      </c>
      <c r="H309" s="8">
        <v>370124354</v>
      </c>
      <c r="I309" s="19">
        <v>65383657</v>
      </c>
      <c r="J309" s="10">
        <v>9220</v>
      </c>
      <c r="K309" s="10">
        <v>0</v>
      </c>
      <c r="L309" s="10">
        <v>9220</v>
      </c>
      <c r="M309" s="10">
        <v>0</v>
      </c>
      <c r="N309" s="11">
        <v>9220</v>
      </c>
      <c r="O309" s="12">
        <v>370124354</v>
      </c>
      <c r="P309" s="9">
        <v>285123</v>
      </c>
      <c r="Q309" s="9" t="s">
        <v>37</v>
      </c>
      <c r="R309" s="13">
        <v>45717</v>
      </c>
      <c r="S309" s="22">
        <v>45742</v>
      </c>
      <c r="T309" s="13">
        <v>45660</v>
      </c>
      <c r="U309" s="13">
        <v>45660</v>
      </c>
      <c r="V309" s="9" t="s">
        <v>47</v>
      </c>
      <c r="W309" s="9">
        <v>22770279</v>
      </c>
      <c r="X309" s="9">
        <v>3311105</v>
      </c>
      <c r="Y309" s="9">
        <v>69250548</v>
      </c>
      <c r="Z309" s="9" t="s">
        <v>39</v>
      </c>
      <c r="AA309" s="9">
        <v>0</v>
      </c>
      <c r="AB309" s="9">
        <v>78070</v>
      </c>
      <c r="AC309" s="9" t="s">
        <v>41</v>
      </c>
      <c r="AD309" s="9" t="s">
        <v>132</v>
      </c>
      <c r="AE309" s="9" t="s">
        <v>133</v>
      </c>
      <c r="AF309" s="9" t="s">
        <v>133</v>
      </c>
      <c r="AG309" s="14" t="str">
        <f t="shared" si="12"/>
        <v>EXAMENES DE LABORATORIO</v>
      </c>
      <c r="AH309" s="9">
        <v>0</v>
      </c>
      <c r="AI309" s="9">
        <v>0</v>
      </c>
      <c r="AJ309" s="9">
        <v>77040170</v>
      </c>
      <c r="AK309" s="9">
        <v>4</v>
      </c>
      <c r="AL309" s="26" t="s">
        <v>52</v>
      </c>
      <c r="AM309" s="14" t="s">
        <v>574</v>
      </c>
      <c r="AN309" s="27" t="str">
        <f t="shared" si="11"/>
        <v>8376812|77040170|370124354|65383657</v>
      </c>
      <c r="AO309" t="s">
        <v>44</v>
      </c>
      <c r="AP309" t="b">
        <v>0</v>
      </c>
      <c r="AQ309" t="s">
        <v>763</v>
      </c>
    </row>
    <row r="310" spans="1:43" x14ac:dyDescent="0.2">
      <c r="A310" s="14" t="s">
        <v>500</v>
      </c>
      <c r="B310" s="17">
        <v>8376812</v>
      </c>
      <c r="C310" s="14" t="s">
        <v>234</v>
      </c>
      <c r="D310" s="9">
        <v>22055770</v>
      </c>
      <c r="E310" s="9" t="s">
        <v>235</v>
      </c>
      <c r="F310" s="7">
        <v>45658</v>
      </c>
      <c r="G310" s="20" t="s">
        <v>36</v>
      </c>
      <c r="H310" s="8">
        <v>370124355</v>
      </c>
      <c r="I310" s="19">
        <v>370124355</v>
      </c>
      <c r="J310" s="10">
        <v>27888</v>
      </c>
      <c r="K310" s="10">
        <v>22309</v>
      </c>
      <c r="L310" s="10">
        <v>5579</v>
      </c>
      <c r="M310" s="10">
        <v>0</v>
      </c>
      <c r="N310" s="11">
        <v>5579</v>
      </c>
      <c r="O310" s="12">
        <v>370124355</v>
      </c>
      <c r="P310" s="9">
        <v>285123</v>
      </c>
      <c r="Q310" s="9" t="s">
        <v>37</v>
      </c>
      <c r="R310" s="13">
        <v>45660</v>
      </c>
      <c r="S310" s="22">
        <v>45660</v>
      </c>
      <c r="T310" s="13">
        <v>45660</v>
      </c>
      <c r="U310" s="13">
        <v>45660</v>
      </c>
      <c r="V310" s="9" t="s">
        <v>47</v>
      </c>
      <c r="W310" s="9">
        <v>22473651</v>
      </c>
      <c r="X310" s="9">
        <v>1061637</v>
      </c>
      <c r="Y310" s="9">
        <v>68611625</v>
      </c>
      <c r="Z310" s="9" t="s">
        <v>39</v>
      </c>
      <c r="AA310" s="9">
        <v>5012025</v>
      </c>
      <c r="AB310" s="9">
        <v>77320</v>
      </c>
      <c r="AC310" s="9" t="s">
        <v>41</v>
      </c>
      <c r="AD310" s="9" t="s">
        <v>132</v>
      </c>
      <c r="AE310" s="9" t="s">
        <v>133</v>
      </c>
      <c r="AF310" s="9" t="s">
        <v>133</v>
      </c>
      <c r="AG310" s="14" t="str">
        <f t="shared" si="12"/>
        <v>EXAMENES DE LABORATORIO</v>
      </c>
      <c r="AH310" s="9" t="s">
        <v>758</v>
      </c>
      <c r="AI310" s="9">
        <v>0</v>
      </c>
      <c r="AJ310" s="9">
        <v>77040170</v>
      </c>
      <c r="AK310" s="9">
        <v>4</v>
      </c>
      <c r="AL310" s="26" t="s">
        <v>76</v>
      </c>
      <c r="AM310" s="14" t="s">
        <v>574</v>
      </c>
      <c r="AN310" s="27" t="str">
        <f t="shared" si="11"/>
        <v>8376812|77040170|370124355|370124355</v>
      </c>
      <c r="AO310" t="s">
        <v>758</v>
      </c>
      <c r="AP310" t="b">
        <v>1</v>
      </c>
      <c r="AQ310" t="s">
        <v>764</v>
      </c>
    </row>
    <row r="311" spans="1:43" x14ac:dyDescent="0.2">
      <c r="A311" s="14" t="s">
        <v>500</v>
      </c>
      <c r="B311" s="17">
        <v>8376812</v>
      </c>
      <c r="C311" s="14" t="s">
        <v>234</v>
      </c>
      <c r="D311" s="9">
        <v>22055770</v>
      </c>
      <c r="E311" s="9" t="s">
        <v>235</v>
      </c>
      <c r="F311" s="7">
        <v>45717</v>
      </c>
      <c r="G311" s="20" t="s">
        <v>46</v>
      </c>
      <c r="H311" s="8">
        <v>370124355</v>
      </c>
      <c r="I311" s="19">
        <v>65383658</v>
      </c>
      <c r="J311" s="10">
        <v>5376</v>
      </c>
      <c r="K311" s="10">
        <v>0</v>
      </c>
      <c r="L311" s="10">
        <v>5376</v>
      </c>
      <c r="M311" s="10">
        <v>0</v>
      </c>
      <c r="N311" s="11">
        <v>5376</v>
      </c>
      <c r="O311" s="12">
        <v>370124355</v>
      </c>
      <c r="P311" s="9">
        <v>285123</v>
      </c>
      <c r="Q311" s="9" t="s">
        <v>37</v>
      </c>
      <c r="R311" s="13">
        <v>45717</v>
      </c>
      <c r="S311" s="22">
        <v>45742</v>
      </c>
      <c r="T311" s="13">
        <v>45660</v>
      </c>
      <c r="U311" s="13">
        <v>45660</v>
      </c>
      <c r="V311" s="9" t="s">
        <v>47</v>
      </c>
      <c r="W311" s="9">
        <v>22770279</v>
      </c>
      <c r="X311" s="9">
        <v>3311105</v>
      </c>
      <c r="Y311" s="9">
        <v>69250549</v>
      </c>
      <c r="Z311" s="9" t="s">
        <v>39</v>
      </c>
      <c r="AA311" s="9">
        <v>0</v>
      </c>
      <c r="AB311" s="9">
        <v>78070</v>
      </c>
      <c r="AC311" s="9" t="s">
        <v>41</v>
      </c>
      <c r="AD311" s="9" t="s">
        <v>132</v>
      </c>
      <c r="AE311" s="9" t="s">
        <v>133</v>
      </c>
      <c r="AF311" s="9" t="s">
        <v>133</v>
      </c>
      <c r="AG311" s="14" t="str">
        <f t="shared" si="12"/>
        <v>EXAMENES DE LABORATORIO</v>
      </c>
      <c r="AH311" s="9">
        <v>0</v>
      </c>
      <c r="AI311" s="9">
        <v>0</v>
      </c>
      <c r="AJ311" s="9">
        <v>77040170</v>
      </c>
      <c r="AK311" s="9">
        <v>4</v>
      </c>
      <c r="AL311" s="26" t="s">
        <v>52</v>
      </c>
      <c r="AM311" s="14" t="s">
        <v>574</v>
      </c>
      <c r="AN311" s="27" t="str">
        <f t="shared" si="11"/>
        <v>8376812|77040170|370124355|65383658</v>
      </c>
      <c r="AO311" t="s">
        <v>44</v>
      </c>
      <c r="AP311" t="b">
        <v>0</v>
      </c>
      <c r="AQ311" t="s">
        <v>763</v>
      </c>
    </row>
    <row r="312" spans="1:43" x14ac:dyDescent="0.2">
      <c r="A312" s="14" t="s">
        <v>500</v>
      </c>
      <c r="B312" s="17">
        <v>8376812</v>
      </c>
      <c r="C312" s="14" t="s">
        <v>234</v>
      </c>
      <c r="D312" s="9">
        <v>22055770</v>
      </c>
      <c r="E312" s="9" t="s">
        <v>235</v>
      </c>
      <c r="F312" s="7">
        <v>45658</v>
      </c>
      <c r="G312" s="20" t="s">
        <v>36</v>
      </c>
      <c r="H312" s="8">
        <v>370124356</v>
      </c>
      <c r="I312" s="19">
        <v>370124356</v>
      </c>
      <c r="J312" s="10">
        <v>1360</v>
      </c>
      <c r="K312" s="10">
        <v>1088</v>
      </c>
      <c r="L312" s="10">
        <v>272</v>
      </c>
      <c r="M312" s="10">
        <v>0</v>
      </c>
      <c r="N312" s="11">
        <v>272</v>
      </c>
      <c r="O312" s="12">
        <v>370124356</v>
      </c>
      <c r="P312" s="9">
        <v>285123</v>
      </c>
      <c r="Q312" s="9" t="s">
        <v>37</v>
      </c>
      <c r="R312" s="13">
        <v>45660</v>
      </c>
      <c r="S312" s="22">
        <v>45660</v>
      </c>
      <c r="T312" s="13">
        <v>45660</v>
      </c>
      <c r="U312" s="13">
        <v>45660</v>
      </c>
      <c r="V312" s="9" t="s">
        <v>47</v>
      </c>
      <c r="W312" s="9">
        <v>22473651</v>
      </c>
      <c r="X312" s="9">
        <v>1061637</v>
      </c>
      <c r="Y312" s="9">
        <v>68611624</v>
      </c>
      <c r="Z312" s="9" t="s">
        <v>39</v>
      </c>
      <c r="AA312" s="9">
        <v>5012025</v>
      </c>
      <c r="AB312" s="9">
        <v>77320</v>
      </c>
      <c r="AC312" s="9" t="s">
        <v>41</v>
      </c>
      <c r="AD312" s="9" t="s">
        <v>132</v>
      </c>
      <c r="AE312" s="9" t="s">
        <v>133</v>
      </c>
      <c r="AF312" s="9" t="s">
        <v>133</v>
      </c>
      <c r="AG312" s="14" t="str">
        <f t="shared" si="12"/>
        <v>EXAMENES DE LABORATORIO</v>
      </c>
      <c r="AH312" s="9" t="s">
        <v>758</v>
      </c>
      <c r="AI312" s="9">
        <v>0</v>
      </c>
      <c r="AJ312" s="9">
        <v>77040170</v>
      </c>
      <c r="AK312" s="9">
        <v>4</v>
      </c>
      <c r="AL312" s="26" t="s">
        <v>76</v>
      </c>
      <c r="AM312" s="14" t="s">
        <v>574</v>
      </c>
      <c r="AN312" s="27" t="str">
        <f t="shared" si="11"/>
        <v>8376812|77040170|370124356|370124356</v>
      </c>
      <c r="AO312" t="s">
        <v>758</v>
      </c>
      <c r="AP312" t="b">
        <v>1</v>
      </c>
      <c r="AQ312" t="s">
        <v>764</v>
      </c>
    </row>
    <row r="313" spans="1:43" x14ac:dyDescent="0.2">
      <c r="A313" s="14" t="s">
        <v>500</v>
      </c>
      <c r="B313" s="17">
        <v>8376812</v>
      </c>
      <c r="C313" s="14" t="s">
        <v>234</v>
      </c>
      <c r="D313" s="9">
        <v>22055770</v>
      </c>
      <c r="E313" s="9" t="s">
        <v>235</v>
      </c>
      <c r="F313" s="7">
        <v>45717</v>
      </c>
      <c r="G313" s="20" t="s">
        <v>46</v>
      </c>
      <c r="H313" s="8">
        <v>370124356</v>
      </c>
      <c r="I313" s="19">
        <v>65383659</v>
      </c>
      <c r="J313" s="10">
        <v>384</v>
      </c>
      <c r="K313" s="10">
        <v>0</v>
      </c>
      <c r="L313" s="10">
        <v>384</v>
      </c>
      <c r="M313" s="10">
        <v>0</v>
      </c>
      <c r="N313" s="11">
        <v>384</v>
      </c>
      <c r="O313" s="12">
        <v>370124356</v>
      </c>
      <c r="P313" s="9">
        <v>285123</v>
      </c>
      <c r="Q313" s="9" t="s">
        <v>37</v>
      </c>
      <c r="R313" s="13">
        <v>45717</v>
      </c>
      <c r="S313" s="22">
        <v>45742</v>
      </c>
      <c r="T313" s="13">
        <v>45660</v>
      </c>
      <c r="U313" s="13">
        <v>45660</v>
      </c>
      <c r="V313" s="9" t="s">
        <v>47</v>
      </c>
      <c r="W313" s="9">
        <v>22770279</v>
      </c>
      <c r="X313" s="9">
        <v>3311105</v>
      </c>
      <c r="Y313" s="9">
        <v>69250550</v>
      </c>
      <c r="Z313" s="9" t="s">
        <v>39</v>
      </c>
      <c r="AA313" s="9">
        <v>0</v>
      </c>
      <c r="AB313" s="9">
        <v>78070</v>
      </c>
      <c r="AC313" s="9" t="s">
        <v>41</v>
      </c>
      <c r="AD313" s="9" t="s">
        <v>132</v>
      </c>
      <c r="AE313" s="9" t="s">
        <v>133</v>
      </c>
      <c r="AF313" s="9" t="s">
        <v>133</v>
      </c>
      <c r="AG313" s="14" t="str">
        <f t="shared" si="12"/>
        <v>EXAMENES DE LABORATORIO</v>
      </c>
      <c r="AH313" s="9">
        <v>0</v>
      </c>
      <c r="AI313" s="9">
        <v>0</v>
      </c>
      <c r="AJ313" s="9">
        <v>77040170</v>
      </c>
      <c r="AK313" s="9">
        <v>4</v>
      </c>
      <c r="AL313" s="26" t="s">
        <v>52</v>
      </c>
      <c r="AM313" s="14" t="s">
        <v>574</v>
      </c>
      <c r="AN313" s="27" t="str">
        <f t="shared" si="11"/>
        <v>8376812|77040170|370124356|65383659</v>
      </c>
      <c r="AO313" t="s">
        <v>44</v>
      </c>
      <c r="AP313" t="b">
        <v>0</v>
      </c>
      <c r="AQ313" t="s">
        <v>763</v>
      </c>
    </row>
    <row r="314" spans="1:43" x14ac:dyDescent="0.2">
      <c r="A314" s="14" t="s">
        <v>500</v>
      </c>
      <c r="B314" s="17">
        <v>15344033</v>
      </c>
      <c r="C314" s="14" t="s">
        <v>236</v>
      </c>
      <c r="D314" s="9">
        <v>15344033</v>
      </c>
      <c r="E314" s="9" t="s">
        <v>236</v>
      </c>
      <c r="F314" s="7">
        <v>45658</v>
      </c>
      <c r="G314" s="20" t="s">
        <v>36</v>
      </c>
      <c r="H314" s="8">
        <v>370193109</v>
      </c>
      <c r="I314" s="19">
        <v>370193109</v>
      </c>
      <c r="J314" s="10">
        <v>7552</v>
      </c>
      <c r="K314" s="10">
        <v>5286</v>
      </c>
      <c r="L314" s="10">
        <v>2266</v>
      </c>
      <c r="M314" s="10">
        <v>0</v>
      </c>
      <c r="N314" s="11">
        <v>2266</v>
      </c>
      <c r="O314" s="12">
        <v>370193109</v>
      </c>
      <c r="P314" s="9">
        <v>285123</v>
      </c>
      <c r="Q314" s="9" t="s">
        <v>37</v>
      </c>
      <c r="R314" s="13">
        <v>45663</v>
      </c>
      <c r="S314" s="22">
        <v>45663</v>
      </c>
      <c r="T314" s="13">
        <v>45663</v>
      </c>
      <c r="U314" s="13">
        <v>45663</v>
      </c>
      <c r="V314" s="9" t="s">
        <v>47</v>
      </c>
      <c r="W314" s="9">
        <v>22462220</v>
      </c>
      <c r="X314" s="9">
        <v>1131703</v>
      </c>
      <c r="Y314" s="9">
        <v>68649143</v>
      </c>
      <c r="Z314" s="9" t="s">
        <v>39</v>
      </c>
      <c r="AA314" s="9">
        <v>12012025</v>
      </c>
      <c r="AB314" s="9">
        <v>77298</v>
      </c>
      <c r="AC314" s="9" t="s">
        <v>41</v>
      </c>
      <c r="AD314" s="9" t="s">
        <v>132</v>
      </c>
      <c r="AE314" s="9" t="s">
        <v>133</v>
      </c>
      <c r="AF314" s="9" t="s">
        <v>133</v>
      </c>
      <c r="AG314" s="14" t="str">
        <f t="shared" si="12"/>
        <v>EXAMENES DE LABORATORIO</v>
      </c>
      <c r="AH314" s="9" t="s">
        <v>758</v>
      </c>
      <c r="AI314" s="9">
        <v>0</v>
      </c>
      <c r="AJ314" s="9">
        <v>96530470</v>
      </c>
      <c r="AK314" s="9">
        <v>3</v>
      </c>
      <c r="AL314" s="26" t="s">
        <v>76</v>
      </c>
      <c r="AM314" s="14" t="s">
        <v>575</v>
      </c>
      <c r="AN314" s="27" t="str">
        <f t="shared" si="11"/>
        <v>15344033|96530470|370193109|370193109</v>
      </c>
      <c r="AO314" t="s">
        <v>758</v>
      </c>
      <c r="AP314" t="b">
        <v>1</v>
      </c>
      <c r="AQ314" t="s">
        <v>764</v>
      </c>
    </row>
    <row r="315" spans="1:43" x14ac:dyDescent="0.2">
      <c r="A315" s="14" t="s">
        <v>500</v>
      </c>
      <c r="B315" s="17">
        <v>15344033</v>
      </c>
      <c r="C315" s="14" t="s">
        <v>236</v>
      </c>
      <c r="D315" s="9">
        <v>15344033</v>
      </c>
      <c r="E315" s="9" t="s">
        <v>236</v>
      </c>
      <c r="F315" s="7">
        <v>45717</v>
      </c>
      <c r="G315" s="20" t="s">
        <v>46</v>
      </c>
      <c r="H315" s="8">
        <v>370193109</v>
      </c>
      <c r="I315" s="19">
        <v>65384272</v>
      </c>
      <c r="J315" s="10">
        <v>2688</v>
      </c>
      <c r="K315" s="10">
        <v>0</v>
      </c>
      <c r="L315" s="10">
        <v>2688</v>
      </c>
      <c r="M315" s="10">
        <v>0</v>
      </c>
      <c r="N315" s="11">
        <v>2688</v>
      </c>
      <c r="O315" s="12">
        <v>370193109</v>
      </c>
      <c r="P315" s="9">
        <v>285123</v>
      </c>
      <c r="Q315" s="9" t="s">
        <v>37</v>
      </c>
      <c r="R315" s="13">
        <v>45717</v>
      </c>
      <c r="S315" s="22">
        <v>45742</v>
      </c>
      <c r="T315" s="13">
        <v>45663</v>
      </c>
      <c r="U315" s="13">
        <v>45663</v>
      </c>
      <c r="V315" s="9" t="s">
        <v>47</v>
      </c>
      <c r="W315" s="9">
        <v>22770296</v>
      </c>
      <c r="X315" s="9">
        <v>3311105</v>
      </c>
      <c r="Y315" s="9">
        <v>69251145</v>
      </c>
      <c r="Z315" s="9" t="s">
        <v>39</v>
      </c>
      <c r="AA315" s="9">
        <v>37507648</v>
      </c>
      <c r="AB315" s="9">
        <v>78070</v>
      </c>
      <c r="AC315" s="9" t="s">
        <v>41</v>
      </c>
      <c r="AD315" s="9" t="s">
        <v>132</v>
      </c>
      <c r="AE315" s="9" t="s">
        <v>133</v>
      </c>
      <c r="AF315" s="9" t="s">
        <v>133</v>
      </c>
      <c r="AG315" s="14" t="str">
        <f t="shared" si="12"/>
        <v>EXAMENES DE LABORATORIO</v>
      </c>
      <c r="AH315" s="9">
        <v>0</v>
      </c>
      <c r="AI315" s="9">
        <v>0</v>
      </c>
      <c r="AJ315" s="9">
        <v>96530470</v>
      </c>
      <c r="AK315" s="9">
        <v>3</v>
      </c>
      <c r="AL315" s="26" t="s">
        <v>52</v>
      </c>
      <c r="AM315" s="14" t="s">
        <v>575</v>
      </c>
      <c r="AN315" s="27" t="str">
        <f t="shared" si="11"/>
        <v>15344033|96530470|370193109|65384272</v>
      </c>
      <c r="AO315" t="s">
        <v>44</v>
      </c>
      <c r="AP315" t="b">
        <v>0</v>
      </c>
      <c r="AQ315" t="s">
        <v>763</v>
      </c>
    </row>
    <row r="316" spans="1:43" x14ac:dyDescent="0.2">
      <c r="A316" s="14" t="s">
        <v>500</v>
      </c>
      <c r="B316" s="17">
        <v>13666280</v>
      </c>
      <c r="C316" s="14" t="s">
        <v>237</v>
      </c>
      <c r="D316" s="9">
        <v>13666280</v>
      </c>
      <c r="E316" s="9" t="s">
        <v>237</v>
      </c>
      <c r="F316" s="7">
        <v>45658</v>
      </c>
      <c r="G316" s="20" t="s">
        <v>36</v>
      </c>
      <c r="H316" s="8">
        <v>370209492</v>
      </c>
      <c r="I316" s="19">
        <v>370209492</v>
      </c>
      <c r="J316" s="10">
        <v>28992</v>
      </c>
      <c r="K316" s="10">
        <v>20294</v>
      </c>
      <c r="L316" s="10">
        <v>8698</v>
      </c>
      <c r="M316" s="10">
        <v>0</v>
      </c>
      <c r="N316" s="11">
        <v>8698</v>
      </c>
      <c r="O316" s="12">
        <v>370209492</v>
      </c>
      <c r="P316" s="9">
        <v>285123</v>
      </c>
      <c r="Q316" s="9" t="s">
        <v>37</v>
      </c>
      <c r="R316" s="13">
        <v>45663</v>
      </c>
      <c r="S316" s="22">
        <v>45663</v>
      </c>
      <c r="T316" s="13">
        <v>45663</v>
      </c>
      <c r="U316" s="13">
        <v>45663</v>
      </c>
      <c r="V316" s="9" t="s">
        <v>47</v>
      </c>
      <c r="W316" s="9">
        <v>22462216</v>
      </c>
      <c r="X316" s="9">
        <v>1131703</v>
      </c>
      <c r="Y316" s="9">
        <v>68649388</v>
      </c>
      <c r="Z316" s="9" t="s">
        <v>39</v>
      </c>
      <c r="AA316" s="9">
        <v>12012025</v>
      </c>
      <c r="AB316" s="9">
        <v>77298</v>
      </c>
      <c r="AC316" s="9" t="s">
        <v>41</v>
      </c>
      <c r="AD316" s="9" t="s">
        <v>134</v>
      </c>
      <c r="AE316" s="9" t="s">
        <v>135</v>
      </c>
      <c r="AF316" s="9" t="s">
        <v>135</v>
      </c>
      <c r="AG316" s="14" t="str">
        <f t="shared" si="12"/>
        <v>EXAMENES RADIOLOGICOS</v>
      </c>
      <c r="AH316" s="9" t="s">
        <v>758</v>
      </c>
      <c r="AI316" s="9">
        <v>0</v>
      </c>
      <c r="AJ316" s="9">
        <v>96942400</v>
      </c>
      <c r="AK316" s="9">
        <v>2</v>
      </c>
      <c r="AL316" s="26" t="s">
        <v>76</v>
      </c>
      <c r="AM316" s="14" t="s">
        <v>576</v>
      </c>
      <c r="AN316" s="27" t="str">
        <f t="shared" si="11"/>
        <v>13666280|96942400|370209492|370209492</v>
      </c>
      <c r="AO316" t="s">
        <v>758</v>
      </c>
      <c r="AP316" t="b">
        <v>1</v>
      </c>
      <c r="AQ316" t="s">
        <v>764</v>
      </c>
    </row>
    <row r="317" spans="1:43" x14ac:dyDescent="0.2">
      <c r="A317" s="14" t="s">
        <v>500</v>
      </c>
      <c r="B317" s="17">
        <v>13666280</v>
      </c>
      <c r="C317" s="14" t="s">
        <v>237</v>
      </c>
      <c r="D317" s="9">
        <v>13666280</v>
      </c>
      <c r="E317" s="9" t="s">
        <v>237</v>
      </c>
      <c r="F317" s="7">
        <v>45717</v>
      </c>
      <c r="G317" s="20" t="s">
        <v>46</v>
      </c>
      <c r="H317" s="8">
        <v>370209492</v>
      </c>
      <c r="I317" s="19">
        <v>65384131</v>
      </c>
      <c r="J317" s="10">
        <v>8839</v>
      </c>
      <c r="K317" s="10">
        <v>0</v>
      </c>
      <c r="L317" s="10">
        <v>8839</v>
      </c>
      <c r="M317" s="10">
        <v>0</v>
      </c>
      <c r="N317" s="11">
        <v>8839</v>
      </c>
      <c r="O317" s="12">
        <v>370209492</v>
      </c>
      <c r="P317" s="9">
        <v>285123</v>
      </c>
      <c r="Q317" s="9" t="s">
        <v>37</v>
      </c>
      <c r="R317" s="13">
        <v>45717</v>
      </c>
      <c r="S317" s="22">
        <v>45742</v>
      </c>
      <c r="T317" s="13">
        <v>45663</v>
      </c>
      <c r="U317" s="13">
        <v>45663</v>
      </c>
      <c r="V317" s="9" t="s">
        <v>47</v>
      </c>
      <c r="W317" s="9">
        <v>22770294</v>
      </c>
      <c r="X317" s="9">
        <v>3311105</v>
      </c>
      <c r="Y317" s="9">
        <v>69251012</v>
      </c>
      <c r="Z317" s="9" t="s">
        <v>39</v>
      </c>
      <c r="AA317" s="9">
        <v>13666280</v>
      </c>
      <c r="AB317" s="9">
        <v>78070</v>
      </c>
      <c r="AC317" s="9" t="s">
        <v>41</v>
      </c>
      <c r="AD317" s="9" t="s">
        <v>134</v>
      </c>
      <c r="AE317" s="9" t="s">
        <v>135</v>
      </c>
      <c r="AF317" s="9" t="s">
        <v>135</v>
      </c>
      <c r="AG317" s="14" t="str">
        <f t="shared" si="12"/>
        <v>EXAMENES RADIOLOGICOS</v>
      </c>
      <c r="AH317" s="9">
        <v>0</v>
      </c>
      <c r="AI317" s="9">
        <v>0</v>
      </c>
      <c r="AJ317" s="9">
        <v>96942400</v>
      </c>
      <c r="AK317" s="9">
        <v>2</v>
      </c>
      <c r="AL317" s="26" t="s">
        <v>52</v>
      </c>
      <c r="AM317" s="14" t="s">
        <v>576</v>
      </c>
      <c r="AN317" s="27" t="str">
        <f t="shared" si="11"/>
        <v>13666280|96942400|370209492|65384131</v>
      </c>
      <c r="AO317" t="s">
        <v>44</v>
      </c>
      <c r="AP317" t="b">
        <v>0</v>
      </c>
      <c r="AQ317" t="s">
        <v>763</v>
      </c>
    </row>
    <row r="318" spans="1:43" x14ac:dyDescent="0.2">
      <c r="A318" s="14" t="s">
        <v>500</v>
      </c>
      <c r="B318" s="17">
        <v>12838615</v>
      </c>
      <c r="C318" s="14" t="s">
        <v>239</v>
      </c>
      <c r="D318" s="9">
        <v>12838615</v>
      </c>
      <c r="E318" s="9" t="s">
        <v>239</v>
      </c>
      <c r="F318" s="7">
        <v>45658</v>
      </c>
      <c r="G318" s="20" t="s">
        <v>36</v>
      </c>
      <c r="H318" s="8">
        <v>370250532</v>
      </c>
      <c r="I318" s="19">
        <v>370250532</v>
      </c>
      <c r="J318" s="10">
        <v>37552</v>
      </c>
      <c r="K318" s="10">
        <v>18346</v>
      </c>
      <c r="L318" s="10">
        <v>19206</v>
      </c>
      <c r="M318" s="10">
        <v>0</v>
      </c>
      <c r="N318" s="11">
        <v>19206</v>
      </c>
      <c r="O318" s="12">
        <v>370250532</v>
      </c>
      <c r="P318" s="9">
        <v>285123</v>
      </c>
      <c r="Q318" s="9" t="s">
        <v>37</v>
      </c>
      <c r="R318" s="13">
        <v>45664</v>
      </c>
      <c r="S318" s="22">
        <v>45664</v>
      </c>
      <c r="T318" s="13">
        <v>45664</v>
      </c>
      <c r="U318" s="13">
        <v>45664</v>
      </c>
      <c r="V318" s="9" t="s">
        <v>47</v>
      </c>
      <c r="W318" s="9">
        <v>22462236</v>
      </c>
      <c r="X318" s="9">
        <v>1131703</v>
      </c>
      <c r="Y318" s="9">
        <v>68649921</v>
      </c>
      <c r="Z318" s="9" t="s">
        <v>39</v>
      </c>
      <c r="AA318" s="9">
        <v>12012025</v>
      </c>
      <c r="AB318" s="9">
        <v>77298</v>
      </c>
      <c r="AC318" s="9" t="s">
        <v>41</v>
      </c>
      <c r="AD318" s="9" t="s">
        <v>132</v>
      </c>
      <c r="AE318" s="9" t="s">
        <v>133</v>
      </c>
      <c r="AF318" s="9" t="s">
        <v>133</v>
      </c>
      <c r="AG318" s="14" t="str">
        <f t="shared" si="12"/>
        <v>EXAMENES DE LABORATORIO</v>
      </c>
      <c r="AH318" s="9" t="s">
        <v>758</v>
      </c>
      <c r="AI318" s="9">
        <v>0</v>
      </c>
      <c r="AJ318" s="9">
        <v>86687700</v>
      </c>
      <c r="AK318" s="9">
        <v>9</v>
      </c>
      <c r="AL318" s="26" t="s">
        <v>76</v>
      </c>
      <c r="AM318" s="14" t="s">
        <v>577</v>
      </c>
      <c r="AN318" s="27" t="str">
        <f t="shared" si="11"/>
        <v>12838615|86687700|370250532|370250532</v>
      </c>
      <c r="AO318" t="s">
        <v>758</v>
      </c>
      <c r="AP318" t="b">
        <v>1</v>
      </c>
      <c r="AQ318" t="s">
        <v>764</v>
      </c>
    </row>
    <row r="319" spans="1:43" x14ac:dyDescent="0.2">
      <c r="A319" s="14" t="s">
        <v>500</v>
      </c>
      <c r="B319" s="17">
        <v>12838615</v>
      </c>
      <c r="C319" s="14" t="s">
        <v>239</v>
      </c>
      <c r="D319" s="9">
        <v>12838615</v>
      </c>
      <c r="E319" s="9" t="s">
        <v>239</v>
      </c>
      <c r="F319" s="7">
        <v>45717</v>
      </c>
      <c r="G319" s="20" t="s">
        <v>46</v>
      </c>
      <c r="H319" s="8">
        <v>370250532</v>
      </c>
      <c r="I319" s="19">
        <v>65384048</v>
      </c>
      <c r="J319" s="10">
        <v>18062</v>
      </c>
      <c r="K319" s="10">
        <v>0</v>
      </c>
      <c r="L319" s="10">
        <v>18062</v>
      </c>
      <c r="M319" s="10">
        <v>0</v>
      </c>
      <c r="N319" s="11">
        <v>18062</v>
      </c>
      <c r="O319" s="12">
        <v>370250532</v>
      </c>
      <c r="P319" s="9">
        <v>285123</v>
      </c>
      <c r="Q319" s="9" t="s">
        <v>37</v>
      </c>
      <c r="R319" s="13">
        <v>45717</v>
      </c>
      <c r="S319" s="22">
        <v>45742</v>
      </c>
      <c r="T319" s="13">
        <v>45664</v>
      </c>
      <c r="U319" s="13">
        <v>45664</v>
      </c>
      <c r="V319" s="9" t="s">
        <v>47</v>
      </c>
      <c r="W319" s="9">
        <v>22770306</v>
      </c>
      <c r="X319" s="9">
        <v>3311105</v>
      </c>
      <c r="Y319" s="9">
        <v>69250936</v>
      </c>
      <c r="Z319" s="9" t="s">
        <v>39</v>
      </c>
      <c r="AA319" s="9">
        <v>28074735</v>
      </c>
      <c r="AB319" s="9">
        <v>78070</v>
      </c>
      <c r="AC319" s="9" t="s">
        <v>41</v>
      </c>
      <c r="AD319" s="9" t="s">
        <v>132</v>
      </c>
      <c r="AE319" s="9" t="s">
        <v>133</v>
      </c>
      <c r="AF319" s="9" t="s">
        <v>133</v>
      </c>
      <c r="AG319" s="14" t="str">
        <f t="shared" si="12"/>
        <v>EXAMENES DE LABORATORIO</v>
      </c>
      <c r="AH319" s="9">
        <v>0</v>
      </c>
      <c r="AI319" s="9">
        <v>0</v>
      </c>
      <c r="AJ319" s="9">
        <v>86687700</v>
      </c>
      <c r="AK319" s="9">
        <v>9</v>
      </c>
      <c r="AL319" s="26" t="s">
        <v>52</v>
      </c>
      <c r="AM319" s="14" t="s">
        <v>577</v>
      </c>
      <c r="AN319" s="27" t="str">
        <f t="shared" si="11"/>
        <v>12838615|86687700|370250532|65384048</v>
      </c>
      <c r="AO319" t="s">
        <v>44</v>
      </c>
      <c r="AP319" t="b">
        <v>0</v>
      </c>
      <c r="AQ319" t="s">
        <v>763</v>
      </c>
    </row>
    <row r="320" spans="1:43" x14ac:dyDescent="0.2">
      <c r="A320" s="14" t="s">
        <v>500</v>
      </c>
      <c r="B320" s="17">
        <v>8378249</v>
      </c>
      <c r="C320" s="14" t="s">
        <v>240</v>
      </c>
      <c r="D320" s="9">
        <v>8378249</v>
      </c>
      <c r="E320" s="9" t="s">
        <v>240</v>
      </c>
      <c r="F320" s="7">
        <v>45658</v>
      </c>
      <c r="G320" s="20" t="s">
        <v>36</v>
      </c>
      <c r="H320" s="8">
        <v>370262588</v>
      </c>
      <c r="I320" s="19">
        <v>370262588</v>
      </c>
      <c r="J320" s="10">
        <v>68184</v>
      </c>
      <c r="K320" s="10">
        <v>50209</v>
      </c>
      <c r="L320" s="10">
        <v>17975</v>
      </c>
      <c r="M320" s="10">
        <v>0</v>
      </c>
      <c r="N320" s="11">
        <v>17975</v>
      </c>
      <c r="O320" s="12">
        <v>370262588</v>
      </c>
      <c r="P320" s="9">
        <v>285123</v>
      </c>
      <c r="Q320" s="9" t="s">
        <v>37</v>
      </c>
      <c r="R320" s="13">
        <v>45664</v>
      </c>
      <c r="S320" s="22">
        <v>45664</v>
      </c>
      <c r="T320" s="13">
        <v>45664</v>
      </c>
      <c r="U320" s="13">
        <v>45664</v>
      </c>
      <c r="V320" s="9" t="s">
        <v>47</v>
      </c>
      <c r="W320" s="9">
        <v>22462229</v>
      </c>
      <c r="X320" s="9">
        <v>1131703</v>
      </c>
      <c r="Y320" s="9">
        <v>68650136</v>
      </c>
      <c r="Z320" s="9" t="s">
        <v>39</v>
      </c>
      <c r="AA320" s="9">
        <v>12012025</v>
      </c>
      <c r="AB320" s="9">
        <v>77298</v>
      </c>
      <c r="AC320" s="9" t="s">
        <v>41</v>
      </c>
      <c r="AD320" s="9" t="s">
        <v>134</v>
      </c>
      <c r="AE320" s="9" t="s">
        <v>135</v>
      </c>
      <c r="AF320" s="9" t="s">
        <v>135</v>
      </c>
      <c r="AG320" s="14" t="str">
        <f t="shared" si="12"/>
        <v>EXAMENES RADIOLOGICOS</v>
      </c>
      <c r="AH320" s="9" t="s">
        <v>758</v>
      </c>
      <c r="AI320" s="9">
        <v>0</v>
      </c>
      <c r="AJ320" s="9">
        <v>79980070</v>
      </c>
      <c r="AK320" s="9">
        <v>5</v>
      </c>
      <c r="AL320" s="26" t="s">
        <v>76</v>
      </c>
      <c r="AM320" s="14" t="s">
        <v>578</v>
      </c>
      <c r="AN320" s="27" t="str">
        <f t="shared" si="11"/>
        <v>8378249|79980070|370262588|370262588</v>
      </c>
      <c r="AO320" t="s">
        <v>758</v>
      </c>
      <c r="AP320" t="b">
        <v>1</v>
      </c>
      <c r="AQ320" t="s">
        <v>764</v>
      </c>
    </row>
    <row r="321" spans="1:43" x14ac:dyDescent="0.2">
      <c r="A321" s="14" t="s">
        <v>500</v>
      </c>
      <c r="B321" s="17">
        <v>8378249</v>
      </c>
      <c r="C321" s="14" t="s">
        <v>240</v>
      </c>
      <c r="D321" s="9">
        <v>8378249</v>
      </c>
      <c r="E321" s="9" t="s">
        <v>240</v>
      </c>
      <c r="F321" s="7">
        <v>45717</v>
      </c>
      <c r="G321" s="20" t="s">
        <v>46</v>
      </c>
      <c r="H321" s="8">
        <v>370262588</v>
      </c>
      <c r="I321" s="19">
        <v>65383660</v>
      </c>
      <c r="J321" s="10">
        <v>18447</v>
      </c>
      <c r="K321" s="10">
        <v>0</v>
      </c>
      <c r="L321" s="10">
        <v>18447</v>
      </c>
      <c r="M321" s="10">
        <v>0</v>
      </c>
      <c r="N321" s="11">
        <v>18447</v>
      </c>
      <c r="O321" s="12">
        <v>370262588</v>
      </c>
      <c r="P321" s="9">
        <v>285123</v>
      </c>
      <c r="Q321" s="9" t="s">
        <v>37</v>
      </c>
      <c r="R321" s="13">
        <v>45717</v>
      </c>
      <c r="S321" s="22">
        <v>45742</v>
      </c>
      <c r="T321" s="13">
        <v>45664</v>
      </c>
      <c r="U321" s="13">
        <v>45664</v>
      </c>
      <c r="V321" s="9" t="s">
        <v>47</v>
      </c>
      <c r="W321" s="9">
        <v>22770300</v>
      </c>
      <c r="X321" s="9">
        <v>3311105</v>
      </c>
      <c r="Y321" s="9">
        <v>69250551</v>
      </c>
      <c r="Z321" s="9" t="s">
        <v>39</v>
      </c>
      <c r="AA321" s="9">
        <v>24803715</v>
      </c>
      <c r="AB321" s="9">
        <v>78070</v>
      </c>
      <c r="AC321" s="9" t="s">
        <v>41</v>
      </c>
      <c r="AD321" s="9" t="s">
        <v>134</v>
      </c>
      <c r="AE321" s="9" t="s">
        <v>135</v>
      </c>
      <c r="AF321" s="9" t="s">
        <v>135</v>
      </c>
      <c r="AG321" s="14" t="str">
        <f t="shared" si="12"/>
        <v>EXAMENES RADIOLOGICOS</v>
      </c>
      <c r="AH321" s="9">
        <v>0</v>
      </c>
      <c r="AI321" s="9">
        <v>0</v>
      </c>
      <c r="AJ321" s="9">
        <v>79980070</v>
      </c>
      <c r="AK321" s="9">
        <v>5</v>
      </c>
      <c r="AL321" s="26" t="s">
        <v>52</v>
      </c>
      <c r="AM321" s="14" t="s">
        <v>578</v>
      </c>
      <c r="AN321" s="27" t="str">
        <f t="shared" si="11"/>
        <v>8378249|79980070|370262588|65383660</v>
      </c>
      <c r="AO321" t="s">
        <v>44</v>
      </c>
      <c r="AP321" t="b">
        <v>0</v>
      </c>
      <c r="AQ321" t="s">
        <v>763</v>
      </c>
    </row>
    <row r="322" spans="1:43" x14ac:dyDescent="0.2">
      <c r="A322" s="14" t="s">
        <v>500</v>
      </c>
      <c r="B322" s="17">
        <v>8378249</v>
      </c>
      <c r="C322" s="14" t="s">
        <v>240</v>
      </c>
      <c r="D322" s="9">
        <v>8378249</v>
      </c>
      <c r="E322" s="9" t="s">
        <v>240</v>
      </c>
      <c r="F322" s="7">
        <v>45658</v>
      </c>
      <c r="G322" s="20" t="s">
        <v>36</v>
      </c>
      <c r="H322" s="8">
        <v>370262686</v>
      </c>
      <c r="I322" s="19">
        <v>370262686</v>
      </c>
      <c r="J322" s="10">
        <v>36559</v>
      </c>
      <c r="K322" s="10">
        <v>31076</v>
      </c>
      <c r="L322" s="10">
        <v>5483</v>
      </c>
      <c r="M322" s="10">
        <v>0</v>
      </c>
      <c r="N322" s="11">
        <v>5483</v>
      </c>
      <c r="O322" s="12">
        <v>370262686</v>
      </c>
      <c r="P322" s="9">
        <v>285123</v>
      </c>
      <c r="Q322" s="9" t="s">
        <v>37</v>
      </c>
      <c r="R322" s="13">
        <v>45664</v>
      </c>
      <c r="S322" s="22">
        <v>45664</v>
      </c>
      <c r="T322" s="13">
        <v>45664</v>
      </c>
      <c r="U322" s="13">
        <v>45664</v>
      </c>
      <c r="V322" s="9" t="s">
        <v>47</v>
      </c>
      <c r="W322" s="9">
        <v>22462229</v>
      </c>
      <c r="X322" s="9">
        <v>1131703</v>
      </c>
      <c r="Y322" s="9">
        <v>68650138</v>
      </c>
      <c r="Z322" s="9" t="s">
        <v>39</v>
      </c>
      <c r="AA322" s="9">
        <v>12012025</v>
      </c>
      <c r="AB322" s="9">
        <v>77298</v>
      </c>
      <c r="AC322" s="9" t="s">
        <v>41</v>
      </c>
      <c r="AD322" s="9" t="s">
        <v>134</v>
      </c>
      <c r="AE322" s="9" t="s">
        <v>135</v>
      </c>
      <c r="AF322" s="9" t="s">
        <v>135</v>
      </c>
      <c r="AG322" s="14" t="str">
        <f t="shared" si="12"/>
        <v>EXAMENES RADIOLOGICOS</v>
      </c>
      <c r="AH322" s="9" t="s">
        <v>758</v>
      </c>
      <c r="AI322" s="9">
        <v>0</v>
      </c>
      <c r="AJ322" s="9">
        <v>79980070</v>
      </c>
      <c r="AK322" s="9">
        <v>5</v>
      </c>
      <c r="AL322" s="26" t="s">
        <v>76</v>
      </c>
      <c r="AM322" s="14" t="s">
        <v>578</v>
      </c>
      <c r="AN322" s="27" t="str">
        <f t="shared" si="11"/>
        <v>8378249|79980070|370262686|370262686</v>
      </c>
      <c r="AO322" t="s">
        <v>758</v>
      </c>
      <c r="AP322" t="b">
        <v>1</v>
      </c>
      <c r="AQ322" t="s">
        <v>764</v>
      </c>
    </row>
    <row r="323" spans="1:43" x14ac:dyDescent="0.2">
      <c r="A323" s="14" t="s">
        <v>500</v>
      </c>
      <c r="B323" s="17">
        <v>8378249</v>
      </c>
      <c r="C323" s="14" t="s">
        <v>240</v>
      </c>
      <c r="D323" s="9">
        <v>8378249</v>
      </c>
      <c r="E323" s="9" t="s">
        <v>240</v>
      </c>
      <c r="F323" s="7">
        <v>45717</v>
      </c>
      <c r="G323" s="20" t="s">
        <v>46</v>
      </c>
      <c r="H323" s="8">
        <v>370262686</v>
      </c>
      <c r="I323" s="19">
        <v>65383661</v>
      </c>
      <c r="J323" s="10">
        <v>5380</v>
      </c>
      <c r="K323" s="10">
        <v>0</v>
      </c>
      <c r="L323" s="10">
        <v>5380</v>
      </c>
      <c r="M323" s="10">
        <v>0</v>
      </c>
      <c r="N323" s="11">
        <v>5380</v>
      </c>
      <c r="O323" s="12">
        <v>370262686</v>
      </c>
      <c r="P323" s="9">
        <v>285123</v>
      </c>
      <c r="Q323" s="9" t="s">
        <v>37</v>
      </c>
      <c r="R323" s="13">
        <v>45717</v>
      </c>
      <c r="S323" s="22">
        <v>45742</v>
      </c>
      <c r="T323" s="13">
        <v>45664</v>
      </c>
      <c r="U323" s="13">
        <v>45664</v>
      </c>
      <c r="V323" s="9" t="s">
        <v>47</v>
      </c>
      <c r="W323" s="9">
        <v>22770300</v>
      </c>
      <c r="X323" s="9">
        <v>3311105</v>
      </c>
      <c r="Y323" s="9">
        <v>69250552</v>
      </c>
      <c r="Z323" s="9" t="s">
        <v>39</v>
      </c>
      <c r="AA323" s="9">
        <v>24803715</v>
      </c>
      <c r="AB323" s="9">
        <v>78070</v>
      </c>
      <c r="AC323" s="9" t="s">
        <v>41</v>
      </c>
      <c r="AD323" s="9" t="s">
        <v>134</v>
      </c>
      <c r="AE323" s="9" t="s">
        <v>135</v>
      </c>
      <c r="AF323" s="9" t="s">
        <v>135</v>
      </c>
      <c r="AG323" s="14" t="str">
        <f t="shared" si="12"/>
        <v>EXAMENES RADIOLOGICOS</v>
      </c>
      <c r="AH323" s="9">
        <v>0</v>
      </c>
      <c r="AI323" s="9">
        <v>0</v>
      </c>
      <c r="AJ323" s="9">
        <v>79980070</v>
      </c>
      <c r="AK323" s="9">
        <v>5</v>
      </c>
      <c r="AL323" s="26" t="s">
        <v>52</v>
      </c>
      <c r="AM323" s="14" t="s">
        <v>578</v>
      </c>
      <c r="AN323" s="27" t="str">
        <f t="shared" ref="AN323:AN386" si="13">B323&amp;"|"&amp;AJ323&amp;"|"&amp;H323&amp;"|"&amp;I323</f>
        <v>8378249|79980070|370262686|65383661</v>
      </c>
      <c r="AO323" t="s">
        <v>44</v>
      </c>
      <c r="AP323" t="b">
        <v>0</v>
      </c>
      <c r="AQ323" t="s">
        <v>763</v>
      </c>
    </row>
    <row r="324" spans="1:43" x14ac:dyDescent="0.2">
      <c r="A324" s="14" t="s">
        <v>500</v>
      </c>
      <c r="B324" s="17">
        <v>12488563</v>
      </c>
      <c r="C324" s="14" t="s">
        <v>241</v>
      </c>
      <c r="D324" s="9">
        <v>12488563</v>
      </c>
      <c r="E324" s="9" t="s">
        <v>241</v>
      </c>
      <c r="F324" s="7">
        <v>45658</v>
      </c>
      <c r="G324" s="20" t="s">
        <v>36</v>
      </c>
      <c r="H324" s="8">
        <v>370274117</v>
      </c>
      <c r="I324" s="19">
        <v>370274117</v>
      </c>
      <c r="J324" s="10">
        <v>26512</v>
      </c>
      <c r="K324" s="10">
        <v>18559</v>
      </c>
      <c r="L324" s="10">
        <v>7953</v>
      </c>
      <c r="M324" s="10">
        <v>0</v>
      </c>
      <c r="N324" s="11">
        <v>7953</v>
      </c>
      <c r="O324" s="12">
        <v>370274117</v>
      </c>
      <c r="P324" s="9">
        <v>285123</v>
      </c>
      <c r="Q324" s="9" t="s">
        <v>37</v>
      </c>
      <c r="R324" s="13">
        <v>45664</v>
      </c>
      <c r="S324" s="22">
        <v>45664</v>
      </c>
      <c r="T324" s="13">
        <v>45664</v>
      </c>
      <c r="U324" s="13">
        <v>45664</v>
      </c>
      <c r="V324" s="9" t="s">
        <v>47</v>
      </c>
      <c r="W324" s="9">
        <v>22462235</v>
      </c>
      <c r="X324" s="9">
        <v>1131703</v>
      </c>
      <c r="Y324" s="9">
        <v>68650262</v>
      </c>
      <c r="Z324" s="9" t="s">
        <v>39</v>
      </c>
      <c r="AA324" s="9">
        <v>12012025</v>
      </c>
      <c r="AB324" s="9">
        <v>77298</v>
      </c>
      <c r="AC324" s="9" t="s">
        <v>41</v>
      </c>
      <c r="AD324" s="9" t="s">
        <v>134</v>
      </c>
      <c r="AE324" s="9" t="s">
        <v>135</v>
      </c>
      <c r="AF324" s="9" t="s">
        <v>135</v>
      </c>
      <c r="AG324" s="14" t="str">
        <f t="shared" si="12"/>
        <v>EXAMENES RADIOLOGICOS</v>
      </c>
      <c r="AH324" s="9" t="s">
        <v>758</v>
      </c>
      <c r="AI324" s="9">
        <v>0</v>
      </c>
      <c r="AJ324" s="9">
        <v>76098454</v>
      </c>
      <c r="AK324" s="9" t="s">
        <v>161</v>
      </c>
      <c r="AL324" s="26" t="s">
        <v>76</v>
      </c>
      <c r="AM324" s="14" t="s">
        <v>579</v>
      </c>
      <c r="AN324" s="27" t="str">
        <f t="shared" si="13"/>
        <v>12488563|76098454|370274117|370274117</v>
      </c>
      <c r="AO324" t="s">
        <v>758</v>
      </c>
      <c r="AP324" t="b">
        <v>1</v>
      </c>
      <c r="AQ324" t="s">
        <v>764</v>
      </c>
    </row>
    <row r="325" spans="1:43" x14ac:dyDescent="0.2">
      <c r="A325" s="14" t="s">
        <v>500</v>
      </c>
      <c r="B325" s="17">
        <v>12488563</v>
      </c>
      <c r="C325" s="14" t="s">
        <v>241</v>
      </c>
      <c r="D325" s="9">
        <v>12488563</v>
      </c>
      <c r="E325" s="9" t="s">
        <v>241</v>
      </c>
      <c r="F325" s="7">
        <v>45717</v>
      </c>
      <c r="G325" s="20" t="s">
        <v>46</v>
      </c>
      <c r="H325" s="8">
        <v>370274117</v>
      </c>
      <c r="I325" s="19">
        <v>65384017</v>
      </c>
      <c r="J325" s="10">
        <v>7686</v>
      </c>
      <c r="K325" s="10">
        <v>0</v>
      </c>
      <c r="L325" s="10">
        <v>7686</v>
      </c>
      <c r="M325" s="10">
        <v>0</v>
      </c>
      <c r="N325" s="11">
        <v>7686</v>
      </c>
      <c r="O325" s="12">
        <v>370274117</v>
      </c>
      <c r="P325" s="9">
        <v>285123</v>
      </c>
      <c r="Q325" s="9" t="s">
        <v>37</v>
      </c>
      <c r="R325" s="13">
        <v>45717</v>
      </c>
      <c r="S325" s="22">
        <v>45742</v>
      </c>
      <c r="T325" s="13">
        <v>45664</v>
      </c>
      <c r="U325" s="13">
        <v>45664</v>
      </c>
      <c r="V325" s="9" t="s">
        <v>47</v>
      </c>
      <c r="W325" s="9">
        <v>22770305</v>
      </c>
      <c r="X325" s="9">
        <v>3311105</v>
      </c>
      <c r="Y325" s="9">
        <v>69250905</v>
      </c>
      <c r="Z325" s="9" t="s">
        <v>39</v>
      </c>
      <c r="AA325" s="9">
        <v>12488563</v>
      </c>
      <c r="AB325" s="9">
        <v>78070</v>
      </c>
      <c r="AC325" s="9" t="s">
        <v>41</v>
      </c>
      <c r="AD325" s="9" t="s">
        <v>134</v>
      </c>
      <c r="AE325" s="9" t="s">
        <v>135</v>
      </c>
      <c r="AF325" s="9" t="s">
        <v>135</v>
      </c>
      <c r="AG325" s="14" t="str">
        <f t="shared" si="12"/>
        <v>EXAMENES RADIOLOGICOS</v>
      </c>
      <c r="AH325" s="9">
        <v>0</v>
      </c>
      <c r="AI325" s="9">
        <v>0</v>
      </c>
      <c r="AJ325" s="9">
        <v>76098454</v>
      </c>
      <c r="AK325" s="9" t="s">
        <v>161</v>
      </c>
      <c r="AL325" s="26" t="s">
        <v>52</v>
      </c>
      <c r="AM325" s="14" t="s">
        <v>579</v>
      </c>
      <c r="AN325" s="27" t="str">
        <f t="shared" si="13"/>
        <v>12488563|76098454|370274117|65384017</v>
      </c>
      <c r="AO325" t="s">
        <v>44</v>
      </c>
      <c r="AP325" t="b">
        <v>0</v>
      </c>
      <c r="AQ325" t="s">
        <v>763</v>
      </c>
    </row>
    <row r="326" spans="1:43" x14ac:dyDescent="0.2">
      <c r="A326" s="14" t="s">
        <v>500</v>
      </c>
      <c r="B326" s="17">
        <v>12838615</v>
      </c>
      <c r="C326" s="14" t="s">
        <v>239</v>
      </c>
      <c r="D326" s="9">
        <v>12838615</v>
      </c>
      <c r="E326" s="9" t="s">
        <v>239</v>
      </c>
      <c r="F326" s="7">
        <v>45658</v>
      </c>
      <c r="G326" s="20" t="s">
        <v>36</v>
      </c>
      <c r="H326" s="8">
        <v>370320841</v>
      </c>
      <c r="I326" s="19">
        <v>370320841</v>
      </c>
      <c r="J326" s="10">
        <v>365526</v>
      </c>
      <c r="K326" s="10">
        <v>209056</v>
      </c>
      <c r="L326" s="10">
        <v>156470</v>
      </c>
      <c r="M326" s="10">
        <v>0</v>
      </c>
      <c r="N326" s="11">
        <v>156470</v>
      </c>
      <c r="O326" s="12">
        <v>370320841</v>
      </c>
      <c r="P326" s="9">
        <v>285123</v>
      </c>
      <c r="Q326" s="9" t="s">
        <v>37</v>
      </c>
      <c r="R326" s="13">
        <v>45665</v>
      </c>
      <c r="S326" s="22">
        <v>45665</v>
      </c>
      <c r="T326" s="13">
        <v>45665</v>
      </c>
      <c r="U326" s="13">
        <v>45665</v>
      </c>
      <c r="V326" s="9" t="s">
        <v>47</v>
      </c>
      <c r="W326" s="9">
        <v>22462259</v>
      </c>
      <c r="X326" s="9">
        <v>1131703</v>
      </c>
      <c r="Y326" s="9">
        <v>68650944</v>
      </c>
      <c r="Z326" s="9" t="s">
        <v>39</v>
      </c>
      <c r="AA326" s="9">
        <v>12012025</v>
      </c>
      <c r="AB326" s="9">
        <v>77298</v>
      </c>
      <c r="AC326" s="9" t="s">
        <v>41</v>
      </c>
      <c r="AD326" s="9" t="s">
        <v>134</v>
      </c>
      <c r="AE326" s="9" t="s">
        <v>135</v>
      </c>
      <c r="AF326" s="9" t="s">
        <v>135</v>
      </c>
      <c r="AG326" s="14" t="str">
        <f t="shared" si="12"/>
        <v>EXAMENES RADIOLOGICOS</v>
      </c>
      <c r="AH326" s="9" t="s">
        <v>758</v>
      </c>
      <c r="AI326" s="9">
        <v>0</v>
      </c>
      <c r="AJ326" s="9">
        <v>70377400</v>
      </c>
      <c r="AK326" s="9">
        <v>8</v>
      </c>
      <c r="AL326" s="26" t="s">
        <v>76</v>
      </c>
      <c r="AM326" s="14" t="s">
        <v>577</v>
      </c>
      <c r="AN326" s="27" t="str">
        <f t="shared" si="13"/>
        <v>12838615|70377400|370320841|370320841</v>
      </c>
      <c r="AO326" t="s">
        <v>758</v>
      </c>
      <c r="AP326" t="b">
        <v>1</v>
      </c>
      <c r="AQ326" t="s">
        <v>764</v>
      </c>
    </row>
    <row r="327" spans="1:43" x14ac:dyDescent="0.2">
      <c r="A327" s="14" t="s">
        <v>500</v>
      </c>
      <c r="B327" s="17">
        <v>12838615</v>
      </c>
      <c r="C327" s="14" t="s">
        <v>239</v>
      </c>
      <c r="D327" s="9">
        <v>12838615</v>
      </c>
      <c r="E327" s="9" t="s">
        <v>239</v>
      </c>
      <c r="F327" s="7">
        <v>45717</v>
      </c>
      <c r="G327" s="20" t="s">
        <v>46</v>
      </c>
      <c r="H327" s="8">
        <v>370320841</v>
      </c>
      <c r="I327" s="19">
        <v>65384049</v>
      </c>
      <c r="J327" s="10">
        <v>163739</v>
      </c>
      <c r="K327" s="10">
        <v>0</v>
      </c>
      <c r="L327" s="10">
        <v>163739</v>
      </c>
      <c r="M327" s="10">
        <v>0</v>
      </c>
      <c r="N327" s="11">
        <v>159105</v>
      </c>
      <c r="O327" s="12">
        <v>370320841</v>
      </c>
      <c r="P327" s="9">
        <v>285123</v>
      </c>
      <c r="Q327" s="9" t="s">
        <v>37</v>
      </c>
      <c r="R327" s="13">
        <v>45717</v>
      </c>
      <c r="S327" s="22">
        <v>45742</v>
      </c>
      <c r="T327" s="13">
        <v>45665</v>
      </c>
      <c r="U327" s="13">
        <v>45665</v>
      </c>
      <c r="V327" s="9" t="s">
        <v>47</v>
      </c>
      <c r="W327" s="9">
        <v>22770314</v>
      </c>
      <c r="X327" s="9">
        <v>3311105</v>
      </c>
      <c r="Y327" s="9">
        <v>69250937</v>
      </c>
      <c r="Z327" s="9" t="s">
        <v>39</v>
      </c>
      <c r="AA327" s="9">
        <v>28074735</v>
      </c>
      <c r="AB327" s="9">
        <v>78070</v>
      </c>
      <c r="AC327" s="9" t="s">
        <v>41</v>
      </c>
      <c r="AD327" s="9" t="s">
        <v>134</v>
      </c>
      <c r="AE327" s="9" t="s">
        <v>135</v>
      </c>
      <c r="AF327" s="9" t="s">
        <v>135</v>
      </c>
      <c r="AG327" s="14" t="str">
        <f t="shared" si="12"/>
        <v>EXAMENES RADIOLOGICOS</v>
      </c>
      <c r="AH327" s="9">
        <v>0</v>
      </c>
      <c r="AI327" s="9">
        <v>0</v>
      </c>
      <c r="AJ327" s="9">
        <v>70377400</v>
      </c>
      <c r="AK327" s="9">
        <v>8</v>
      </c>
      <c r="AL327" s="26" t="s">
        <v>52</v>
      </c>
      <c r="AM327" s="14" t="s">
        <v>577</v>
      </c>
      <c r="AN327" s="27" t="str">
        <f t="shared" si="13"/>
        <v>12838615|70377400|370320841|65384049</v>
      </c>
      <c r="AO327" t="s">
        <v>44</v>
      </c>
      <c r="AP327" t="b">
        <v>0</v>
      </c>
      <c r="AQ327" t="s">
        <v>763</v>
      </c>
    </row>
    <row r="328" spans="1:43" x14ac:dyDescent="0.2">
      <c r="A328" s="14" t="s">
        <v>500</v>
      </c>
      <c r="B328" s="17">
        <v>15375295</v>
      </c>
      <c r="C328" s="14" t="s">
        <v>242</v>
      </c>
      <c r="D328" s="9">
        <v>15331538</v>
      </c>
      <c r="E328" s="9" t="s">
        <v>243</v>
      </c>
      <c r="F328" s="7">
        <v>45658</v>
      </c>
      <c r="G328" s="20" t="s">
        <v>36</v>
      </c>
      <c r="H328" s="8">
        <v>370766655</v>
      </c>
      <c r="I328" s="19">
        <v>370766655</v>
      </c>
      <c r="J328" s="10">
        <v>200565</v>
      </c>
      <c r="K328" s="10">
        <v>140395</v>
      </c>
      <c r="L328" s="10">
        <v>60170</v>
      </c>
      <c r="M328" s="10">
        <v>0</v>
      </c>
      <c r="N328" s="11">
        <v>60170</v>
      </c>
      <c r="O328" s="12">
        <v>370766655</v>
      </c>
      <c r="P328" s="9">
        <v>285123</v>
      </c>
      <c r="Q328" s="9" t="s">
        <v>37</v>
      </c>
      <c r="R328" s="13">
        <v>45677</v>
      </c>
      <c r="S328" s="22">
        <v>45677</v>
      </c>
      <c r="T328" s="13">
        <v>45677</v>
      </c>
      <c r="U328" s="13">
        <v>45677</v>
      </c>
      <c r="V328" s="9" t="s">
        <v>47</v>
      </c>
      <c r="W328" s="9">
        <v>22524605</v>
      </c>
      <c r="X328" s="9">
        <v>1271320</v>
      </c>
      <c r="Y328" s="9">
        <v>68705892</v>
      </c>
      <c r="Z328" s="9" t="s">
        <v>39</v>
      </c>
      <c r="AA328" s="9">
        <v>26012025</v>
      </c>
      <c r="AB328" s="9">
        <v>77442</v>
      </c>
      <c r="AC328" s="9" t="s">
        <v>41</v>
      </c>
      <c r="AD328" s="9" t="s">
        <v>134</v>
      </c>
      <c r="AE328" s="9" t="s">
        <v>135</v>
      </c>
      <c r="AF328" s="9" t="s">
        <v>135</v>
      </c>
      <c r="AG328" s="14" t="str">
        <f t="shared" si="12"/>
        <v>EXAMENES RADIOLOGICOS</v>
      </c>
      <c r="AH328" s="9" t="s">
        <v>758</v>
      </c>
      <c r="AI328" s="9">
        <v>0</v>
      </c>
      <c r="AJ328" s="9">
        <v>93930000</v>
      </c>
      <c r="AK328" s="9">
        <v>7</v>
      </c>
      <c r="AL328" s="26" t="s">
        <v>76</v>
      </c>
      <c r="AM328" s="14" t="s">
        <v>580</v>
      </c>
      <c r="AN328" s="27" t="str">
        <f t="shared" si="13"/>
        <v>15375295|93930000|370766655|370766655</v>
      </c>
      <c r="AO328" t="s">
        <v>758</v>
      </c>
      <c r="AP328" t="b">
        <v>1</v>
      </c>
      <c r="AQ328" t="s">
        <v>764</v>
      </c>
    </row>
    <row r="329" spans="1:43" x14ac:dyDescent="0.2">
      <c r="A329" s="14" t="s">
        <v>500</v>
      </c>
      <c r="B329" s="17">
        <v>15375295</v>
      </c>
      <c r="C329" s="14" t="s">
        <v>242</v>
      </c>
      <c r="D329" s="9">
        <v>15331538</v>
      </c>
      <c r="E329" s="9" t="s">
        <v>243</v>
      </c>
      <c r="F329" s="7">
        <v>45717</v>
      </c>
      <c r="G329" s="20" t="s">
        <v>46</v>
      </c>
      <c r="H329" s="8">
        <v>370766655</v>
      </c>
      <c r="I329" s="19">
        <v>65384277</v>
      </c>
      <c r="J329" s="10">
        <v>60305</v>
      </c>
      <c r="K329" s="10">
        <v>0</v>
      </c>
      <c r="L329" s="10">
        <v>60305</v>
      </c>
      <c r="M329" s="10">
        <v>0</v>
      </c>
      <c r="N329" s="11">
        <v>60305</v>
      </c>
      <c r="O329" s="12">
        <v>370766655</v>
      </c>
      <c r="P329" s="9">
        <v>285123</v>
      </c>
      <c r="Q329" s="9" t="s">
        <v>37</v>
      </c>
      <c r="R329" s="13">
        <v>45717</v>
      </c>
      <c r="S329" s="22">
        <v>45742</v>
      </c>
      <c r="T329" s="13">
        <v>45677</v>
      </c>
      <c r="U329" s="13">
        <v>45677</v>
      </c>
      <c r="V329" s="9" t="s">
        <v>47</v>
      </c>
      <c r="W329" s="9">
        <v>22770387</v>
      </c>
      <c r="X329" s="9">
        <v>3311105</v>
      </c>
      <c r="Y329" s="9">
        <v>69251160</v>
      </c>
      <c r="Z329" s="9" t="s">
        <v>39</v>
      </c>
      <c r="AA329" s="9">
        <v>3680644510</v>
      </c>
      <c r="AB329" s="9">
        <v>78070</v>
      </c>
      <c r="AC329" s="9" t="s">
        <v>41</v>
      </c>
      <c r="AD329" s="9" t="s">
        <v>134</v>
      </c>
      <c r="AE329" s="9" t="s">
        <v>135</v>
      </c>
      <c r="AF329" s="9" t="s">
        <v>135</v>
      </c>
      <c r="AG329" s="14" t="str">
        <f t="shared" si="12"/>
        <v>EXAMENES RADIOLOGICOS</v>
      </c>
      <c r="AH329" s="9">
        <v>0</v>
      </c>
      <c r="AI329" s="9">
        <v>0</v>
      </c>
      <c r="AJ329" s="9">
        <v>93930000</v>
      </c>
      <c r="AK329" s="9">
        <v>7</v>
      </c>
      <c r="AL329" s="26" t="s">
        <v>52</v>
      </c>
      <c r="AM329" s="14" t="s">
        <v>580</v>
      </c>
      <c r="AN329" s="27" t="str">
        <f t="shared" si="13"/>
        <v>15375295|93930000|370766655|65384277</v>
      </c>
      <c r="AO329" t="s">
        <v>44</v>
      </c>
      <c r="AP329" t="b">
        <v>0</v>
      </c>
      <c r="AQ329" t="s">
        <v>763</v>
      </c>
    </row>
    <row r="330" spans="1:43" x14ac:dyDescent="0.2">
      <c r="A330" s="14" t="s">
        <v>500</v>
      </c>
      <c r="B330" s="17">
        <v>7233912</v>
      </c>
      <c r="C330" s="14" t="s">
        <v>244</v>
      </c>
      <c r="D330" s="9">
        <v>7233912</v>
      </c>
      <c r="E330" s="9" t="s">
        <v>244</v>
      </c>
      <c r="F330" s="7">
        <v>45658</v>
      </c>
      <c r="G330" s="20" t="s">
        <v>36</v>
      </c>
      <c r="H330" s="8">
        <v>370778875</v>
      </c>
      <c r="I330" s="19">
        <v>370778875</v>
      </c>
      <c r="J330" s="10">
        <v>90148</v>
      </c>
      <c r="K330" s="10">
        <v>23941</v>
      </c>
      <c r="L330" s="10">
        <v>66207</v>
      </c>
      <c r="M330" s="10">
        <v>0</v>
      </c>
      <c r="N330" s="11">
        <v>66207</v>
      </c>
      <c r="O330" s="12">
        <v>370778875</v>
      </c>
      <c r="P330" s="9">
        <v>285123</v>
      </c>
      <c r="Q330" s="9" t="s">
        <v>37</v>
      </c>
      <c r="R330" s="13">
        <v>45677</v>
      </c>
      <c r="S330" s="22">
        <v>45677</v>
      </c>
      <c r="T330" s="13">
        <v>45677</v>
      </c>
      <c r="U330" s="13">
        <v>45677</v>
      </c>
      <c r="V330" s="9" t="s">
        <v>47</v>
      </c>
      <c r="W330" s="9">
        <v>22524581</v>
      </c>
      <c r="X330" s="9">
        <v>1271320</v>
      </c>
      <c r="Y330" s="9">
        <v>68706097</v>
      </c>
      <c r="Z330" s="9" t="s">
        <v>39</v>
      </c>
      <c r="AA330" s="9">
        <v>26012025</v>
      </c>
      <c r="AB330" s="9">
        <v>77442</v>
      </c>
      <c r="AC330" s="9" t="s">
        <v>41</v>
      </c>
      <c r="AD330" s="9" t="s">
        <v>65</v>
      </c>
      <c r="AE330" s="9" t="s">
        <v>66</v>
      </c>
      <c r="AF330" s="9" t="s">
        <v>66</v>
      </c>
      <c r="AG330" s="14" t="str">
        <f t="shared" si="12"/>
        <v>PROCEDIMIENTOS TERAPEUTICOS</v>
      </c>
      <c r="AH330" s="9" t="s">
        <v>758</v>
      </c>
      <c r="AI330" s="9">
        <v>0</v>
      </c>
      <c r="AJ330" s="9">
        <v>76098454</v>
      </c>
      <c r="AK330" s="9" t="s">
        <v>161</v>
      </c>
      <c r="AL330" s="26" t="s">
        <v>76</v>
      </c>
      <c r="AM330" s="14" t="s">
        <v>581</v>
      </c>
      <c r="AN330" s="27" t="str">
        <f t="shared" si="13"/>
        <v>7233912|76098454|370778875|370778875</v>
      </c>
      <c r="AO330" t="s">
        <v>758</v>
      </c>
      <c r="AP330" t="b">
        <v>1</v>
      </c>
      <c r="AQ330" t="s">
        <v>764</v>
      </c>
    </row>
    <row r="331" spans="1:43" x14ac:dyDescent="0.2">
      <c r="A331" s="14" t="s">
        <v>500</v>
      </c>
      <c r="B331" s="17">
        <v>7233912</v>
      </c>
      <c r="C331" s="14" t="s">
        <v>244</v>
      </c>
      <c r="D331" s="9">
        <v>7233912</v>
      </c>
      <c r="E331" s="9" t="s">
        <v>244</v>
      </c>
      <c r="F331" s="7">
        <v>45717</v>
      </c>
      <c r="G331" s="20" t="s">
        <v>46</v>
      </c>
      <c r="H331" s="8">
        <v>370778875</v>
      </c>
      <c r="I331" s="19">
        <v>65383609</v>
      </c>
      <c r="J331" s="10">
        <v>55696</v>
      </c>
      <c r="K331" s="10">
        <v>0</v>
      </c>
      <c r="L331" s="10">
        <v>55696</v>
      </c>
      <c r="M331" s="10">
        <v>0</v>
      </c>
      <c r="N331" s="11">
        <v>55696</v>
      </c>
      <c r="O331" s="12">
        <v>370778875</v>
      </c>
      <c r="P331" s="9">
        <v>285123</v>
      </c>
      <c r="Q331" s="9" t="s">
        <v>37</v>
      </c>
      <c r="R331" s="13">
        <v>45717</v>
      </c>
      <c r="S331" s="22">
        <v>45742</v>
      </c>
      <c r="T331" s="13">
        <v>45677</v>
      </c>
      <c r="U331" s="13">
        <v>45677</v>
      </c>
      <c r="V331" s="9" t="s">
        <v>47</v>
      </c>
      <c r="W331" s="9">
        <v>22770382</v>
      </c>
      <c r="X331" s="9">
        <v>3311105</v>
      </c>
      <c r="Y331" s="9">
        <v>69250500</v>
      </c>
      <c r="Z331" s="9" t="s">
        <v>39</v>
      </c>
      <c r="AA331" s="9">
        <v>36583162</v>
      </c>
      <c r="AB331" s="9">
        <v>78070</v>
      </c>
      <c r="AC331" s="9" t="s">
        <v>41</v>
      </c>
      <c r="AD331" s="9" t="s">
        <v>65</v>
      </c>
      <c r="AE331" s="9" t="s">
        <v>66</v>
      </c>
      <c r="AF331" s="9" t="s">
        <v>66</v>
      </c>
      <c r="AG331" s="14" t="str">
        <f t="shared" si="12"/>
        <v>PROCEDIMIENTOS TERAPEUTICOS</v>
      </c>
      <c r="AH331" s="9">
        <v>0</v>
      </c>
      <c r="AI331" s="9">
        <v>0</v>
      </c>
      <c r="AJ331" s="9">
        <v>76098454</v>
      </c>
      <c r="AK331" s="9" t="s">
        <v>161</v>
      </c>
      <c r="AL331" s="26" t="s">
        <v>52</v>
      </c>
      <c r="AM331" s="14" t="s">
        <v>581</v>
      </c>
      <c r="AN331" s="27" t="str">
        <f t="shared" si="13"/>
        <v>7233912|76098454|370778875|65383609</v>
      </c>
      <c r="AO331" t="s">
        <v>44</v>
      </c>
      <c r="AP331" t="b">
        <v>0</v>
      </c>
      <c r="AQ331" t="s">
        <v>763</v>
      </c>
    </row>
    <row r="332" spans="1:43" x14ac:dyDescent="0.2">
      <c r="A332" s="14" t="s">
        <v>500</v>
      </c>
      <c r="B332" s="17">
        <v>7233912</v>
      </c>
      <c r="C332" s="14" t="s">
        <v>244</v>
      </c>
      <c r="D332" s="9">
        <v>7233912</v>
      </c>
      <c r="E332" s="9" t="s">
        <v>244</v>
      </c>
      <c r="F332" s="7">
        <v>45658</v>
      </c>
      <c r="G332" s="20" t="s">
        <v>36</v>
      </c>
      <c r="H332" s="8">
        <v>370792503</v>
      </c>
      <c r="I332" s="19">
        <v>370792503</v>
      </c>
      <c r="J332" s="10">
        <v>34598</v>
      </c>
      <c r="K332" s="10">
        <v>17190</v>
      </c>
      <c r="L332" s="10">
        <v>17408</v>
      </c>
      <c r="M332" s="10">
        <v>0</v>
      </c>
      <c r="N332" s="11">
        <v>17408</v>
      </c>
      <c r="O332" s="12">
        <v>370792503</v>
      </c>
      <c r="P332" s="9">
        <v>285123</v>
      </c>
      <c r="Q332" s="9" t="s">
        <v>37</v>
      </c>
      <c r="R332" s="13">
        <v>45677</v>
      </c>
      <c r="S332" s="22">
        <v>45677</v>
      </c>
      <c r="T332" s="13">
        <v>45677</v>
      </c>
      <c r="U332" s="13">
        <v>45677</v>
      </c>
      <c r="V332" s="9" t="s">
        <v>47</v>
      </c>
      <c r="W332" s="9">
        <v>22524581</v>
      </c>
      <c r="X332" s="9">
        <v>1271320</v>
      </c>
      <c r="Y332" s="9">
        <v>68706306</v>
      </c>
      <c r="Z332" s="9" t="s">
        <v>39</v>
      </c>
      <c r="AA332" s="9">
        <v>26012025</v>
      </c>
      <c r="AB332" s="9">
        <v>77442</v>
      </c>
      <c r="AC332" s="9" t="s">
        <v>41</v>
      </c>
      <c r="AD332" s="9" t="s">
        <v>134</v>
      </c>
      <c r="AE332" s="9" t="s">
        <v>135</v>
      </c>
      <c r="AF332" s="9" t="s">
        <v>135</v>
      </c>
      <c r="AG332" s="14" t="str">
        <f t="shared" si="12"/>
        <v>EXAMENES RADIOLOGICOS</v>
      </c>
      <c r="AH332" s="9" t="s">
        <v>758</v>
      </c>
      <c r="AI332" s="9">
        <v>0</v>
      </c>
      <c r="AJ332" s="9">
        <v>96617350</v>
      </c>
      <c r="AK332" s="9">
        <v>5</v>
      </c>
      <c r="AL332" s="26" t="s">
        <v>76</v>
      </c>
      <c r="AM332" s="14" t="s">
        <v>581</v>
      </c>
      <c r="AN332" s="27" t="str">
        <f t="shared" si="13"/>
        <v>7233912|96617350|370792503|370792503</v>
      </c>
      <c r="AO332" t="s">
        <v>758</v>
      </c>
      <c r="AP332" t="b">
        <v>1</v>
      </c>
      <c r="AQ332" t="s">
        <v>764</v>
      </c>
    </row>
    <row r="333" spans="1:43" x14ac:dyDescent="0.2">
      <c r="A333" s="14" t="s">
        <v>500</v>
      </c>
      <c r="B333" s="17">
        <v>7233912</v>
      </c>
      <c r="C333" s="14" t="s">
        <v>244</v>
      </c>
      <c r="D333" s="9">
        <v>7233912</v>
      </c>
      <c r="E333" s="9" t="s">
        <v>244</v>
      </c>
      <c r="F333" s="7">
        <v>45717</v>
      </c>
      <c r="G333" s="20" t="s">
        <v>46</v>
      </c>
      <c r="H333" s="8">
        <v>370792503</v>
      </c>
      <c r="I333" s="19">
        <v>65383610</v>
      </c>
      <c r="J333" s="10">
        <v>17285</v>
      </c>
      <c r="K333" s="10">
        <v>0</v>
      </c>
      <c r="L333" s="10">
        <v>17285</v>
      </c>
      <c r="M333" s="10">
        <v>0</v>
      </c>
      <c r="N333" s="11">
        <v>17285</v>
      </c>
      <c r="O333" s="12">
        <v>370792503</v>
      </c>
      <c r="P333" s="9">
        <v>285123</v>
      </c>
      <c r="Q333" s="9" t="s">
        <v>37</v>
      </c>
      <c r="R333" s="13">
        <v>45717</v>
      </c>
      <c r="S333" s="22">
        <v>45742</v>
      </c>
      <c r="T333" s="13">
        <v>45677</v>
      </c>
      <c r="U333" s="13">
        <v>45677</v>
      </c>
      <c r="V333" s="9" t="s">
        <v>47</v>
      </c>
      <c r="W333" s="9">
        <v>22770382</v>
      </c>
      <c r="X333" s="9">
        <v>3311105</v>
      </c>
      <c r="Y333" s="9">
        <v>69250501</v>
      </c>
      <c r="Z333" s="9" t="s">
        <v>39</v>
      </c>
      <c r="AA333" s="9">
        <v>36583162</v>
      </c>
      <c r="AB333" s="9">
        <v>78070</v>
      </c>
      <c r="AC333" s="9" t="s">
        <v>41</v>
      </c>
      <c r="AD333" s="9" t="s">
        <v>134</v>
      </c>
      <c r="AE333" s="9" t="s">
        <v>135</v>
      </c>
      <c r="AF333" s="9" t="s">
        <v>135</v>
      </c>
      <c r="AG333" s="14" t="str">
        <f t="shared" si="12"/>
        <v>EXAMENES RADIOLOGICOS</v>
      </c>
      <c r="AH333" s="9">
        <v>0</v>
      </c>
      <c r="AI333" s="9">
        <v>0</v>
      </c>
      <c r="AJ333" s="9">
        <v>96617350</v>
      </c>
      <c r="AK333" s="9">
        <v>5</v>
      </c>
      <c r="AL333" s="26" t="s">
        <v>52</v>
      </c>
      <c r="AM333" s="14" t="s">
        <v>581</v>
      </c>
      <c r="AN333" s="27" t="str">
        <f t="shared" si="13"/>
        <v>7233912|96617350|370792503|65383610</v>
      </c>
      <c r="AO333" t="s">
        <v>44</v>
      </c>
      <c r="AP333" t="b">
        <v>0</v>
      </c>
      <c r="AQ333" t="s">
        <v>763</v>
      </c>
    </row>
    <row r="334" spans="1:43" x14ac:dyDescent="0.2">
      <c r="A334" s="14" t="s">
        <v>500</v>
      </c>
      <c r="B334" s="17">
        <v>12722154</v>
      </c>
      <c r="C334" s="14" t="s">
        <v>245</v>
      </c>
      <c r="D334" s="9">
        <v>22500441</v>
      </c>
      <c r="E334" s="9" t="s">
        <v>246</v>
      </c>
      <c r="F334" s="7">
        <v>45658</v>
      </c>
      <c r="G334" s="20" t="s">
        <v>36</v>
      </c>
      <c r="H334" s="8">
        <v>370848911</v>
      </c>
      <c r="I334" s="19">
        <v>370848911</v>
      </c>
      <c r="J334" s="10">
        <v>10713</v>
      </c>
      <c r="K334" s="10">
        <v>8570</v>
      </c>
      <c r="L334" s="10">
        <v>2143</v>
      </c>
      <c r="M334" s="10">
        <v>0</v>
      </c>
      <c r="N334" s="11">
        <v>2143</v>
      </c>
      <c r="O334" s="12">
        <v>370848911</v>
      </c>
      <c r="P334" s="9">
        <v>285123</v>
      </c>
      <c r="Q334" s="9" t="s">
        <v>37</v>
      </c>
      <c r="R334" s="13">
        <v>45678</v>
      </c>
      <c r="S334" s="22">
        <v>45678</v>
      </c>
      <c r="T334" s="13">
        <v>45678</v>
      </c>
      <c r="U334" s="13">
        <v>45678</v>
      </c>
      <c r="V334" s="9" t="s">
        <v>47</v>
      </c>
      <c r="W334" s="9">
        <v>22524647</v>
      </c>
      <c r="X334" s="9">
        <v>1271320</v>
      </c>
      <c r="Y334" s="9">
        <v>68707128</v>
      </c>
      <c r="Z334" s="9" t="s">
        <v>39</v>
      </c>
      <c r="AA334" s="9">
        <v>26012025</v>
      </c>
      <c r="AB334" s="9">
        <v>77442</v>
      </c>
      <c r="AC334" s="9" t="s">
        <v>41</v>
      </c>
      <c r="AD334" s="9" t="s">
        <v>65</v>
      </c>
      <c r="AE334" s="9" t="s">
        <v>66</v>
      </c>
      <c r="AF334" s="9" t="s">
        <v>66</v>
      </c>
      <c r="AG334" s="14" t="str">
        <f t="shared" si="12"/>
        <v>PROCEDIMIENTOS TERAPEUTICOS</v>
      </c>
      <c r="AH334" s="9" t="s">
        <v>758</v>
      </c>
      <c r="AI334" s="9">
        <v>0</v>
      </c>
      <c r="AJ334" s="9">
        <v>76098454</v>
      </c>
      <c r="AK334" s="9" t="s">
        <v>161</v>
      </c>
      <c r="AL334" s="26" t="s">
        <v>76</v>
      </c>
      <c r="AM334" s="14" t="s">
        <v>582</v>
      </c>
      <c r="AN334" s="27" t="str">
        <f t="shared" si="13"/>
        <v>12722154|76098454|370848911|370848911</v>
      </c>
      <c r="AO334" t="s">
        <v>758</v>
      </c>
      <c r="AP334" t="b">
        <v>1</v>
      </c>
      <c r="AQ334" t="s">
        <v>764</v>
      </c>
    </row>
    <row r="335" spans="1:43" x14ac:dyDescent="0.2">
      <c r="A335" s="14" t="s">
        <v>500</v>
      </c>
      <c r="B335" s="17">
        <v>12722154</v>
      </c>
      <c r="C335" s="14" t="s">
        <v>245</v>
      </c>
      <c r="D335" s="9">
        <v>22500441</v>
      </c>
      <c r="E335" s="9" t="s">
        <v>246</v>
      </c>
      <c r="F335" s="7">
        <v>45717</v>
      </c>
      <c r="G335" s="20" t="s">
        <v>46</v>
      </c>
      <c r="H335" s="8">
        <v>370848911</v>
      </c>
      <c r="I335" s="19">
        <v>65384039</v>
      </c>
      <c r="J335" s="10">
        <v>2304</v>
      </c>
      <c r="K335" s="10">
        <v>0</v>
      </c>
      <c r="L335" s="10">
        <v>2304</v>
      </c>
      <c r="M335" s="10">
        <v>0</v>
      </c>
      <c r="N335" s="11">
        <v>2304</v>
      </c>
      <c r="O335" s="12">
        <v>370848911</v>
      </c>
      <c r="P335" s="9">
        <v>285123</v>
      </c>
      <c r="Q335" s="9" t="s">
        <v>37</v>
      </c>
      <c r="R335" s="13">
        <v>45717</v>
      </c>
      <c r="S335" s="22">
        <v>45742</v>
      </c>
      <c r="T335" s="13">
        <v>45678</v>
      </c>
      <c r="U335" s="13">
        <v>45678</v>
      </c>
      <c r="V335" s="9" t="s">
        <v>47</v>
      </c>
      <c r="W335" s="9">
        <v>22770394</v>
      </c>
      <c r="X335" s="9">
        <v>3311105</v>
      </c>
      <c r="Y335" s="9">
        <v>69250927</v>
      </c>
      <c r="Z335" s="9" t="s">
        <v>39</v>
      </c>
      <c r="AA335" s="9">
        <v>67585852</v>
      </c>
      <c r="AB335" s="9">
        <v>78070</v>
      </c>
      <c r="AC335" s="9" t="s">
        <v>41</v>
      </c>
      <c r="AD335" s="9" t="s">
        <v>65</v>
      </c>
      <c r="AE335" s="9" t="s">
        <v>66</v>
      </c>
      <c r="AF335" s="9" t="s">
        <v>66</v>
      </c>
      <c r="AG335" s="14" t="str">
        <f t="shared" si="12"/>
        <v>PROCEDIMIENTOS TERAPEUTICOS</v>
      </c>
      <c r="AH335" s="9">
        <v>0</v>
      </c>
      <c r="AI335" s="9">
        <v>0</v>
      </c>
      <c r="AJ335" s="9">
        <v>76098454</v>
      </c>
      <c r="AK335" s="9" t="s">
        <v>161</v>
      </c>
      <c r="AL335" s="26" t="s">
        <v>52</v>
      </c>
      <c r="AM335" s="14" t="s">
        <v>582</v>
      </c>
      <c r="AN335" s="27" t="str">
        <f t="shared" si="13"/>
        <v>12722154|76098454|370848911|65384039</v>
      </c>
      <c r="AO335" t="s">
        <v>44</v>
      </c>
      <c r="AP335" t="b">
        <v>0</v>
      </c>
      <c r="AQ335" t="s">
        <v>763</v>
      </c>
    </row>
    <row r="336" spans="1:43" x14ac:dyDescent="0.2">
      <c r="A336" s="14" t="s">
        <v>500</v>
      </c>
      <c r="B336" s="17">
        <v>12722154</v>
      </c>
      <c r="C336" s="14" t="s">
        <v>245</v>
      </c>
      <c r="D336" s="9">
        <v>22500441</v>
      </c>
      <c r="E336" s="9" t="s">
        <v>246</v>
      </c>
      <c r="F336" s="7">
        <v>45658</v>
      </c>
      <c r="G336" s="20" t="s">
        <v>36</v>
      </c>
      <c r="H336" s="8">
        <v>370849643</v>
      </c>
      <c r="I336" s="19">
        <v>370849643</v>
      </c>
      <c r="J336" s="10">
        <v>114720</v>
      </c>
      <c r="K336" s="10">
        <v>91776</v>
      </c>
      <c r="L336" s="10">
        <v>22944</v>
      </c>
      <c r="M336" s="10">
        <v>0</v>
      </c>
      <c r="N336" s="11">
        <v>22944</v>
      </c>
      <c r="O336" s="12">
        <v>370849643</v>
      </c>
      <c r="P336" s="9">
        <v>285123</v>
      </c>
      <c r="Q336" s="9" t="s">
        <v>37</v>
      </c>
      <c r="R336" s="13">
        <v>45678</v>
      </c>
      <c r="S336" s="22">
        <v>45678</v>
      </c>
      <c r="T336" s="13">
        <v>45678</v>
      </c>
      <c r="U336" s="13">
        <v>45678</v>
      </c>
      <c r="V336" s="9" t="s">
        <v>47</v>
      </c>
      <c r="W336" s="9">
        <v>22524647</v>
      </c>
      <c r="X336" s="9">
        <v>1271320</v>
      </c>
      <c r="Y336" s="9">
        <v>68707145</v>
      </c>
      <c r="Z336" s="9" t="s">
        <v>39</v>
      </c>
      <c r="AA336" s="9">
        <v>26012025</v>
      </c>
      <c r="AB336" s="9">
        <v>77442</v>
      </c>
      <c r="AC336" s="9" t="s">
        <v>41</v>
      </c>
      <c r="AD336" s="9" t="s">
        <v>65</v>
      </c>
      <c r="AE336" s="9" t="s">
        <v>66</v>
      </c>
      <c r="AF336" s="9" t="s">
        <v>66</v>
      </c>
      <c r="AG336" s="14" t="str">
        <f t="shared" si="12"/>
        <v>PROCEDIMIENTOS TERAPEUTICOS</v>
      </c>
      <c r="AH336" s="9" t="s">
        <v>758</v>
      </c>
      <c r="AI336" s="9">
        <v>0</v>
      </c>
      <c r="AJ336" s="9">
        <v>76098454</v>
      </c>
      <c r="AK336" s="9" t="s">
        <v>161</v>
      </c>
      <c r="AL336" s="26" t="s">
        <v>76</v>
      </c>
      <c r="AM336" s="14" t="s">
        <v>582</v>
      </c>
      <c r="AN336" s="27" t="str">
        <f t="shared" si="13"/>
        <v>12722154|76098454|370849643|370849643</v>
      </c>
      <c r="AO336" t="s">
        <v>758</v>
      </c>
      <c r="AP336" t="b">
        <v>1</v>
      </c>
      <c r="AQ336" t="s">
        <v>764</v>
      </c>
    </row>
    <row r="337" spans="1:43" x14ac:dyDescent="0.2">
      <c r="A337" s="14" t="s">
        <v>500</v>
      </c>
      <c r="B337" s="17">
        <v>12722154</v>
      </c>
      <c r="C337" s="14" t="s">
        <v>245</v>
      </c>
      <c r="D337" s="9">
        <v>22500441</v>
      </c>
      <c r="E337" s="9" t="s">
        <v>246</v>
      </c>
      <c r="F337" s="7">
        <v>45717</v>
      </c>
      <c r="G337" s="20" t="s">
        <v>46</v>
      </c>
      <c r="H337" s="8">
        <v>370849643</v>
      </c>
      <c r="I337" s="19">
        <v>65384040</v>
      </c>
      <c r="J337" s="10">
        <v>23045</v>
      </c>
      <c r="K337" s="10">
        <v>0</v>
      </c>
      <c r="L337" s="10">
        <v>23045</v>
      </c>
      <c r="M337" s="10">
        <v>0</v>
      </c>
      <c r="N337" s="11">
        <v>23045</v>
      </c>
      <c r="O337" s="12">
        <v>370849643</v>
      </c>
      <c r="P337" s="9">
        <v>285123</v>
      </c>
      <c r="Q337" s="9" t="s">
        <v>37</v>
      </c>
      <c r="R337" s="13">
        <v>45717</v>
      </c>
      <c r="S337" s="22">
        <v>45742</v>
      </c>
      <c r="T337" s="13">
        <v>45678</v>
      </c>
      <c r="U337" s="13">
        <v>45678</v>
      </c>
      <c r="V337" s="9" t="s">
        <v>47</v>
      </c>
      <c r="W337" s="9">
        <v>22770394</v>
      </c>
      <c r="X337" s="9">
        <v>3311105</v>
      </c>
      <c r="Y337" s="9">
        <v>69250928</v>
      </c>
      <c r="Z337" s="9" t="s">
        <v>39</v>
      </c>
      <c r="AA337" s="9">
        <v>67585852</v>
      </c>
      <c r="AB337" s="9">
        <v>78070</v>
      </c>
      <c r="AC337" s="9" t="s">
        <v>41</v>
      </c>
      <c r="AD337" s="9" t="s">
        <v>65</v>
      </c>
      <c r="AE337" s="9" t="s">
        <v>66</v>
      </c>
      <c r="AF337" s="9" t="s">
        <v>66</v>
      </c>
      <c r="AG337" s="14" t="str">
        <f t="shared" si="12"/>
        <v>PROCEDIMIENTOS TERAPEUTICOS</v>
      </c>
      <c r="AH337" s="9">
        <v>0</v>
      </c>
      <c r="AI337" s="9">
        <v>0</v>
      </c>
      <c r="AJ337" s="9">
        <v>76098454</v>
      </c>
      <c r="AK337" s="9" t="s">
        <v>161</v>
      </c>
      <c r="AL337" s="26" t="s">
        <v>52</v>
      </c>
      <c r="AM337" s="14" t="s">
        <v>582</v>
      </c>
      <c r="AN337" s="27" t="str">
        <f t="shared" si="13"/>
        <v>12722154|76098454|370849643|65384040</v>
      </c>
      <c r="AO337" t="s">
        <v>44</v>
      </c>
      <c r="AP337" t="b">
        <v>0</v>
      </c>
      <c r="AQ337" t="s">
        <v>763</v>
      </c>
    </row>
    <row r="338" spans="1:43" x14ac:dyDescent="0.2">
      <c r="A338" s="14" t="s">
        <v>500</v>
      </c>
      <c r="B338" s="17">
        <v>14036485</v>
      </c>
      <c r="C338" s="14" t="s">
        <v>247</v>
      </c>
      <c r="D338" s="9">
        <v>14036485</v>
      </c>
      <c r="E338" s="9" t="s">
        <v>247</v>
      </c>
      <c r="F338" s="7">
        <v>45658</v>
      </c>
      <c r="G338" s="20" t="s">
        <v>36</v>
      </c>
      <c r="H338" s="8">
        <v>370851838</v>
      </c>
      <c r="I338" s="19">
        <v>370851838</v>
      </c>
      <c r="J338" s="10">
        <v>279094</v>
      </c>
      <c r="K338" s="10">
        <v>209321</v>
      </c>
      <c r="L338" s="10">
        <v>69773</v>
      </c>
      <c r="M338" s="10">
        <v>0</v>
      </c>
      <c r="N338" s="11">
        <v>69773</v>
      </c>
      <c r="O338" s="12">
        <v>370851838</v>
      </c>
      <c r="P338" s="9">
        <v>285123</v>
      </c>
      <c r="Q338" s="9" t="s">
        <v>37</v>
      </c>
      <c r="R338" s="13">
        <v>45678</v>
      </c>
      <c r="S338" s="22">
        <v>45678</v>
      </c>
      <c r="T338" s="13">
        <v>45678</v>
      </c>
      <c r="U338" s="13">
        <v>45678</v>
      </c>
      <c r="V338" s="9" t="s">
        <v>47</v>
      </c>
      <c r="W338" s="9">
        <v>22524656</v>
      </c>
      <c r="X338" s="9">
        <v>1271320</v>
      </c>
      <c r="Y338" s="9">
        <v>68707183</v>
      </c>
      <c r="Z338" s="9" t="s">
        <v>39</v>
      </c>
      <c r="AA338" s="9">
        <v>26012025</v>
      </c>
      <c r="AB338" s="9">
        <v>77442</v>
      </c>
      <c r="AC338" s="9" t="s">
        <v>41</v>
      </c>
      <c r="AD338" s="9" t="s">
        <v>134</v>
      </c>
      <c r="AE338" s="9" t="s">
        <v>135</v>
      </c>
      <c r="AF338" s="9" t="s">
        <v>135</v>
      </c>
      <c r="AG338" s="14" t="str">
        <f t="shared" si="12"/>
        <v>EXAMENES RADIOLOGICOS</v>
      </c>
      <c r="AH338" s="9" t="s">
        <v>758</v>
      </c>
      <c r="AI338" s="9">
        <v>0</v>
      </c>
      <c r="AJ338" s="9">
        <v>76436880</v>
      </c>
      <c r="AK338" s="9">
        <v>0</v>
      </c>
      <c r="AL338" s="26" t="s">
        <v>238</v>
      </c>
      <c r="AM338" s="14" t="s">
        <v>583</v>
      </c>
      <c r="AN338" s="27" t="str">
        <f t="shared" si="13"/>
        <v>14036485|76436880|370851838|370851838</v>
      </c>
      <c r="AO338" t="s">
        <v>758</v>
      </c>
      <c r="AP338" t="b">
        <v>1</v>
      </c>
      <c r="AQ338" t="s">
        <v>764</v>
      </c>
    </row>
    <row r="339" spans="1:43" x14ac:dyDescent="0.2">
      <c r="A339" s="14" t="s">
        <v>500</v>
      </c>
      <c r="B339" s="17">
        <v>14036485</v>
      </c>
      <c r="C339" s="14" t="s">
        <v>247</v>
      </c>
      <c r="D339" s="9">
        <v>14036485</v>
      </c>
      <c r="E339" s="9" t="s">
        <v>247</v>
      </c>
      <c r="F339" s="7">
        <v>45717</v>
      </c>
      <c r="G339" s="20" t="s">
        <v>46</v>
      </c>
      <c r="H339" s="8">
        <v>370851838</v>
      </c>
      <c r="I339" s="19">
        <v>65384200</v>
      </c>
      <c r="J339" s="10">
        <v>70288</v>
      </c>
      <c r="K339" s="10">
        <v>0</v>
      </c>
      <c r="L339" s="10">
        <v>70288</v>
      </c>
      <c r="M339" s="10">
        <v>0</v>
      </c>
      <c r="N339" s="11">
        <v>70288</v>
      </c>
      <c r="O339" s="12">
        <v>370851838</v>
      </c>
      <c r="P339" s="9">
        <v>285123</v>
      </c>
      <c r="Q339" s="9" t="s">
        <v>37</v>
      </c>
      <c r="R339" s="13">
        <v>45717</v>
      </c>
      <c r="S339" s="22">
        <v>45742</v>
      </c>
      <c r="T339" s="13">
        <v>45678</v>
      </c>
      <c r="U339" s="13">
        <v>45678</v>
      </c>
      <c r="V339" s="9" t="s">
        <v>47</v>
      </c>
      <c r="W339" s="9">
        <v>22770396</v>
      </c>
      <c r="X339" s="9">
        <v>3311105</v>
      </c>
      <c r="Y339" s="9">
        <v>69251076</v>
      </c>
      <c r="Z339" s="9" t="s">
        <v>39</v>
      </c>
      <c r="AA339" s="9">
        <v>3681435602</v>
      </c>
      <c r="AB339" s="9">
        <v>78070</v>
      </c>
      <c r="AC339" s="9" t="s">
        <v>41</v>
      </c>
      <c r="AD339" s="9" t="s">
        <v>134</v>
      </c>
      <c r="AE339" s="9" t="s">
        <v>135</v>
      </c>
      <c r="AF339" s="9" t="s">
        <v>135</v>
      </c>
      <c r="AG339" s="14" t="str">
        <f t="shared" si="12"/>
        <v>EXAMENES RADIOLOGICOS</v>
      </c>
      <c r="AH339" s="9">
        <v>0</v>
      </c>
      <c r="AI339" s="9">
        <v>0</v>
      </c>
      <c r="AJ339" s="9">
        <v>76436880</v>
      </c>
      <c r="AK339" s="9">
        <v>0</v>
      </c>
      <c r="AL339" s="26" t="s">
        <v>52</v>
      </c>
      <c r="AM339" s="14" t="s">
        <v>583</v>
      </c>
      <c r="AN339" s="27" t="str">
        <f t="shared" si="13"/>
        <v>14036485|76436880|370851838|65384200</v>
      </c>
      <c r="AO339" t="s">
        <v>44</v>
      </c>
      <c r="AP339" t="b">
        <v>0</v>
      </c>
      <c r="AQ339" t="s">
        <v>763</v>
      </c>
    </row>
    <row r="340" spans="1:43" x14ac:dyDescent="0.2">
      <c r="A340" s="14" t="s">
        <v>500</v>
      </c>
      <c r="B340" s="17">
        <v>11867573</v>
      </c>
      <c r="C340" s="14" t="s">
        <v>248</v>
      </c>
      <c r="D340" s="9">
        <v>11867573</v>
      </c>
      <c r="E340" s="9" t="s">
        <v>248</v>
      </c>
      <c r="F340" s="7">
        <v>45658</v>
      </c>
      <c r="G340" s="20" t="s">
        <v>36</v>
      </c>
      <c r="H340" s="8">
        <v>370870987</v>
      </c>
      <c r="I340" s="19">
        <v>370870987</v>
      </c>
      <c r="J340" s="10">
        <v>12246</v>
      </c>
      <c r="K340" s="10">
        <v>4710</v>
      </c>
      <c r="L340" s="10">
        <v>7536</v>
      </c>
      <c r="M340" s="10">
        <v>0</v>
      </c>
      <c r="N340" s="11">
        <v>7536</v>
      </c>
      <c r="O340" s="12">
        <v>370870987</v>
      </c>
      <c r="P340" s="9">
        <v>285123</v>
      </c>
      <c r="Q340" s="9" t="s">
        <v>37</v>
      </c>
      <c r="R340" s="13">
        <v>45679</v>
      </c>
      <c r="S340" s="22">
        <v>45679</v>
      </c>
      <c r="T340" s="13">
        <v>45679</v>
      </c>
      <c r="U340" s="13">
        <v>45679</v>
      </c>
      <c r="V340" s="9" t="s">
        <v>47</v>
      </c>
      <c r="W340" s="9">
        <v>22524692</v>
      </c>
      <c r="X340" s="9">
        <v>1271320</v>
      </c>
      <c r="Y340" s="9">
        <v>68707460</v>
      </c>
      <c r="Z340" s="9" t="s">
        <v>39</v>
      </c>
      <c r="AA340" s="9">
        <v>26012025</v>
      </c>
      <c r="AB340" s="9">
        <v>77442</v>
      </c>
      <c r="AC340" s="9" t="s">
        <v>41</v>
      </c>
      <c r="AD340" s="9" t="s">
        <v>132</v>
      </c>
      <c r="AE340" s="9" t="s">
        <v>133</v>
      </c>
      <c r="AF340" s="9" t="s">
        <v>133</v>
      </c>
      <c r="AG340" s="14" t="str">
        <f t="shared" si="12"/>
        <v>EXAMENES DE LABORATORIO</v>
      </c>
      <c r="AH340" s="9" t="s">
        <v>758</v>
      </c>
      <c r="AI340" s="9">
        <v>0</v>
      </c>
      <c r="AJ340" s="9">
        <v>96942400</v>
      </c>
      <c r="AK340" s="9">
        <v>2</v>
      </c>
      <c r="AL340" s="26" t="s">
        <v>76</v>
      </c>
      <c r="AM340" s="14" t="s">
        <v>584</v>
      </c>
      <c r="AN340" s="27" t="str">
        <f t="shared" si="13"/>
        <v>11867573|96942400|370870987|370870987</v>
      </c>
      <c r="AO340" t="s">
        <v>758</v>
      </c>
      <c r="AP340" t="b">
        <v>1</v>
      </c>
      <c r="AQ340" t="s">
        <v>764</v>
      </c>
    </row>
    <row r="341" spans="1:43" x14ac:dyDescent="0.2">
      <c r="A341" s="14" t="s">
        <v>500</v>
      </c>
      <c r="B341" s="17">
        <v>11867573</v>
      </c>
      <c r="C341" s="14" t="s">
        <v>248</v>
      </c>
      <c r="D341" s="9">
        <v>11867573</v>
      </c>
      <c r="E341" s="9" t="s">
        <v>248</v>
      </c>
      <c r="F341" s="7">
        <v>45717</v>
      </c>
      <c r="G341" s="20" t="s">
        <v>46</v>
      </c>
      <c r="H341" s="8">
        <v>370870987</v>
      </c>
      <c r="I341" s="19">
        <v>65383969</v>
      </c>
      <c r="J341" s="10">
        <v>6528</v>
      </c>
      <c r="K341" s="10">
        <v>0</v>
      </c>
      <c r="L341" s="10">
        <v>6528</v>
      </c>
      <c r="M341" s="10">
        <v>0</v>
      </c>
      <c r="N341" s="11">
        <v>6528</v>
      </c>
      <c r="O341" s="12">
        <v>370870987</v>
      </c>
      <c r="P341" s="9">
        <v>285123</v>
      </c>
      <c r="Q341" s="9" t="s">
        <v>37</v>
      </c>
      <c r="R341" s="13">
        <v>45717</v>
      </c>
      <c r="S341" s="22">
        <v>45742</v>
      </c>
      <c r="T341" s="13">
        <v>45679</v>
      </c>
      <c r="U341" s="13">
        <v>45679</v>
      </c>
      <c r="V341" s="9" t="s">
        <v>47</v>
      </c>
      <c r="W341" s="9">
        <v>22770406</v>
      </c>
      <c r="X341" s="9">
        <v>3311105</v>
      </c>
      <c r="Y341" s="9">
        <v>69250857</v>
      </c>
      <c r="Z341" s="9" t="s">
        <v>39</v>
      </c>
      <c r="AA341" s="9">
        <v>6920217</v>
      </c>
      <c r="AB341" s="9">
        <v>78070</v>
      </c>
      <c r="AC341" s="9" t="s">
        <v>41</v>
      </c>
      <c r="AD341" s="9" t="s">
        <v>132</v>
      </c>
      <c r="AE341" s="9" t="s">
        <v>133</v>
      </c>
      <c r="AF341" s="9" t="s">
        <v>133</v>
      </c>
      <c r="AG341" s="14" t="str">
        <f t="shared" si="12"/>
        <v>EXAMENES DE LABORATORIO</v>
      </c>
      <c r="AH341" s="9">
        <v>0</v>
      </c>
      <c r="AI341" s="9">
        <v>0</v>
      </c>
      <c r="AJ341" s="9">
        <v>96942400</v>
      </c>
      <c r="AK341" s="9">
        <v>2</v>
      </c>
      <c r="AL341" s="26" t="s">
        <v>52</v>
      </c>
      <c r="AM341" s="14" t="s">
        <v>584</v>
      </c>
      <c r="AN341" s="27" t="str">
        <f t="shared" si="13"/>
        <v>11867573|96942400|370870987|65383969</v>
      </c>
      <c r="AO341" t="s">
        <v>44</v>
      </c>
      <c r="AP341" t="b">
        <v>0</v>
      </c>
      <c r="AQ341" t="s">
        <v>763</v>
      </c>
    </row>
    <row r="342" spans="1:43" x14ac:dyDescent="0.2">
      <c r="A342" s="14" t="s">
        <v>500</v>
      </c>
      <c r="B342" s="17">
        <v>17764749</v>
      </c>
      <c r="C342" s="14" t="s">
        <v>249</v>
      </c>
      <c r="D342" s="9">
        <v>17764749</v>
      </c>
      <c r="E342" s="9" t="s">
        <v>249</v>
      </c>
      <c r="F342" s="7">
        <v>45658</v>
      </c>
      <c r="G342" s="20" t="s">
        <v>36</v>
      </c>
      <c r="H342" s="8">
        <v>370901391</v>
      </c>
      <c r="I342" s="19">
        <v>370901391</v>
      </c>
      <c r="J342" s="10">
        <v>38556</v>
      </c>
      <c r="K342" s="10">
        <v>30845</v>
      </c>
      <c r="L342" s="10">
        <v>7711</v>
      </c>
      <c r="M342" s="10">
        <v>0</v>
      </c>
      <c r="N342" s="11">
        <v>7711</v>
      </c>
      <c r="O342" s="12">
        <v>370901391</v>
      </c>
      <c r="P342" s="9">
        <v>285123</v>
      </c>
      <c r="Q342" s="9" t="s">
        <v>37</v>
      </c>
      <c r="R342" s="13">
        <v>45679</v>
      </c>
      <c r="S342" s="22">
        <v>45679</v>
      </c>
      <c r="T342" s="13">
        <v>45679</v>
      </c>
      <c r="U342" s="13">
        <v>45679</v>
      </c>
      <c r="V342" s="9" t="s">
        <v>47</v>
      </c>
      <c r="W342" s="9">
        <v>22524722</v>
      </c>
      <c r="X342" s="9">
        <v>1271320</v>
      </c>
      <c r="Y342" s="9">
        <v>68707924</v>
      </c>
      <c r="Z342" s="9" t="s">
        <v>39</v>
      </c>
      <c r="AA342" s="9">
        <v>26012025</v>
      </c>
      <c r="AB342" s="9">
        <v>77442</v>
      </c>
      <c r="AC342" s="9" t="s">
        <v>41</v>
      </c>
      <c r="AD342" s="9" t="s">
        <v>134</v>
      </c>
      <c r="AE342" s="9" t="s">
        <v>135</v>
      </c>
      <c r="AF342" s="9" t="s">
        <v>135</v>
      </c>
      <c r="AG342" s="14" t="str">
        <f t="shared" si="12"/>
        <v>EXAMENES RADIOLOGICOS</v>
      </c>
      <c r="AH342" s="9" t="s">
        <v>758</v>
      </c>
      <c r="AI342" s="9">
        <v>0</v>
      </c>
      <c r="AJ342" s="9">
        <v>77200240</v>
      </c>
      <c r="AK342" s="9">
        <v>8</v>
      </c>
      <c r="AL342" s="26" t="s">
        <v>76</v>
      </c>
      <c r="AM342" s="14" t="s">
        <v>585</v>
      </c>
      <c r="AN342" s="27" t="str">
        <f t="shared" si="13"/>
        <v>17764749|77200240|370901391|370901391</v>
      </c>
      <c r="AO342" t="s">
        <v>758</v>
      </c>
      <c r="AP342" t="b">
        <v>1</v>
      </c>
      <c r="AQ342" t="s">
        <v>764</v>
      </c>
    </row>
    <row r="343" spans="1:43" x14ac:dyDescent="0.2">
      <c r="A343" s="14" t="s">
        <v>500</v>
      </c>
      <c r="B343" s="17">
        <v>17764749</v>
      </c>
      <c r="C343" s="14" t="s">
        <v>249</v>
      </c>
      <c r="D343" s="9">
        <v>17764749</v>
      </c>
      <c r="E343" s="9" t="s">
        <v>249</v>
      </c>
      <c r="F343" s="7">
        <v>45717</v>
      </c>
      <c r="G343" s="20" t="s">
        <v>46</v>
      </c>
      <c r="H343" s="8">
        <v>370901391</v>
      </c>
      <c r="I343" s="19">
        <v>65384433</v>
      </c>
      <c r="J343" s="10">
        <v>7681</v>
      </c>
      <c r="K343" s="10">
        <v>0</v>
      </c>
      <c r="L343" s="10">
        <v>7681</v>
      </c>
      <c r="M343" s="10">
        <v>0</v>
      </c>
      <c r="N343" s="11">
        <v>7681</v>
      </c>
      <c r="O343" s="12">
        <v>370901391</v>
      </c>
      <c r="P343" s="9">
        <v>285123</v>
      </c>
      <c r="Q343" s="9" t="s">
        <v>37</v>
      </c>
      <c r="R343" s="13">
        <v>45717</v>
      </c>
      <c r="S343" s="22">
        <v>45742</v>
      </c>
      <c r="T343" s="13">
        <v>45679</v>
      </c>
      <c r="U343" s="13">
        <v>45679</v>
      </c>
      <c r="V343" s="9" t="s">
        <v>47</v>
      </c>
      <c r="W343" s="9">
        <v>22770412</v>
      </c>
      <c r="X343" s="9">
        <v>3311105</v>
      </c>
      <c r="Y343" s="9">
        <v>69251301</v>
      </c>
      <c r="Z343" s="9" t="s">
        <v>39</v>
      </c>
      <c r="AA343" s="9">
        <v>17764749</v>
      </c>
      <c r="AB343" s="9">
        <v>78070</v>
      </c>
      <c r="AC343" s="9" t="s">
        <v>41</v>
      </c>
      <c r="AD343" s="9" t="s">
        <v>134</v>
      </c>
      <c r="AE343" s="9" t="s">
        <v>135</v>
      </c>
      <c r="AF343" s="9" t="s">
        <v>135</v>
      </c>
      <c r="AG343" s="14" t="str">
        <f t="shared" si="12"/>
        <v>EXAMENES RADIOLOGICOS</v>
      </c>
      <c r="AH343" s="9">
        <v>0</v>
      </c>
      <c r="AI343" s="9">
        <v>0</v>
      </c>
      <c r="AJ343" s="9">
        <v>77200240</v>
      </c>
      <c r="AK343" s="9">
        <v>8</v>
      </c>
      <c r="AL343" s="26" t="s">
        <v>52</v>
      </c>
      <c r="AM343" s="14" t="s">
        <v>585</v>
      </c>
      <c r="AN343" s="27" t="str">
        <f t="shared" si="13"/>
        <v>17764749|77200240|370901391|65384433</v>
      </c>
      <c r="AO343" t="s">
        <v>44</v>
      </c>
      <c r="AP343" t="b">
        <v>0</v>
      </c>
      <c r="AQ343" t="s">
        <v>763</v>
      </c>
    </row>
    <row r="344" spans="1:43" x14ac:dyDescent="0.2">
      <c r="A344" s="14" t="s">
        <v>500</v>
      </c>
      <c r="B344" s="17">
        <v>9583535</v>
      </c>
      <c r="C344" s="14" t="s">
        <v>250</v>
      </c>
      <c r="D344" s="9">
        <v>9583535</v>
      </c>
      <c r="E344" s="9" t="s">
        <v>250</v>
      </c>
      <c r="F344" s="7">
        <v>45658</v>
      </c>
      <c r="G344" s="20" t="s">
        <v>36</v>
      </c>
      <c r="H344" s="8">
        <v>370916180</v>
      </c>
      <c r="I344" s="19">
        <v>370916180</v>
      </c>
      <c r="J344" s="10">
        <v>17498</v>
      </c>
      <c r="K344" s="10">
        <v>12704</v>
      </c>
      <c r="L344" s="10">
        <v>4794</v>
      </c>
      <c r="M344" s="10">
        <v>0</v>
      </c>
      <c r="N344" s="11">
        <v>4794</v>
      </c>
      <c r="O344" s="12">
        <v>370916180</v>
      </c>
      <c r="P344" s="9">
        <v>285123</v>
      </c>
      <c r="Q344" s="9" t="s">
        <v>37</v>
      </c>
      <c r="R344" s="13">
        <v>45680</v>
      </c>
      <c r="S344" s="22">
        <v>45680</v>
      </c>
      <c r="T344" s="13">
        <v>45680</v>
      </c>
      <c r="U344" s="13">
        <v>45680</v>
      </c>
      <c r="V344" s="9" t="s">
        <v>47</v>
      </c>
      <c r="W344" s="9">
        <v>22524737</v>
      </c>
      <c r="X344" s="9">
        <v>1271320</v>
      </c>
      <c r="Y344" s="9">
        <v>68708130</v>
      </c>
      <c r="Z344" s="9" t="s">
        <v>39</v>
      </c>
      <c r="AA344" s="9">
        <v>26012025</v>
      </c>
      <c r="AB344" s="9">
        <v>77442</v>
      </c>
      <c r="AC344" s="9" t="s">
        <v>41</v>
      </c>
      <c r="AD344" s="9" t="s">
        <v>132</v>
      </c>
      <c r="AE344" s="9" t="s">
        <v>133</v>
      </c>
      <c r="AF344" s="9" t="s">
        <v>133</v>
      </c>
      <c r="AG344" s="14" t="str">
        <f t="shared" si="12"/>
        <v>EXAMENES DE LABORATORIO</v>
      </c>
      <c r="AH344" s="9" t="s">
        <v>758</v>
      </c>
      <c r="AI344" s="9">
        <v>0</v>
      </c>
      <c r="AJ344" s="9">
        <v>96942400</v>
      </c>
      <c r="AK344" s="9">
        <v>2</v>
      </c>
      <c r="AL344" s="26" t="s">
        <v>76</v>
      </c>
      <c r="AM344" s="14" t="s">
        <v>586</v>
      </c>
      <c r="AN344" s="27" t="str">
        <f t="shared" si="13"/>
        <v>9583535|96942400|370916180|370916180</v>
      </c>
      <c r="AO344" t="s">
        <v>758</v>
      </c>
      <c r="AP344" t="b">
        <v>1</v>
      </c>
      <c r="AQ344" t="s">
        <v>764</v>
      </c>
    </row>
    <row r="345" spans="1:43" x14ac:dyDescent="0.2">
      <c r="A345" s="14" t="s">
        <v>500</v>
      </c>
      <c r="B345" s="17">
        <v>9583535</v>
      </c>
      <c r="C345" s="14" t="s">
        <v>250</v>
      </c>
      <c r="D345" s="9">
        <v>9583535</v>
      </c>
      <c r="E345" s="9" t="s">
        <v>250</v>
      </c>
      <c r="F345" s="7">
        <v>45717</v>
      </c>
      <c r="G345" s="20" t="s">
        <v>46</v>
      </c>
      <c r="H345" s="8">
        <v>370916180</v>
      </c>
      <c r="I345" s="19">
        <v>65383746</v>
      </c>
      <c r="J345" s="10">
        <v>4608</v>
      </c>
      <c r="K345" s="10">
        <v>0</v>
      </c>
      <c r="L345" s="10">
        <v>4608</v>
      </c>
      <c r="M345" s="10">
        <v>0</v>
      </c>
      <c r="N345" s="11">
        <v>4608</v>
      </c>
      <c r="O345" s="12">
        <v>370916180</v>
      </c>
      <c r="P345" s="9">
        <v>285123</v>
      </c>
      <c r="Q345" s="9" t="s">
        <v>37</v>
      </c>
      <c r="R345" s="13">
        <v>45717</v>
      </c>
      <c r="S345" s="22">
        <v>45742</v>
      </c>
      <c r="T345" s="13">
        <v>45680</v>
      </c>
      <c r="U345" s="13">
        <v>45680</v>
      </c>
      <c r="V345" s="9" t="s">
        <v>47</v>
      </c>
      <c r="W345" s="9">
        <v>22770416</v>
      </c>
      <c r="X345" s="9">
        <v>3311105</v>
      </c>
      <c r="Y345" s="9">
        <v>69250636</v>
      </c>
      <c r="Z345" s="9" t="s">
        <v>39</v>
      </c>
      <c r="AA345" s="9">
        <v>985897999</v>
      </c>
      <c r="AB345" s="9">
        <v>78070</v>
      </c>
      <c r="AC345" s="9" t="s">
        <v>41</v>
      </c>
      <c r="AD345" s="9" t="s">
        <v>132</v>
      </c>
      <c r="AE345" s="9" t="s">
        <v>133</v>
      </c>
      <c r="AF345" s="9" t="s">
        <v>133</v>
      </c>
      <c r="AG345" s="14" t="str">
        <f t="shared" si="12"/>
        <v>EXAMENES DE LABORATORIO</v>
      </c>
      <c r="AH345" s="9">
        <v>0</v>
      </c>
      <c r="AI345" s="9">
        <v>0</v>
      </c>
      <c r="AJ345" s="9">
        <v>96942400</v>
      </c>
      <c r="AK345" s="9">
        <v>2</v>
      </c>
      <c r="AL345" s="26" t="s">
        <v>52</v>
      </c>
      <c r="AM345" s="14" t="s">
        <v>586</v>
      </c>
      <c r="AN345" s="27" t="str">
        <f t="shared" si="13"/>
        <v>9583535|96942400|370916180|65383746</v>
      </c>
      <c r="AO345" t="s">
        <v>44</v>
      </c>
      <c r="AP345" t="b">
        <v>0</v>
      </c>
      <c r="AQ345" t="s">
        <v>763</v>
      </c>
    </row>
    <row r="346" spans="1:43" x14ac:dyDescent="0.2">
      <c r="A346" s="14" t="s">
        <v>500</v>
      </c>
      <c r="B346" s="17">
        <v>9583535</v>
      </c>
      <c r="C346" s="14" t="s">
        <v>250</v>
      </c>
      <c r="D346" s="9">
        <v>9583535</v>
      </c>
      <c r="E346" s="9" t="s">
        <v>250</v>
      </c>
      <c r="F346" s="7">
        <v>45658</v>
      </c>
      <c r="G346" s="20" t="s">
        <v>36</v>
      </c>
      <c r="H346" s="8">
        <v>370916278</v>
      </c>
      <c r="I346" s="19">
        <v>370916278</v>
      </c>
      <c r="J346" s="10">
        <v>5512</v>
      </c>
      <c r="K346" s="10">
        <v>4226</v>
      </c>
      <c r="L346" s="10">
        <v>1286</v>
      </c>
      <c r="M346" s="10">
        <v>0</v>
      </c>
      <c r="N346" s="11">
        <v>1286</v>
      </c>
      <c r="O346" s="12">
        <v>370916278</v>
      </c>
      <c r="P346" s="9">
        <v>285123</v>
      </c>
      <c r="Q346" s="9" t="s">
        <v>37</v>
      </c>
      <c r="R346" s="13">
        <v>45680</v>
      </c>
      <c r="S346" s="22">
        <v>45680</v>
      </c>
      <c r="T346" s="13">
        <v>45680</v>
      </c>
      <c r="U346" s="13">
        <v>45680</v>
      </c>
      <c r="V346" s="9" t="s">
        <v>47</v>
      </c>
      <c r="W346" s="9">
        <v>22524737</v>
      </c>
      <c r="X346" s="9">
        <v>1271320</v>
      </c>
      <c r="Y346" s="9">
        <v>68708135</v>
      </c>
      <c r="Z346" s="9" t="s">
        <v>39</v>
      </c>
      <c r="AA346" s="9">
        <v>26012025</v>
      </c>
      <c r="AB346" s="9">
        <v>77442</v>
      </c>
      <c r="AC346" s="9" t="s">
        <v>41</v>
      </c>
      <c r="AD346" s="9" t="s">
        <v>132</v>
      </c>
      <c r="AE346" s="9" t="s">
        <v>133</v>
      </c>
      <c r="AF346" s="9" t="s">
        <v>133</v>
      </c>
      <c r="AG346" s="14" t="str">
        <f t="shared" si="12"/>
        <v>EXAMENES DE LABORATORIO</v>
      </c>
      <c r="AH346" s="9" t="s">
        <v>758</v>
      </c>
      <c r="AI346" s="9">
        <v>0</v>
      </c>
      <c r="AJ346" s="9">
        <v>96942400</v>
      </c>
      <c r="AK346" s="9">
        <v>2</v>
      </c>
      <c r="AL346" s="26" t="s">
        <v>76</v>
      </c>
      <c r="AM346" s="14" t="s">
        <v>586</v>
      </c>
      <c r="AN346" s="27" t="str">
        <f t="shared" si="13"/>
        <v>9583535|96942400|370916278|370916278</v>
      </c>
      <c r="AO346" t="s">
        <v>758</v>
      </c>
      <c r="AP346" t="b">
        <v>1</v>
      </c>
      <c r="AQ346" t="s">
        <v>764</v>
      </c>
    </row>
    <row r="347" spans="1:43" x14ac:dyDescent="0.2">
      <c r="A347" s="14" t="s">
        <v>500</v>
      </c>
      <c r="B347" s="17">
        <v>9583535</v>
      </c>
      <c r="C347" s="14" t="s">
        <v>250</v>
      </c>
      <c r="D347" s="9">
        <v>9583535</v>
      </c>
      <c r="E347" s="9" t="s">
        <v>250</v>
      </c>
      <c r="F347" s="7">
        <v>45717</v>
      </c>
      <c r="G347" s="20" t="s">
        <v>46</v>
      </c>
      <c r="H347" s="8">
        <v>370916278</v>
      </c>
      <c r="I347" s="19">
        <v>65383747</v>
      </c>
      <c r="J347" s="10">
        <v>1152</v>
      </c>
      <c r="K347" s="10">
        <v>0</v>
      </c>
      <c r="L347" s="10">
        <v>1152</v>
      </c>
      <c r="M347" s="10">
        <v>0</v>
      </c>
      <c r="N347" s="11">
        <v>1152</v>
      </c>
      <c r="O347" s="12">
        <v>370916278</v>
      </c>
      <c r="P347" s="9">
        <v>285123</v>
      </c>
      <c r="Q347" s="9" t="s">
        <v>37</v>
      </c>
      <c r="R347" s="13">
        <v>45717</v>
      </c>
      <c r="S347" s="22">
        <v>45742</v>
      </c>
      <c r="T347" s="13">
        <v>45680</v>
      </c>
      <c r="U347" s="13">
        <v>45680</v>
      </c>
      <c r="V347" s="9" t="s">
        <v>47</v>
      </c>
      <c r="W347" s="9">
        <v>22770416</v>
      </c>
      <c r="X347" s="9">
        <v>3311105</v>
      </c>
      <c r="Y347" s="9">
        <v>69250637</v>
      </c>
      <c r="Z347" s="9" t="s">
        <v>39</v>
      </c>
      <c r="AA347" s="9">
        <v>985897999</v>
      </c>
      <c r="AB347" s="9">
        <v>78070</v>
      </c>
      <c r="AC347" s="9" t="s">
        <v>41</v>
      </c>
      <c r="AD347" s="9" t="s">
        <v>132</v>
      </c>
      <c r="AE347" s="9" t="s">
        <v>133</v>
      </c>
      <c r="AF347" s="9" t="s">
        <v>133</v>
      </c>
      <c r="AG347" s="14" t="str">
        <f t="shared" si="12"/>
        <v>EXAMENES DE LABORATORIO</v>
      </c>
      <c r="AH347" s="9">
        <v>0</v>
      </c>
      <c r="AI347" s="9">
        <v>0</v>
      </c>
      <c r="AJ347" s="9">
        <v>96942400</v>
      </c>
      <c r="AK347" s="9">
        <v>2</v>
      </c>
      <c r="AL347" s="26" t="s">
        <v>52</v>
      </c>
      <c r="AM347" s="14" t="s">
        <v>586</v>
      </c>
      <c r="AN347" s="27" t="str">
        <f t="shared" si="13"/>
        <v>9583535|96942400|370916278|65383747</v>
      </c>
      <c r="AO347" t="s">
        <v>44</v>
      </c>
      <c r="AP347" t="b">
        <v>0</v>
      </c>
      <c r="AQ347" t="s">
        <v>763</v>
      </c>
    </row>
    <row r="348" spans="1:43" x14ac:dyDescent="0.2">
      <c r="A348" s="14" t="s">
        <v>500</v>
      </c>
      <c r="B348" s="17">
        <v>9209607</v>
      </c>
      <c r="C348" s="14" t="s">
        <v>251</v>
      </c>
      <c r="D348" s="9">
        <v>9209607</v>
      </c>
      <c r="E348" s="9" t="s">
        <v>251</v>
      </c>
      <c r="F348" s="7">
        <v>45658</v>
      </c>
      <c r="G348" s="20" t="s">
        <v>36</v>
      </c>
      <c r="H348" s="8">
        <v>371063126</v>
      </c>
      <c r="I348" s="19">
        <v>371063126</v>
      </c>
      <c r="J348" s="10">
        <v>175315</v>
      </c>
      <c r="K348" s="10">
        <v>142520</v>
      </c>
      <c r="L348" s="10">
        <v>32795</v>
      </c>
      <c r="M348" s="10">
        <v>0</v>
      </c>
      <c r="N348" s="11">
        <v>32795</v>
      </c>
      <c r="O348" s="12">
        <v>371063126</v>
      </c>
      <c r="P348" s="9">
        <v>285123</v>
      </c>
      <c r="Q348" s="9" t="s">
        <v>37</v>
      </c>
      <c r="R348" s="13">
        <v>45684</v>
      </c>
      <c r="S348" s="22">
        <v>45684</v>
      </c>
      <c r="T348" s="13">
        <v>45684</v>
      </c>
      <c r="U348" s="13">
        <v>45684</v>
      </c>
      <c r="V348" s="9" t="s">
        <v>47</v>
      </c>
      <c r="W348" s="9">
        <v>22560794</v>
      </c>
      <c r="X348" s="9">
        <v>2040929</v>
      </c>
      <c r="Y348" s="9">
        <v>68808229</v>
      </c>
      <c r="Z348" s="9" t="s">
        <v>39</v>
      </c>
      <c r="AA348" s="9">
        <v>2022025</v>
      </c>
      <c r="AB348" s="9">
        <v>77562</v>
      </c>
      <c r="AC348" s="9" t="s">
        <v>41</v>
      </c>
      <c r="AD348" s="9" t="s">
        <v>65</v>
      </c>
      <c r="AE348" s="9" t="s">
        <v>66</v>
      </c>
      <c r="AF348" s="9" t="s">
        <v>66</v>
      </c>
      <c r="AG348" s="14" t="str">
        <f t="shared" si="12"/>
        <v>PROCEDIMIENTOS TERAPEUTICOS</v>
      </c>
      <c r="AH348" s="9" t="s">
        <v>758</v>
      </c>
      <c r="AI348" s="9">
        <v>0</v>
      </c>
      <c r="AJ348" s="9">
        <v>96617350</v>
      </c>
      <c r="AK348" s="9">
        <v>5</v>
      </c>
      <c r="AL348" s="26" t="s">
        <v>238</v>
      </c>
      <c r="AM348" s="14" t="s">
        <v>587</v>
      </c>
      <c r="AN348" s="27" t="str">
        <f t="shared" si="13"/>
        <v>9209607|96617350|371063126|371063126</v>
      </c>
      <c r="AO348" t="s">
        <v>758</v>
      </c>
      <c r="AP348" t="b">
        <v>1</v>
      </c>
      <c r="AQ348" t="s">
        <v>764</v>
      </c>
    </row>
    <row r="349" spans="1:43" x14ac:dyDescent="0.2">
      <c r="A349" s="14" t="s">
        <v>500</v>
      </c>
      <c r="B349" s="17">
        <v>9209607</v>
      </c>
      <c r="C349" s="14" t="s">
        <v>251</v>
      </c>
      <c r="D349" s="9">
        <v>9209607</v>
      </c>
      <c r="E349" s="9" t="s">
        <v>251</v>
      </c>
      <c r="F349" s="7">
        <v>45717</v>
      </c>
      <c r="G349" s="20" t="s">
        <v>46</v>
      </c>
      <c r="H349" s="8">
        <v>371063126</v>
      </c>
      <c r="I349" s="19">
        <v>65383716</v>
      </c>
      <c r="J349" s="10">
        <v>32250</v>
      </c>
      <c r="K349" s="10">
        <v>0</v>
      </c>
      <c r="L349" s="10">
        <v>32250</v>
      </c>
      <c r="M349" s="10">
        <v>0</v>
      </c>
      <c r="N349" s="11">
        <v>32250</v>
      </c>
      <c r="O349" s="12">
        <v>371063126</v>
      </c>
      <c r="P349" s="9">
        <v>285123</v>
      </c>
      <c r="Q349" s="9" t="s">
        <v>37</v>
      </c>
      <c r="R349" s="13">
        <v>45717</v>
      </c>
      <c r="S349" s="22">
        <v>45742</v>
      </c>
      <c r="T349" s="13">
        <v>45684</v>
      </c>
      <c r="U349" s="13">
        <v>45684</v>
      </c>
      <c r="V349" s="9" t="s">
        <v>47</v>
      </c>
      <c r="W349" s="9">
        <v>22770436</v>
      </c>
      <c r="X349" s="9">
        <v>3311105</v>
      </c>
      <c r="Y349" s="9">
        <v>69250607</v>
      </c>
      <c r="Z349" s="9" t="s">
        <v>39</v>
      </c>
      <c r="AA349" s="9">
        <v>850008495</v>
      </c>
      <c r="AB349" s="9">
        <v>78070</v>
      </c>
      <c r="AC349" s="9" t="s">
        <v>41</v>
      </c>
      <c r="AD349" s="9" t="s">
        <v>65</v>
      </c>
      <c r="AE349" s="9" t="s">
        <v>66</v>
      </c>
      <c r="AF349" s="9" t="s">
        <v>66</v>
      </c>
      <c r="AG349" s="14" t="str">
        <f t="shared" si="12"/>
        <v>PROCEDIMIENTOS TERAPEUTICOS</v>
      </c>
      <c r="AH349" s="9">
        <v>0</v>
      </c>
      <c r="AI349" s="9">
        <v>0</v>
      </c>
      <c r="AJ349" s="9">
        <v>96617350</v>
      </c>
      <c r="AK349" s="9">
        <v>5</v>
      </c>
      <c r="AL349" s="26" t="s">
        <v>52</v>
      </c>
      <c r="AM349" s="14" t="s">
        <v>587</v>
      </c>
      <c r="AN349" s="27" t="str">
        <f t="shared" si="13"/>
        <v>9209607|96617350|371063126|65383716</v>
      </c>
      <c r="AO349" t="s">
        <v>44</v>
      </c>
      <c r="AP349" t="b">
        <v>0</v>
      </c>
      <c r="AQ349" t="s">
        <v>763</v>
      </c>
    </row>
    <row r="350" spans="1:43" x14ac:dyDescent="0.2">
      <c r="A350" s="14" t="s">
        <v>500</v>
      </c>
      <c r="B350" s="17">
        <v>15933075</v>
      </c>
      <c r="C350" s="14" t="s">
        <v>252</v>
      </c>
      <c r="D350" s="9">
        <v>15933075</v>
      </c>
      <c r="E350" s="9" t="s">
        <v>252</v>
      </c>
      <c r="F350" s="7">
        <v>45658</v>
      </c>
      <c r="G350" s="20" t="s">
        <v>36</v>
      </c>
      <c r="H350" s="8">
        <v>371083247</v>
      </c>
      <c r="I350" s="19">
        <v>371083247</v>
      </c>
      <c r="J350" s="10">
        <v>62479</v>
      </c>
      <c r="K350" s="10">
        <v>43736</v>
      </c>
      <c r="L350" s="10">
        <v>18743</v>
      </c>
      <c r="M350" s="10">
        <v>0</v>
      </c>
      <c r="N350" s="11">
        <v>18743</v>
      </c>
      <c r="O350" s="12">
        <v>371083247</v>
      </c>
      <c r="P350" s="9">
        <v>285123</v>
      </c>
      <c r="Q350" s="9" t="s">
        <v>37</v>
      </c>
      <c r="R350" s="13">
        <v>45685</v>
      </c>
      <c r="S350" s="22">
        <v>45685</v>
      </c>
      <c r="T350" s="13">
        <v>45685</v>
      </c>
      <c r="U350" s="13">
        <v>45685</v>
      </c>
      <c r="V350" s="9" t="s">
        <v>47</v>
      </c>
      <c r="W350" s="9">
        <v>22560881</v>
      </c>
      <c r="X350" s="9">
        <v>2040929</v>
      </c>
      <c r="Y350" s="9">
        <v>68808501</v>
      </c>
      <c r="Z350" s="9" t="s">
        <v>39</v>
      </c>
      <c r="AA350" s="9">
        <v>2022025</v>
      </c>
      <c r="AB350" s="9">
        <v>77562</v>
      </c>
      <c r="AC350" s="9" t="s">
        <v>41</v>
      </c>
      <c r="AD350" s="9" t="s">
        <v>132</v>
      </c>
      <c r="AE350" s="9" t="s">
        <v>133</v>
      </c>
      <c r="AF350" s="9" t="s">
        <v>133</v>
      </c>
      <c r="AG350" s="14" t="str">
        <f t="shared" si="12"/>
        <v>EXAMENES DE LABORATORIO</v>
      </c>
      <c r="AH350" s="9" t="s">
        <v>758</v>
      </c>
      <c r="AI350" s="9">
        <v>0</v>
      </c>
      <c r="AJ350" s="9">
        <v>71614000</v>
      </c>
      <c r="AK350" s="9">
        <v>8</v>
      </c>
      <c r="AL350" s="26" t="s">
        <v>238</v>
      </c>
      <c r="AM350" s="14" t="s">
        <v>588</v>
      </c>
      <c r="AN350" s="27" t="str">
        <f t="shared" si="13"/>
        <v>15933075|71614000|371083247|371083247</v>
      </c>
      <c r="AO350" t="s">
        <v>758</v>
      </c>
      <c r="AP350" t="b">
        <v>1</v>
      </c>
      <c r="AQ350" t="s">
        <v>764</v>
      </c>
    </row>
    <row r="351" spans="1:43" x14ac:dyDescent="0.2">
      <c r="A351" s="14" t="s">
        <v>500</v>
      </c>
      <c r="B351" s="17">
        <v>15933075</v>
      </c>
      <c r="C351" s="14" t="s">
        <v>252</v>
      </c>
      <c r="D351" s="9">
        <v>15933075</v>
      </c>
      <c r="E351" s="9" t="s">
        <v>252</v>
      </c>
      <c r="F351" s="7">
        <v>45717</v>
      </c>
      <c r="G351" s="20" t="s">
        <v>46</v>
      </c>
      <c r="H351" s="8">
        <v>371083247</v>
      </c>
      <c r="I351" s="19">
        <v>65384344</v>
      </c>
      <c r="J351" s="10">
        <v>18426</v>
      </c>
      <c r="K351" s="10">
        <v>0</v>
      </c>
      <c r="L351" s="10">
        <v>18426</v>
      </c>
      <c r="M351" s="10">
        <v>0</v>
      </c>
      <c r="N351" s="11">
        <v>18426</v>
      </c>
      <c r="O351" s="12">
        <v>371083247</v>
      </c>
      <c r="P351" s="9">
        <v>285123</v>
      </c>
      <c r="Q351" s="9" t="s">
        <v>37</v>
      </c>
      <c r="R351" s="13">
        <v>45717</v>
      </c>
      <c r="S351" s="22">
        <v>45742</v>
      </c>
      <c r="T351" s="13">
        <v>45685</v>
      </c>
      <c r="U351" s="13">
        <v>45685</v>
      </c>
      <c r="V351" s="9" t="s">
        <v>47</v>
      </c>
      <c r="W351" s="9">
        <v>22770458</v>
      </c>
      <c r="X351" s="9">
        <v>3311105</v>
      </c>
      <c r="Y351" s="9">
        <v>69251227</v>
      </c>
      <c r="Z351" s="9" t="s">
        <v>39</v>
      </c>
      <c r="AA351" s="9">
        <v>15933075</v>
      </c>
      <c r="AB351" s="9">
        <v>78070</v>
      </c>
      <c r="AC351" s="9" t="s">
        <v>41</v>
      </c>
      <c r="AD351" s="9" t="s">
        <v>132</v>
      </c>
      <c r="AE351" s="9" t="s">
        <v>133</v>
      </c>
      <c r="AF351" s="9" t="s">
        <v>133</v>
      </c>
      <c r="AG351" s="14" t="str">
        <f t="shared" si="12"/>
        <v>EXAMENES DE LABORATORIO</v>
      </c>
      <c r="AH351" s="9">
        <v>0</v>
      </c>
      <c r="AI351" s="9">
        <v>0</v>
      </c>
      <c r="AJ351" s="9">
        <v>71614000</v>
      </c>
      <c r="AK351" s="9">
        <v>8</v>
      </c>
      <c r="AL351" s="26" t="s">
        <v>52</v>
      </c>
      <c r="AM351" s="14" t="s">
        <v>588</v>
      </c>
      <c r="AN351" s="27" t="str">
        <f t="shared" si="13"/>
        <v>15933075|71614000|371083247|65384344</v>
      </c>
      <c r="AO351" t="s">
        <v>44</v>
      </c>
      <c r="AP351" t="b">
        <v>0</v>
      </c>
      <c r="AQ351" t="s">
        <v>763</v>
      </c>
    </row>
    <row r="352" spans="1:43" x14ac:dyDescent="0.2">
      <c r="A352" s="14" t="s">
        <v>500</v>
      </c>
      <c r="B352" s="17">
        <v>15933075</v>
      </c>
      <c r="C352" s="14" t="s">
        <v>252</v>
      </c>
      <c r="D352" s="9">
        <v>15933075</v>
      </c>
      <c r="E352" s="9" t="s">
        <v>252</v>
      </c>
      <c r="F352" s="7">
        <v>45658</v>
      </c>
      <c r="G352" s="20" t="s">
        <v>36</v>
      </c>
      <c r="H352" s="8">
        <v>371083248</v>
      </c>
      <c r="I352" s="19">
        <v>371083248</v>
      </c>
      <c r="J352" s="10">
        <v>131590</v>
      </c>
      <c r="K352" s="10">
        <v>92113</v>
      </c>
      <c r="L352" s="10">
        <v>39477</v>
      </c>
      <c r="M352" s="10">
        <v>0</v>
      </c>
      <c r="N352" s="11">
        <v>39477</v>
      </c>
      <c r="O352" s="12">
        <v>371083248</v>
      </c>
      <c r="P352" s="9">
        <v>285123</v>
      </c>
      <c r="Q352" s="9" t="s">
        <v>37</v>
      </c>
      <c r="R352" s="13">
        <v>45685</v>
      </c>
      <c r="S352" s="22">
        <v>45685</v>
      </c>
      <c r="T352" s="13">
        <v>45685</v>
      </c>
      <c r="U352" s="13">
        <v>45685</v>
      </c>
      <c r="V352" s="9" t="s">
        <v>47</v>
      </c>
      <c r="W352" s="9">
        <v>22560881</v>
      </c>
      <c r="X352" s="9">
        <v>2040929</v>
      </c>
      <c r="Y352" s="9">
        <v>68808500</v>
      </c>
      <c r="Z352" s="9" t="s">
        <v>39</v>
      </c>
      <c r="AA352" s="9">
        <v>2022025</v>
      </c>
      <c r="AB352" s="9">
        <v>77562</v>
      </c>
      <c r="AC352" s="9" t="s">
        <v>41</v>
      </c>
      <c r="AD352" s="9" t="s">
        <v>132</v>
      </c>
      <c r="AE352" s="9" t="s">
        <v>133</v>
      </c>
      <c r="AF352" s="9" t="s">
        <v>133</v>
      </c>
      <c r="AG352" s="14" t="str">
        <f t="shared" si="12"/>
        <v>EXAMENES DE LABORATORIO</v>
      </c>
      <c r="AH352" s="9" t="s">
        <v>758</v>
      </c>
      <c r="AI352" s="9">
        <v>0</v>
      </c>
      <c r="AJ352" s="9">
        <v>71614000</v>
      </c>
      <c r="AK352" s="9">
        <v>8</v>
      </c>
      <c r="AL352" s="26" t="s">
        <v>238</v>
      </c>
      <c r="AM352" s="14" t="s">
        <v>588</v>
      </c>
      <c r="AN352" s="27" t="str">
        <f t="shared" si="13"/>
        <v>15933075|71614000|371083248|371083248</v>
      </c>
      <c r="AO352" t="s">
        <v>758</v>
      </c>
      <c r="AP352" t="b">
        <v>1</v>
      </c>
      <c r="AQ352" t="s">
        <v>764</v>
      </c>
    </row>
    <row r="353" spans="1:43" x14ac:dyDescent="0.2">
      <c r="A353" s="14" t="s">
        <v>500</v>
      </c>
      <c r="B353" s="17">
        <v>15933075</v>
      </c>
      <c r="C353" s="14" t="s">
        <v>252</v>
      </c>
      <c r="D353" s="9">
        <v>15933075</v>
      </c>
      <c r="E353" s="9" t="s">
        <v>252</v>
      </c>
      <c r="F353" s="7">
        <v>45717</v>
      </c>
      <c r="G353" s="20" t="s">
        <v>46</v>
      </c>
      <c r="H353" s="8">
        <v>371083248</v>
      </c>
      <c r="I353" s="19">
        <v>65384345</v>
      </c>
      <c r="J353" s="10">
        <v>39157</v>
      </c>
      <c r="K353" s="10">
        <v>0</v>
      </c>
      <c r="L353" s="10">
        <v>39157</v>
      </c>
      <c r="M353" s="10">
        <v>0</v>
      </c>
      <c r="N353" s="11">
        <v>39157</v>
      </c>
      <c r="O353" s="12">
        <v>371083248</v>
      </c>
      <c r="P353" s="9">
        <v>285123</v>
      </c>
      <c r="Q353" s="9" t="s">
        <v>37</v>
      </c>
      <c r="R353" s="13">
        <v>45717</v>
      </c>
      <c r="S353" s="22">
        <v>45742</v>
      </c>
      <c r="T353" s="13">
        <v>45685</v>
      </c>
      <c r="U353" s="13">
        <v>45685</v>
      </c>
      <c r="V353" s="9" t="s">
        <v>47</v>
      </c>
      <c r="W353" s="9">
        <v>22770458</v>
      </c>
      <c r="X353" s="9">
        <v>3311105</v>
      </c>
      <c r="Y353" s="9">
        <v>69251228</v>
      </c>
      <c r="Z353" s="9" t="s">
        <v>39</v>
      </c>
      <c r="AA353" s="9">
        <v>15933075</v>
      </c>
      <c r="AB353" s="9">
        <v>78070</v>
      </c>
      <c r="AC353" s="9" t="s">
        <v>41</v>
      </c>
      <c r="AD353" s="9" t="s">
        <v>132</v>
      </c>
      <c r="AE353" s="9" t="s">
        <v>133</v>
      </c>
      <c r="AF353" s="9" t="s">
        <v>133</v>
      </c>
      <c r="AG353" s="14" t="str">
        <f t="shared" si="12"/>
        <v>EXAMENES DE LABORATORIO</v>
      </c>
      <c r="AH353" s="9">
        <v>0</v>
      </c>
      <c r="AI353" s="9">
        <v>0</v>
      </c>
      <c r="AJ353" s="9">
        <v>71614000</v>
      </c>
      <c r="AK353" s="9">
        <v>8</v>
      </c>
      <c r="AL353" s="26" t="s">
        <v>52</v>
      </c>
      <c r="AM353" s="14" t="s">
        <v>588</v>
      </c>
      <c r="AN353" s="27" t="str">
        <f t="shared" si="13"/>
        <v>15933075|71614000|371083248|65384345</v>
      </c>
      <c r="AO353" t="s">
        <v>44</v>
      </c>
      <c r="AP353" t="b">
        <v>0</v>
      </c>
      <c r="AQ353" t="s">
        <v>763</v>
      </c>
    </row>
    <row r="354" spans="1:43" x14ac:dyDescent="0.2">
      <c r="A354" s="14" t="s">
        <v>500</v>
      </c>
      <c r="B354" s="17">
        <v>15933075</v>
      </c>
      <c r="C354" s="14" t="s">
        <v>252</v>
      </c>
      <c r="D354" s="9">
        <v>15933075</v>
      </c>
      <c r="E354" s="9" t="s">
        <v>252</v>
      </c>
      <c r="F354" s="7">
        <v>45658</v>
      </c>
      <c r="G354" s="20" t="s">
        <v>36</v>
      </c>
      <c r="H354" s="8">
        <v>371083249</v>
      </c>
      <c r="I354" s="19">
        <v>371083249</v>
      </c>
      <c r="J354" s="10">
        <v>27681</v>
      </c>
      <c r="K354" s="10">
        <v>19377</v>
      </c>
      <c r="L354" s="10">
        <v>8304</v>
      </c>
      <c r="M354" s="10">
        <v>0</v>
      </c>
      <c r="N354" s="11">
        <v>8304</v>
      </c>
      <c r="O354" s="12">
        <v>371083249</v>
      </c>
      <c r="P354" s="9">
        <v>285123</v>
      </c>
      <c r="Q354" s="9" t="s">
        <v>37</v>
      </c>
      <c r="R354" s="13">
        <v>45685</v>
      </c>
      <c r="S354" s="22">
        <v>45685</v>
      </c>
      <c r="T354" s="13">
        <v>45685</v>
      </c>
      <c r="U354" s="13">
        <v>45685</v>
      </c>
      <c r="V354" s="9" t="s">
        <v>47</v>
      </c>
      <c r="W354" s="9">
        <v>22560881</v>
      </c>
      <c r="X354" s="9">
        <v>2040929</v>
      </c>
      <c r="Y354" s="9">
        <v>68808499</v>
      </c>
      <c r="Z354" s="9" t="s">
        <v>39</v>
      </c>
      <c r="AA354" s="9">
        <v>2022025</v>
      </c>
      <c r="AB354" s="9">
        <v>77562</v>
      </c>
      <c r="AC354" s="9" t="s">
        <v>41</v>
      </c>
      <c r="AD354" s="9" t="s">
        <v>132</v>
      </c>
      <c r="AE354" s="9" t="s">
        <v>133</v>
      </c>
      <c r="AF354" s="9" t="s">
        <v>133</v>
      </c>
      <c r="AG354" s="14" t="str">
        <f t="shared" si="12"/>
        <v>EXAMENES DE LABORATORIO</v>
      </c>
      <c r="AH354" s="9" t="s">
        <v>758</v>
      </c>
      <c r="AI354" s="9">
        <v>0</v>
      </c>
      <c r="AJ354" s="9">
        <v>71614000</v>
      </c>
      <c r="AK354" s="9">
        <v>8</v>
      </c>
      <c r="AL354" s="26" t="s">
        <v>238</v>
      </c>
      <c r="AM354" s="14" t="s">
        <v>588</v>
      </c>
      <c r="AN354" s="27" t="str">
        <f t="shared" si="13"/>
        <v>15933075|71614000|371083249|371083249</v>
      </c>
      <c r="AO354" t="s">
        <v>758</v>
      </c>
      <c r="AP354" t="b">
        <v>1</v>
      </c>
      <c r="AQ354" t="s">
        <v>764</v>
      </c>
    </row>
    <row r="355" spans="1:43" x14ac:dyDescent="0.2">
      <c r="A355" s="14" t="s">
        <v>500</v>
      </c>
      <c r="B355" s="17">
        <v>15933075</v>
      </c>
      <c r="C355" s="14" t="s">
        <v>252</v>
      </c>
      <c r="D355" s="9">
        <v>15933075</v>
      </c>
      <c r="E355" s="9" t="s">
        <v>252</v>
      </c>
      <c r="F355" s="7">
        <v>45717</v>
      </c>
      <c r="G355" s="20" t="s">
        <v>46</v>
      </c>
      <c r="H355" s="8">
        <v>371083249</v>
      </c>
      <c r="I355" s="19">
        <v>65384346</v>
      </c>
      <c r="J355" s="10">
        <v>8061</v>
      </c>
      <c r="K355" s="10">
        <v>0</v>
      </c>
      <c r="L355" s="10">
        <v>8061</v>
      </c>
      <c r="M355" s="10">
        <v>0</v>
      </c>
      <c r="N355" s="11">
        <v>8061</v>
      </c>
      <c r="O355" s="12">
        <v>371083249</v>
      </c>
      <c r="P355" s="9">
        <v>285123</v>
      </c>
      <c r="Q355" s="9" t="s">
        <v>37</v>
      </c>
      <c r="R355" s="13">
        <v>45717</v>
      </c>
      <c r="S355" s="22">
        <v>45742</v>
      </c>
      <c r="T355" s="13">
        <v>45685</v>
      </c>
      <c r="U355" s="13">
        <v>45685</v>
      </c>
      <c r="V355" s="9" t="s">
        <v>47</v>
      </c>
      <c r="W355" s="9">
        <v>22770458</v>
      </c>
      <c r="X355" s="9">
        <v>3311105</v>
      </c>
      <c r="Y355" s="9">
        <v>69251229</v>
      </c>
      <c r="Z355" s="9" t="s">
        <v>39</v>
      </c>
      <c r="AA355" s="9">
        <v>15933075</v>
      </c>
      <c r="AB355" s="9">
        <v>78070</v>
      </c>
      <c r="AC355" s="9" t="s">
        <v>41</v>
      </c>
      <c r="AD355" s="9" t="s">
        <v>132</v>
      </c>
      <c r="AE355" s="9" t="s">
        <v>133</v>
      </c>
      <c r="AF355" s="9" t="s">
        <v>133</v>
      </c>
      <c r="AG355" s="14" t="str">
        <f t="shared" si="12"/>
        <v>EXAMENES DE LABORATORIO</v>
      </c>
      <c r="AH355" s="9">
        <v>0</v>
      </c>
      <c r="AI355" s="9">
        <v>0</v>
      </c>
      <c r="AJ355" s="9">
        <v>71614000</v>
      </c>
      <c r="AK355" s="9">
        <v>8</v>
      </c>
      <c r="AL355" s="26" t="s">
        <v>52</v>
      </c>
      <c r="AM355" s="14" t="s">
        <v>588</v>
      </c>
      <c r="AN355" s="27" t="str">
        <f t="shared" si="13"/>
        <v>15933075|71614000|371083249|65384346</v>
      </c>
      <c r="AO355" t="s">
        <v>44</v>
      </c>
      <c r="AP355" t="b">
        <v>0</v>
      </c>
      <c r="AQ355" t="s">
        <v>763</v>
      </c>
    </row>
    <row r="356" spans="1:43" x14ac:dyDescent="0.2">
      <c r="A356" s="14" t="s">
        <v>500</v>
      </c>
      <c r="B356" s="17">
        <v>15933075</v>
      </c>
      <c r="C356" s="14" t="s">
        <v>252</v>
      </c>
      <c r="D356" s="9">
        <v>15933075</v>
      </c>
      <c r="E356" s="9" t="s">
        <v>252</v>
      </c>
      <c r="F356" s="7">
        <v>45658</v>
      </c>
      <c r="G356" s="20" t="s">
        <v>36</v>
      </c>
      <c r="H356" s="8">
        <v>371084929</v>
      </c>
      <c r="I356" s="19">
        <v>371084929</v>
      </c>
      <c r="J356" s="10">
        <v>132393</v>
      </c>
      <c r="K356" s="10">
        <v>107410</v>
      </c>
      <c r="L356" s="10">
        <v>24983</v>
      </c>
      <c r="M356" s="10">
        <v>0</v>
      </c>
      <c r="N356" s="11">
        <v>24983</v>
      </c>
      <c r="O356" s="12">
        <v>371084929</v>
      </c>
      <c r="P356" s="9">
        <v>285123</v>
      </c>
      <c r="Q356" s="9" t="s">
        <v>37</v>
      </c>
      <c r="R356" s="13">
        <v>45685</v>
      </c>
      <c r="S356" s="22">
        <v>45685</v>
      </c>
      <c r="T356" s="13">
        <v>45685</v>
      </c>
      <c r="U356" s="13">
        <v>45685</v>
      </c>
      <c r="V356" s="9" t="s">
        <v>47</v>
      </c>
      <c r="W356" s="9">
        <v>22560881</v>
      </c>
      <c r="X356" s="9">
        <v>2040929</v>
      </c>
      <c r="Y356" s="9">
        <v>68808550</v>
      </c>
      <c r="Z356" s="9" t="s">
        <v>39</v>
      </c>
      <c r="AA356" s="9">
        <v>2022025</v>
      </c>
      <c r="AB356" s="9">
        <v>77562</v>
      </c>
      <c r="AC356" s="9" t="s">
        <v>41</v>
      </c>
      <c r="AD356" s="9" t="s">
        <v>134</v>
      </c>
      <c r="AE356" s="9" t="s">
        <v>135</v>
      </c>
      <c r="AF356" s="9" t="s">
        <v>135</v>
      </c>
      <c r="AG356" s="14" t="str">
        <f t="shared" si="12"/>
        <v>EXAMENES RADIOLOGICOS</v>
      </c>
      <c r="AH356" s="9" t="s">
        <v>758</v>
      </c>
      <c r="AI356" s="9">
        <v>0</v>
      </c>
      <c r="AJ356" s="9">
        <v>71614000</v>
      </c>
      <c r="AK356" s="9">
        <v>8</v>
      </c>
      <c r="AL356" s="26" t="s">
        <v>238</v>
      </c>
      <c r="AM356" s="14" t="s">
        <v>588</v>
      </c>
      <c r="AN356" s="27" t="str">
        <f t="shared" si="13"/>
        <v>15933075|71614000|371084929|371084929</v>
      </c>
      <c r="AO356" t="s">
        <v>758</v>
      </c>
      <c r="AP356" t="b">
        <v>1</v>
      </c>
      <c r="AQ356" t="s">
        <v>764</v>
      </c>
    </row>
    <row r="357" spans="1:43" x14ac:dyDescent="0.2">
      <c r="A357" s="14" t="s">
        <v>500</v>
      </c>
      <c r="B357" s="17">
        <v>15933075</v>
      </c>
      <c r="C357" s="14" t="s">
        <v>252</v>
      </c>
      <c r="D357" s="9">
        <v>15933075</v>
      </c>
      <c r="E357" s="9" t="s">
        <v>252</v>
      </c>
      <c r="F357" s="7">
        <v>45717</v>
      </c>
      <c r="G357" s="20" t="s">
        <v>46</v>
      </c>
      <c r="H357" s="8">
        <v>371084929</v>
      </c>
      <c r="I357" s="19">
        <v>65384347</v>
      </c>
      <c r="J357" s="10">
        <v>24570</v>
      </c>
      <c r="K357" s="10">
        <v>0</v>
      </c>
      <c r="L357" s="10">
        <v>24570</v>
      </c>
      <c r="M357" s="10">
        <v>0</v>
      </c>
      <c r="N357" s="11">
        <v>24570</v>
      </c>
      <c r="O357" s="12">
        <v>371084929</v>
      </c>
      <c r="P357" s="9">
        <v>285123</v>
      </c>
      <c r="Q357" s="9" t="s">
        <v>37</v>
      </c>
      <c r="R357" s="13">
        <v>45717</v>
      </c>
      <c r="S357" s="22">
        <v>45742</v>
      </c>
      <c r="T357" s="13">
        <v>45685</v>
      </c>
      <c r="U357" s="13">
        <v>45685</v>
      </c>
      <c r="V357" s="9" t="s">
        <v>47</v>
      </c>
      <c r="W357" s="9">
        <v>22770458</v>
      </c>
      <c r="X357" s="9">
        <v>3311105</v>
      </c>
      <c r="Y357" s="9">
        <v>69251230</v>
      </c>
      <c r="Z357" s="9" t="s">
        <v>39</v>
      </c>
      <c r="AA357" s="9">
        <v>15933075</v>
      </c>
      <c r="AB357" s="9">
        <v>78070</v>
      </c>
      <c r="AC357" s="9" t="s">
        <v>41</v>
      </c>
      <c r="AD357" s="9" t="s">
        <v>134</v>
      </c>
      <c r="AE357" s="9" t="s">
        <v>135</v>
      </c>
      <c r="AF357" s="9" t="s">
        <v>135</v>
      </c>
      <c r="AG357" s="14" t="str">
        <f t="shared" si="12"/>
        <v>EXAMENES RADIOLOGICOS</v>
      </c>
      <c r="AH357" s="9">
        <v>0</v>
      </c>
      <c r="AI357" s="9">
        <v>0</v>
      </c>
      <c r="AJ357" s="9">
        <v>71614000</v>
      </c>
      <c r="AK357" s="9">
        <v>8</v>
      </c>
      <c r="AL357" s="26" t="s">
        <v>52</v>
      </c>
      <c r="AM357" s="14" t="s">
        <v>588</v>
      </c>
      <c r="AN357" s="27" t="str">
        <f t="shared" si="13"/>
        <v>15933075|71614000|371084929|65384347</v>
      </c>
      <c r="AO357" t="s">
        <v>44</v>
      </c>
      <c r="AP357" t="b">
        <v>0</v>
      </c>
      <c r="AQ357" t="s">
        <v>763</v>
      </c>
    </row>
    <row r="358" spans="1:43" x14ac:dyDescent="0.2">
      <c r="A358" s="14" t="s">
        <v>500</v>
      </c>
      <c r="B358" s="17">
        <v>9209607</v>
      </c>
      <c r="C358" s="14" t="s">
        <v>251</v>
      </c>
      <c r="D358" s="9">
        <v>9209607</v>
      </c>
      <c r="E358" s="9" t="s">
        <v>251</v>
      </c>
      <c r="F358" s="7">
        <v>45658</v>
      </c>
      <c r="G358" s="20" t="s">
        <v>36</v>
      </c>
      <c r="H358" s="8">
        <v>371096865</v>
      </c>
      <c r="I358" s="19">
        <v>371096865</v>
      </c>
      <c r="J358" s="10">
        <v>77102</v>
      </c>
      <c r="K358" s="10">
        <v>54743</v>
      </c>
      <c r="L358" s="10">
        <v>22359</v>
      </c>
      <c r="M358" s="10">
        <v>0</v>
      </c>
      <c r="N358" s="11">
        <v>22359</v>
      </c>
      <c r="O358" s="12">
        <v>371096865</v>
      </c>
      <c r="P358" s="9">
        <v>285123</v>
      </c>
      <c r="Q358" s="9" t="s">
        <v>37</v>
      </c>
      <c r="R358" s="13">
        <v>45685</v>
      </c>
      <c r="S358" s="22">
        <v>45685</v>
      </c>
      <c r="T358" s="13">
        <v>45685</v>
      </c>
      <c r="U358" s="13">
        <v>45685</v>
      </c>
      <c r="V358" s="9" t="s">
        <v>47</v>
      </c>
      <c r="W358" s="9">
        <v>22560851</v>
      </c>
      <c r="X358" s="9">
        <v>2040929</v>
      </c>
      <c r="Y358" s="9">
        <v>68808791</v>
      </c>
      <c r="Z358" s="9" t="s">
        <v>39</v>
      </c>
      <c r="AA358" s="9">
        <v>2022025</v>
      </c>
      <c r="AB358" s="9">
        <v>77562</v>
      </c>
      <c r="AC358" s="9" t="s">
        <v>41</v>
      </c>
      <c r="AD358" s="9" t="s">
        <v>65</v>
      </c>
      <c r="AE358" s="9" t="s">
        <v>66</v>
      </c>
      <c r="AF358" s="9" t="s">
        <v>66</v>
      </c>
      <c r="AG358" s="14" t="str">
        <f t="shared" si="12"/>
        <v>PROCEDIMIENTOS TERAPEUTICOS</v>
      </c>
      <c r="AH358" s="9" t="s">
        <v>758</v>
      </c>
      <c r="AI358" s="9">
        <v>0</v>
      </c>
      <c r="AJ358" s="9">
        <v>96617350</v>
      </c>
      <c r="AK358" s="9">
        <v>5</v>
      </c>
      <c r="AL358" s="26" t="s">
        <v>238</v>
      </c>
      <c r="AM358" s="14" t="s">
        <v>587</v>
      </c>
      <c r="AN358" s="27" t="str">
        <f t="shared" si="13"/>
        <v>9209607|96617350|371096865|371096865</v>
      </c>
      <c r="AO358" t="s">
        <v>758</v>
      </c>
      <c r="AP358" t="b">
        <v>1</v>
      </c>
      <c r="AQ358" t="s">
        <v>764</v>
      </c>
    </row>
    <row r="359" spans="1:43" x14ac:dyDescent="0.2">
      <c r="A359" s="14" t="s">
        <v>500</v>
      </c>
      <c r="B359" s="17">
        <v>9209607</v>
      </c>
      <c r="C359" s="14" t="s">
        <v>251</v>
      </c>
      <c r="D359" s="9">
        <v>9209607</v>
      </c>
      <c r="E359" s="9" t="s">
        <v>251</v>
      </c>
      <c r="F359" s="7">
        <v>45717</v>
      </c>
      <c r="G359" s="20" t="s">
        <v>46</v>
      </c>
      <c r="H359" s="8">
        <v>371096865</v>
      </c>
      <c r="I359" s="19">
        <v>65383717</v>
      </c>
      <c r="J359" s="10">
        <v>22267</v>
      </c>
      <c r="K359" s="10">
        <v>0</v>
      </c>
      <c r="L359" s="10">
        <v>22267</v>
      </c>
      <c r="M359" s="10">
        <v>0</v>
      </c>
      <c r="N359" s="11">
        <v>22267</v>
      </c>
      <c r="O359" s="12">
        <v>371096865</v>
      </c>
      <c r="P359" s="9">
        <v>285123</v>
      </c>
      <c r="Q359" s="9" t="s">
        <v>37</v>
      </c>
      <c r="R359" s="13">
        <v>45717</v>
      </c>
      <c r="S359" s="22">
        <v>45742</v>
      </c>
      <c r="T359" s="13">
        <v>45685</v>
      </c>
      <c r="U359" s="13">
        <v>45685</v>
      </c>
      <c r="V359" s="9" t="s">
        <v>47</v>
      </c>
      <c r="W359" s="9">
        <v>22770448</v>
      </c>
      <c r="X359" s="9">
        <v>3311105</v>
      </c>
      <c r="Y359" s="9">
        <v>69250608</v>
      </c>
      <c r="Z359" s="9" t="s">
        <v>39</v>
      </c>
      <c r="AA359" s="9">
        <v>850008495</v>
      </c>
      <c r="AB359" s="9">
        <v>78070</v>
      </c>
      <c r="AC359" s="9" t="s">
        <v>41</v>
      </c>
      <c r="AD359" s="9" t="s">
        <v>65</v>
      </c>
      <c r="AE359" s="9" t="s">
        <v>66</v>
      </c>
      <c r="AF359" s="9" t="s">
        <v>66</v>
      </c>
      <c r="AG359" s="14" t="str">
        <f t="shared" si="12"/>
        <v>PROCEDIMIENTOS TERAPEUTICOS</v>
      </c>
      <c r="AH359" s="9">
        <v>0</v>
      </c>
      <c r="AI359" s="9">
        <v>0</v>
      </c>
      <c r="AJ359" s="9">
        <v>96617350</v>
      </c>
      <c r="AK359" s="9">
        <v>5</v>
      </c>
      <c r="AL359" s="26" t="s">
        <v>52</v>
      </c>
      <c r="AM359" s="14" t="s">
        <v>587</v>
      </c>
      <c r="AN359" s="27" t="str">
        <f t="shared" si="13"/>
        <v>9209607|96617350|371096865|65383717</v>
      </c>
      <c r="AO359" t="s">
        <v>44</v>
      </c>
      <c r="AP359" t="b">
        <v>0</v>
      </c>
      <c r="AQ359" t="s">
        <v>763</v>
      </c>
    </row>
    <row r="360" spans="1:43" x14ac:dyDescent="0.2">
      <c r="A360" s="14" t="s">
        <v>500</v>
      </c>
      <c r="B360" s="17">
        <v>15344033</v>
      </c>
      <c r="C360" s="14" t="s">
        <v>236</v>
      </c>
      <c r="D360" s="9">
        <v>15344033</v>
      </c>
      <c r="E360" s="9" t="s">
        <v>236</v>
      </c>
      <c r="F360" s="7">
        <v>45658</v>
      </c>
      <c r="G360" s="20" t="s">
        <v>36</v>
      </c>
      <c r="H360" s="8">
        <v>371132439</v>
      </c>
      <c r="I360" s="19">
        <v>371132439</v>
      </c>
      <c r="J360" s="10">
        <v>1423</v>
      </c>
      <c r="K360" s="10">
        <v>996</v>
      </c>
      <c r="L360" s="10">
        <v>427</v>
      </c>
      <c r="M360" s="10">
        <v>0</v>
      </c>
      <c r="N360" s="11">
        <v>427</v>
      </c>
      <c r="O360" s="12">
        <v>371132439</v>
      </c>
      <c r="P360" s="9">
        <v>285123</v>
      </c>
      <c r="Q360" s="9" t="s">
        <v>37</v>
      </c>
      <c r="R360" s="13">
        <v>45686</v>
      </c>
      <c r="S360" s="22">
        <v>45686</v>
      </c>
      <c r="T360" s="13">
        <v>45686</v>
      </c>
      <c r="U360" s="13">
        <v>45686</v>
      </c>
      <c r="V360" s="9" t="s">
        <v>47</v>
      </c>
      <c r="W360" s="9">
        <v>22560923</v>
      </c>
      <c r="X360" s="9">
        <v>2040929</v>
      </c>
      <c r="Y360" s="9">
        <v>68809241</v>
      </c>
      <c r="Z360" s="9" t="s">
        <v>39</v>
      </c>
      <c r="AA360" s="9">
        <v>2022025</v>
      </c>
      <c r="AB360" s="9">
        <v>77562</v>
      </c>
      <c r="AC360" s="9" t="s">
        <v>41</v>
      </c>
      <c r="AD360" s="9" t="s">
        <v>132</v>
      </c>
      <c r="AE360" s="9" t="s">
        <v>133</v>
      </c>
      <c r="AF360" s="9" t="s">
        <v>133</v>
      </c>
      <c r="AG360" s="14" t="str">
        <f t="shared" si="12"/>
        <v>EXAMENES DE LABORATORIO</v>
      </c>
      <c r="AH360" s="9" t="s">
        <v>758</v>
      </c>
      <c r="AI360" s="9">
        <v>0</v>
      </c>
      <c r="AJ360" s="9">
        <v>96530470</v>
      </c>
      <c r="AK360" s="9">
        <v>3</v>
      </c>
      <c r="AL360" s="26" t="s">
        <v>76</v>
      </c>
      <c r="AM360" s="14" t="s">
        <v>575</v>
      </c>
      <c r="AN360" s="27" t="str">
        <f t="shared" si="13"/>
        <v>15344033|96530470|371132439|371132439</v>
      </c>
      <c r="AO360" t="s">
        <v>758</v>
      </c>
      <c r="AP360" t="b">
        <v>1</v>
      </c>
      <c r="AQ360" t="s">
        <v>764</v>
      </c>
    </row>
    <row r="361" spans="1:43" x14ac:dyDescent="0.2">
      <c r="A361" s="14" t="s">
        <v>500</v>
      </c>
      <c r="B361" s="17">
        <v>15344033</v>
      </c>
      <c r="C361" s="14" t="s">
        <v>236</v>
      </c>
      <c r="D361" s="9">
        <v>15344033</v>
      </c>
      <c r="E361" s="9" t="s">
        <v>236</v>
      </c>
      <c r="F361" s="7">
        <v>45717</v>
      </c>
      <c r="G361" s="20" t="s">
        <v>46</v>
      </c>
      <c r="H361" s="8">
        <v>371132439</v>
      </c>
      <c r="I361" s="19">
        <v>65384273</v>
      </c>
      <c r="J361" s="10">
        <v>383</v>
      </c>
      <c r="K361" s="10">
        <v>0</v>
      </c>
      <c r="L361" s="10">
        <v>383</v>
      </c>
      <c r="M361" s="10">
        <v>0</v>
      </c>
      <c r="N361" s="11">
        <v>383</v>
      </c>
      <c r="O361" s="12">
        <v>371132439</v>
      </c>
      <c r="P361" s="9">
        <v>285123</v>
      </c>
      <c r="Q361" s="9" t="s">
        <v>37</v>
      </c>
      <c r="R361" s="13">
        <v>45717</v>
      </c>
      <c r="S361" s="22">
        <v>45742</v>
      </c>
      <c r="T361" s="13">
        <v>45686</v>
      </c>
      <c r="U361" s="13">
        <v>45686</v>
      </c>
      <c r="V361" s="9" t="s">
        <v>47</v>
      </c>
      <c r="W361" s="9">
        <v>22770464</v>
      </c>
      <c r="X361" s="9">
        <v>3311105</v>
      </c>
      <c r="Y361" s="9">
        <v>69251146</v>
      </c>
      <c r="Z361" s="9" t="s">
        <v>39</v>
      </c>
      <c r="AA361" s="9">
        <v>37507648</v>
      </c>
      <c r="AB361" s="9">
        <v>78070</v>
      </c>
      <c r="AC361" s="9" t="s">
        <v>41</v>
      </c>
      <c r="AD361" s="9" t="s">
        <v>132</v>
      </c>
      <c r="AE361" s="9" t="s">
        <v>133</v>
      </c>
      <c r="AF361" s="9" t="s">
        <v>133</v>
      </c>
      <c r="AG361" s="14" t="str">
        <f t="shared" si="12"/>
        <v>EXAMENES DE LABORATORIO</v>
      </c>
      <c r="AH361" s="9">
        <v>0</v>
      </c>
      <c r="AI361" s="9">
        <v>0</v>
      </c>
      <c r="AJ361" s="9">
        <v>96530470</v>
      </c>
      <c r="AK361" s="9">
        <v>3</v>
      </c>
      <c r="AL361" s="26" t="s">
        <v>52</v>
      </c>
      <c r="AM361" s="14" t="s">
        <v>575</v>
      </c>
      <c r="AN361" s="27" t="str">
        <f t="shared" si="13"/>
        <v>15344033|96530470|371132439|65384273</v>
      </c>
      <c r="AO361" t="s">
        <v>44</v>
      </c>
      <c r="AP361" t="b">
        <v>0</v>
      </c>
      <c r="AQ361" t="s">
        <v>763</v>
      </c>
    </row>
    <row r="362" spans="1:43" x14ac:dyDescent="0.2">
      <c r="A362" s="14" t="s">
        <v>500</v>
      </c>
      <c r="B362" s="17">
        <v>19204324</v>
      </c>
      <c r="C362" s="14" t="s">
        <v>253</v>
      </c>
      <c r="D362" s="9">
        <v>19204324</v>
      </c>
      <c r="E362" s="9" t="s">
        <v>253</v>
      </c>
      <c r="F362" s="7">
        <v>45658</v>
      </c>
      <c r="G362" s="20" t="s">
        <v>36</v>
      </c>
      <c r="H362" s="8">
        <v>371164415</v>
      </c>
      <c r="I362" s="19">
        <v>371164415</v>
      </c>
      <c r="J362" s="10">
        <v>33869</v>
      </c>
      <c r="K362" s="10">
        <v>23708</v>
      </c>
      <c r="L362" s="10">
        <v>10161</v>
      </c>
      <c r="M362" s="10">
        <v>0</v>
      </c>
      <c r="N362" s="11">
        <v>10161</v>
      </c>
      <c r="O362" s="12">
        <v>371164415</v>
      </c>
      <c r="P362" s="9">
        <v>285123</v>
      </c>
      <c r="Q362" s="9" t="s">
        <v>37</v>
      </c>
      <c r="R362" s="13">
        <v>45686</v>
      </c>
      <c r="S362" s="22">
        <v>45686</v>
      </c>
      <c r="T362" s="13">
        <v>45686</v>
      </c>
      <c r="U362" s="13">
        <v>45686</v>
      </c>
      <c r="V362" s="9" t="s">
        <v>58</v>
      </c>
      <c r="W362" s="9">
        <v>22560938</v>
      </c>
      <c r="X362" s="9">
        <v>2040929</v>
      </c>
      <c r="Y362" s="9">
        <v>68809746</v>
      </c>
      <c r="Z362" s="9" t="s">
        <v>39</v>
      </c>
      <c r="AA362" s="9">
        <v>2022025</v>
      </c>
      <c r="AB362" s="9">
        <v>77562</v>
      </c>
      <c r="AC362" s="9" t="s">
        <v>41</v>
      </c>
      <c r="AD362" s="9" t="s">
        <v>71</v>
      </c>
      <c r="AE362" s="9" t="s">
        <v>72</v>
      </c>
      <c r="AF362" s="9" t="s">
        <v>73</v>
      </c>
      <c r="AG362" s="14" t="str">
        <f t="shared" si="12"/>
        <v>CONSULTA PSIQUIATRICA</v>
      </c>
      <c r="AH362" s="9" t="s">
        <v>758</v>
      </c>
      <c r="AI362" s="9">
        <v>0</v>
      </c>
      <c r="AJ362" s="9">
        <v>60910000</v>
      </c>
      <c r="AK362" s="9">
        <v>1</v>
      </c>
      <c r="AL362" s="26" t="s">
        <v>76</v>
      </c>
      <c r="AM362" s="14" t="s">
        <v>589</v>
      </c>
      <c r="AN362" s="27" t="str">
        <f t="shared" si="13"/>
        <v>19204324|60910000|371164415|371164415</v>
      </c>
      <c r="AO362" t="s">
        <v>758</v>
      </c>
      <c r="AP362" t="b">
        <v>1</v>
      </c>
      <c r="AQ362" t="s">
        <v>764</v>
      </c>
    </row>
    <row r="363" spans="1:43" x14ac:dyDescent="0.2">
      <c r="A363" s="14" t="s">
        <v>500</v>
      </c>
      <c r="B363" s="17">
        <v>19204324</v>
      </c>
      <c r="C363" s="14" t="s">
        <v>253</v>
      </c>
      <c r="D363" s="9">
        <v>19204324</v>
      </c>
      <c r="E363" s="9" t="s">
        <v>253</v>
      </c>
      <c r="F363" s="7">
        <v>45717</v>
      </c>
      <c r="G363" s="20" t="s">
        <v>46</v>
      </c>
      <c r="H363" s="8">
        <v>371164415</v>
      </c>
      <c r="I363" s="19">
        <v>65384478</v>
      </c>
      <c r="J363" s="10">
        <v>9981</v>
      </c>
      <c r="K363" s="10">
        <v>0</v>
      </c>
      <c r="L363" s="10">
        <v>9981</v>
      </c>
      <c r="M363" s="10">
        <v>0</v>
      </c>
      <c r="N363" s="11">
        <v>9981</v>
      </c>
      <c r="O363" s="12">
        <v>371164415</v>
      </c>
      <c r="P363" s="9">
        <v>285123</v>
      </c>
      <c r="Q363" s="9" t="s">
        <v>37</v>
      </c>
      <c r="R363" s="13">
        <v>45717</v>
      </c>
      <c r="S363" s="22">
        <v>45742</v>
      </c>
      <c r="T363" s="13">
        <v>45686</v>
      </c>
      <c r="U363" s="13">
        <v>45686</v>
      </c>
      <c r="V363" s="9" t="s">
        <v>58</v>
      </c>
      <c r="W363" s="9">
        <v>22770466</v>
      </c>
      <c r="X363" s="9">
        <v>3311105</v>
      </c>
      <c r="Y363" s="9">
        <v>69251344</v>
      </c>
      <c r="Z363" s="9" t="s">
        <v>39</v>
      </c>
      <c r="AA363" s="9">
        <v>19204324</v>
      </c>
      <c r="AB363" s="9">
        <v>78070</v>
      </c>
      <c r="AC363" s="9" t="s">
        <v>41</v>
      </c>
      <c r="AD363" s="9" t="s">
        <v>71</v>
      </c>
      <c r="AE363" s="9" t="s">
        <v>72</v>
      </c>
      <c r="AF363" s="9" t="s">
        <v>73</v>
      </c>
      <c r="AG363" s="14" t="str">
        <f t="shared" si="12"/>
        <v>CONSULTA PSIQUIATRICA</v>
      </c>
      <c r="AH363" s="9">
        <v>0</v>
      </c>
      <c r="AI363" s="9">
        <v>0</v>
      </c>
      <c r="AJ363" s="9">
        <v>60910000</v>
      </c>
      <c r="AK363" s="9">
        <v>1</v>
      </c>
      <c r="AL363" s="26" t="s">
        <v>52</v>
      </c>
      <c r="AM363" s="14" t="s">
        <v>589</v>
      </c>
      <c r="AN363" s="27" t="str">
        <f t="shared" si="13"/>
        <v>19204324|60910000|371164415|65384478</v>
      </c>
      <c r="AO363" t="s">
        <v>44</v>
      </c>
      <c r="AP363" t="b">
        <v>0</v>
      </c>
      <c r="AQ363" t="s">
        <v>763</v>
      </c>
    </row>
    <row r="364" spans="1:43" x14ac:dyDescent="0.2">
      <c r="A364" s="14" t="s">
        <v>500</v>
      </c>
      <c r="B364" s="17">
        <v>17408534</v>
      </c>
      <c r="C364" s="14" t="s">
        <v>254</v>
      </c>
      <c r="D364" s="9">
        <v>17408534</v>
      </c>
      <c r="E364" s="9" t="s">
        <v>254</v>
      </c>
      <c r="F364" s="7">
        <v>45658</v>
      </c>
      <c r="G364" s="20" t="s">
        <v>36</v>
      </c>
      <c r="H364" s="8">
        <v>371184002</v>
      </c>
      <c r="I364" s="19">
        <v>371184002</v>
      </c>
      <c r="J364" s="10">
        <v>65473</v>
      </c>
      <c r="K364" s="10">
        <v>49106</v>
      </c>
      <c r="L364" s="10">
        <v>16367</v>
      </c>
      <c r="M364" s="10">
        <v>0</v>
      </c>
      <c r="N364" s="11">
        <v>16367</v>
      </c>
      <c r="O364" s="12">
        <v>371184002</v>
      </c>
      <c r="P364" s="9">
        <v>285123</v>
      </c>
      <c r="Q364" s="9" t="s">
        <v>37</v>
      </c>
      <c r="R364" s="13">
        <v>45687</v>
      </c>
      <c r="S364" s="22">
        <v>45687</v>
      </c>
      <c r="T364" s="13">
        <v>45687</v>
      </c>
      <c r="U364" s="13">
        <v>45687</v>
      </c>
      <c r="V364" s="9" t="s">
        <v>47</v>
      </c>
      <c r="W364" s="9">
        <v>22560980</v>
      </c>
      <c r="X364" s="9">
        <v>2040929</v>
      </c>
      <c r="Y364" s="9">
        <v>68810080</v>
      </c>
      <c r="Z364" s="9" t="s">
        <v>39</v>
      </c>
      <c r="AA364" s="9">
        <v>2022025</v>
      </c>
      <c r="AB364" s="9">
        <v>77562</v>
      </c>
      <c r="AC364" s="9" t="s">
        <v>41</v>
      </c>
      <c r="AD364" s="9" t="s">
        <v>134</v>
      </c>
      <c r="AE364" s="9" t="s">
        <v>135</v>
      </c>
      <c r="AF364" s="9" t="s">
        <v>135</v>
      </c>
      <c r="AG364" s="14" t="str">
        <f t="shared" si="12"/>
        <v>EXAMENES RADIOLOGICOS</v>
      </c>
      <c r="AH364" s="9" t="s">
        <v>758</v>
      </c>
      <c r="AI364" s="9">
        <v>0</v>
      </c>
      <c r="AJ364" s="9">
        <v>76055963</v>
      </c>
      <c r="AK364" s="9">
        <v>6</v>
      </c>
      <c r="AL364" s="26" t="s">
        <v>76</v>
      </c>
      <c r="AM364" s="14" t="s">
        <v>521</v>
      </c>
      <c r="AN364" s="27" t="str">
        <f t="shared" si="13"/>
        <v>17408534|76055963|371184002|371184002</v>
      </c>
      <c r="AO364" t="s">
        <v>758</v>
      </c>
      <c r="AP364" t="b">
        <v>1</v>
      </c>
      <c r="AQ364" t="s">
        <v>764</v>
      </c>
    </row>
    <row r="365" spans="1:43" x14ac:dyDescent="0.2">
      <c r="A365" s="14" t="s">
        <v>500</v>
      </c>
      <c r="B365" s="17">
        <v>17408534</v>
      </c>
      <c r="C365" s="14" t="s">
        <v>136</v>
      </c>
      <c r="D365" s="9">
        <v>17408534</v>
      </c>
      <c r="E365" s="9" t="s">
        <v>136</v>
      </c>
      <c r="F365" s="7">
        <v>45717</v>
      </c>
      <c r="G365" s="20" t="s">
        <v>46</v>
      </c>
      <c r="H365" s="8">
        <v>371184002</v>
      </c>
      <c r="I365" s="19">
        <v>65384416</v>
      </c>
      <c r="J365" s="10">
        <v>16890</v>
      </c>
      <c r="K365" s="10">
        <v>0</v>
      </c>
      <c r="L365" s="10">
        <v>16890</v>
      </c>
      <c r="M365" s="10">
        <v>0</v>
      </c>
      <c r="N365" s="11">
        <v>16890</v>
      </c>
      <c r="O365" s="12">
        <v>371184002</v>
      </c>
      <c r="P365" s="9">
        <v>285123</v>
      </c>
      <c r="Q365" s="9" t="s">
        <v>37</v>
      </c>
      <c r="R365" s="13">
        <v>45717</v>
      </c>
      <c r="S365" s="22">
        <v>45742</v>
      </c>
      <c r="T365" s="13">
        <v>45687</v>
      </c>
      <c r="U365" s="13">
        <v>45687</v>
      </c>
      <c r="V365" s="9" t="s">
        <v>47</v>
      </c>
      <c r="W365" s="9">
        <v>22770476</v>
      </c>
      <c r="X365" s="9">
        <v>3311105</v>
      </c>
      <c r="Y365" s="9">
        <v>69251286</v>
      </c>
      <c r="Z365" s="9" t="s">
        <v>39</v>
      </c>
      <c r="AA365" s="9">
        <v>65704633</v>
      </c>
      <c r="AB365" s="9">
        <v>78070</v>
      </c>
      <c r="AC365" s="9" t="s">
        <v>41</v>
      </c>
      <c r="AD365" s="9" t="s">
        <v>134</v>
      </c>
      <c r="AE365" s="9" t="s">
        <v>135</v>
      </c>
      <c r="AF365" s="9" t="s">
        <v>135</v>
      </c>
      <c r="AG365" s="14" t="str">
        <f t="shared" si="12"/>
        <v>EXAMENES RADIOLOGICOS</v>
      </c>
      <c r="AH365" s="9">
        <v>0</v>
      </c>
      <c r="AI365" s="9">
        <v>0</v>
      </c>
      <c r="AJ365" s="9">
        <v>76055963</v>
      </c>
      <c r="AK365" s="9">
        <v>6</v>
      </c>
      <c r="AL365" s="26" t="s">
        <v>52</v>
      </c>
      <c r="AM365" s="14" t="s">
        <v>521</v>
      </c>
      <c r="AN365" s="27" t="str">
        <f t="shared" si="13"/>
        <v>17408534|76055963|371184002|65384416</v>
      </c>
      <c r="AO365" t="s">
        <v>44</v>
      </c>
      <c r="AP365" t="b">
        <v>0</v>
      </c>
      <c r="AQ365" t="s">
        <v>763</v>
      </c>
    </row>
    <row r="366" spans="1:43" x14ac:dyDescent="0.2">
      <c r="A366" s="14" t="s">
        <v>500</v>
      </c>
      <c r="B366" s="17">
        <v>12097117</v>
      </c>
      <c r="C366" s="14" t="s">
        <v>255</v>
      </c>
      <c r="D366" s="9">
        <v>12097117</v>
      </c>
      <c r="E366" s="9" t="s">
        <v>255</v>
      </c>
      <c r="F366" s="7">
        <v>45658</v>
      </c>
      <c r="G366" s="20" t="s">
        <v>36</v>
      </c>
      <c r="H366" s="8">
        <v>371187102</v>
      </c>
      <c r="I366" s="19">
        <v>371187102</v>
      </c>
      <c r="J366" s="10">
        <v>52364</v>
      </c>
      <c r="K366" s="10">
        <v>36655</v>
      </c>
      <c r="L366" s="10">
        <v>15709</v>
      </c>
      <c r="M366" s="10">
        <v>0</v>
      </c>
      <c r="N366" s="11">
        <v>15709</v>
      </c>
      <c r="O366" s="12">
        <v>371187102</v>
      </c>
      <c r="P366" s="9">
        <v>285123</v>
      </c>
      <c r="Q366" s="9" t="s">
        <v>37</v>
      </c>
      <c r="R366" s="13">
        <v>45687</v>
      </c>
      <c r="S366" s="22">
        <v>45687</v>
      </c>
      <c r="T366" s="13">
        <v>45687</v>
      </c>
      <c r="U366" s="13">
        <v>45687</v>
      </c>
      <c r="V366" s="9" t="s">
        <v>47</v>
      </c>
      <c r="W366" s="9">
        <v>22560960</v>
      </c>
      <c r="X366" s="9">
        <v>2040929</v>
      </c>
      <c r="Y366" s="9">
        <v>68810148</v>
      </c>
      <c r="Z366" s="9" t="s">
        <v>39</v>
      </c>
      <c r="AA366" s="9">
        <v>2022025</v>
      </c>
      <c r="AB366" s="9">
        <v>77562</v>
      </c>
      <c r="AC366" s="9" t="s">
        <v>41</v>
      </c>
      <c r="AD366" s="9" t="s">
        <v>134</v>
      </c>
      <c r="AE366" s="9" t="s">
        <v>135</v>
      </c>
      <c r="AF366" s="9" t="s">
        <v>135</v>
      </c>
      <c r="AG366" s="14" t="str">
        <f t="shared" si="12"/>
        <v>EXAMENES RADIOLOGICOS</v>
      </c>
      <c r="AH366" s="9" t="s">
        <v>758</v>
      </c>
      <c r="AI366" s="9">
        <v>0</v>
      </c>
      <c r="AJ366" s="9">
        <v>70095900</v>
      </c>
      <c r="AK366" s="9">
        <v>7</v>
      </c>
      <c r="AL366" s="26" t="s">
        <v>238</v>
      </c>
      <c r="AM366" s="14" t="s">
        <v>590</v>
      </c>
      <c r="AN366" s="27" t="str">
        <f t="shared" si="13"/>
        <v>12097117|70095900|371187102|371187102</v>
      </c>
      <c r="AO366" t="s">
        <v>758</v>
      </c>
      <c r="AP366" t="b">
        <v>1</v>
      </c>
      <c r="AQ366" t="s">
        <v>764</v>
      </c>
    </row>
    <row r="367" spans="1:43" x14ac:dyDescent="0.2">
      <c r="A367" s="14" t="s">
        <v>500</v>
      </c>
      <c r="B367" s="17">
        <v>12097117</v>
      </c>
      <c r="C367" s="14" t="s">
        <v>255</v>
      </c>
      <c r="D367" s="9">
        <v>12097117</v>
      </c>
      <c r="E367" s="9" t="s">
        <v>255</v>
      </c>
      <c r="F367" s="7">
        <v>45717</v>
      </c>
      <c r="G367" s="20" t="s">
        <v>46</v>
      </c>
      <c r="H367" s="8">
        <v>371187102</v>
      </c>
      <c r="I367" s="19">
        <v>65383987</v>
      </c>
      <c r="J367" s="10">
        <v>15737</v>
      </c>
      <c r="K367" s="10">
        <v>0</v>
      </c>
      <c r="L367" s="10">
        <v>15737</v>
      </c>
      <c r="M367" s="10">
        <v>0</v>
      </c>
      <c r="N367" s="11">
        <v>15737</v>
      </c>
      <c r="O367" s="12">
        <v>371187102</v>
      </c>
      <c r="P367" s="9">
        <v>285123</v>
      </c>
      <c r="Q367" s="9" t="s">
        <v>37</v>
      </c>
      <c r="R367" s="13">
        <v>45717</v>
      </c>
      <c r="S367" s="22">
        <v>45742</v>
      </c>
      <c r="T367" s="13">
        <v>45687</v>
      </c>
      <c r="U367" s="13">
        <v>45687</v>
      </c>
      <c r="V367" s="9" t="s">
        <v>47</v>
      </c>
      <c r="W367" s="9">
        <v>22770470</v>
      </c>
      <c r="X367" s="9">
        <v>3311105</v>
      </c>
      <c r="Y367" s="9">
        <v>69250875</v>
      </c>
      <c r="Z367" s="9" t="s">
        <v>39</v>
      </c>
      <c r="AA367" s="9">
        <v>14251405</v>
      </c>
      <c r="AB367" s="9">
        <v>78070</v>
      </c>
      <c r="AC367" s="9" t="s">
        <v>41</v>
      </c>
      <c r="AD367" s="9" t="s">
        <v>134</v>
      </c>
      <c r="AE367" s="9" t="s">
        <v>135</v>
      </c>
      <c r="AF367" s="9" t="s">
        <v>135</v>
      </c>
      <c r="AG367" s="14" t="str">
        <f t="shared" si="12"/>
        <v>EXAMENES RADIOLOGICOS</v>
      </c>
      <c r="AH367" s="9">
        <v>0</v>
      </c>
      <c r="AI367" s="9">
        <v>0</v>
      </c>
      <c r="AJ367" s="9">
        <v>70095900</v>
      </c>
      <c r="AK367" s="9">
        <v>7</v>
      </c>
      <c r="AL367" s="26" t="s">
        <v>52</v>
      </c>
      <c r="AM367" s="14" t="s">
        <v>590</v>
      </c>
      <c r="AN367" s="27" t="str">
        <f t="shared" si="13"/>
        <v>12097117|70095900|371187102|65383987</v>
      </c>
      <c r="AO367" t="s">
        <v>44</v>
      </c>
      <c r="AP367" t="b">
        <v>0</v>
      </c>
      <c r="AQ367" t="s">
        <v>763</v>
      </c>
    </row>
    <row r="368" spans="1:43" x14ac:dyDescent="0.2">
      <c r="A368" s="14" t="s">
        <v>500</v>
      </c>
      <c r="B368" s="17">
        <v>12097117</v>
      </c>
      <c r="C368" s="14" t="s">
        <v>255</v>
      </c>
      <c r="D368" s="9">
        <v>12097117</v>
      </c>
      <c r="E368" s="9" t="s">
        <v>255</v>
      </c>
      <c r="F368" s="7">
        <v>45658</v>
      </c>
      <c r="G368" s="20" t="s">
        <v>36</v>
      </c>
      <c r="H368" s="8">
        <v>371196291</v>
      </c>
      <c r="I368" s="19">
        <v>371196291</v>
      </c>
      <c r="J368" s="10">
        <v>18876</v>
      </c>
      <c r="K368" s="10">
        <v>13213</v>
      </c>
      <c r="L368" s="10">
        <v>5663</v>
      </c>
      <c r="M368" s="10">
        <v>0</v>
      </c>
      <c r="N368" s="11">
        <v>5663</v>
      </c>
      <c r="O368" s="12">
        <v>371196291</v>
      </c>
      <c r="P368" s="9">
        <v>285123</v>
      </c>
      <c r="Q368" s="9" t="s">
        <v>37</v>
      </c>
      <c r="R368" s="13">
        <v>45687</v>
      </c>
      <c r="S368" s="22">
        <v>45687</v>
      </c>
      <c r="T368" s="13">
        <v>45687</v>
      </c>
      <c r="U368" s="13">
        <v>45687</v>
      </c>
      <c r="V368" s="9" t="s">
        <v>47</v>
      </c>
      <c r="W368" s="9">
        <v>22560960</v>
      </c>
      <c r="X368" s="9">
        <v>2040929</v>
      </c>
      <c r="Y368" s="9">
        <v>68810314</v>
      </c>
      <c r="Z368" s="9" t="s">
        <v>39</v>
      </c>
      <c r="AA368" s="9">
        <v>2022025</v>
      </c>
      <c r="AB368" s="9">
        <v>77562</v>
      </c>
      <c r="AC368" s="9" t="s">
        <v>41</v>
      </c>
      <c r="AD368" s="9" t="s">
        <v>134</v>
      </c>
      <c r="AE368" s="9" t="s">
        <v>135</v>
      </c>
      <c r="AF368" s="9" t="s">
        <v>135</v>
      </c>
      <c r="AG368" s="14" t="str">
        <f t="shared" si="12"/>
        <v>EXAMENES RADIOLOGICOS</v>
      </c>
      <c r="AH368" s="9" t="s">
        <v>758</v>
      </c>
      <c r="AI368" s="9">
        <v>0</v>
      </c>
      <c r="AJ368" s="9">
        <v>70095900</v>
      </c>
      <c r="AK368" s="9">
        <v>7</v>
      </c>
      <c r="AL368" s="26" t="s">
        <v>238</v>
      </c>
      <c r="AM368" s="14" t="s">
        <v>590</v>
      </c>
      <c r="AN368" s="27" t="str">
        <f t="shared" si="13"/>
        <v>12097117|70095900|371196291|371196291</v>
      </c>
      <c r="AO368" t="s">
        <v>758</v>
      </c>
      <c r="AP368" t="b">
        <v>1</v>
      </c>
      <c r="AQ368" t="s">
        <v>764</v>
      </c>
    </row>
    <row r="369" spans="1:43" x14ac:dyDescent="0.2">
      <c r="A369" s="14" t="s">
        <v>500</v>
      </c>
      <c r="B369" s="17">
        <v>12097117</v>
      </c>
      <c r="C369" s="14" t="s">
        <v>255</v>
      </c>
      <c r="D369" s="9">
        <v>12097117</v>
      </c>
      <c r="E369" s="9" t="s">
        <v>255</v>
      </c>
      <c r="F369" s="7">
        <v>45717</v>
      </c>
      <c r="G369" s="20" t="s">
        <v>46</v>
      </c>
      <c r="H369" s="8">
        <v>371196291</v>
      </c>
      <c r="I369" s="19">
        <v>65383988</v>
      </c>
      <c r="J369" s="10">
        <v>5758</v>
      </c>
      <c r="K369" s="10">
        <v>0</v>
      </c>
      <c r="L369" s="10">
        <v>5758</v>
      </c>
      <c r="M369" s="10">
        <v>0</v>
      </c>
      <c r="N369" s="11">
        <v>5758</v>
      </c>
      <c r="O369" s="12">
        <v>371196291</v>
      </c>
      <c r="P369" s="9">
        <v>285123</v>
      </c>
      <c r="Q369" s="9" t="s">
        <v>37</v>
      </c>
      <c r="R369" s="13">
        <v>45717</v>
      </c>
      <c r="S369" s="22">
        <v>45742</v>
      </c>
      <c r="T369" s="13">
        <v>45687</v>
      </c>
      <c r="U369" s="13">
        <v>45687</v>
      </c>
      <c r="V369" s="9" t="s">
        <v>47</v>
      </c>
      <c r="W369" s="9">
        <v>22770470</v>
      </c>
      <c r="X369" s="9">
        <v>3311105</v>
      </c>
      <c r="Y369" s="9">
        <v>69250876</v>
      </c>
      <c r="Z369" s="9" t="s">
        <v>39</v>
      </c>
      <c r="AA369" s="9">
        <v>14251405</v>
      </c>
      <c r="AB369" s="9">
        <v>78070</v>
      </c>
      <c r="AC369" s="9" t="s">
        <v>41</v>
      </c>
      <c r="AD369" s="9" t="s">
        <v>134</v>
      </c>
      <c r="AE369" s="9" t="s">
        <v>135</v>
      </c>
      <c r="AF369" s="9" t="s">
        <v>135</v>
      </c>
      <c r="AG369" s="14" t="str">
        <f t="shared" si="12"/>
        <v>EXAMENES RADIOLOGICOS</v>
      </c>
      <c r="AH369" s="9">
        <v>0</v>
      </c>
      <c r="AI369" s="9">
        <v>0</v>
      </c>
      <c r="AJ369" s="9">
        <v>70095900</v>
      </c>
      <c r="AK369" s="9">
        <v>7</v>
      </c>
      <c r="AL369" s="26" t="s">
        <v>52</v>
      </c>
      <c r="AM369" s="14" t="s">
        <v>590</v>
      </c>
      <c r="AN369" s="27" t="str">
        <f t="shared" si="13"/>
        <v>12097117|70095900|371196291|65383988</v>
      </c>
      <c r="AO369" t="s">
        <v>44</v>
      </c>
      <c r="AP369" t="b">
        <v>0</v>
      </c>
      <c r="AQ369" t="s">
        <v>763</v>
      </c>
    </row>
    <row r="370" spans="1:43" x14ac:dyDescent="0.2">
      <c r="A370" s="14" t="s">
        <v>500</v>
      </c>
      <c r="B370" s="17">
        <v>15510748</v>
      </c>
      <c r="C370" s="14" t="s">
        <v>256</v>
      </c>
      <c r="D370" s="9">
        <v>16615487</v>
      </c>
      <c r="E370" s="9" t="s">
        <v>257</v>
      </c>
      <c r="F370" s="7">
        <v>45658</v>
      </c>
      <c r="G370" s="20" t="s">
        <v>36</v>
      </c>
      <c r="H370" s="8">
        <v>371198062</v>
      </c>
      <c r="I370" s="19">
        <v>371198062</v>
      </c>
      <c r="J370" s="10">
        <v>42027</v>
      </c>
      <c r="K370" s="10">
        <v>29420</v>
      </c>
      <c r="L370" s="10">
        <v>12607</v>
      </c>
      <c r="M370" s="10">
        <v>0</v>
      </c>
      <c r="N370" s="11">
        <v>12607</v>
      </c>
      <c r="O370" s="12">
        <v>371198062</v>
      </c>
      <c r="P370" s="9">
        <v>285123</v>
      </c>
      <c r="Q370" s="9" t="s">
        <v>37</v>
      </c>
      <c r="R370" s="13">
        <v>45687</v>
      </c>
      <c r="S370" s="22">
        <v>45687</v>
      </c>
      <c r="T370" s="13">
        <v>45687</v>
      </c>
      <c r="U370" s="13">
        <v>45687</v>
      </c>
      <c r="V370" s="9" t="s">
        <v>47</v>
      </c>
      <c r="W370" s="9">
        <v>22560974</v>
      </c>
      <c r="X370" s="9">
        <v>2040929</v>
      </c>
      <c r="Y370" s="9">
        <v>68810349</v>
      </c>
      <c r="Z370" s="9" t="s">
        <v>39</v>
      </c>
      <c r="AA370" s="9">
        <v>2022025</v>
      </c>
      <c r="AB370" s="9">
        <v>77562</v>
      </c>
      <c r="AC370" s="9" t="s">
        <v>41</v>
      </c>
      <c r="AD370" s="9" t="s">
        <v>132</v>
      </c>
      <c r="AE370" s="9" t="s">
        <v>133</v>
      </c>
      <c r="AF370" s="9" t="s">
        <v>133</v>
      </c>
      <c r="AG370" s="14" t="str">
        <f t="shared" si="12"/>
        <v>EXAMENES DE LABORATORIO</v>
      </c>
      <c r="AH370" s="9" t="s">
        <v>758</v>
      </c>
      <c r="AI370" s="9">
        <v>0</v>
      </c>
      <c r="AJ370" s="9">
        <v>96530470</v>
      </c>
      <c r="AK370" s="9">
        <v>3</v>
      </c>
      <c r="AL370" s="26" t="s">
        <v>76</v>
      </c>
      <c r="AM370" s="14" t="s">
        <v>591</v>
      </c>
      <c r="AN370" s="27" t="str">
        <f t="shared" si="13"/>
        <v>15510748|96530470|371198062|371198062</v>
      </c>
      <c r="AO370" t="s">
        <v>758</v>
      </c>
      <c r="AP370" t="b">
        <v>1</v>
      </c>
      <c r="AQ370" t="s">
        <v>764</v>
      </c>
    </row>
    <row r="371" spans="1:43" x14ac:dyDescent="0.2">
      <c r="A371" s="14" t="s">
        <v>500</v>
      </c>
      <c r="B371" s="17">
        <v>15510748</v>
      </c>
      <c r="C371" s="14" t="s">
        <v>256</v>
      </c>
      <c r="D371" s="9">
        <v>16615487</v>
      </c>
      <c r="E371" s="9" t="s">
        <v>257</v>
      </c>
      <c r="F371" s="7">
        <v>45717</v>
      </c>
      <c r="G371" s="20" t="s">
        <v>46</v>
      </c>
      <c r="H371" s="8">
        <v>371198062</v>
      </c>
      <c r="I371" s="19">
        <v>65384298</v>
      </c>
      <c r="J371" s="10">
        <v>12281</v>
      </c>
      <c r="K371" s="10">
        <v>0</v>
      </c>
      <c r="L371" s="10">
        <v>12281</v>
      </c>
      <c r="M371" s="10">
        <v>0</v>
      </c>
      <c r="N371" s="11">
        <v>12281</v>
      </c>
      <c r="O371" s="12">
        <v>371198062</v>
      </c>
      <c r="P371" s="9">
        <v>285123</v>
      </c>
      <c r="Q371" s="9" t="s">
        <v>37</v>
      </c>
      <c r="R371" s="13">
        <v>45717</v>
      </c>
      <c r="S371" s="22">
        <v>45742</v>
      </c>
      <c r="T371" s="13">
        <v>45687</v>
      </c>
      <c r="U371" s="13">
        <v>45687</v>
      </c>
      <c r="V371" s="9" t="s">
        <v>47</v>
      </c>
      <c r="W371" s="9">
        <v>22770475</v>
      </c>
      <c r="X371" s="9">
        <v>3311105</v>
      </c>
      <c r="Y371" s="9">
        <v>69251181</v>
      </c>
      <c r="Z371" s="9" t="s">
        <v>39</v>
      </c>
      <c r="AA371" s="9">
        <v>104294701</v>
      </c>
      <c r="AB371" s="9">
        <v>78070</v>
      </c>
      <c r="AC371" s="9" t="s">
        <v>41</v>
      </c>
      <c r="AD371" s="9" t="s">
        <v>132</v>
      </c>
      <c r="AE371" s="9" t="s">
        <v>133</v>
      </c>
      <c r="AF371" s="9" t="s">
        <v>133</v>
      </c>
      <c r="AG371" s="14" t="str">
        <f t="shared" si="12"/>
        <v>EXAMENES DE LABORATORIO</v>
      </c>
      <c r="AH371" s="9">
        <v>0</v>
      </c>
      <c r="AI371" s="9">
        <v>0</v>
      </c>
      <c r="AJ371" s="9">
        <v>96530470</v>
      </c>
      <c r="AK371" s="9">
        <v>3</v>
      </c>
      <c r="AL371" s="26" t="s">
        <v>52</v>
      </c>
      <c r="AM371" s="14" t="s">
        <v>591</v>
      </c>
      <c r="AN371" s="27" t="str">
        <f t="shared" si="13"/>
        <v>15510748|96530470|371198062|65384298</v>
      </c>
      <c r="AO371" t="s">
        <v>44</v>
      </c>
      <c r="AP371" t="b">
        <v>0</v>
      </c>
      <c r="AQ371" t="s">
        <v>763</v>
      </c>
    </row>
    <row r="372" spans="1:43" x14ac:dyDescent="0.2">
      <c r="A372" s="14" t="s">
        <v>500</v>
      </c>
      <c r="B372" s="17">
        <v>17816435</v>
      </c>
      <c r="C372" s="14" t="s">
        <v>258</v>
      </c>
      <c r="D372" s="9">
        <v>17816435</v>
      </c>
      <c r="E372" s="9" t="s">
        <v>258</v>
      </c>
      <c r="F372" s="7">
        <v>45658</v>
      </c>
      <c r="G372" s="20" t="s">
        <v>36</v>
      </c>
      <c r="H372" s="8">
        <v>371225448</v>
      </c>
      <c r="I372" s="19">
        <v>371225448</v>
      </c>
      <c r="J372" s="10">
        <v>33472</v>
      </c>
      <c r="K372" s="10">
        <v>23430</v>
      </c>
      <c r="L372" s="10">
        <v>10042</v>
      </c>
      <c r="M372" s="10">
        <v>0</v>
      </c>
      <c r="N372" s="11">
        <v>10042</v>
      </c>
      <c r="O372" s="12">
        <v>371225448</v>
      </c>
      <c r="P372" s="9">
        <v>285123</v>
      </c>
      <c r="Q372" s="9" t="s">
        <v>37</v>
      </c>
      <c r="R372" s="13">
        <v>45688</v>
      </c>
      <c r="S372" s="22">
        <v>45688</v>
      </c>
      <c r="T372" s="13">
        <v>45688</v>
      </c>
      <c r="U372" s="13">
        <v>45688</v>
      </c>
      <c r="V372" s="9" t="s">
        <v>47</v>
      </c>
      <c r="W372" s="9">
        <v>22561025</v>
      </c>
      <c r="X372" s="9">
        <v>2040929</v>
      </c>
      <c r="Y372" s="9">
        <v>68810742</v>
      </c>
      <c r="Z372" s="9" t="s">
        <v>39</v>
      </c>
      <c r="AA372" s="9">
        <v>2022025</v>
      </c>
      <c r="AB372" s="9">
        <v>77562</v>
      </c>
      <c r="AC372" s="9" t="s">
        <v>41</v>
      </c>
      <c r="AD372" s="9" t="s">
        <v>132</v>
      </c>
      <c r="AE372" s="9" t="s">
        <v>133</v>
      </c>
      <c r="AF372" s="9" t="s">
        <v>133</v>
      </c>
      <c r="AG372" s="14" t="str">
        <f t="shared" ref="AG372:AG435" si="14">+AF372</f>
        <v>EXAMENES DE LABORATORIO</v>
      </c>
      <c r="AH372" s="9" t="s">
        <v>758</v>
      </c>
      <c r="AI372" s="9">
        <v>0</v>
      </c>
      <c r="AJ372" s="9">
        <v>99573490</v>
      </c>
      <c r="AK372" s="9">
        <v>7</v>
      </c>
      <c r="AL372" s="26" t="s">
        <v>76</v>
      </c>
      <c r="AM372" s="14" t="s">
        <v>592</v>
      </c>
      <c r="AN372" s="27" t="str">
        <f t="shared" si="13"/>
        <v>17816435|99573490|371225448|371225448</v>
      </c>
      <c r="AO372" t="s">
        <v>758</v>
      </c>
      <c r="AP372" t="b">
        <v>1</v>
      </c>
      <c r="AQ372" t="s">
        <v>764</v>
      </c>
    </row>
    <row r="373" spans="1:43" x14ac:dyDescent="0.2">
      <c r="A373" s="14" t="s">
        <v>500</v>
      </c>
      <c r="B373" s="17">
        <v>17816435</v>
      </c>
      <c r="C373" s="14" t="s">
        <v>258</v>
      </c>
      <c r="D373" s="9">
        <v>17816435</v>
      </c>
      <c r="E373" s="9" t="s">
        <v>258</v>
      </c>
      <c r="F373" s="7">
        <v>45717</v>
      </c>
      <c r="G373" s="20" t="s">
        <v>46</v>
      </c>
      <c r="H373" s="8">
        <v>371225448</v>
      </c>
      <c r="I373" s="19">
        <v>65384438</v>
      </c>
      <c r="J373" s="10">
        <v>9977</v>
      </c>
      <c r="K373" s="10">
        <v>0</v>
      </c>
      <c r="L373" s="10">
        <v>9977</v>
      </c>
      <c r="M373" s="10">
        <v>0</v>
      </c>
      <c r="N373" s="11">
        <v>9977</v>
      </c>
      <c r="O373" s="12">
        <v>371225448</v>
      </c>
      <c r="P373" s="9">
        <v>285123</v>
      </c>
      <c r="Q373" s="9" t="s">
        <v>37</v>
      </c>
      <c r="R373" s="13">
        <v>45717</v>
      </c>
      <c r="S373" s="22">
        <v>45742</v>
      </c>
      <c r="T373" s="13">
        <v>45688</v>
      </c>
      <c r="U373" s="13">
        <v>45688</v>
      </c>
      <c r="V373" s="9" t="s">
        <v>47</v>
      </c>
      <c r="W373" s="9">
        <v>22770489</v>
      </c>
      <c r="X373" s="9">
        <v>3311105</v>
      </c>
      <c r="Y373" s="9">
        <v>69251306</v>
      </c>
      <c r="Z373" s="9" t="s">
        <v>39</v>
      </c>
      <c r="AA373" s="9">
        <v>63306417</v>
      </c>
      <c r="AB373" s="9">
        <v>78070</v>
      </c>
      <c r="AC373" s="9" t="s">
        <v>41</v>
      </c>
      <c r="AD373" s="9" t="s">
        <v>132</v>
      </c>
      <c r="AE373" s="9" t="s">
        <v>133</v>
      </c>
      <c r="AF373" s="9" t="s">
        <v>133</v>
      </c>
      <c r="AG373" s="14" t="str">
        <f t="shared" si="14"/>
        <v>EXAMENES DE LABORATORIO</v>
      </c>
      <c r="AH373" s="9">
        <v>0</v>
      </c>
      <c r="AI373" s="9">
        <v>0</v>
      </c>
      <c r="AJ373" s="9">
        <v>99573490</v>
      </c>
      <c r="AK373" s="9">
        <v>7</v>
      </c>
      <c r="AL373" s="26" t="s">
        <v>52</v>
      </c>
      <c r="AM373" s="14" t="s">
        <v>592</v>
      </c>
      <c r="AN373" s="27" t="str">
        <f t="shared" si="13"/>
        <v>17816435|99573490|371225448|65384438</v>
      </c>
      <c r="AO373" t="s">
        <v>44</v>
      </c>
      <c r="AP373" t="b">
        <v>0</v>
      </c>
      <c r="AQ373" t="s">
        <v>763</v>
      </c>
    </row>
    <row r="374" spans="1:43" x14ac:dyDescent="0.2">
      <c r="A374" s="14" t="s">
        <v>500</v>
      </c>
      <c r="B374" s="17">
        <v>17816435</v>
      </c>
      <c r="C374" s="14" t="s">
        <v>258</v>
      </c>
      <c r="D374" s="9">
        <v>17816435</v>
      </c>
      <c r="E374" s="9" t="s">
        <v>258</v>
      </c>
      <c r="F374" s="7">
        <v>45658</v>
      </c>
      <c r="G374" s="20" t="s">
        <v>36</v>
      </c>
      <c r="H374" s="8">
        <v>371225449</v>
      </c>
      <c r="I374" s="19">
        <v>371225449</v>
      </c>
      <c r="J374" s="10">
        <v>44336</v>
      </c>
      <c r="K374" s="10">
        <v>31036</v>
      </c>
      <c r="L374" s="10">
        <v>13300</v>
      </c>
      <c r="M374" s="10">
        <v>0</v>
      </c>
      <c r="N374" s="11">
        <v>13300</v>
      </c>
      <c r="O374" s="12">
        <v>371225449</v>
      </c>
      <c r="P374" s="9">
        <v>285123</v>
      </c>
      <c r="Q374" s="9" t="s">
        <v>37</v>
      </c>
      <c r="R374" s="13">
        <v>45688</v>
      </c>
      <c r="S374" s="22">
        <v>45688</v>
      </c>
      <c r="T374" s="13">
        <v>45688</v>
      </c>
      <c r="U374" s="13">
        <v>45688</v>
      </c>
      <c r="V374" s="9" t="s">
        <v>47</v>
      </c>
      <c r="W374" s="9">
        <v>22561025</v>
      </c>
      <c r="X374" s="9">
        <v>2040929</v>
      </c>
      <c r="Y374" s="9">
        <v>68810741</v>
      </c>
      <c r="Z374" s="9" t="s">
        <v>39</v>
      </c>
      <c r="AA374" s="9">
        <v>2022025</v>
      </c>
      <c r="AB374" s="9">
        <v>77562</v>
      </c>
      <c r="AC374" s="9" t="s">
        <v>41</v>
      </c>
      <c r="AD374" s="9" t="s">
        <v>132</v>
      </c>
      <c r="AE374" s="9" t="s">
        <v>133</v>
      </c>
      <c r="AF374" s="9" t="s">
        <v>133</v>
      </c>
      <c r="AG374" s="14" t="str">
        <f t="shared" si="14"/>
        <v>EXAMENES DE LABORATORIO</v>
      </c>
      <c r="AH374" s="9" t="s">
        <v>758</v>
      </c>
      <c r="AI374" s="9">
        <v>0</v>
      </c>
      <c r="AJ374" s="9">
        <v>99573490</v>
      </c>
      <c r="AK374" s="9">
        <v>7</v>
      </c>
      <c r="AL374" s="26" t="s">
        <v>76</v>
      </c>
      <c r="AM374" s="14" t="s">
        <v>592</v>
      </c>
      <c r="AN374" s="27" t="str">
        <f t="shared" si="13"/>
        <v>17816435|99573490|371225449|371225449</v>
      </c>
      <c r="AO374" t="s">
        <v>758</v>
      </c>
      <c r="AP374" t="b">
        <v>1</v>
      </c>
      <c r="AQ374" t="s">
        <v>764</v>
      </c>
    </row>
    <row r="375" spans="1:43" x14ac:dyDescent="0.2">
      <c r="A375" s="14" t="s">
        <v>500</v>
      </c>
      <c r="B375" s="17">
        <v>17816435</v>
      </c>
      <c r="C375" s="14" t="s">
        <v>258</v>
      </c>
      <c r="D375" s="9">
        <v>17816435</v>
      </c>
      <c r="E375" s="9" t="s">
        <v>258</v>
      </c>
      <c r="F375" s="7">
        <v>45717</v>
      </c>
      <c r="G375" s="20" t="s">
        <v>46</v>
      </c>
      <c r="H375" s="8">
        <v>371225449</v>
      </c>
      <c r="I375" s="19">
        <v>65384439</v>
      </c>
      <c r="J375" s="10">
        <v>13432</v>
      </c>
      <c r="K375" s="10">
        <v>0</v>
      </c>
      <c r="L375" s="10">
        <v>13432</v>
      </c>
      <c r="M375" s="10">
        <v>0</v>
      </c>
      <c r="N375" s="11">
        <v>13432</v>
      </c>
      <c r="O375" s="12">
        <v>371225449</v>
      </c>
      <c r="P375" s="9">
        <v>285123</v>
      </c>
      <c r="Q375" s="9" t="s">
        <v>37</v>
      </c>
      <c r="R375" s="13">
        <v>45717</v>
      </c>
      <c r="S375" s="22">
        <v>45742</v>
      </c>
      <c r="T375" s="13">
        <v>45688</v>
      </c>
      <c r="U375" s="13">
        <v>45688</v>
      </c>
      <c r="V375" s="9" t="s">
        <v>47</v>
      </c>
      <c r="W375" s="9">
        <v>22770489</v>
      </c>
      <c r="X375" s="9">
        <v>3311105</v>
      </c>
      <c r="Y375" s="9">
        <v>69251307</v>
      </c>
      <c r="Z375" s="9" t="s">
        <v>39</v>
      </c>
      <c r="AA375" s="9">
        <v>63306417</v>
      </c>
      <c r="AB375" s="9">
        <v>78070</v>
      </c>
      <c r="AC375" s="9" t="s">
        <v>41</v>
      </c>
      <c r="AD375" s="9" t="s">
        <v>132</v>
      </c>
      <c r="AE375" s="9" t="s">
        <v>133</v>
      </c>
      <c r="AF375" s="9" t="s">
        <v>133</v>
      </c>
      <c r="AG375" s="14" t="str">
        <f t="shared" si="14"/>
        <v>EXAMENES DE LABORATORIO</v>
      </c>
      <c r="AH375" s="9">
        <v>0</v>
      </c>
      <c r="AI375" s="9">
        <v>0</v>
      </c>
      <c r="AJ375" s="9">
        <v>99573490</v>
      </c>
      <c r="AK375" s="9">
        <v>7</v>
      </c>
      <c r="AL375" s="26" t="s">
        <v>52</v>
      </c>
      <c r="AM375" s="14" t="s">
        <v>592</v>
      </c>
      <c r="AN375" s="27" t="str">
        <f t="shared" si="13"/>
        <v>17816435|99573490|371225449|65384439</v>
      </c>
      <c r="AO375" t="s">
        <v>44</v>
      </c>
      <c r="AP375" t="b">
        <v>0</v>
      </c>
      <c r="AQ375" t="s">
        <v>763</v>
      </c>
    </row>
    <row r="376" spans="1:43" x14ac:dyDescent="0.2">
      <c r="A376" s="14" t="s">
        <v>500</v>
      </c>
      <c r="B376" s="17">
        <v>17816435</v>
      </c>
      <c r="C376" s="14" t="s">
        <v>258</v>
      </c>
      <c r="D376" s="9">
        <v>17816435</v>
      </c>
      <c r="E376" s="9" t="s">
        <v>258</v>
      </c>
      <c r="F376" s="7">
        <v>45658</v>
      </c>
      <c r="G376" s="20" t="s">
        <v>36</v>
      </c>
      <c r="H376" s="8">
        <v>371225450</v>
      </c>
      <c r="I376" s="19">
        <v>371225450</v>
      </c>
      <c r="J376" s="10">
        <v>71056</v>
      </c>
      <c r="K376" s="10">
        <v>49740</v>
      </c>
      <c r="L376" s="10">
        <v>21316</v>
      </c>
      <c r="M376" s="10">
        <v>0</v>
      </c>
      <c r="N376" s="11">
        <v>21316</v>
      </c>
      <c r="O376" s="12">
        <v>371225450</v>
      </c>
      <c r="P376" s="9">
        <v>285123</v>
      </c>
      <c r="Q376" s="9" t="s">
        <v>37</v>
      </c>
      <c r="R376" s="13">
        <v>45688</v>
      </c>
      <c r="S376" s="22">
        <v>45688</v>
      </c>
      <c r="T376" s="13">
        <v>45688</v>
      </c>
      <c r="U376" s="13">
        <v>45688</v>
      </c>
      <c r="V376" s="9" t="s">
        <v>47</v>
      </c>
      <c r="W376" s="9">
        <v>22561025</v>
      </c>
      <c r="X376" s="9">
        <v>2040929</v>
      </c>
      <c r="Y376" s="9">
        <v>68810740</v>
      </c>
      <c r="Z376" s="9" t="s">
        <v>39</v>
      </c>
      <c r="AA376" s="9">
        <v>2022025</v>
      </c>
      <c r="AB376" s="9">
        <v>77562</v>
      </c>
      <c r="AC376" s="9" t="s">
        <v>41</v>
      </c>
      <c r="AD376" s="9" t="s">
        <v>132</v>
      </c>
      <c r="AE376" s="9" t="s">
        <v>133</v>
      </c>
      <c r="AF376" s="9" t="s">
        <v>133</v>
      </c>
      <c r="AG376" s="14" t="str">
        <f t="shared" si="14"/>
        <v>EXAMENES DE LABORATORIO</v>
      </c>
      <c r="AH376" s="9" t="s">
        <v>758</v>
      </c>
      <c r="AI376" s="9">
        <v>0</v>
      </c>
      <c r="AJ376" s="9">
        <v>99573490</v>
      </c>
      <c r="AK376" s="9">
        <v>7</v>
      </c>
      <c r="AL376" s="26" t="s">
        <v>76</v>
      </c>
      <c r="AM376" s="14" t="s">
        <v>592</v>
      </c>
      <c r="AN376" s="27" t="str">
        <f t="shared" si="13"/>
        <v>17816435|99573490|371225450|371225450</v>
      </c>
      <c r="AO376" t="s">
        <v>758</v>
      </c>
      <c r="AP376" t="b">
        <v>1</v>
      </c>
      <c r="AQ376" t="s">
        <v>764</v>
      </c>
    </row>
    <row r="377" spans="1:43" x14ac:dyDescent="0.2">
      <c r="A377" s="14" t="s">
        <v>500</v>
      </c>
      <c r="B377" s="17">
        <v>17816435</v>
      </c>
      <c r="C377" s="14" t="s">
        <v>258</v>
      </c>
      <c r="D377" s="9">
        <v>17816435</v>
      </c>
      <c r="E377" s="9" t="s">
        <v>258</v>
      </c>
      <c r="F377" s="7">
        <v>45717</v>
      </c>
      <c r="G377" s="20" t="s">
        <v>46</v>
      </c>
      <c r="H377" s="8">
        <v>371225450</v>
      </c>
      <c r="I377" s="19">
        <v>65384440</v>
      </c>
      <c r="J377" s="10">
        <v>20725</v>
      </c>
      <c r="K377" s="10">
        <v>0</v>
      </c>
      <c r="L377" s="10">
        <v>20725</v>
      </c>
      <c r="M377" s="10">
        <v>0</v>
      </c>
      <c r="N377" s="11">
        <v>20725</v>
      </c>
      <c r="O377" s="12">
        <v>371225450</v>
      </c>
      <c r="P377" s="9">
        <v>285123</v>
      </c>
      <c r="Q377" s="9" t="s">
        <v>37</v>
      </c>
      <c r="R377" s="13">
        <v>45717</v>
      </c>
      <c r="S377" s="22">
        <v>45742</v>
      </c>
      <c r="T377" s="13">
        <v>45688</v>
      </c>
      <c r="U377" s="13">
        <v>45688</v>
      </c>
      <c r="V377" s="9" t="s">
        <v>47</v>
      </c>
      <c r="W377" s="9">
        <v>22770489</v>
      </c>
      <c r="X377" s="9">
        <v>3311105</v>
      </c>
      <c r="Y377" s="9">
        <v>69251308</v>
      </c>
      <c r="Z377" s="9" t="s">
        <v>39</v>
      </c>
      <c r="AA377" s="9">
        <v>63306417</v>
      </c>
      <c r="AB377" s="9">
        <v>78070</v>
      </c>
      <c r="AC377" s="9" t="s">
        <v>41</v>
      </c>
      <c r="AD377" s="9" t="s">
        <v>132</v>
      </c>
      <c r="AE377" s="9" t="s">
        <v>133</v>
      </c>
      <c r="AF377" s="9" t="s">
        <v>133</v>
      </c>
      <c r="AG377" s="14" t="str">
        <f t="shared" si="14"/>
        <v>EXAMENES DE LABORATORIO</v>
      </c>
      <c r="AH377" s="9">
        <v>0</v>
      </c>
      <c r="AI377" s="9">
        <v>0</v>
      </c>
      <c r="AJ377" s="9">
        <v>99573490</v>
      </c>
      <c r="AK377" s="9">
        <v>7</v>
      </c>
      <c r="AL377" s="26" t="s">
        <v>52</v>
      </c>
      <c r="AM377" s="14" t="s">
        <v>592</v>
      </c>
      <c r="AN377" s="27" t="str">
        <f t="shared" si="13"/>
        <v>17816435|99573490|371225450|65384440</v>
      </c>
      <c r="AO377" t="s">
        <v>44</v>
      </c>
      <c r="AP377" t="b">
        <v>0</v>
      </c>
      <c r="AQ377" t="s">
        <v>763</v>
      </c>
    </row>
    <row r="378" spans="1:43" x14ac:dyDescent="0.2">
      <c r="A378" s="14" t="s">
        <v>500</v>
      </c>
      <c r="B378" s="17">
        <v>17816435</v>
      </c>
      <c r="C378" s="14" t="s">
        <v>258</v>
      </c>
      <c r="D378" s="9">
        <v>17816435</v>
      </c>
      <c r="E378" s="9" t="s">
        <v>258</v>
      </c>
      <c r="F378" s="7">
        <v>45658</v>
      </c>
      <c r="G378" s="20" t="s">
        <v>36</v>
      </c>
      <c r="H378" s="8">
        <v>371225597</v>
      </c>
      <c r="I378" s="19">
        <v>371225597</v>
      </c>
      <c r="J378" s="10">
        <v>9856</v>
      </c>
      <c r="K378" s="10">
        <v>6899</v>
      </c>
      <c r="L378" s="10">
        <v>2957</v>
      </c>
      <c r="M378" s="10">
        <v>0</v>
      </c>
      <c r="N378" s="11">
        <v>2957</v>
      </c>
      <c r="O378" s="12">
        <v>371225597</v>
      </c>
      <c r="P378" s="9">
        <v>285123</v>
      </c>
      <c r="Q378" s="9" t="s">
        <v>37</v>
      </c>
      <c r="R378" s="13">
        <v>45688</v>
      </c>
      <c r="S378" s="22">
        <v>45688</v>
      </c>
      <c r="T378" s="13">
        <v>45688</v>
      </c>
      <c r="U378" s="13">
        <v>45688</v>
      </c>
      <c r="V378" s="9" t="s">
        <v>47</v>
      </c>
      <c r="W378" s="9">
        <v>22561025</v>
      </c>
      <c r="X378" s="9">
        <v>2040929</v>
      </c>
      <c r="Y378" s="9">
        <v>68810745</v>
      </c>
      <c r="Z378" s="9" t="s">
        <v>39</v>
      </c>
      <c r="AA378" s="9">
        <v>2022025</v>
      </c>
      <c r="AB378" s="9">
        <v>77562</v>
      </c>
      <c r="AC378" s="9" t="s">
        <v>41</v>
      </c>
      <c r="AD378" s="9" t="s">
        <v>132</v>
      </c>
      <c r="AE378" s="9" t="s">
        <v>133</v>
      </c>
      <c r="AF378" s="9" t="s">
        <v>133</v>
      </c>
      <c r="AG378" s="14" t="str">
        <f t="shared" si="14"/>
        <v>EXAMENES DE LABORATORIO</v>
      </c>
      <c r="AH378" s="9" t="s">
        <v>758</v>
      </c>
      <c r="AI378" s="9">
        <v>0</v>
      </c>
      <c r="AJ378" s="9">
        <v>99573490</v>
      </c>
      <c r="AK378" s="9">
        <v>7</v>
      </c>
      <c r="AL378" s="26" t="s">
        <v>76</v>
      </c>
      <c r="AM378" s="14" t="s">
        <v>592</v>
      </c>
      <c r="AN378" s="27" t="str">
        <f t="shared" si="13"/>
        <v>17816435|99573490|371225597|371225597</v>
      </c>
      <c r="AO378" t="s">
        <v>758</v>
      </c>
      <c r="AP378" t="b">
        <v>1</v>
      </c>
      <c r="AQ378" t="s">
        <v>764</v>
      </c>
    </row>
    <row r="379" spans="1:43" x14ac:dyDescent="0.2">
      <c r="A379" s="14" t="s">
        <v>500</v>
      </c>
      <c r="B379" s="17">
        <v>17816435</v>
      </c>
      <c r="C379" s="14" t="s">
        <v>258</v>
      </c>
      <c r="D379" s="9">
        <v>17816435</v>
      </c>
      <c r="E379" s="9" t="s">
        <v>258</v>
      </c>
      <c r="F379" s="7">
        <v>45717</v>
      </c>
      <c r="G379" s="20" t="s">
        <v>46</v>
      </c>
      <c r="H379" s="8">
        <v>371225597</v>
      </c>
      <c r="I379" s="19">
        <v>65384441</v>
      </c>
      <c r="J379" s="10">
        <v>3070</v>
      </c>
      <c r="K379" s="10">
        <v>0</v>
      </c>
      <c r="L379" s="10">
        <v>3070</v>
      </c>
      <c r="M379" s="10">
        <v>0</v>
      </c>
      <c r="N379" s="11">
        <v>3070</v>
      </c>
      <c r="O379" s="12">
        <v>371225597</v>
      </c>
      <c r="P379" s="9">
        <v>285123</v>
      </c>
      <c r="Q379" s="9" t="s">
        <v>37</v>
      </c>
      <c r="R379" s="13">
        <v>45717</v>
      </c>
      <c r="S379" s="22">
        <v>45742</v>
      </c>
      <c r="T379" s="13">
        <v>45688</v>
      </c>
      <c r="U379" s="13">
        <v>45688</v>
      </c>
      <c r="V379" s="9" t="s">
        <v>47</v>
      </c>
      <c r="W379" s="9">
        <v>22770489</v>
      </c>
      <c r="X379" s="9">
        <v>3311105</v>
      </c>
      <c r="Y379" s="9">
        <v>69251309</v>
      </c>
      <c r="Z379" s="9" t="s">
        <v>39</v>
      </c>
      <c r="AA379" s="9">
        <v>63306417</v>
      </c>
      <c r="AB379" s="9">
        <v>78070</v>
      </c>
      <c r="AC379" s="9" t="s">
        <v>41</v>
      </c>
      <c r="AD379" s="9" t="s">
        <v>132</v>
      </c>
      <c r="AE379" s="9" t="s">
        <v>133</v>
      </c>
      <c r="AF379" s="9" t="s">
        <v>133</v>
      </c>
      <c r="AG379" s="14" t="str">
        <f t="shared" si="14"/>
        <v>EXAMENES DE LABORATORIO</v>
      </c>
      <c r="AH379" s="9">
        <v>0</v>
      </c>
      <c r="AI379" s="9">
        <v>0</v>
      </c>
      <c r="AJ379" s="9">
        <v>99573490</v>
      </c>
      <c r="AK379" s="9">
        <v>7</v>
      </c>
      <c r="AL379" s="26" t="s">
        <v>52</v>
      </c>
      <c r="AM379" s="14" t="s">
        <v>592</v>
      </c>
      <c r="AN379" s="27" t="str">
        <f t="shared" si="13"/>
        <v>17816435|99573490|371225597|65384441</v>
      </c>
      <c r="AO379" t="s">
        <v>44</v>
      </c>
      <c r="AP379" t="b">
        <v>0</v>
      </c>
      <c r="AQ379" t="s">
        <v>763</v>
      </c>
    </row>
    <row r="380" spans="1:43" x14ac:dyDescent="0.2">
      <c r="A380" s="14" t="s">
        <v>500</v>
      </c>
      <c r="B380" s="17">
        <v>15510748</v>
      </c>
      <c r="C380" s="14" t="s">
        <v>256</v>
      </c>
      <c r="D380" s="9">
        <v>16615487</v>
      </c>
      <c r="E380" s="9" t="s">
        <v>257</v>
      </c>
      <c r="F380" s="7">
        <v>45658</v>
      </c>
      <c r="G380" s="20" t="s">
        <v>36</v>
      </c>
      <c r="H380" s="8">
        <v>371260185</v>
      </c>
      <c r="I380" s="19">
        <v>371260185</v>
      </c>
      <c r="J380" s="10">
        <v>345378</v>
      </c>
      <c r="K380" s="10">
        <v>283549</v>
      </c>
      <c r="L380" s="10">
        <v>61829</v>
      </c>
      <c r="M380" s="10">
        <v>0</v>
      </c>
      <c r="N380" s="11">
        <v>61829</v>
      </c>
      <c r="O380" s="12">
        <v>371260185</v>
      </c>
      <c r="P380" s="9">
        <v>285123</v>
      </c>
      <c r="Q380" s="9" t="s">
        <v>37</v>
      </c>
      <c r="R380" s="13">
        <v>45688</v>
      </c>
      <c r="S380" s="22">
        <v>45688</v>
      </c>
      <c r="T380" s="13">
        <v>45688</v>
      </c>
      <c r="U380" s="13">
        <v>45688</v>
      </c>
      <c r="V380" s="9" t="s">
        <v>47</v>
      </c>
      <c r="W380" s="9">
        <v>22561018</v>
      </c>
      <c r="X380" s="9">
        <v>2040929</v>
      </c>
      <c r="Y380" s="9">
        <v>68811377</v>
      </c>
      <c r="Z380" s="9" t="s">
        <v>39</v>
      </c>
      <c r="AA380" s="9">
        <v>2022025</v>
      </c>
      <c r="AB380" s="9">
        <v>77562</v>
      </c>
      <c r="AC380" s="9" t="s">
        <v>41</v>
      </c>
      <c r="AD380" s="9" t="s">
        <v>134</v>
      </c>
      <c r="AE380" s="9" t="s">
        <v>135</v>
      </c>
      <c r="AF380" s="9" t="s">
        <v>135</v>
      </c>
      <c r="AG380" s="14" t="str">
        <f t="shared" si="14"/>
        <v>EXAMENES RADIOLOGICOS</v>
      </c>
      <c r="AH380" s="9" t="s">
        <v>758</v>
      </c>
      <c r="AI380" s="9">
        <v>0</v>
      </c>
      <c r="AJ380" s="9">
        <v>79980070</v>
      </c>
      <c r="AK380" s="9">
        <v>5</v>
      </c>
      <c r="AL380" s="26" t="s">
        <v>76</v>
      </c>
      <c r="AM380" s="14" t="s">
        <v>591</v>
      </c>
      <c r="AN380" s="27" t="str">
        <f t="shared" si="13"/>
        <v>15510748|79980070|371260185|371260185</v>
      </c>
      <c r="AO380" t="s">
        <v>758</v>
      </c>
      <c r="AP380" t="b">
        <v>1</v>
      </c>
      <c r="AQ380" t="s">
        <v>764</v>
      </c>
    </row>
    <row r="381" spans="1:43" x14ac:dyDescent="0.2">
      <c r="A381" s="14" t="s">
        <v>500</v>
      </c>
      <c r="B381" s="17">
        <v>15510748</v>
      </c>
      <c r="C381" s="14" t="s">
        <v>256</v>
      </c>
      <c r="D381" s="9">
        <v>16615487</v>
      </c>
      <c r="E381" s="9" t="s">
        <v>257</v>
      </c>
      <c r="F381" s="7">
        <v>45717</v>
      </c>
      <c r="G381" s="20" t="s">
        <v>46</v>
      </c>
      <c r="H381" s="8">
        <v>371260185</v>
      </c>
      <c r="I381" s="19">
        <v>65384299</v>
      </c>
      <c r="J381" s="10">
        <v>61798</v>
      </c>
      <c r="K381" s="10">
        <v>0</v>
      </c>
      <c r="L381" s="10">
        <v>61798</v>
      </c>
      <c r="M381" s="10">
        <v>0</v>
      </c>
      <c r="N381" s="11">
        <v>55418</v>
      </c>
      <c r="O381" s="12">
        <v>371260185</v>
      </c>
      <c r="P381" s="9">
        <v>285123</v>
      </c>
      <c r="Q381" s="9" t="s">
        <v>37</v>
      </c>
      <c r="R381" s="13">
        <v>45717</v>
      </c>
      <c r="S381" s="22">
        <v>45742</v>
      </c>
      <c r="T381" s="13">
        <v>45688</v>
      </c>
      <c r="U381" s="13">
        <v>45688</v>
      </c>
      <c r="V381" s="9" t="s">
        <v>47</v>
      </c>
      <c r="W381" s="9">
        <v>22770486</v>
      </c>
      <c r="X381" s="9">
        <v>3311105</v>
      </c>
      <c r="Y381" s="9">
        <v>69251182</v>
      </c>
      <c r="Z381" s="9" t="s">
        <v>39</v>
      </c>
      <c r="AA381" s="9">
        <v>104294701</v>
      </c>
      <c r="AB381" s="9">
        <v>78070</v>
      </c>
      <c r="AC381" s="9" t="s">
        <v>41</v>
      </c>
      <c r="AD381" s="9" t="s">
        <v>134</v>
      </c>
      <c r="AE381" s="9" t="s">
        <v>135</v>
      </c>
      <c r="AF381" s="9" t="s">
        <v>135</v>
      </c>
      <c r="AG381" s="14" t="str">
        <f t="shared" si="14"/>
        <v>EXAMENES RADIOLOGICOS</v>
      </c>
      <c r="AH381" s="9">
        <v>0</v>
      </c>
      <c r="AI381" s="9">
        <v>0</v>
      </c>
      <c r="AJ381" s="9">
        <v>79980070</v>
      </c>
      <c r="AK381" s="9">
        <v>5</v>
      </c>
      <c r="AL381" s="26" t="s">
        <v>52</v>
      </c>
      <c r="AM381" s="14" t="s">
        <v>591</v>
      </c>
      <c r="AN381" s="27" t="str">
        <f t="shared" si="13"/>
        <v>15510748|79980070|371260185|65384299</v>
      </c>
      <c r="AO381" t="s">
        <v>44</v>
      </c>
      <c r="AP381" t="b">
        <v>0</v>
      </c>
      <c r="AQ381" t="s">
        <v>763</v>
      </c>
    </row>
    <row r="382" spans="1:43" x14ac:dyDescent="0.2">
      <c r="A382" s="14" t="s">
        <v>500</v>
      </c>
      <c r="B382" s="17">
        <v>11867573</v>
      </c>
      <c r="C382" s="14" t="s">
        <v>248</v>
      </c>
      <c r="D382" s="9">
        <v>11867573</v>
      </c>
      <c r="E382" s="9" t="s">
        <v>248</v>
      </c>
      <c r="F382" s="7">
        <v>45689</v>
      </c>
      <c r="G382" s="20" t="s">
        <v>36</v>
      </c>
      <c r="H382" s="8">
        <v>371268340</v>
      </c>
      <c r="I382" s="19">
        <v>371268340</v>
      </c>
      <c r="J382" s="10">
        <v>29519</v>
      </c>
      <c r="K382" s="10">
        <v>21819</v>
      </c>
      <c r="L382" s="10">
        <v>7700</v>
      </c>
      <c r="M382" s="10">
        <v>0</v>
      </c>
      <c r="N382" s="11">
        <v>7700</v>
      </c>
      <c r="O382" s="12">
        <v>371268340</v>
      </c>
      <c r="P382" s="9">
        <v>285123</v>
      </c>
      <c r="Q382" s="9" t="s">
        <v>37</v>
      </c>
      <c r="R382" s="13">
        <v>45689</v>
      </c>
      <c r="S382" s="22">
        <v>45689</v>
      </c>
      <c r="T382" s="13">
        <v>45689</v>
      </c>
      <c r="U382" s="13">
        <v>45689</v>
      </c>
      <c r="V382" s="9" t="s">
        <v>47</v>
      </c>
      <c r="W382" s="9">
        <v>22566099</v>
      </c>
      <c r="X382" s="9">
        <v>2101551</v>
      </c>
      <c r="Y382" s="9">
        <v>68819698</v>
      </c>
      <c r="Z382" s="9" t="s">
        <v>39</v>
      </c>
      <c r="AA382" s="9">
        <v>9022025</v>
      </c>
      <c r="AB382" s="9">
        <v>77586</v>
      </c>
      <c r="AC382" s="9" t="s">
        <v>41</v>
      </c>
      <c r="AD382" s="9" t="s">
        <v>132</v>
      </c>
      <c r="AE382" s="9" t="s">
        <v>133</v>
      </c>
      <c r="AF382" s="9" t="s">
        <v>133</v>
      </c>
      <c r="AG382" s="14" t="str">
        <f t="shared" si="14"/>
        <v>EXAMENES DE LABORATORIO</v>
      </c>
      <c r="AH382" s="9" t="s">
        <v>758</v>
      </c>
      <c r="AI382" s="9">
        <v>0</v>
      </c>
      <c r="AJ382" s="9">
        <v>96617350</v>
      </c>
      <c r="AK382" s="9">
        <v>5</v>
      </c>
      <c r="AL382" s="26" t="s">
        <v>76</v>
      </c>
      <c r="AM382" s="14" t="s">
        <v>584</v>
      </c>
      <c r="AN382" s="27" t="str">
        <f t="shared" si="13"/>
        <v>11867573|96617350|371268340|371268340</v>
      </c>
      <c r="AO382" t="s">
        <v>758</v>
      </c>
      <c r="AP382" t="b">
        <v>1</v>
      </c>
      <c r="AQ382" t="s">
        <v>764</v>
      </c>
    </row>
    <row r="383" spans="1:43" x14ac:dyDescent="0.2">
      <c r="A383" s="14" t="s">
        <v>500</v>
      </c>
      <c r="B383" s="17">
        <v>11867573</v>
      </c>
      <c r="C383" s="14" t="s">
        <v>248</v>
      </c>
      <c r="D383" s="9">
        <v>11867573</v>
      </c>
      <c r="E383" s="9" t="s">
        <v>248</v>
      </c>
      <c r="F383" s="7">
        <v>45717</v>
      </c>
      <c r="G383" s="20" t="s">
        <v>46</v>
      </c>
      <c r="H383" s="8">
        <v>371268340</v>
      </c>
      <c r="I383" s="19">
        <v>65383970</v>
      </c>
      <c r="J383" s="10">
        <v>7289</v>
      </c>
      <c r="K383" s="10">
        <v>0</v>
      </c>
      <c r="L383" s="10">
        <v>7289</v>
      </c>
      <c r="M383" s="10">
        <v>0</v>
      </c>
      <c r="N383" s="11">
        <v>7289</v>
      </c>
      <c r="O383" s="12">
        <v>371268340</v>
      </c>
      <c r="P383" s="9">
        <v>285123</v>
      </c>
      <c r="Q383" s="9" t="s">
        <v>37</v>
      </c>
      <c r="R383" s="13">
        <v>45717</v>
      </c>
      <c r="S383" s="22">
        <v>45742</v>
      </c>
      <c r="T383" s="13">
        <v>45689</v>
      </c>
      <c r="U383" s="13">
        <v>45689</v>
      </c>
      <c r="V383" s="9" t="s">
        <v>47</v>
      </c>
      <c r="W383" s="9">
        <v>22770505</v>
      </c>
      <c r="X383" s="9">
        <v>3311105</v>
      </c>
      <c r="Y383" s="9">
        <v>69250858</v>
      </c>
      <c r="Z383" s="9" t="s">
        <v>39</v>
      </c>
      <c r="AA383" s="9">
        <v>6920217</v>
      </c>
      <c r="AB383" s="9">
        <v>78070</v>
      </c>
      <c r="AC383" s="9" t="s">
        <v>41</v>
      </c>
      <c r="AD383" s="9" t="s">
        <v>132</v>
      </c>
      <c r="AE383" s="9" t="s">
        <v>133</v>
      </c>
      <c r="AF383" s="9" t="s">
        <v>133</v>
      </c>
      <c r="AG383" s="14" t="str">
        <f t="shared" si="14"/>
        <v>EXAMENES DE LABORATORIO</v>
      </c>
      <c r="AH383" s="9">
        <v>0</v>
      </c>
      <c r="AI383" s="9">
        <v>0</v>
      </c>
      <c r="AJ383" s="9">
        <v>96617350</v>
      </c>
      <c r="AK383" s="9">
        <v>5</v>
      </c>
      <c r="AL383" s="26" t="s">
        <v>52</v>
      </c>
      <c r="AM383" s="14" t="s">
        <v>584</v>
      </c>
      <c r="AN383" s="27" t="str">
        <f t="shared" si="13"/>
        <v>11867573|96617350|371268340|65383970</v>
      </c>
      <c r="AO383" t="s">
        <v>44</v>
      </c>
      <c r="AP383" t="b">
        <v>0</v>
      </c>
      <c r="AQ383" t="s">
        <v>763</v>
      </c>
    </row>
    <row r="384" spans="1:43" x14ac:dyDescent="0.2">
      <c r="A384" s="14" t="s">
        <v>500</v>
      </c>
      <c r="B384" s="17">
        <v>11867573</v>
      </c>
      <c r="C384" s="14" t="s">
        <v>248</v>
      </c>
      <c r="D384" s="9">
        <v>11867573</v>
      </c>
      <c r="E384" s="9" t="s">
        <v>248</v>
      </c>
      <c r="F384" s="7">
        <v>45689</v>
      </c>
      <c r="G384" s="20" t="s">
        <v>36</v>
      </c>
      <c r="H384" s="8">
        <v>371268341</v>
      </c>
      <c r="I384" s="19">
        <v>371268341</v>
      </c>
      <c r="J384" s="10">
        <v>11959</v>
      </c>
      <c r="K384" s="10">
        <v>11529</v>
      </c>
      <c r="L384" s="10">
        <v>430</v>
      </c>
      <c r="M384" s="10">
        <v>0</v>
      </c>
      <c r="N384" s="11">
        <v>430</v>
      </c>
      <c r="O384" s="12">
        <v>371268341</v>
      </c>
      <c r="P384" s="9">
        <v>285123</v>
      </c>
      <c r="Q384" s="9" t="s">
        <v>37</v>
      </c>
      <c r="R384" s="13">
        <v>45689</v>
      </c>
      <c r="S384" s="22">
        <v>45689</v>
      </c>
      <c r="T384" s="13">
        <v>45689</v>
      </c>
      <c r="U384" s="13">
        <v>45689</v>
      </c>
      <c r="V384" s="9" t="s">
        <v>47</v>
      </c>
      <c r="W384" s="9">
        <v>22566099</v>
      </c>
      <c r="X384" s="9">
        <v>2101551</v>
      </c>
      <c r="Y384" s="9">
        <v>68819697</v>
      </c>
      <c r="Z384" s="9" t="s">
        <v>39</v>
      </c>
      <c r="AA384" s="9">
        <v>9022025</v>
      </c>
      <c r="AB384" s="9">
        <v>77586</v>
      </c>
      <c r="AC384" s="9" t="s">
        <v>41</v>
      </c>
      <c r="AD384" s="9" t="s">
        <v>132</v>
      </c>
      <c r="AE384" s="9" t="s">
        <v>133</v>
      </c>
      <c r="AF384" s="9" t="s">
        <v>133</v>
      </c>
      <c r="AG384" s="14" t="str">
        <f t="shared" si="14"/>
        <v>EXAMENES DE LABORATORIO</v>
      </c>
      <c r="AH384" s="9" t="s">
        <v>758</v>
      </c>
      <c r="AI384" s="9">
        <v>0</v>
      </c>
      <c r="AJ384" s="9">
        <v>96617350</v>
      </c>
      <c r="AK384" s="9">
        <v>5</v>
      </c>
      <c r="AL384" s="26" t="s">
        <v>76</v>
      </c>
      <c r="AM384" s="14" t="s">
        <v>584</v>
      </c>
      <c r="AN384" s="27" t="str">
        <f t="shared" si="13"/>
        <v>11867573|96617350|371268341|371268341</v>
      </c>
      <c r="AO384" t="s">
        <v>758</v>
      </c>
      <c r="AP384" t="b">
        <v>1</v>
      </c>
      <c r="AQ384" t="s">
        <v>764</v>
      </c>
    </row>
    <row r="385" spans="1:43" x14ac:dyDescent="0.2">
      <c r="A385" s="14" t="s">
        <v>500</v>
      </c>
      <c r="B385" s="17">
        <v>11867573</v>
      </c>
      <c r="C385" s="14" t="s">
        <v>248</v>
      </c>
      <c r="D385" s="9">
        <v>11867573</v>
      </c>
      <c r="E385" s="9" t="s">
        <v>248</v>
      </c>
      <c r="F385" s="7">
        <v>45717</v>
      </c>
      <c r="G385" s="20" t="s">
        <v>46</v>
      </c>
      <c r="H385" s="8">
        <v>371268341</v>
      </c>
      <c r="I385" s="19">
        <v>65383971</v>
      </c>
      <c r="J385" s="10">
        <v>766</v>
      </c>
      <c r="K385" s="10">
        <v>0</v>
      </c>
      <c r="L385" s="10">
        <v>766</v>
      </c>
      <c r="M385" s="10">
        <v>0</v>
      </c>
      <c r="N385" s="11">
        <v>766</v>
      </c>
      <c r="O385" s="12">
        <v>371268341</v>
      </c>
      <c r="P385" s="9">
        <v>285123</v>
      </c>
      <c r="Q385" s="9" t="s">
        <v>37</v>
      </c>
      <c r="R385" s="13">
        <v>45717</v>
      </c>
      <c r="S385" s="22">
        <v>45742</v>
      </c>
      <c r="T385" s="13">
        <v>45689</v>
      </c>
      <c r="U385" s="13">
        <v>45689</v>
      </c>
      <c r="V385" s="9" t="s">
        <v>47</v>
      </c>
      <c r="W385" s="9">
        <v>22770505</v>
      </c>
      <c r="X385" s="9">
        <v>3311105</v>
      </c>
      <c r="Y385" s="9">
        <v>69250859</v>
      </c>
      <c r="Z385" s="9" t="s">
        <v>39</v>
      </c>
      <c r="AA385" s="9">
        <v>6920217</v>
      </c>
      <c r="AB385" s="9">
        <v>78070</v>
      </c>
      <c r="AC385" s="9" t="s">
        <v>41</v>
      </c>
      <c r="AD385" s="9" t="s">
        <v>132</v>
      </c>
      <c r="AE385" s="9" t="s">
        <v>133</v>
      </c>
      <c r="AF385" s="9" t="s">
        <v>133</v>
      </c>
      <c r="AG385" s="14" t="str">
        <f t="shared" si="14"/>
        <v>EXAMENES DE LABORATORIO</v>
      </c>
      <c r="AH385" s="9">
        <v>0</v>
      </c>
      <c r="AI385" s="9">
        <v>0</v>
      </c>
      <c r="AJ385" s="9">
        <v>96617350</v>
      </c>
      <c r="AK385" s="9">
        <v>5</v>
      </c>
      <c r="AL385" s="26" t="s">
        <v>52</v>
      </c>
      <c r="AM385" s="14" t="s">
        <v>584</v>
      </c>
      <c r="AN385" s="27" t="str">
        <f t="shared" si="13"/>
        <v>11867573|96617350|371268341|65383971</v>
      </c>
      <c r="AO385" t="s">
        <v>44</v>
      </c>
      <c r="AP385" t="b">
        <v>0</v>
      </c>
      <c r="AQ385" t="s">
        <v>763</v>
      </c>
    </row>
    <row r="386" spans="1:43" x14ac:dyDescent="0.2">
      <c r="A386" s="14" t="s">
        <v>500</v>
      </c>
      <c r="B386" s="17">
        <v>11867573</v>
      </c>
      <c r="C386" s="14" t="s">
        <v>248</v>
      </c>
      <c r="D386" s="9">
        <v>11867573</v>
      </c>
      <c r="E386" s="9" t="s">
        <v>248</v>
      </c>
      <c r="F386" s="7">
        <v>45689</v>
      </c>
      <c r="G386" s="20" t="s">
        <v>36</v>
      </c>
      <c r="H386" s="8">
        <v>371268342</v>
      </c>
      <c r="I386" s="19">
        <v>371268342</v>
      </c>
      <c r="J386" s="10">
        <v>4649</v>
      </c>
      <c r="K386" s="10">
        <v>2859</v>
      </c>
      <c r="L386" s="10">
        <v>1790</v>
      </c>
      <c r="M386" s="10">
        <v>0</v>
      </c>
      <c r="N386" s="11">
        <v>1790</v>
      </c>
      <c r="O386" s="12">
        <v>371268342</v>
      </c>
      <c r="P386" s="9">
        <v>285123</v>
      </c>
      <c r="Q386" s="9" t="s">
        <v>37</v>
      </c>
      <c r="R386" s="13">
        <v>45689</v>
      </c>
      <c r="S386" s="22">
        <v>45689</v>
      </c>
      <c r="T386" s="13">
        <v>45689</v>
      </c>
      <c r="U386" s="13">
        <v>45689</v>
      </c>
      <c r="V386" s="9" t="s">
        <v>47</v>
      </c>
      <c r="W386" s="9">
        <v>22566099</v>
      </c>
      <c r="X386" s="9">
        <v>2101551</v>
      </c>
      <c r="Y386" s="9">
        <v>68819696</v>
      </c>
      <c r="Z386" s="9" t="s">
        <v>39</v>
      </c>
      <c r="AA386" s="9">
        <v>9022025</v>
      </c>
      <c r="AB386" s="9">
        <v>77586</v>
      </c>
      <c r="AC386" s="9" t="s">
        <v>41</v>
      </c>
      <c r="AD386" s="9" t="s">
        <v>132</v>
      </c>
      <c r="AE386" s="9" t="s">
        <v>133</v>
      </c>
      <c r="AF386" s="9" t="s">
        <v>133</v>
      </c>
      <c r="AG386" s="14" t="str">
        <f t="shared" si="14"/>
        <v>EXAMENES DE LABORATORIO</v>
      </c>
      <c r="AH386" s="9" t="s">
        <v>758</v>
      </c>
      <c r="AI386" s="9">
        <v>0</v>
      </c>
      <c r="AJ386" s="9">
        <v>96617350</v>
      </c>
      <c r="AK386" s="9">
        <v>5</v>
      </c>
      <c r="AL386" s="26" t="s">
        <v>76</v>
      </c>
      <c r="AM386" s="14" t="s">
        <v>584</v>
      </c>
      <c r="AN386" s="27" t="str">
        <f t="shared" si="13"/>
        <v>11867573|96617350|371268342|371268342</v>
      </c>
      <c r="AO386" t="s">
        <v>758</v>
      </c>
      <c r="AP386" t="b">
        <v>1</v>
      </c>
      <c r="AQ386" t="s">
        <v>764</v>
      </c>
    </row>
    <row r="387" spans="1:43" x14ac:dyDescent="0.2">
      <c r="A387" s="14" t="s">
        <v>500</v>
      </c>
      <c r="B387" s="17">
        <v>11867573</v>
      </c>
      <c r="C387" s="14" t="s">
        <v>248</v>
      </c>
      <c r="D387" s="9">
        <v>11867573</v>
      </c>
      <c r="E387" s="9" t="s">
        <v>248</v>
      </c>
      <c r="F387" s="7">
        <v>45717</v>
      </c>
      <c r="G387" s="20" t="s">
        <v>46</v>
      </c>
      <c r="H387" s="8">
        <v>371268342</v>
      </c>
      <c r="I387" s="19">
        <v>65383972</v>
      </c>
      <c r="J387" s="10">
        <v>1918</v>
      </c>
      <c r="K387" s="10">
        <v>0</v>
      </c>
      <c r="L387" s="10">
        <v>1918</v>
      </c>
      <c r="M387" s="10">
        <v>0</v>
      </c>
      <c r="N387" s="11">
        <v>1918</v>
      </c>
      <c r="O387" s="12">
        <v>371268342</v>
      </c>
      <c r="P387" s="9">
        <v>285123</v>
      </c>
      <c r="Q387" s="9" t="s">
        <v>37</v>
      </c>
      <c r="R387" s="13">
        <v>45717</v>
      </c>
      <c r="S387" s="22">
        <v>45742</v>
      </c>
      <c r="T387" s="13">
        <v>45689</v>
      </c>
      <c r="U387" s="13">
        <v>45689</v>
      </c>
      <c r="V387" s="9" t="s">
        <v>47</v>
      </c>
      <c r="W387" s="9">
        <v>22770505</v>
      </c>
      <c r="X387" s="9">
        <v>3311105</v>
      </c>
      <c r="Y387" s="9">
        <v>69250860</v>
      </c>
      <c r="Z387" s="9" t="s">
        <v>39</v>
      </c>
      <c r="AA387" s="9">
        <v>6920217</v>
      </c>
      <c r="AB387" s="9">
        <v>78070</v>
      </c>
      <c r="AC387" s="9" t="s">
        <v>41</v>
      </c>
      <c r="AD387" s="9" t="s">
        <v>132</v>
      </c>
      <c r="AE387" s="9" t="s">
        <v>133</v>
      </c>
      <c r="AF387" s="9" t="s">
        <v>133</v>
      </c>
      <c r="AG387" s="14" t="str">
        <f t="shared" si="14"/>
        <v>EXAMENES DE LABORATORIO</v>
      </c>
      <c r="AH387" s="9">
        <v>0</v>
      </c>
      <c r="AI387" s="9">
        <v>0</v>
      </c>
      <c r="AJ387" s="9">
        <v>96617350</v>
      </c>
      <c r="AK387" s="9">
        <v>5</v>
      </c>
      <c r="AL387" s="26" t="s">
        <v>52</v>
      </c>
      <c r="AM387" s="14" t="s">
        <v>584</v>
      </c>
      <c r="AN387" s="27" t="str">
        <f t="shared" ref="AN387:AN450" si="15">B387&amp;"|"&amp;AJ387&amp;"|"&amp;H387&amp;"|"&amp;I387</f>
        <v>11867573|96617350|371268342|65383972</v>
      </c>
      <c r="AO387" t="s">
        <v>44</v>
      </c>
      <c r="AP387" t="b">
        <v>0</v>
      </c>
      <c r="AQ387" t="s">
        <v>763</v>
      </c>
    </row>
    <row r="388" spans="1:43" x14ac:dyDescent="0.2">
      <c r="A388" s="14" t="s">
        <v>500</v>
      </c>
      <c r="B388" s="17">
        <v>12240014</v>
      </c>
      <c r="C388" s="14" t="s">
        <v>261</v>
      </c>
      <c r="D388" s="9">
        <v>12240014</v>
      </c>
      <c r="E388" s="9" t="s">
        <v>261</v>
      </c>
      <c r="F388" s="7">
        <v>45689</v>
      </c>
      <c r="G388" s="20" t="s">
        <v>36</v>
      </c>
      <c r="H388" s="8">
        <v>371325529</v>
      </c>
      <c r="I388" s="19">
        <v>371325529</v>
      </c>
      <c r="J388" s="10">
        <v>28808</v>
      </c>
      <c r="K388" s="10">
        <v>20166</v>
      </c>
      <c r="L388" s="10">
        <v>8642</v>
      </c>
      <c r="M388" s="10">
        <v>0</v>
      </c>
      <c r="N388" s="11">
        <v>8642</v>
      </c>
      <c r="O388" s="12">
        <v>371325529</v>
      </c>
      <c r="P388" s="9">
        <v>285123</v>
      </c>
      <c r="Q388" s="9" t="s">
        <v>37</v>
      </c>
      <c r="R388" s="13">
        <v>45691</v>
      </c>
      <c r="S388" s="22">
        <v>45691</v>
      </c>
      <c r="T388" s="13">
        <v>45691</v>
      </c>
      <c r="U388" s="13">
        <v>45691</v>
      </c>
      <c r="V388" s="9" t="s">
        <v>47</v>
      </c>
      <c r="W388" s="9">
        <v>22566123</v>
      </c>
      <c r="X388" s="9">
        <v>2101551</v>
      </c>
      <c r="Y388" s="9">
        <v>68820628</v>
      </c>
      <c r="Z388" s="9" t="s">
        <v>39</v>
      </c>
      <c r="AA388" s="9">
        <v>9022025</v>
      </c>
      <c r="AB388" s="9">
        <v>77586</v>
      </c>
      <c r="AC388" s="9" t="s">
        <v>41</v>
      </c>
      <c r="AD388" s="9" t="s">
        <v>134</v>
      </c>
      <c r="AE388" s="9" t="s">
        <v>135</v>
      </c>
      <c r="AF388" s="9" t="s">
        <v>135</v>
      </c>
      <c r="AG388" s="14" t="str">
        <f t="shared" si="14"/>
        <v>EXAMENES RADIOLOGICOS</v>
      </c>
      <c r="AH388" s="9" t="s">
        <v>758</v>
      </c>
      <c r="AI388" s="9">
        <v>0</v>
      </c>
      <c r="AJ388" s="9">
        <v>76098454</v>
      </c>
      <c r="AK388" s="9" t="s">
        <v>161</v>
      </c>
      <c r="AL388" s="26" t="s">
        <v>76</v>
      </c>
      <c r="AM388" s="14" t="s">
        <v>593</v>
      </c>
      <c r="AN388" s="27" t="str">
        <f t="shared" si="15"/>
        <v>12240014|76098454|371325529|371325529</v>
      </c>
      <c r="AO388" t="s">
        <v>758</v>
      </c>
      <c r="AP388" t="b">
        <v>1</v>
      </c>
      <c r="AQ388" t="s">
        <v>764</v>
      </c>
    </row>
    <row r="389" spans="1:43" x14ac:dyDescent="0.2">
      <c r="A389" s="14" t="s">
        <v>500</v>
      </c>
      <c r="B389" s="17">
        <v>12240014</v>
      </c>
      <c r="C389" s="14" t="s">
        <v>261</v>
      </c>
      <c r="D389" s="9">
        <v>12240014</v>
      </c>
      <c r="E389" s="9" t="s">
        <v>261</v>
      </c>
      <c r="F389" s="7">
        <v>45717</v>
      </c>
      <c r="G389" s="20" t="s">
        <v>46</v>
      </c>
      <c r="H389" s="8">
        <v>371325529</v>
      </c>
      <c r="I389" s="19">
        <v>65384000</v>
      </c>
      <c r="J389" s="10">
        <v>8826</v>
      </c>
      <c r="K389" s="10">
        <v>0</v>
      </c>
      <c r="L389" s="10">
        <v>8826</v>
      </c>
      <c r="M389" s="10">
        <v>0</v>
      </c>
      <c r="N389" s="11">
        <v>8826</v>
      </c>
      <c r="O389" s="12">
        <v>371325529</v>
      </c>
      <c r="P389" s="9">
        <v>285123</v>
      </c>
      <c r="Q389" s="9" t="s">
        <v>37</v>
      </c>
      <c r="R389" s="13">
        <v>45717</v>
      </c>
      <c r="S389" s="22">
        <v>45742</v>
      </c>
      <c r="T389" s="13">
        <v>45691</v>
      </c>
      <c r="U389" s="13">
        <v>45691</v>
      </c>
      <c r="V389" s="9" t="s">
        <v>47</v>
      </c>
      <c r="W389" s="9">
        <v>22770513</v>
      </c>
      <c r="X389" s="9">
        <v>3311105</v>
      </c>
      <c r="Y389" s="9">
        <v>69250888</v>
      </c>
      <c r="Z389" s="9" t="s">
        <v>39</v>
      </c>
      <c r="AA389" s="9">
        <v>206025047</v>
      </c>
      <c r="AB389" s="9">
        <v>78070</v>
      </c>
      <c r="AC389" s="9" t="s">
        <v>41</v>
      </c>
      <c r="AD389" s="9" t="s">
        <v>134</v>
      </c>
      <c r="AE389" s="9" t="s">
        <v>135</v>
      </c>
      <c r="AF389" s="9" t="s">
        <v>135</v>
      </c>
      <c r="AG389" s="14" t="str">
        <f t="shared" si="14"/>
        <v>EXAMENES RADIOLOGICOS</v>
      </c>
      <c r="AH389" s="9">
        <v>0</v>
      </c>
      <c r="AI389" s="9">
        <v>0</v>
      </c>
      <c r="AJ389" s="9">
        <v>76098454</v>
      </c>
      <c r="AK389" s="9" t="s">
        <v>161</v>
      </c>
      <c r="AL389" s="26" t="s">
        <v>52</v>
      </c>
      <c r="AM389" s="14" t="s">
        <v>593</v>
      </c>
      <c r="AN389" s="27" t="str">
        <f t="shared" si="15"/>
        <v>12240014|76098454|371325529|65384000</v>
      </c>
      <c r="AO389" t="s">
        <v>44</v>
      </c>
      <c r="AP389" t="b">
        <v>0</v>
      </c>
      <c r="AQ389" t="s">
        <v>763</v>
      </c>
    </row>
    <row r="390" spans="1:43" x14ac:dyDescent="0.2">
      <c r="A390" s="14" t="s">
        <v>500</v>
      </c>
      <c r="B390" s="17">
        <v>12240014</v>
      </c>
      <c r="C390" s="14" t="s">
        <v>261</v>
      </c>
      <c r="D390" s="9">
        <v>12240014</v>
      </c>
      <c r="E390" s="9" t="s">
        <v>261</v>
      </c>
      <c r="F390" s="7">
        <v>45689</v>
      </c>
      <c r="G390" s="20" t="s">
        <v>36</v>
      </c>
      <c r="H390" s="8">
        <v>371325587</v>
      </c>
      <c r="I390" s="19">
        <v>371325587</v>
      </c>
      <c r="J390" s="10">
        <v>23556</v>
      </c>
      <c r="K390" s="10">
        <v>16489</v>
      </c>
      <c r="L390" s="10">
        <v>7067</v>
      </c>
      <c r="M390" s="10">
        <v>0</v>
      </c>
      <c r="N390" s="11">
        <v>7067</v>
      </c>
      <c r="O390" s="12">
        <v>371325587</v>
      </c>
      <c r="P390" s="9">
        <v>285123</v>
      </c>
      <c r="Q390" s="9" t="s">
        <v>37</v>
      </c>
      <c r="R390" s="13">
        <v>45691</v>
      </c>
      <c r="S390" s="22">
        <v>45691</v>
      </c>
      <c r="T390" s="13">
        <v>45691</v>
      </c>
      <c r="U390" s="13">
        <v>45691</v>
      </c>
      <c r="V390" s="9" t="s">
        <v>47</v>
      </c>
      <c r="W390" s="9">
        <v>22566123</v>
      </c>
      <c r="X390" s="9">
        <v>2101551</v>
      </c>
      <c r="Y390" s="9">
        <v>68820630</v>
      </c>
      <c r="Z390" s="9" t="s">
        <v>39</v>
      </c>
      <c r="AA390" s="9">
        <v>9022025</v>
      </c>
      <c r="AB390" s="9">
        <v>77586</v>
      </c>
      <c r="AC390" s="9" t="s">
        <v>41</v>
      </c>
      <c r="AD390" s="9" t="s">
        <v>134</v>
      </c>
      <c r="AE390" s="9" t="s">
        <v>135</v>
      </c>
      <c r="AF390" s="9" t="s">
        <v>135</v>
      </c>
      <c r="AG390" s="14" t="str">
        <f t="shared" si="14"/>
        <v>EXAMENES RADIOLOGICOS</v>
      </c>
      <c r="AH390" s="9" t="s">
        <v>758</v>
      </c>
      <c r="AI390" s="9">
        <v>0</v>
      </c>
      <c r="AJ390" s="9">
        <v>76098454</v>
      </c>
      <c r="AK390" s="9" t="s">
        <v>161</v>
      </c>
      <c r="AL390" s="26" t="s">
        <v>76</v>
      </c>
      <c r="AM390" s="14" t="s">
        <v>593</v>
      </c>
      <c r="AN390" s="27" t="str">
        <f t="shared" si="15"/>
        <v>12240014|76098454|371325587|371325587</v>
      </c>
      <c r="AO390" t="s">
        <v>758</v>
      </c>
      <c r="AP390" t="b">
        <v>1</v>
      </c>
      <c r="AQ390" t="s">
        <v>764</v>
      </c>
    </row>
    <row r="391" spans="1:43" x14ac:dyDescent="0.2">
      <c r="A391" s="14" t="s">
        <v>500</v>
      </c>
      <c r="B391" s="17">
        <v>12240014</v>
      </c>
      <c r="C391" s="14" t="s">
        <v>261</v>
      </c>
      <c r="D391" s="9">
        <v>12240014</v>
      </c>
      <c r="E391" s="9" t="s">
        <v>261</v>
      </c>
      <c r="F391" s="7">
        <v>45717</v>
      </c>
      <c r="G391" s="20" t="s">
        <v>46</v>
      </c>
      <c r="H391" s="8">
        <v>371325587</v>
      </c>
      <c r="I391" s="19">
        <v>65384001</v>
      </c>
      <c r="J391" s="10">
        <v>6907</v>
      </c>
      <c r="K391" s="10">
        <v>0</v>
      </c>
      <c r="L391" s="10">
        <v>6907</v>
      </c>
      <c r="M391" s="10">
        <v>0</v>
      </c>
      <c r="N391" s="11">
        <v>6907</v>
      </c>
      <c r="O391" s="12">
        <v>371325587</v>
      </c>
      <c r="P391" s="9">
        <v>285123</v>
      </c>
      <c r="Q391" s="9" t="s">
        <v>37</v>
      </c>
      <c r="R391" s="13">
        <v>45717</v>
      </c>
      <c r="S391" s="22">
        <v>45742</v>
      </c>
      <c r="T391" s="13">
        <v>45691</v>
      </c>
      <c r="U391" s="13">
        <v>45691</v>
      </c>
      <c r="V391" s="9" t="s">
        <v>47</v>
      </c>
      <c r="W391" s="9">
        <v>22770513</v>
      </c>
      <c r="X391" s="9">
        <v>3311105</v>
      </c>
      <c r="Y391" s="9">
        <v>69250889</v>
      </c>
      <c r="Z391" s="9" t="s">
        <v>39</v>
      </c>
      <c r="AA391" s="9">
        <v>206025047</v>
      </c>
      <c r="AB391" s="9">
        <v>78070</v>
      </c>
      <c r="AC391" s="9" t="s">
        <v>41</v>
      </c>
      <c r="AD391" s="9" t="s">
        <v>134</v>
      </c>
      <c r="AE391" s="9" t="s">
        <v>135</v>
      </c>
      <c r="AF391" s="9" t="s">
        <v>135</v>
      </c>
      <c r="AG391" s="14" t="str">
        <f t="shared" si="14"/>
        <v>EXAMENES RADIOLOGICOS</v>
      </c>
      <c r="AH391" s="9">
        <v>0</v>
      </c>
      <c r="AI391" s="9">
        <v>0</v>
      </c>
      <c r="AJ391" s="9">
        <v>76098454</v>
      </c>
      <c r="AK391" s="9" t="s">
        <v>161</v>
      </c>
      <c r="AL391" s="26" t="s">
        <v>52</v>
      </c>
      <c r="AM391" s="14" t="s">
        <v>593</v>
      </c>
      <c r="AN391" s="27" t="str">
        <f t="shared" si="15"/>
        <v>12240014|76098454|371325587|65384001</v>
      </c>
      <c r="AO391" t="s">
        <v>44</v>
      </c>
      <c r="AP391" t="b">
        <v>0</v>
      </c>
      <c r="AQ391" t="s">
        <v>763</v>
      </c>
    </row>
    <row r="392" spans="1:43" x14ac:dyDescent="0.2">
      <c r="A392" s="14" t="s">
        <v>500</v>
      </c>
      <c r="B392" s="17">
        <v>8378249</v>
      </c>
      <c r="C392" s="14" t="s">
        <v>240</v>
      </c>
      <c r="D392" s="9">
        <v>8378249</v>
      </c>
      <c r="E392" s="9" t="s">
        <v>240</v>
      </c>
      <c r="F392" s="7">
        <v>45689</v>
      </c>
      <c r="G392" s="20" t="s">
        <v>36</v>
      </c>
      <c r="H392" s="8">
        <v>371344875</v>
      </c>
      <c r="I392" s="19">
        <v>371344875</v>
      </c>
      <c r="J392" s="10">
        <v>40394</v>
      </c>
      <c r="K392" s="10">
        <v>34337</v>
      </c>
      <c r="L392" s="10">
        <v>6057</v>
      </c>
      <c r="M392" s="10">
        <v>0</v>
      </c>
      <c r="N392" s="11">
        <v>6057</v>
      </c>
      <c r="O392" s="12">
        <v>371344875</v>
      </c>
      <c r="P392" s="9">
        <v>285123</v>
      </c>
      <c r="Q392" s="9" t="s">
        <v>37</v>
      </c>
      <c r="R392" s="13">
        <v>45692</v>
      </c>
      <c r="S392" s="22">
        <v>45692</v>
      </c>
      <c r="T392" s="13">
        <v>45692</v>
      </c>
      <c r="U392" s="13">
        <v>45692</v>
      </c>
      <c r="V392" s="9" t="s">
        <v>47</v>
      </c>
      <c r="W392" s="9">
        <v>22566152</v>
      </c>
      <c r="X392" s="9">
        <v>2101551</v>
      </c>
      <c r="Y392" s="9">
        <v>68820866</v>
      </c>
      <c r="Z392" s="9" t="s">
        <v>39</v>
      </c>
      <c r="AA392" s="9">
        <v>9022025</v>
      </c>
      <c r="AB392" s="9">
        <v>77586</v>
      </c>
      <c r="AC392" s="9" t="s">
        <v>41</v>
      </c>
      <c r="AD392" s="9" t="s">
        <v>132</v>
      </c>
      <c r="AE392" s="9" t="s">
        <v>133</v>
      </c>
      <c r="AF392" s="9" t="s">
        <v>133</v>
      </c>
      <c r="AG392" s="14" t="str">
        <f t="shared" si="14"/>
        <v>EXAMENES DE LABORATORIO</v>
      </c>
      <c r="AH392" s="9" t="s">
        <v>758</v>
      </c>
      <c r="AI392" s="9">
        <v>0</v>
      </c>
      <c r="AJ392" s="9">
        <v>99573490</v>
      </c>
      <c r="AK392" s="9">
        <v>7</v>
      </c>
      <c r="AL392" s="26" t="s">
        <v>76</v>
      </c>
      <c r="AM392" s="14" t="s">
        <v>578</v>
      </c>
      <c r="AN392" s="27" t="str">
        <f t="shared" si="15"/>
        <v>8378249|99573490|371344875|371344875</v>
      </c>
      <c r="AO392" t="s">
        <v>758</v>
      </c>
      <c r="AP392" t="b">
        <v>1</v>
      </c>
      <c r="AQ392" t="s">
        <v>764</v>
      </c>
    </row>
    <row r="393" spans="1:43" x14ac:dyDescent="0.2">
      <c r="A393" s="14" t="s">
        <v>500</v>
      </c>
      <c r="B393" s="17">
        <v>8378249</v>
      </c>
      <c r="C393" s="14" t="s">
        <v>240</v>
      </c>
      <c r="D393" s="9">
        <v>8378249</v>
      </c>
      <c r="E393" s="9" t="s">
        <v>240</v>
      </c>
      <c r="F393" s="7">
        <v>45717</v>
      </c>
      <c r="G393" s="20" t="s">
        <v>46</v>
      </c>
      <c r="H393" s="8">
        <v>371344875</v>
      </c>
      <c r="I393" s="19">
        <v>65383662</v>
      </c>
      <c r="J393" s="10">
        <v>6137</v>
      </c>
      <c r="K393" s="10">
        <v>0</v>
      </c>
      <c r="L393" s="10">
        <v>6137</v>
      </c>
      <c r="M393" s="10">
        <v>0</v>
      </c>
      <c r="N393" s="11">
        <v>6137</v>
      </c>
      <c r="O393" s="12">
        <v>371344875</v>
      </c>
      <c r="P393" s="9">
        <v>285123</v>
      </c>
      <c r="Q393" s="9" t="s">
        <v>37</v>
      </c>
      <c r="R393" s="13">
        <v>45717</v>
      </c>
      <c r="S393" s="22">
        <v>45742</v>
      </c>
      <c r="T393" s="13">
        <v>45692</v>
      </c>
      <c r="U393" s="13">
        <v>45692</v>
      </c>
      <c r="V393" s="9" t="s">
        <v>47</v>
      </c>
      <c r="W393" s="9">
        <v>22770523</v>
      </c>
      <c r="X393" s="9">
        <v>3311105</v>
      </c>
      <c r="Y393" s="9">
        <v>69250553</v>
      </c>
      <c r="Z393" s="9" t="s">
        <v>39</v>
      </c>
      <c r="AA393" s="9">
        <v>24803715</v>
      </c>
      <c r="AB393" s="9">
        <v>78070</v>
      </c>
      <c r="AC393" s="9" t="s">
        <v>41</v>
      </c>
      <c r="AD393" s="9" t="s">
        <v>132</v>
      </c>
      <c r="AE393" s="9" t="s">
        <v>133</v>
      </c>
      <c r="AF393" s="9" t="s">
        <v>133</v>
      </c>
      <c r="AG393" s="14" t="str">
        <f t="shared" si="14"/>
        <v>EXAMENES DE LABORATORIO</v>
      </c>
      <c r="AH393" s="9">
        <v>0</v>
      </c>
      <c r="AI393" s="9">
        <v>0</v>
      </c>
      <c r="AJ393" s="9">
        <v>99573490</v>
      </c>
      <c r="AK393" s="9">
        <v>7</v>
      </c>
      <c r="AL393" s="26" t="s">
        <v>52</v>
      </c>
      <c r="AM393" s="14" t="s">
        <v>578</v>
      </c>
      <c r="AN393" s="27" t="str">
        <f t="shared" si="15"/>
        <v>8378249|99573490|371344875|65383662</v>
      </c>
      <c r="AO393" t="s">
        <v>44</v>
      </c>
      <c r="AP393" t="b">
        <v>0</v>
      </c>
      <c r="AQ393" t="s">
        <v>763</v>
      </c>
    </row>
    <row r="394" spans="1:43" x14ac:dyDescent="0.2">
      <c r="A394" s="14" t="s">
        <v>500</v>
      </c>
      <c r="B394" s="17">
        <v>8378249</v>
      </c>
      <c r="C394" s="14" t="s">
        <v>240</v>
      </c>
      <c r="D394" s="9">
        <v>8378249</v>
      </c>
      <c r="E394" s="9" t="s">
        <v>240</v>
      </c>
      <c r="F394" s="7">
        <v>45689</v>
      </c>
      <c r="G394" s="20" t="s">
        <v>36</v>
      </c>
      <c r="H394" s="8">
        <v>371344876</v>
      </c>
      <c r="I394" s="19">
        <v>371344876</v>
      </c>
      <c r="J394" s="10">
        <v>44117</v>
      </c>
      <c r="K394" s="10">
        <v>37501</v>
      </c>
      <c r="L394" s="10">
        <v>6616</v>
      </c>
      <c r="M394" s="10">
        <v>0</v>
      </c>
      <c r="N394" s="11">
        <v>6616</v>
      </c>
      <c r="O394" s="12">
        <v>371344876</v>
      </c>
      <c r="P394" s="9">
        <v>285123</v>
      </c>
      <c r="Q394" s="9" t="s">
        <v>37</v>
      </c>
      <c r="R394" s="13">
        <v>45692</v>
      </c>
      <c r="S394" s="22">
        <v>45692</v>
      </c>
      <c r="T394" s="13">
        <v>45692</v>
      </c>
      <c r="U394" s="13">
        <v>45692</v>
      </c>
      <c r="V394" s="9" t="s">
        <v>47</v>
      </c>
      <c r="W394" s="9">
        <v>22566152</v>
      </c>
      <c r="X394" s="9">
        <v>2101551</v>
      </c>
      <c r="Y394" s="9">
        <v>68820865</v>
      </c>
      <c r="Z394" s="9" t="s">
        <v>39</v>
      </c>
      <c r="AA394" s="9">
        <v>9022025</v>
      </c>
      <c r="AB394" s="9">
        <v>77586</v>
      </c>
      <c r="AC394" s="9" t="s">
        <v>41</v>
      </c>
      <c r="AD394" s="9" t="s">
        <v>132</v>
      </c>
      <c r="AE394" s="9" t="s">
        <v>133</v>
      </c>
      <c r="AF394" s="9" t="s">
        <v>133</v>
      </c>
      <c r="AG394" s="14" t="str">
        <f t="shared" si="14"/>
        <v>EXAMENES DE LABORATORIO</v>
      </c>
      <c r="AH394" s="9" t="s">
        <v>758</v>
      </c>
      <c r="AI394" s="9">
        <v>0</v>
      </c>
      <c r="AJ394" s="9">
        <v>99573490</v>
      </c>
      <c r="AK394" s="9">
        <v>7</v>
      </c>
      <c r="AL394" s="26" t="s">
        <v>76</v>
      </c>
      <c r="AM394" s="14" t="s">
        <v>578</v>
      </c>
      <c r="AN394" s="27" t="str">
        <f t="shared" si="15"/>
        <v>8378249|99573490|371344876|371344876</v>
      </c>
      <c r="AO394" t="s">
        <v>758</v>
      </c>
      <c r="AP394" t="b">
        <v>1</v>
      </c>
      <c r="AQ394" t="s">
        <v>764</v>
      </c>
    </row>
    <row r="395" spans="1:43" x14ac:dyDescent="0.2">
      <c r="A395" s="14" t="s">
        <v>500</v>
      </c>
      <c r="B395" s="17">
        <v>8378249</v>
      </c>
      <c r="C395" s="14" t="s">
        <v>240</v>
      </c>
      <c r="D395" s="9">
        <v>8378249</v>
      </c>
      <c r="E395" s="9" t="s">
        <v>240</v>
      </c>
      <c r="F395" s="7">
        <v>45717</v>
      </c>
      <c r="G395" s="20" t="s">
        <v>46</v>
      </c>
      <c r="H395" s="8">
        <v>371344876</v>
      </c>
      <c r="I395" s="19">
        <v>65383663</v>
      </c>
      <c r="J395" s="10">
        <v>6905</v>
      </c>
      <c r="K395" s="10">
        <v>0</v>
      </c>
      <c r="L395" s="10">
        <v>6905</v>
      </c>
      <c r="M395" s="10">
        <v>0</v>
      </c>
      <c r="N395" s="11">
        <v>6905</v>
      </c>
      <c r="O395" s="12">
        <v>371344876</v>
      </c>
      <c r="P395" s="9">
        <v>285123</v>
      </c>
      <c r="Q395" s="9" t="s">
        <v>37</v>
      </c>
      <c r="R395" s="13">
        <v>45717</v>
      </c>
      <c r="S395" s="22">
        <v>45742</v>
      </c>
      <c r="T395" s="13">
        <v>45692</v>
      </c>
      <c r="U395" s="13">
        <v>45692</v>
      </c>
      <c r="V395" s="9" t="s">
        <v>47</v>
      </c>
      <c r="W395" s="9">
        <v>22770523</v>
      </c>
      <c r="X395" s="9">
        <v>3311105</v>
      </c>
      <c r="Y395" s="9">
        <v>69250554</v>
      </c>
      <c r="Z395" s="9" t="s">
        <v>39</v>
      </c>
      <c r="AA395" s="9">
        <v>24803715</v>
      </c>
      <c r="AB395" s="9">
        <v>78070</v>
      </c>
      <c r="AC395" s="9" t="s">
        <v>41</v>
      </c>
      <c r="AD395" s="9" t="s">
        <v>132</v>
      </c>
      <c r="AE395" s="9" t="s">
        <v>133</v>
      </c>
      <c r="AF395" s="9" t="s">
        <v>133</v>
      </c>
      <c r="AG395" s="14" t="str">
        <f t="shared" si="14"/>
        <v>EXAMENES DE LABORATORIO</v>
      </c>
      <c r="AH395" s="9">
        <v>0</v>
      </c>
      <c r="AI395" s="9">
        <v>0</v>
      </c>
      <c r="AJ395" s="9">
        <v>99573490</v>
      </c>
      <c r="AK395" s="9">
        <v>7</v>
      </c>
      <c r="AL395" s="26" t="s">
        <v>52</v>
      </c>
      <c r="AM395" s="14" t="s">
        <v>578</v>
      </c>
      <c r="AN395" s="27" t="str">
        <f t="shared" si="15"/>
        <v>8378249|99573490|371344876|65383663</v>
      </c>
      <c r="AO395" t="s">
        <v>44</v>
      </c>
      <c r="AP395" t="b">
        <v>0</v>
      </c>
      <c r="AQ395" t="s">
        <v>763</v>
      </c>
    </row>
    <row r="396" spans="1:43" x14ac:dyDescent="0.2">
      <c r="A396" s="14" t="s">
        <v>500</v>
      </c>
      <c r="B396" s="17">
        <v>8378249</v>
      </c>
      <c r="C396" s="14" t="s">
        <v>240</v>
      </c>
      <c r="D396" s="9">
        <v>8378249</v>
      </c>
      <c r="E396" s="9" t="s">
        <v>240</v>
      </c>
      <c r="F396" s="7">
        <v>45689</v>
      </c>
      <c r="G396" s="20" t="s">
        <v>36</v>
      </c>
      <c r="H396" s="8">
        <v>371344877</v>
      </c>
      <c r="I396" s="19">
        <v>371344877</v>
      </c>
      <c r="J396" s="10">
        <v>45388</v>
      </c>
      <c r="K396" s="10">
        <v>38581</v>
      </c>
      <c r="L396" s="10">
        <v>6807</v>
      </c>
      <c r="M396" s="10">
        <v>0</v>
      </c>
      <c r="N396" s="11">
        <v>6807</v>
      </c>
      <c r="O396" s="12">
        <v>371344877</v>
      </c>
      <c r="P396" s="9">
        <v>285123</v>
      </c>
      <c r="Q396" s="9" t="s">
        <v>37</v>
      </c>
      <c r="R396" s="13">
        <v>45692</v>
      </c>
      <c r="S396" s="22">
        <v>45692</v>
      </c>
      <c r="T396" s="13">
        <v>45692</v>
      </c>
      <c r="U396" s="13">
        <v>45692</v>
      </c>
      <c r="V396" s="9" t="s">
        <v>47</v>
      </c>
      <c r="W396" s="9">
        <v>22566152</v>
      </c>
      <c r="X396" s="9">
        <v>2101551</v>
      </c>
      <c r="Y396" s="9">
        <v>68820864</v>
      </c>
      <c r="Z396" s="9" t="s">
        <v>39</v>
      </c>
      <c r="AA396" s="9">
        <v>9022025</v>
      </c>
      <c r="AB396" s="9">
        <v>77586</v>
      </c>
      <c r="AC396" s="9" t="s">
        <v>41</v>
      </c>
      <c r="AD396" s="9" t="s">
        <v>132</v>
      </c>
      <c r="AE396" s="9" t="s">
        <v>133</v>
      </c>
      <c r="AF396" s="9" t="s">
        <v>133</v>
      </c>
      <c r="AG396" s="14" t="str">
        <f t="shared" si="14"/>
        <v>EXAMENES DE LABORATORIO</v>
      </c>
      <c r="AH396" s="9" t="s">
        <v>758</v>
      </c>
      <c r="AI396" s="9">
        <v>0</v>
      </c>
      <c r="AJ396" s="9">
        <v>99573490</v>
      </c>
      <c r="AK396" s="9">
        <v>7</v>
      </c>
      <c r="AL396" s="26" t="s">
        <v>76</v>
      </c>
      <c r="AM396" s="14" t="s">
        <v>578</v>
      </c>
      <c r="AN396" s="27" t="str">
        <f t="shared" si="15"/>
        <v>8378249|99573490|371344877|371344877</v>
      </c>
      <c r="AO396" t="s">
        <v>758</v>
      </c>
      <c r="AP396" t="b">
        <v>1</v>
      </c>
      <c r="AQ396" t="s">
        <v>764</v>
      </c>
    </row>
    <row r="397" spans="1:43" x14ac:dyDescent="0.2">
      <c r="A397" s="14" t="s">
        <v>500</v>
      </c>
      <c r="B397" s="17">
        <v>8378249</v>
      </c>
      <c r="C397" s="14" t="s">
        <v>240</v>
      </c>
      <c r="D397" s="9">
        <v>8378249</v>
      </c>
      <c r="E397" s="9" t="s">
        <v>240</v>
      </c>
      <c r="F397" s="7">
        <v>45717</v>
      </c>
      <c r="G397" s="20" t="s">
        <v>46</v>
      </c>
      <c r="H397" s="8">
        <v>371344877</v>
      </c>
      <c r="I397" s="19">
        <v>65383664</v>
      </c>
      <c r="J397" s="10">
        <v>6905</v>
      </c>
      <c r="K397" s="10">
        <v>0</v>
      </c>
      <c r="L397" s="10">
        <v>6905</v>
      </c>
      <c r="M397" s="10">
        <v>0</v>
      </c>
      <c r="N397" s="11">
        <v>6905</v>
      </c>
      <c r="O397" s="12">
        <v>371344877</v>
      </c>
      <c r="P397" s="9">
        <v>285123</v>
      </c>
      <c r="Q397" s="9" t="s">
        <v>37</v>
      </c>
      <c r="R397" s="13">
        <v>45717</v>
      </c>
      <c r="S397" s="22">
        <v>45742</v>
      </c>
      <c r="T397" s="13">
        <v>45692</v>
      </c>
      <c r="U397" s="13">
        <v>45692</v>
      </c>
      <c r="V397" s="9" t="s">
        <v>47</v>
      </c>
      <c r="W397" s="9">
        <v>22770523</v>
      </c>
      <c r="X397" s="9">
        <v>3311105</v>
      </c>
      <c r="Y397" s="9">
        <v>69250555</v>
      </c>
      <c r="Z397" s="9" t="s">
        <v>39</v>
      </c>
      <c r="AA397" s="9">
        <v>24803715</v>
      </c>
      <c r="AB397" s="9">
        <v>78070</v>
      </c>
      <c r="AC397" s="9" t="s">
        <v>41</v>
      </c>
      <c r="AD397" s="9" t="s">
        <v>132</v>
      </c>
      <c r="AE397" s="9" t="s">
        <v>133</v>
      </c>
      <c r="AF397" s="9" t="s">
        <v>133</v>
      </c>
      <c r="AG397" s="14" t="str">
        <f t="shared" si="14"/>
        <v>EXAMENES DE LABORATORIO</v>
      </c>
      <c r="AH397" s="9">
        <v>0</v>
      </c>
      <c r="AI397" s="9">
        <v>0</v>
      </c>
      <c r="AJ397" s="9">
        <v>99573490</v>
      </c>
      <c r="AK397" s="9">
        <v>7</v>
      </c>
      <c r="AL397" s="26" t="s">
        <v>52</v>
      </c>
      <c r="AM397" s="14" t="s">
        <v>578</v>
      </c>
      <c r="AN397" s="27" t="str">
        <f t="shared" si="15"/>
        <v>8378249|99573490|371344877|65383664</v>
      </c>
      <c r="AO397" t="s">
        <v>44</v>
      </c>
      <c r="AP397" t="b">
        <v>0</v>
      </c>
      <c r="AQ397" t="s">
        <v>763</v>
      </c>
    </row>
    <row r="398" spans="1:43" x14ac:dyDescent="0.2">
      <c r="A398" s="14" t="s">
        <v>500</v>
      </c>
      <c r="B398" s="17">
        <v>8378249</v>
      </c>
      <c r="C398" s="14" t="s">
        <v>240</v>
      </c>
      <c r="D398" s="9">
        <v>8378249</v>
      </c>
      <c r="E398" s="9" t="s">
        <v>240</v>
      </c>
      <c r="F398" s="7">
        <v>45689</v>
      </c>
      <c r="G398" s="20" t="s">
        <v>36</v>
      </c>
      <c r="H398" s="8">
        <v>371344878</v>
      </c>
      <c r="I398" s="19">
        <v>371344878</v>
      </c>
      <c r="J398" s="10">
        <v>98458</v>
      </c>
      <c r="K398" s="10">
        <v>83691</v>
      </c>
      <c r="L398" s="10">
        <v>14767</v>
      </c>
      <c r="M398" s="10">
        <v>0</v>
      </c>
      <c r="N398" s="11">
        <v>14767</v>
      </c>
      <c r="O398" s="12">
        <v>371344878</v>
      </c>
      <c r="P398" s="9">
        <v>285123</v>
      </c>
      <c r="Q398" s="9" t="s">
        <v>37</v>
      </c>
      <c r="R398" s="13">
        <v>45692</v>
      </c>
      <c r="S398" s="22">
        <v>45692</v>
      </c>
      <c r="T398" s="13">
        <v>45692</v>
      </c>
      <c r="U398" s="13">
        <v>45692</v>
      </c>
      <c r="V398" s="9" t="s">
        <v>47</v>
      </c>
      <c r="W398" s="9">
        <v>22566152</v>
      </c>
      <c r="X398" s="9">
        <v>2101551</v>
      </c>
      <c r="Y398" s="9">
        <v>68820863</v>
      </c>
      <c r="Z398" s="9" t="s">
        <v>39</v>
      </c>
      <c r="AA398" s="9">
        <v>9022025</v>
      </c>
      <c r="AB398" s="9">
        <v>77586</v>
      </c>
      <c r="AC398" s="9" t="s">
        <v>41</v>
      </c>
      <c r="AD398" s="9" t="s">
        <v>132</v>
      </c>
      <c r="AE398" s="9" t="s">
        <v>133</v>
      </c>
      <c r="AF398" s="9" t="s">
        <v>133</v>
      </c>
      <c r="AG398" s="14" t="str">
        <f t="shared" si="14"/>
        <v>EXAMENES DE LABORATORIO</v>
      </c>
      <c r="AH398" s="9" t="s">
        <v>758</v>
      </c>
      <c r="AI398" s="9">
        <v>0</v>
      </c>
      <c r="AJ398" s="9">
        <v>99573490</v>
      </c>
      <c r="AK398" s="9">
        <v>7</v>
      </c>
      <c r="AL398" s="26" t="s">
        <v>76</v>
      </c>
      <c r="AM398" s="14" t="s">
        <v>578</v>
      </c>
      <c r="AN398" s="27" t="str">
        <f t="shared" si="15"/>
        <v>8378249|99573490|371344878|371344878</v>
      </c>
      <c r="AO398" t="s">
        <v>758</v>
      </c>
      <c r="AP398" t="b">
        <v>1</v>
      </c>
      <c r="AQ398" t="s">
        <v>764</v>
      </c>
    </row>
    <row r="399" spans="1:43" x14ac:dyDescent="0.2">
      <c r="A399" s="14" t="s">
        <v>500</v>
      </c>
      <c r="B399" s="17">
        <v>8378249</v>
      </c>
      <c r="C399" s="14" t="s">
        <v>240</v>
      </c>
      <c r="D399" s="9">
        <v>8378249</v>
      </c>
      <c r="E399" s="9" t="s">
        <v>240</v>
      </c>
      <c r="F399" s="7">
        <v>45717</v>
      </c>
      <c r="G399" s="20" t="s">
        <v>46</v>
      </c>
      <c r="H399" s="8">
        <v>371344878</v>
      </c>
      <c r="I399" s="19">
        <v>65383665</v>
      </c>
      <c r="J399" s="10">
        <v>14963</v>
      </c>
      <c r="K399" s="10">
        <v>0</v>
      </c>
      <c r="L399" s="10">
        <v>14963</v>
      </c>
      <c r="M399" s="10">
        <v>0</v>
      </c>
      <c r="N399" s="11">
        <v>14963</v>
      </c>
      <c r="O399" s="12">
        <v>371344878</v>
      </c>
      <c r="P399" s="9">
        <v>285123</v>
      </c>
      <c r="Q399" s="9" t="s">
        <v>37</v>
      </c>
      <c r="R399" s="13">
        <v>45717</v>
      </c>
      <c r="S399" s="22">
        <v>45742</v>
      </c>
      <c r="T399" s="13">
        <v>45692</v>
      </c>
      <c r="U399" s="13">
        <v>45692</v>
      </c>
      <c r="V399" s="9" t="s">
        <v>47</v>
      </c>
      <c r="W399" s="9">
        <v>22770523</v>
      </c>
      <c r="X399" s="9">
        <v>3311105</v>
      </c>
      <c r="Y399" s="9">
        <v>69250556</v>
      </c>
      <c r="Z399" s="9" t="s">
        <v>39</v>
      </c>
      <c r="AA399" s="9">
        <v>24803715</v>
      </c>
      <c r="AB399" s="9">
        <v>78070</v>
      </c>
      <c r="AC399" s="9" t="s">
        <v>41</v>
      </c>
      <c r="AD399" s="9" t="s">
        <v>132</v>
      </c>
      <c r="AE399" s="9" t="s">
        <v>133</v>
      </c>
      <c r="AF399" s="9" t="s">
        <v>133</v>
      </c>
      <c r="AG399" s="14" t="str">
        <f t="shared" si="14"/>
        <v>EXAMENES DE LABORATORIO</v>
      </c>
      <c r="AH399" s="9">
        <v>0</v>
      </c>
      <c r="AI399" s="9">
        <v>0</v>
      </c>
      <c r="AJ399" s="9">
        <v>99573490</v>
      </c>
      <c r="AK399" s="9">
        <v>7</v>
      </c>
      <c r="AL399" s="26" t="s">
        <v>52</v>
      </c>
      <c r="AM399" s="14" t="s">
        <v>578</v>
      </c>
      <c r="AN399" s="27" t="str">
        <f t="shared" si="15"/>
        <v>8378249|99573490|371344878|65383665</v>
      </c>
      <c r="AO399" t="s">
        <v>44</v>
      </c>
      <c r="AP399" t="b">
        <v>0</v>
      </c>
      <c r="AQ399" t="s">
        <v>763</v>
      </c>
    </row>
    <row r="400" spans="1:43" x14ac:dyDescent="0.2">
      <c r="A400" s="14" t="s">
        <v>500</v>
      </c>
      <c r="B400" s="17">
        <v>12240014</v>
      </c>
      <c r="C400" s="14" t="s">
        <v>261</v>
      </c>
      <c r="D400" s="9">
        <v>12240014</v>
      </c>
      <c r="E400" s="9" t="s">
        <v>261</v>
      </c>
      <c r="F400" s="7">
        <v>45689</v>
      </c>
      <c r="G400" s="20" t="s">
        <v>36</v>
      </c>
      <c r="H400" s="8">
        <v>371346868</v>
      </c>
      <c r="I400" s="19">
        <v>371346868</v>
      </c>
      <c r="J400" s="10">
        <v>36164</v>
      </c>
      <c r="K400" s="10">
        <v>25316</v>
      </c>
      <c r="L400" s="10">
        <v>10848</v>
      </c>
      <c r="M400" s="10">
        <v>0</v>
      </c>
      <c r="N400" s="11">
        <v>10848</v>
      </c>
      <c r="O400" s="12">
        <v>371346868</v>
      </c>
      <c r="P400" s="9">
        <v>285123</v>
      </c>
      <c r="Q400" s="9" t="s">
        <v>37</v>
      </c>
      <c r="R400" s="13">
        <v>45692</v>
      </c>
      <c r="S400" s="22">
        <v>45692</v>
      </c>
      <c r="T400" s="13">
        <v>45692</v>
      </c>
      <c r="U400" s="13">
        <v>45692</v>
      </c>
      <c r="V400" s="9" t="s">
        <v>47</v>
      </c>
      <c r="W400" s="9">
        <v>22566167</v>
      </c>
      <c r="X400" s="9">
        <v>2101551</v>
      </c>
      <c r="Y400" s="9">
        <v>68820910</v>
      </c>
      <c r="Z400" s="9" t="s">
        <v>39</v>
      </c>
      <c r="AA400" s="9">
        <v>9022025</v>
      </c>
      <c r="AB400" s="9">
        <v>77586</v>
      </c>
      <c r="AC400" s="9" t="s">
        <v>41</v>
      </c>
      <c r="AD400" s="9" t="s">
        <v>132</v>
      </c>
      <c r="AE400" s="9" t="s">
        <v>133</v>
      </c>
      <c r="AF400" s="9" t="s">
        <v>133</v>
      </c>
      <c r="AG400" s="14" t="str">
        <f t="shared" si="14"/>
        <v>EXAMENES DE LABORATORIO</v>
      </c>
      <c r="AH400" s="9" t="s">
        <v>758</v>
      </c>
      <c r="AI400" s="9">
        <v>0</v>
      </c>
      <c r="AJ400" s="9">
        <v>96986050</v>
      </c>
      <c r="AK400" s="9">
        <v>3</v>
      </c>
      <c r="AL400" s="26" t="s">
        <v>76</v>
      </c>
      <c r="AM400" s="14" t="s">
        <v>593</v>
      </c>
      <c r="AN400" s="27" t="str">
        <f t="shared" si="15"/>
        <v>12240014|96986050|371346868|371346868</v>
      </c>
      <c r="AO400" t="s">
        <v>758</v>
      </c>
      <c r="AP400" t="b">
        <v>1</v>
      </c>
      <c r="AQ400" t="s">
        <v>764</v>
      </c>
    </row>
    <row r="401" spans="1:43" x14ac:dyDescent="0.2">
      <c r="A401" s="14" t="s">
        <v>500</v>
      </c>
      <c r="B401" s="17">
        <v>12240014</v>
      </c>
      <c r="C401" s="14" t="s">
        <v>261</v>
      </c>
      <c r="D401" s="9">
        <v>12240014</v>
      </c>
      <c r="E401" s="9" t="s">
        <v>261</v>
      </c>
      <c r="F401" s="7">
        <v>45717</v>
      </c>
      <c r="G401" s="20" t="s">
        <v>46</v>
      </c>
      <c r="H401" s="8">
        <v>371346868</v>
      </c>
      <c r="I401" s="19">
        <v>65384002</v>
      </c>
      <c r="J401" s="10">
        <v>11126</v>
      </c>
      <c r="K401" s="10">
        <v>0</v>
      </c>
      <c r="L401" s="10">
        <v>11126</v>
      </c>
      <c r="M401" s="10">
        <v>0</v>
      </c>
      <c r="N401" s="11">
        <v>11126</v>
      </c>
      <c r="O401" s="12">
        <v>371346868</v>
      </c>
      <c r="P401" s="9">
        <v>285123</v>
      </c>
      <c r="Q401" s="9" t="s">
        <v>37</v>
      </c>
      <c r="R401" s="13">
        <v>45717</v>
      </c>
      <c r="S401" s="22">
        <v>45742</v>
      </c>
      <c r="T401" s="13">
        <v>45692</v>
      </c>
      <c r="U401" s="13">
        <v>45692</v>
      </c>
      <c r="V401" s="9" t="s">
        <v>47</v>
      </c>
      <c r="W401" s="9">
        <v>22770530</v>
      </c>
      <c r="X401" s="9">
        <v>3311105</v>
      </c>
      <c r="Y401" s="9">
        <v>69250890</v>
      </c>
      <c r="Z401" s="9" t="s">
        <v>39</v>
      </c>
      <c r="AA401" s="9">
        <v>206025047</v>
      </c>
      <c r="AB401" s="9">
        <v>78070</v>
      </c>
      <c r="AC401" s="9" t="s">
        <v>41</v>
      </c>
      <c r="AD401" s="9" t="s">
        <v>132</v>
      </c>
      <c r="AE401" s="9" t="s">
        <v>133</v>
      </c>
      <c r="AF401" s="9" t="s">
        <v>133</v>
      </c>
      <c r="AG401" s="14" t="str">
        <f t="shared" si="14"/>
        <v>EXAMENES DE LABORATORIO</v>
      </c>
      <c r="AH401" s="9">
        <v>0</v>
      </c>
      <c r="AI401" s="9">
        <v>0</v>
      </c>
      <c r="AJ401" s="9">
        <v>96986050</v>
      </c>
      <c r="AK401" s="9">
        <v>3</v>
      </c>
      <c r="AL401" s="26" t="s">
        <v>52</v>
      </c>
      <c r="AM401" s="14" t="s">
        <v>593</v>
      </c>
      <c r="AN401" s="27" t="str">
        <f t="shared" si="15"/>
        <v>12240014|96986050|371346868|65384002</v>
      </c>
      <c r="AO401" t="s">
        <v>44</v>
      </c>
      <c r="AP401" t="b">
        <v>0</v>
      </c>
      <c r="AQ401" t="s">
        <v>763</v>
      </c>
    </row>
    <row r="402" spans="1:43" x14ac:dyDescent="0.2">
      <c r="A402" s="14" t="s">
        <v>500</v>
      </c>
      <c r="B402" s="17">
        <v>12240014</v>
      </c>
      <c r="C402" s="14" t="s">
        <v>261</v>
      </c>
      <c r="D402" s="9">
        <v>12240014</v>
      </c>
      <c r="E402" s="9" t="s">
        <v>261</v>
      </c>
      <c r="F402" s="7">
        <v>45689</v>
      </c>
      <c r="G402" s="20" t="s">
        <v>36</v>
      </c>
      <c r="H402" s="8">
        <v>371346869</v>
      </c>
      <c r="I402" s="19">
        <v>371346869</v>
      </c>
      <c r="J402" s="10">
        <v>16984</v>
      </c>
      <c r="K402" s="10">
        <v>11889</v>
      </c>
      <c r="L402" s="10">
        <v>5095</v>
      </c>
      <c r="M402" s="10">
        <v>0</v>
      </c>
      <c r="N402" s="11">
        <v>5095</v>
      </c>
      <c r="O402" s="12">
        <v>371346869</v>
      </c>
      <c r="P402" s="9">
        <v>285123</v>
      </c>
      <c r="Q402" s="9" t="s">
        <v>37</v>
      </c>
      <c r="R402" s="13">
        <v>45692</v>
      </c>
      <c r="S402" s="22">
        <v>45692</v>
      </c>
      <c r="T402" s="13">
        <v>45692</v>
      </c>
      <c r="U402" s="13">
        <v>45692</v>
      </c>
      <c r="V402" s="9" t="s">
        <v>47</v>
      </c>
      <c r="W402" s="9">
        <v>22566167</v>
      </c>
      <c r="X402" s="9">
        <v>2101551</v>
      </c>
      <c r="Y402" s="9">
        <v>68820909</v>
      </c>
      <c r="Z402" s="9" t="s">
        <v>39</v>
      </c>
      <c r="AA402" s="9">
        <v>9022025</v>
      </c>
      <c r="AB402" s="9">
        <v>77586</v>
      </c>
      <c r="AC402" s="9" t="s">
        <v>41</v>
      </c>
      <c r="AD402" s="9" t="s">
        <v>132</v>
      </c>
      <c r="AE402" s="9" t="s">
        <v>133</v>
      </c>
      <c r="AF402" s="9" t="s">
        <v>133</v>
      </c>
      <c r="AG402" s="14" t="str">
        <f t="shared" si="14"/>
        <v>EXAMENES DE LABORATORIO</v>
      </c>
      <c r="AH402" s="9" t="s">
        <v>758</v>
      </c>
      <c r="AI402" s="9">
        <v>0</v>
      </c>
      <c r="AJ402" s="9">
        <v>96986050</v>
      </c>
      <c r="AK402" s="9">
        <v>3</v>
      </c>
      <c r="AL402" s="26" t="s">
        <v>76</v>
      </c>
      <c r="AM402" s="14" t="s">
        <v>593</v>
      </c>
      <c r="AN402" s="27" t="str">
        <f t="shared" si="15"/>
        <v>12240014|96986050|371346869|371346869</v>
      </c>
      <c r="AO402" t="s">
        <v>758</v>
      </c>
      <c r="AP402" t="b">
        <v>1</v>
      </c>
      <c r="AQ402" t="s">
        <v>764</v>
      </c>
    </row>
    <row r="403" spans="1:43" x14ac:dyDescent="0.2">
      <c r="A403" s="14" t="s">
        <v>500</v>
      </c>
      <c r="B403" s="17">
        <v>12240014</v>
      </c>
      <c r="C403" s="14" t="s">
        <v>261</v>
      </c>
      <c r="D403" s="9">
        <v>12240014</v>
      </c>
      <c r="E403" s="9" t="s">
        <v>261</v>
      </c>
      <c r="F403" s="7">
        <v>45717</v>
      </c>
      <c r="G403" s="20" t="s">
        <v>46</v>
      </c>
      <c r="H403" s="8">
        <v>371346869</v>
      </c>
      <c r="I403" s="19">
        <v>65384003</v>
      </c>
      <c r="J403" s="10">
        <v>4986</v>
      </c>
      <c r="K403" s="10">
        <v>0</v>
      </c>
      <c r="L403" s="10">
        <v>4986</v>
      </c>
      <c r="M403" s="10">
        <v>0</v>
      </c>
      <c r="N403" s="11">
        <v>4986</v>
      </c>
      <c r="O403" s="12">
        <v>371346869</v>
      </c>
      <c r="P403" s="9">
        <v>285123</v>
      </c>
      <c r="Q403" s="9" t="s">
        <v>37</v>
      </c>
      <c r="R403" s="13">
        <v>45717</v>
      </c>
      <c r="S403" s="22">
        <v>45742</v>
      </c>
      <c r="T403" s="13">
        <v>45692</v>
      </c>
      <c r="U403" s="13">
        <v>45692</v>
      </c>
      <c r="V403" s="9" t="s">
        <v>47</v>
      </c>
      <c r="W403" s="9">
        <v>22770530</v>
      </c>
      <c r="X403" s="9">
        <v>3311105</v>
      </c>
      <c r="Y403" s="9">
        <v>69250891</v>
      </c>
      <c r="Z403" s="9" t="s">
        <v>39</v>
      </c>
      <c r="AA403" s="9">
        <v>206025047</v>
      </c>
      <c r="AB403" s="9">
        <v>78070</v>
      </c>
      <c r="AC403" s="9" t="s">
        <v>41</v>
      </c>
      <c r="AD403" s="9" t="s">
        <v>132</v>
      </c>
      <c r="AE403" s="9" t="s">
        <v>133</v>
      </c>
      <c r="AF403" s="9" t="s">
        <v>133</v>
      </c>
      <c r="AG403" s="14" t="str">
        <f t="shared" si="14"/>
        <v>EXAMENES DE LABORATORIO</v>
      </c>
      <c r="AH403" s="9">
        <v>0</v>
      </c>
      <c r="AI403" s="9">
        <v>0</v>
      </c>
      <c r="AJ403" s="9">
        <v>96986050</v>
      </c>
      <c r="AK403" s="9">
        <v>3</v>
      </c>
      <c r="AL403" s="26" t="s">
        <v>52</v>
      </c>
      <c r="AM403" s="14" t="s">
        <v>593</v>
      </c>
      <c r="AN403" s="27" t="str">
        <f t="shared" si="15"/>
        <v>12240014|96986050|371346869|65384003</v>
      </c>
      <c r="AO403" t="s">
        <v>44</v>
      </c>
      <c r="AP403" t="b">
        <v>0</v>
      </c>
      <c r="AQ403" t="s">
        <v>763</v>
      </c>
    </row>
    <row r="404" spans="1:43" x14ac:dyDescent="0.2">
      <c r="A404" s="14" t="s">
        <v>500</v>
      </c>
      <c r="B404" s="17">
        <v>8179361</v>
      </c>
      <c r="C404" s="14" t="s">
        <v>262</v>
      </c>
      <c r="D404" s="9">
        <v>23384556</v>
      </c>
      <c r="E404" s="9" t="s">
        <v>263</v>
      </c>
      <c r="F404" s="7">
        <v>45689</v>
      </c>
      <c r="G404" s="20" t="s">
        <v>36</v>
      </c>
      <c r="H404" s="8">
        <v>371351490</v>
      </c>
      <c r="I404" s="19">
        <v>371351490</v>
      </c>
      <c r="J404" s="10">
        <v>36608</v>
      </c>
      <c r="K404" s="10">
        <v>25626</v>
      </c>
      <c r="L404" s="10">
        <v>10982</v>
      </c>
      <c r="M404" s="10">
        <v>0</v>
      </c>
      <c r="N404" s="11">
        <v>10982</v>
      </c>
      <c r="O404" s="12">
        <v>371351490</v>
      </c>
      <c r="P404" s="9">
        <v>285123</v>
      </c>
      <c r="Q404" s="9" t="s">
        <v>37</v>
      </c>
      <c r="R404" s="13">
        <v>45692</v>
      </c>
      <c r="S404" s="22">
        <v>45692</v>
      </c>
      <c r="T404" s="13">
        <v>45692</v>
      </c>
      <c r="U404" s="13">
        <v>45692</v>
      </c>
      <c r="V404" s="9" t="s">
        <v>47</v>
      </c>
      <c r="W404" s="9">
        <v>22566151</v>
      </c>
      <c r="X404" s="9">
        <v>2101551</v>
      </c>
      <c r="Y404" s="9">
        <v>68821031</v>
      </c>
      <c r="Z404" s="9" t="s">
        <v>39</v>
      </c>
      <c r="AA404" s="9">
        <v>9022025</v>
      </c>
      <c r="AB404" s="9">
        <v>77586</v>
      </c>
      <c r="AC404" s="9" t="s">
        <v>41</v>
      </c>
      <c r="AD404" s="9" t="s">
        <v>132</v>
      </c>
      <c r="AE404" s="9" t="s">
        <v>133</v>
      </c>
      <c r="AF404" s="9" t="s">
        <v>133</v>
      </c>
      <c r="AG404" s="14" t="str">
        <f t="shared" si="14"/>
        <v>EXAMENES DE LABORATORIO</v>
      </c>
      <c r="AH404" s="9" t="s">
        <v>758</v>
      </c>
      <c r="AI404" s="9">
        <v>0</v>
      </c>
      <c r="AJ404" s="9">
        <v>96986050</v>
      </c>
      <c r="AK404" s="9">
        <v>3</v>
      </c>
      <c r="AL404" s="26" t="s">
        <v>238</v>
      </c>
      <c r="AM404" s="14" t="s">
        <v>594</v>
      </c>
      <c r="AN404" s="27" t="str">
        <f t="shared" si="15"/>
        <v>8179361|96986050|371351490|371351490</v>
      </c>
      <c r="AO404" t="s">
        <v>758</v>
      </c>
      <c r="AP404" t="b">
        <v>1</v>
      </c>
      <c r="AQ404" t="s">
        <v>764</v>
      </c>
    </row>
    <row r="405" spans="1:43" x14ac:dyDescent="0.2">
      <c r="A405" s="14" t="s">
        <v>500</v>
      </c>
      <c r="B405" s="17">
        <v>8179361</v>
      </c>
      <c r="C405" s="14" t="s">
        <v>262</v>
      </c>
      <c r="D405" s="9">
        <v>23384556</v>
      </c>
      <c r="E405" s="9" t="s">
        <v>263</v>
      </c>
      <c r="F405" s="7">
        <v>45717</v>
      </c>
      <c r="G405" s="20" t="s">
        <v>46</v>
      </c>
      <c r="H405" s="8">
        <v>371351490</v>
      </c>
      <c r="I405" s="19">
        <v>65383644</v>
      </c>
      <c r="J405" s="10">
        <v>11125</v>
      </c>
      <c r="K405" s="10">
        <v>0</v>
      </c>
      <c r="L405" s="10">
        <v>11125</v>
      </c>
      <c r="M405" s="10">
        <v>0</v>
      </c>
      <c r="N405" s="11">
        <v>11125</v>
      </c>
      <c r="O405" s="12">
        <v>371351490</v>
      </c>
      <c r="P405" s="9">
        <v>285123</v>
      </c>
      <c r="Q405" s="9" t="s">
        <v>37</v>
      </c>
      <c r="R405" s="13">
        <v>45717</v>
      </c>
      <c r="S405" s="22">
        <v>45742</v>
      </c>
      <c r="T405" s="13">
        <v>45692</v>
      </c>
      <c r="U405" s="13">
        <v>45692</v>
      </c>
      <c r="V405" s="9" t="s">
        <v>47</v>
      </c>
      <c r="W405" s="9">
        <v>22770522</v>
      </c>
      <c r="X405" s="9">
        <v>3311105</v>
      </c>
      <c r="Y405" s="9">
        <v>69250535</v>
      </c>
      <c r="Z405" s="9" t="s">
        <v>39</v>
      </c>
      <c r="AA405" s="9">
        <v>979050782</v>
      </c>
      <c r="AB405" s="9">
        <v>78070</v>
      </c>
      <c r="AC405" s="9" t="s">
        <v>41</v>
      </c>
      <c r="AD405" s="9" t="s">
        <v>132</v>
      </c>
      <c r="AE405" s="9" t="s">
        <v>133</v>
      </c>
      <c r="AF405" s="9" t="s">
        <v>133</v>
      </c>
      <c r="AG405" s="14" t="str">
        <f t="shared" si="14"/>
        <v>EXAMENES DE LABORATORIO</v>
      </c>
      <c r="AH405" s="9">
        <v>0</v>
      </c>
      <c r="AI405" s="9">
        <v>0</v>
      </c>
      <c r="AJ405" s="9">
        <v>96986050</v>
      </c>
      <c r="AK405" s="9">
        <v>3</v>
      </c>
      <c r="AL405" s="26" t="s">
        <v>52</v>
      </c>
      <c r="AM405" s="14" t="s">
        <v>594</v>
      </c>
      <c r="AN405" s="27" t="str">
        <f t="shared" si="15"/>
        <v>8179361|96986050|371351490|65383644</v>
      </c>
      <c r="AO405" t="s">
        <v>44</v>
      </c>
      <c r="AP405" t="b">
        <v>0</v>
      </c>
      <c r="AQ405" t="s">
        <v>763</v>
      </c>
    </row>
    <row r="406" spans="1:43" x14ac:dyDescent="0.2">
      <c r="A406" s="14" t="s">
        <v>500</v>
      </c>
      <c r="B406" s="17">
        <v>8179361</v>
      </c>
      <c r="C406" s="14" t="s">
        <v>262</v>
      </c>
      <c r="D406" s="9">
        <v>23384556</v>
      </c>
      <c r="E406" s="9" t="s">
        <v>263</v>
      </c>
      <c r="F406" s="7">
        <v>45689</v>
      </c>
      <c r="G406" s="20" t="s">
        <v>36</v>
      </c>
      <c r="H406" s="8">
        <v>371351491</v>
      </c>
      <c r="I406" s="19">
        <v>371351491</v>
      </c>
      <c r="J406" s="10">
        <v>20389</v>
      </c>
      <c r="K406" s="10">
        <v>14272</v>
      </c>
      <c r="L406" s="10">
        <v>6117</v>
      </c>
      <c r="M406" s="10">
        <v>0</v>
      </c>
      <c r="N406" s="11">
        <v>6117</v>
      </c>
      <c r="O406" s="12">
        <v>371351491</v>
      </c>
      <c r="P406" s="9">
        <v>285123</v>
      </c>
      <c r="Q406" s="9" t="s">
        <v>37</v>
      </c>
      <c r="R406" s="13">
        <v>45692</v>
      </c>
      <c r="S406" s="22">
        <v>45692</v>
      </c>
      <c r="T406" s="13">
        <v>45692</v>
      </c>
      <c r="U406" s="13">
        <v>45692</v>
      </c>
      <c r="V406" s="9" t="s">
        <v>47</v>
      </c>
      <c r="W406" s="9">
        <v>22566151</v>
      </c>
      <c r="X406" s="9">
        <v>2101551</v>
      </c>
      <c r="Y406" s="9">
        <v>68821030</v>
      </c>
      <c r="Z406" s="9" t="s">
        <v>39</v>
      </c>
      <c r="AA406" s="9">
        <v>9022025</v>
      </c>
      <c r="AB406" s="9">
        <v>77586</v>
      </c>
      <c r="AC406" s="9" t="s">
        <v>41</v>
      </c>
      <c r="AD406" s="9" t="s">
        <v>132</v>
      </c>
      <c r="AE406" s="9" t="s">
        <v>133</v>
      </c>
      <c r="AF406" s="9" t="s">
        <v>133</v>
      </c>
      <c r="AG406" s="14" t="str">
        <f t="shared" si="14"/>
        <v>EXAMENES DE LABORATORIO</v>
      </c>
      <c r="AH406" s="9" t="s">
        <v>758</v>
      </c>
      <c r="AI406" s="9">
        <v>0</v>
      </c>
      <c r="AJ406" s="9">
        <v>96986050</v>
      </c>
      <c r="AK406" s="9">
        <v>3</v>
      </c>
      <c r="AL406" s="26" t="s">
        <v>238</v>
      </c>
      <c r="AM406" s="14" t="s">
        <v>594</v>
      </c>
      <c r="AN406" s="27" t="str">
        <f t="shared" si="15"/>
        <v>8179361|96986050|371351491|371351491</v>
      </c>
      <c r="AO406" t="s">
        <v>758</v>
      </c>
      <c r="AP406" t="b">
        <v>1</v>
      </c>
      <c r="AQ406" t="s">
        <v>764</v>
      </c>
    </row>
    <row r="407" spans="1:43" x14ac:dyDescent="0.2">
      <c r="A407" s="14" t="s">
        <v>500</v>
      </c>
      <c r="B407" s="17">
        <v>8179361</v>
      </c>
      <c r="C407" s="14" t="s">
        <v>262</v>
      </c>
      <c r="D407" s="9">
        <v>23384556</v>
      </c>
      <c r="E407" s="9" t="s">
        <v>263</v>
      </c>
      <c r="F407" s="7">
        <v>45717</v>
      </c>
      <c r="G407" s="20" t="s">
        <v>46</v>
      </c>
      <c r="H407" s="8">
        <v>371351491</v>
      </c>
      <c r="I407" s="19">
        <v>65383645</v>
      </c>
      <c r="J407" s="10">
        <v>6521</v>
      </c>
      <c r="K407" s="10">
        <v>0</v>
      </c>
      <c r="L407" s="10">
        <v>6521</v>
      </c>
      <c r="M407" s="10">
        <v>0</v>
      </c>
      <c r="N407" s="11">
        <v>6521</v>
      </c>
      <c r="O407" s="12">
        <v>371351491</v>
      </c>
      <c r="P407" s="9">
        <v>285123</v>
      </c>
      <c r="Q407" s="9" t="s">
        <v>37</v>
      </c>
      <c r="R407" s="13">
        <v>45717</v>
      </c>
      <c r="S407" s="22">
        <v>45742</v>
      </c>
      <c r="T407" s="13">
        <v>45692</v>
      </c>
      <c r="U407" s="13">
        <v>45692</v>
      </c>
      <c r="V407" s="9" t="s">
        <v>47</v>
      </c>
      <c r="W407" s="9">
        <v>22770522</v>
      </c>
      <c r="X407" s="9">
        <v>3311105</v>
      </c>
      <c r="Y407" s="9">
        <v>69250536</v>
      </c>
      <c r="Z407" s="9" t="s">
        <v>39</v>
      </c>
      <c r="AA407" s="9">
        <v>979050782</v>
      </c>
      <c r="AB407" s="9">
        <v>78070</v>
      </c>
      <c r="AC407" s="9" t="s">
        <v>41</v>
      </c>
      <c r="AD407" s="9" t="s">
        <v>132</v>
      </c>
      <c r="AE407" s="9" t="s">
        <v>133</v>
      </c>
      <c r="AF407" s="9" t="s">
        <v>133</v>
      </c>
      <c r="AG407" s="14" t="str">
        <f t="shared" si="14"/>
        <v>EXAMENES DE LABORATORIO</v>
      </c>
      <c r="AH407" s="9">
        <v>0</v>
      </c>
      <c r="AI407" s="9">
        <v>0</v>
      </c>
      <c r="AJ407" s="9">
        <v>96986050</v>
      </c>
      <c r="AK407" s="9">
        <v>3</v>
      </c>
      <c r="AL407" s="26" t="s">
        <v>52</v>
      </c>
      <c r="AM407" s="14" t="s">
        <v>594</v>
      </c>
      <c r="AN407" s="27" t="str">
        <f t="shared" si="15"/>
        <v>8179361|96986050|371351491|65383645</v>
      </c>
      <c r="AO407" t="s">
        <v>44</v>
      </c>
      <c r="AP407" t="b">
        <v>0</v>
      </c>
      <c r="AQ407" t="s">
        <v>763</v>
      </c>
    </row>
    <row r="408" spans="1:43" x14ac:dyDescent="0.2">
      <c r="A408" s="14" t="s">
        <v>500</v>
      </c>
      <c r="B408" s="17">
        <v>9583535</v>
      </c>
      <c r="C408" s="14" t="s">
        <v>250</v>
      </c>
      <c r="D408" s="9">
        <v>9583535</v>
      </c>
      <c r="E408" s="9" t="s">
        <v>250</v>
      </c>
      <c r="F408" s="7">
        <v>45689</v>
      </c>
      <c r="G408" s="20" t="s">
        <v>36</v>
      </c>
      <c r="H408" s="8">
        <v>371354816</v>
      </c>
      <c r="I408" s="19">
        <v>371354816</v>
      </c>
      <c r="J408" s="10">
        <v>27180</v>
      </c>
      <c r="K408" s="10">
        <v>15755</v>
      </c>
      <c r="L408" s="10">
        <v>11425</v>
      </c>
      <c r="M408" s="10">
        <v>0</v>
      </c>
      <c r="N408" s="11">
        <v>11425</v>
      </c>
      <c r="O408" s="12">
        <v>371354816</v>
      </c>
      <c r="P408" s="9">
        <v>285123</v>
      </c>
      <c r="Q408" s="9" t="s">
        <v>37</v>
      </c>
      <c r="R408" s="13">
        <v>45692</v>
      </c>
      <c r="S408" s="22">
        <v>45692</v>
      </c>
      <c r="T408" s="13">
        <v>45692</v>
      </c>
      <c r="U408" s="13">
        <v>45692</v>
      </c>
      <c r="V408" s="9" t="s">
        <v>47</v>
      </c>
      <c r="W408" s="9">
        <v>22566155</v>
      </c>
      <c r="X408" s="9">
        <v>2101551</v>
      </c>
      <c r="Y408" s="9">
        <v>68821083</v>
      </c>
      <c r="Z408" s="9" t="s">
        <v>39</v>
      </c>
      <c r="AA408" s="9">
        <v>9022025</v>
      </c>
      <c r="AB408" s="9">
        <v>77586</v>
      </c>
      <c r="AC408" s="9" t="s">
        <v>41</v>
      </c>
      <c r="AD408" s="9" t="s">
        <v>134</v>
      </c>
      <c r="AE408" s="9" t="s">
        <v>135</v>
      </c>
      <c r="AF408" s="9" t="s">
        <v>135</v>
      </c>
      <c r="AG408" s="14" t="str">
        <f t="shared" si="14"/>
        <v>EXAMENES RADIOLOGICOS</v>
      </c>
      <c r="AH408" s="9" t="s">
        <v>758</v>
      </c>
      <c r="AI408" s="9">
        <v>0</v>
      </c>
      <c r="AJ408" s="9">
        <v>76098454</v>
      </c>
      <c r="AK408" s="9" t="s">
        <v>161</v>
      </c>
      <c r="AL408" s="26" t="s">
        <v>76</v>
      </c>
      <c r="AM408" s="14" t="s">
        <v>586</v>
      </c>
      <c r="AN408" s="27" t="str">
        <f t="shared" si="15"/>
        <v>9583535|76098454|371354816|371354816</v>
      </c>
      <c r="AO408" t="s">
        <v>758</v>
      </c>
      <c r="AP408" t="b">
        <v>1</v>
      </c>
      <c r="AQ408" t="s">
        <v>764</v>
      </c>
    </row>
    <row r="409" spans="1:43" x14ac:dyDescent="0.2">
      <c r="A409" s="14" t="s">
        <v>500</v>
      </c>
      <c r="B409" s="17">
        <v>9583535</v>
      </c>
      <c r="C409" s="14" t="s">
        <v>250</v>
      </c>
      <c r="D409" s="9">
        <v>9583535</v>
      </c>
      <c r="E409" s="9" t="s">
        <v>250</v>
      </c>
      <c r="F409" s="7">
        <v>45717</v>
      </c>
      <c r="G409" s="20" t="s">
        <v>46</v>
      </c>
      <c r="H409" s="8">
        <v>371354816</v>
      </c>
      <c r="I409" s="19">
        <v>65383748</v>
      </c>
      <c r="J409" s="10">
        <v>11512</v>
      </c>
      <c r="K409" s="10">
        <v>0</v>
      </c>
      <c r="L409" s="10">
        <v>11512</v>
      </c>
      <c r="M409" s="10">
        <v>0</v>
      </c>
      <c r="N409" s="11">
        <v>11512</v>
      </c>
      <c r="O409" s="12">
        <v>371354816</v>
      </c>
      <c r="P409" s="9">
        <v>285123</v>
      </c>
      <c r="Q409" s="9" t="s">
        <v>37</v>
      </c>
      <c r="R409" s="13">
        <v>45717</v>
      </c>
      <c r="S409" s="22">
        <v>45742</v>
      </c>
      <c r="T409" s="13">
        <v>45692</v>
      </c>
      <c r="U409" s="13">
        <v>45692</v>
      </c>
      <c r="V409" s="9" t="s">
        <v>47</v>
      </c>
      <c r="W409" s="9">
        <v>22770526</v>
      </c>
      <c r="X409" s="9">
        <v>3311105</v>
      </c>
      <c r="Y409" s="9">
        <v>69250638</v>
      </c>
      <c r="Z409" s="9" t="s">
        <v>39</v>
      </c>
      <c r="AA409" s="9">
        <v>985897999</v>
      </c>
      <c r="AB409" s="9">
        <v>78070</v>
      </c>
      <c r="AC409" s="9" t="s">
        <v>41</v>
      </c>
      <c r="AD409" s="9" t="s">
        <v>134</v>
      </c>
      <c r="AE409" s="9" t="s">
        <v>135</v>
      </c>
      <c r="AF409" s="9" t="s">
        <v>135</v>
      </c>
      <c r="AG409" s="14" t="str">
        <f t="shared" si="14"/>
        <v>EXAMENES RADIOLOGICOS</v>
      </c>
      <c r="AH409" s="9">
        <v>0</v>
      </c>
      <c r="AI409" s="9">
        <v>0</v>
      </c>
      <c r="AJ409" s="9">
        <v>76098454</v>
      </c>
      <c r="AK409" s="9" t="s">
        <v>161</v>
      </c>
      <c r="AL409" s="26" t="s">
        <v>52</v>
      </c>
      <c r="AM409" s="14" t="s">
        <v>586</v>
      </c>
      <c r="AN409" s="27" t="str">
        <f t="shared" si="15"/>
        <v>9583535|76098454|371354816|65383748</v>
      </c>
      <c r="AO409" t="s">
        <v>44</v>
      </c>
      <c r="AP409" t="b">
        <v>0</v>
      </c>
      <c r="AQ409" t="s">
        <v>763</v>
      </c>
    </row>
    <row r="410" spans="1:43" x14ac:dyDescent="0.2">
      <c r="A410" s="14" t="s">
        <v>500</v>
      </c>
      <c r="B410" s="17">
        <v>9583535</v>
      </c>
      <c r="C410" s="14" t="s">
        <v>250</v>
      </c>
      <c r="D410" s="9">
        <v>9583535</v>
      </c>
      <c r="E410" s="9" t="s">
        <v>250</v>
      </c>
      <c r="F410" s="7">
        <v>45689</v>
      </c>
      <c r="G410" s="20" t="s">
        <v>36</v>
      </c>
      <c r="H410" s="8">
        <v>371355019</v>
      </c>
      <c r="I410" s="19">
        <v>371355019</v>
      </c>
      <c r="J410" s="10">
        <v>53024</v>
      </c>
      <c r="K410" s="10">
        <v>30800</v>
      </c>
      <c r="L410" s="10">
        <v>22224</v>
      </c>
      <c r="M410" s="10">
        <v>0</v>
      </c>
      <c r="N410" s="11">
        <v>22224</v>
      </c>
      <c r="O410" s="12">
        <v>371355019</v>
      </c>
      <c r="P410" s="9">
        <v>285123</v>
      </c>
      <c r="Q410" s="9" t="s">
        <v>37</v>
      </c>
      <c r="R410" s="13">
        <v>45692</v>
      </c>
      <c r="S410" s="22">
        <v>45692</v>
      </c>
      <c r="T410" s="13">
        <v>45692</v>
      </c>
      <c r="U410" s="13">
        <v>45692</v>
      </c>
      <c r="V410" s="9" t="s">
        <v>47</v>
      </c>
      <c r="W410" s="9">
        <v>22566155</v>
      </c>
      <c r="X410" s="9">
        <v>2101551</v>
      </c>
      <c r="Y410" s="9">
        <v>68821088</v>
      </c>
      <c r="Z410" s="9" t="s">
        <v>39</v>
      </c>
      <c r="AA410" s="9">
        <v>9022025</v>
      </c>
      <c r="AB410" s="9">
        <v>77586</v>
      </c>
      <c r="AC410" s="9" t="s">
        <v>41</v>
      </c>
      <c r="AD410" s="9" t="s">
        <v>134</v>
      </c>
      <c r="AE410" s="9" t="s">
        <v>135</v>
      </c>
      <c r="AF410" s="9" t="s">
        <v>135</v>
      </c>
      <c r="AG410" s="14" t="str">
        <f t="shared" si="14"/>
        <v>EXAMENES RADIOLOGICOS</v>
      </c>
      <c r="AH410" s="9" t="s">
        <v>758</v>
      </c>
      <c r="AI410" s="9">
        <v>0</v>
      </c>
      <c r="AJ410" s="9">
        <v>76098454</v>
      </c>
      <c r="AK410" s="9" t="s">
        <v>161</v>
      </c>
      <c r="AL410" s="26" t="s">
        <v>76</v>
      </c>
      <c r="AM410" s="14" t="s">
        <v>586</v>
      </c>
      <c r="AN410" s="27" t="str">
        <f t="shared" si="15"/>
        <v>9583535|76098454|371355019|371355019</v>
      </c>
      <c r="AO410" t="s">
        <v>758</v>
      </c>
      <c r="AP410" t="b">
        <v>1</v>
      </c>
      <c r="AQ410" t="s">
        <v>764</v>
      </c>
    </row>
    <row r="411" spans="1:43" x14ac:dyDescent="0.2">
      <c r="A411" s="14" t="s">
        <v>500</v>
      </c>
      <c r="B411" s="17">
        <v>9583535</v>
      </c>
      <c r="C411" s="14" t="s">
        <v>250</v>
      </c>
      <c r="D411" s="9">
        <v>9583535</v>
      </c>
      <c r="E411" s="9" t="s">
        <v>250</v>
      </c>
      <c r="F411" s="7">
        <v>45717</v>
      </c>
      <c r="G411" s="20" t="s">
        <v>46</v>
      </c>
      <c r="H411" s="8">
        <v>371355019</v>
      </c>
      <c r="I411" s="19">
        <v>65383749</v>
      </c>
      <c r="J411" s="10">
        <v>22256</v>
      </c>
      <c r="K411" s="10">
        <v>0</v>
      </c>
      <c r="L411" s="10">
        <v>22256</v>
      </c>
      <c r="M411" s="10">
        <v>0</v>
      </c>
      <c r="N411" s="11">
        <v>22256</v>
      </c>
      <c r="O411" s="12">
        <v>371355019</v>
      </c>
      <c r="P411" s="9">
        <v>285123</v>
      </c>
      <c r="Q411" s="9" t="s">
        <v>37</v>
      </c>
      <c r="R411" s="13">
        <v>45717</v>
      </c>
      <c r="S411" s="22">
        <v>45742</v>
      </c>
      <c r="T411" s="13">
        <v>45692</v>
      </c>
      <c r="U411" s="13">
        <v>45692</v>
      </c>
      <c r="V411" s="9" t="s">
        <v>47</v>
      </c>
      <c r="W411" s="9">
        <v>22770526</v>
      </c>
      <c r="X411" s="9">
        <v>3311105</v>
      </c>
      <c r="Y411" s="9">
        <v>69250639</v>
      </c>
      <c r="Z411" s="9" t="s">
        <v>39</v>
      </c>
      <c r="AA411" s="9">
        <v>985897999</v>
      </c>
      <c r="AB411" s="9">
        <v>78070</v>
      </c>
      <c r="AC411" s="9" t="s">
        <v>41</v>
      </c>
      <c r="AD411" s="9" t="s">
        <v>134</v>
      </c>
      <c r="AE411" s="9" t="s">
        <v>135</v>
      </c>
      <c r="AF411" s="9" t="s">
        <v>135</v>
      </c>
      <c r="AG411" s="14" t="str">
        <f t="shared" si="14"/>
        <v>EXAMENES RADIOLOGICOS</v>
      </c>
      <c r="AH411" s="9">
        <v>0</v>
      </c>
      <c r="AI411" s="9">
        <v>0</v>
      </c>
      <c r="AJ411" s="9">
        <v>76098454</v>
      </c>
      <c r="AK411" s="9" t="s">
        <v>161</v>
      </c>
      <c r="AL411" s="26" t="s">
        <v>52</v>
      </c>
      <c r="AM411" s="14" t="s">
        <v>586</v>
      </c>
      <c r="AN411" s="27" t="str">
        <f t="shared" si="15"/>
        <v>9583535|76098454|371355019|65383749</v>
      </c>
      <c r="AO411" t="s">
        <v>44</v>
      </c>
      <c r="AP411" t="b">
        <v>0</v>
      </c>
      <c r="AQ411" t="s">
        <v>763</v>
      </c>
    </row>
    <row r="412" spans="1:43" x14ac:dyDescent="0.2">
      <c r="A412" s="14" t="s">
        <v>500</v>
      </c>
      <c r="B412" s="17">
        <v>12097117</v>
      </c>
      <c r="C412" s="14" t="s">
        <v>255</v>
      </c>
      <c r="D412" s="9">
        <v>22832363</v>
      </c>
      <c r="E412" s="9" t="s">
        <v>264</v>
      </c>
      <c r="F412" s="7">
        <v>45689</v>
      </c>
      <c r="G412" s="20" t="s">
        <v>36</v>
      </c>
      <c r="H412" s="8">
        <v>371363684</v>
      </c>
      <c r="I412" s="19">
        <v>371363684</v>
      </c>
      <c r="J412" s="10">
        <v>23801</v>
      </c>
      <c r="K412" s="10">
        <v>16661</v>
      </c>
      <c r="L412" s="10">
        <v>7140</v>
      </c>
      <c r="M412" s="10">
        <v>0</v>
      </c>
      <c r="N412" s="11">
        <v>7140</v>
      </c>
      <c r="O412" s="12">
        <v>371363684</v>
      </c>
      <c r="P412" s="9">
        <v>285123</v>
      </c>
      <c r="Q412" s="9" t="s">
        <v>37</v>
      </c>
      <c r="R412" s="13">
        <v>45692</v>
      </c>
      <c r="S412" s="22">
        <v>45692</v>
      </c>
      <c r="T412" s="13">
        <v>45692</v>
      </c>
      <c r="U412" s="13">
        <v>45692</v>
      </c>
      <c r="V412" s="9" t="s">
        <v>47</v>
      </c>
      <c r="W412" s="9">
        <v>22566166</v>
      </c>
      <c r="X412" s="9">
        <v>2101551</v>
      </c>
      <c r="Y412" s="9">
        <v>68821189</v>
      </c>
      <c r="Z412" s="9" t="s">
        <v>39</v>
      </c>
      <c r="AA412" s="9">
        <v>9022025</v>
      </c>
      <c r="AB412" s="9">
        <v>77586</v>
      </c>
      <c r="AC412" s="9" t="s">
        <v>41</v>
      </c>
      <c r="AD412" s="9" t="s">
        <v>134</v>
      </c>
      <c r="AE412" s="9" t="s">
        <v>135</v>
      </c>
      <c r="AF412" s="9" t="s">
        <v>135</v>
      </c>
      <c r="AG412" s="14" t="str">
        <f t="shared" si="14"/>
        <v>EXAMENES RADIOLOGICOS</v>
      </c>
      <c r="AH412" s="9" t="s">
        <v>758</v>
      </c>
      <c r="AI412" s="9">
        <v>0</v>
      </c>
      <c r="AJ412" s="9">
        <v>77200240</v>
      </c>
      <c r="AK412" s="9">
        <v>8</v>
      </c>
      <c r="AL412" s="26" t="s">
        <v>238</v>
      </c>
      <c r="AM412" s="14" t="s">
        <v>590</v>
      </c>
      <c r="AN412" s="27" t="str">
        <f t="shared" si="15"/>
        <v>12097117|77200240|371363684|371363684</v>
      </c>
      <c r="AO412" t="s">
        <v>758</v>
      </c>
      <c r="AP412" t="b">
        <v>1</v>
      </c>
      <c r="AQ412" t="s">
        <v>764</v>
      </c>
    </row>
    <row r="413" spans="1:43" x14ac:dyDescent="0.2">
      <c r="A413" s="14" t="s">
        <v>500</v>
      </c>
      <c r="B413" s="17">
        <v>12097117</v>
      </c>
      <c r="C413" s="14" t="s">
        <v>255</v>
      </c>
      <c r="D413" s="9">
        <v>22832363</v>
      </c>
      <c r="E413" s="9" t="s">
        <v>264</v>
      </c>
      <c r="F413" s="7">
        <v>45717</v>
      </c>
      <c r="G413" s="20" t="s">
        <v>46</v>
      </c>
      <c r="H413" s="8">
        <v>371363684</v>
      </c>
      <c r="I413" s="19">
        <v>65383989</v>
      </c>
      <c r="J413" s="10">
        <v>7291</v>
      </c>
      <c r="K413" s="10">
        <v>0</v>
      </c>
      <c r="L413" s="10">
        <v>7291</v>
      </c>
      <c r="M413" s="10">
        <v>0</v>
      </c>
      <c r="N413" s="11">
        <v>7291</v>
      </c>
      <c r="O413" s="12">
        <v>371363684</v>
      </c>
      <c r="P413" s="9">
        <v>285123</v>
      </c>
      <c r="Q413" s="9" t="s">
        <v>37</v>
      </c>
      <c r="R413" s="13">
        <v>45717</v>
      </c>
      <c r="S413" s="22">
        <v>45742</v>
      </c>
      <c r="T413" s="13">
        <v>45692</v>
      </c>
      <c r="U413" s="13">
        <v>45692</v>
      </c>
      <c r="V413" s="9" t="s">
        <v>47</v>
      </c>
      <c r="W413" s="9">
        <v>22770529</v>
      </c>
      <c r="X413" s="9">
        <v>3311105</v>
      </c>
      <c r="Y413" s="9">
        <v>69250877</v>
      </c>
      <c r="Z413" s="9" t="s">
        <v>39</v>
      </c>
      <c r="AA413" s="9">
        <v>14251405</v>
      </c>
      <c r="AB413" s="9">
        <v>78070</v>
      </c>
      <c r="AC413" s="9" t="s">
        <v>41</v>
      </c>
      <c r="AD413" s="9" t="s">
        <v>134</v>
      </c>
      <c r="AE413" s="9" t="s">
        <v>135</v>
      </c>
      <c r="AF413" s="9" t="s">
        <v>135</v>
      </c>
      <c r="AG413" s="14" t="str">
        <f t="shared" si="14"/>
        <v>EXAMENES RADIOLOGICOS</v>
      </c>
      <c r="AH413" s="9">
        <v>0</v>
      </c>
      <c r="AI413" s="9">
        <v>0</v>
      </c>
      <c r="AJ413" s="9">
        <v>77200240</v>
      </c>
      <c r="AK413" s="9">
        <v>8</v>
      </c>
      <c r="AL413" s="26" t="s">
        <v>52</v>
      </c>
      <c r="AM413" s="14" t="s">
        <v>590</v>
      </c>
      <c r="AN413" s="27" t="str">
        <f t="shared" si="15"/>
        <v>12097117|77200240|371363684|65383989</v>
      </c>
      <c r="AO413" t="s">
        <v>44</v>
      </c>
      <c r="AP413" t="b">
        <v>0</v>
      </c>
      <c r="AQ413" t="s">
        <v>763</v>
      </c>
    </row>
    <row r="414" spans="1:43" x14ac:dyDescent="0.2">
      <c r="A414" s="14" t="s">
        <v>500</v>
      </c>
      <c r="B414" s="17">
        <v>11663256</v>
      </c>
      <c r="C414" s="14" t="s">
        <v>265</v>
      </c>
      <c r="D414" s="9">
        <v>11663256</v>
      </c>
      <c r="E414" s="9" t="s">
        <v>265</v>
      </c>
      <c r="F414" s="7">
        <v>45689</v>
      </c>
      <c r="G414" s="20" t="s">
        <v>36</v>
      </c>
      <c r="H414" s="8">
        <v>371385895</v>
      </c>
      <c r="I414" s="19">
        <v>371385895</v>
      </c>
      <c r="J414" s="10">
        <v>58008</v>
      </c>
      <c r="K414" s="10">
        <v>40606</v>
      </c>
      <c r="L414" s="10">
        <v>17402</v>
      </c>
      <c r="M414" s="10">
        <v>0</v>
      </c>
      <c r="N414" s="11">
        <v>17402</v>
      </c>
      <c r="O414" s="12">
        <v>371385895</v>
      </c>
      <c r="P414" s="9">
        <v>285123</v>
      </c>
      <c r="Q414" s="9" t="s">
        <v>37</v>
      </c>
      <c r="R414" s="13">
        <v>45693</v>
      </c>
      <c r="S414" s="22">
        <v>45693</v>
      </c>
      <c r="T414" s="13">
        <v>45693</v>
      </c>
      <c r="U414" s="13">
        <v>45693</v>
      </c>
      <c r="V414" s="9" t="s">
        <v>47</v>
      </c>
      <c r="W414" s="9">
        <v>22566207</v>
      </c>
      <c r="X414" s="9">
        <v>2101551</v>
      </c>
      <c r="Y414" s="9">
        <v>68821483</v>
      </c>
      <c r="Z414" s="9" t="s">
        <v>39</v>
      </c>
      <c r="AA414" s="9">
        <v>9022025</v>
      </c>
      <c r="AB414" s="9">
        <v>77586</v>
      </c>
      <c r="AC414" s="9" t="s">
        <v>41</v>
      </c>
      <c r="AD414" s="9" t="s">
        <v>132</v>
      </c>
      <c r="AE414" s="9" t="s">
        <v>133</v>
      </c>
      <c r="AF414" s="9" t="s">
        <v>133</v>
      </c>
      <c r="AG414" s="14" t="str">
        <f t="shared" si="14"/>
        <v>EXAMENES DE LABORATORIO</v>
      </c>
      <c r="AH414" s="9" t="s">
        <v>758</v>
      </c>
      <c r="AI414" s="9">
        <v>0</v>
      </c>
      <c r="AJ414" s="9">
        <v>96617350</v>
      </c>
      <c r="AK414" s="9">
        <v>5</v>
      </c>
      <c r="AL414" s="26" t="s">
        <v>76</v>
      </c>
      <c r="AM414" s="14" t="s">
        <v>595</v>
      </c>
      <c r="AN414" s="27" t="str">
        <f t="shared" si="15"/>
        <v>11663256|96617350|371385895|371385895</v>
      </c>
      <c r="AO414" t="s">
        <v>758</v>
      </c>
      <c r="AP414" t="b">
        <v>1</v>
      </c>
      <c r="AQ414" t="s">
        <v>764</v>
      </c>
    </row>
    <row r="415" spans="1:43" x14ac:dyDescent="0.2">
      <c r="A415" s="14" t="s">
        <v>500</v>
      </c>
      <c r="B415" s="17">
        <v>11663256</v>
      </c>
      <c r="C415" s="14" t="s">
        <v>265</v>
      </c>
      <c r="D415" s="9">
        <v>11663256</v>
      </c>
      <c r="E415" s="9" t="s">
        <v>265</v>
      </c>
      <c r="F415" s="7">
        <v>45717</v>
      </c>
      <c r="G415" s="20" t="s">
        <v>46</v>
      </c>
      <c r="H415" s="8">
        <v>371385895</v>
      </c>
      <c r="I415" s="19">
        <v>65383951</v>
      </c>
      <c r="J415" s="10">
        <v>17264</v>
      </c>
      <c r="K415" s="10">
        <v>0</v>
      </c>
      <c r="L415" s="10">
        <v>17264</v>
      </c>
      <c r="M415" s="10">
        <v>0</v>
      </c>
      <c r="N415" s="11">
        <v>17264</v>
      </c>
      <c r="O415" s="12">
        <v>371385895</v>
      </c>
      <c r="P415" s="9">
        <v>285123</v>
      </c>
      <c r="Q415" s="9" t="s">
        <v>37</v>
      </c>
      <c r="R415" s="13">
        <v>45717</v>
      </c>
      <c r="S415" s="22">
        <v>45742</v>
      </c>
      <c r="T415" s="13">
        <v>45693</v>
      </c>
      <c r="U415" s="13">
        <v>45693</v>
      </c>
      <c r="V415" s="9" t="s">
        <v>47</v>
      </c>
      <c r="W415" s="9">
        <v>22770540</v>
      </c>
      <c r="X415" s="9">
        <v>3311105</v>
      </c>
      <c r="Y415" s="9">
        <v>69250839</v>
      </c>
      <c r="Z415" s="9" t="s">
        <v>39</v>
      </c>
      <c r="AA415" s="9">
        <v>220432706</v>
      </c>
      <c r="AB415" s="9">
        <v>78070</v>
      </c>
      <c r="AC415" s="9" t="s">
        <v>41</v>
      </c>
      <c r="AD415" s="9" t="s">
        <v>132</v>
      </c>
      <c r="AE415" s="9" t="s">
        <v>133</v>
      </c>
      <c r="AF415" s="9" t="s">
        <v>133</v>
      </c>
      <c r="AG415" s="14" t="str">
        <f t="shared" si="14"/>
        <v>EXAMENES DE LABORATORIO</v>
      </c>
      <c r="AH415" s="9">
        <v>0</v>
      </c>
      <c r="AI415" s="9">
        <v>0</v>
      </c>
      <c r="AJ415" s="9">
        <v>96617350</v>
      </c>
      <c r="AK415" s="9">
        <v>5</v>
      </c>
      <c r="AL415" s="26" t="s">
        <v>52</v>
      </c>
      <c r="AM415" s="14" t="s">
        <v>595</v>
      </c>
      <c r="AN415" s="27" t="str">
        <f t="shared" si="15"/>
        <v>11663256|96617350|371385895|65383951</v>
      </c>
      <c r="AO415" t="s">
        <v>44</v>
      </c>
      <c r="AP415" t="b">
        <v>0</v>
      </c>
      <c r="AQ415" t="s">
        <v>763</v>
      </c>
    </row>
    <row r="416" spans="1:43" x14ac:dyDescent="0.2">
      <c r="A416" s="14" t="s">
        <v>500</v>
      </c>
      <c r="B416" s="17">
        <v>11663256</v>
      </c>
      <c r="C416" s="14" t="s">
        <v>265</v>
      </c>
      <c r="D416" s="9">
        <v>11663256</v>
      </c>
      <c r="E416" s="9" t="s">
        <v>265</v>
      </c>
      <c r="F416" s="7">
        <v>45689</v>
      </c>
      <c r="G416" s="20" t="s">
        <v>36</v>
      </c>
      <c r="H416" s="8">
        <v>371385897</v>
      </c>
      <c r="I416" s="19">
        <v>371385897</v>
      </c>
      <c r="J416" s="10">
        <v>23683</v>
      </c>
      <c r="K416" s="10">
        <v>16578</v>
      </c>
      <c r="L416" s="10">
        <v>7105</v>
      </c>
      <c r="M416" s="10">
        <v>0</v>
      </c>
      <c r="N416" s="11">
        <v>7105</v>
      </c>
      <c r="O416" s="12">
        <v>371385897</v>
      </c>
      <c r="P416" s="9">
        <v>285123</v>
      </c>
      <c r="Q416" s="9" t="s">
        <v>37</v>
      </c>
      <c r="R416" s="13">
        <v>45693</v>
      </c>
      <c r="S416" s="22">
        <v>45693</v>
      </c>
      <c r="T416" s="13">
        <v>45693</v>
      </c>
      <c r="U416" s="13">
        <v>45693</v>
      </c>
      <c r="V416" s="9" t="s">
        <v>47</v>
      </c>
      <c r="W416" s="9">
        <v>22566207</v>
      </c>
      <c r="X416" s="9">
        <v>2101551</v>
      </c>
      <c r="Y416" s="9">
        <v>68821482</v>
      </c>
      <c r="Z416" s="9" t="s">
        <v>39</v>
      </c>
      <c r="AA416" s="9">
        <v>9022025</v>
      </c>
      <c r="AB416" s="9">
        <v>77586</v>
      </c>
      <c r="AC416" s="9" t="s">
        <v>41</v>
      </c>
      <c r="AD416" s="9" t="s">
        <v>132</v>
      </c>
      <c r="AE416" s="9" t="s">
        <v>133</v>
      </c>
      <c r="AF416" s="9" t="s">
        <v>133</v>
      </c>
      <c r="AG416" s="14" t="str">
        <f t="shared" si="14"/>
        <v>EXAMENES DE LABORATORIO</v>
      </c>
      <c r="AH416" s="9" t="s">
        <v>758</v>
      </c>
      <c r="AI416" s="9">
        <v>0</v>
      </c>
      <c r="AJ416" s="9">
        <v>96617350</v>
      </c>
      <c r="AK416" s="9">
        <v>5</v>
      </c>
      <c r="AL416" s="26" t="s">
        <v>76</v>
      </c>
      <c r="AM416" s="14" t="s">
        <v>595</v>
      </c>
      <c r="AN416" s="27" t="str">
        <f t="shared" si="15"/>
        <v>11663256|96617350|371385897|371385897</v>
      </c>
      <c r="AO416" t="s">
        <v>758</v>
      </c>
      <c r="AP416" t="b">
        <v>1</v>
      </c>
      <c r="AQ416" t="s">
        <v>764</v>
      </c>
    </row>
    <row r="417" spans="1:43" x14ac:dyDescent="0.2">
      <c r="A417" s="14" t="s">
        <v>500</v>
      </c>
      <c r="B417" s="17">
        <v>11663256</v>
      </c>
      <c r="C417" s="14" t="s">
        <v>265</v>
      </c>
      <c r="D417" s="9">
        <v>11663256</v>
      </c>
      <c r="E417" s="9" t="s">
        <v>265</v>
      </c>
      <c r="F417" s="7">
        <v>45717</v>
      </c>
      <c r="G417" s="20" t="s">
        <v>46</v>
      </c>
      <c r="H417" s="8">
        <v>371385897</v>
      </c>
      <c r="I417" s="19">
        <v>65383952</v>
      </c>
      <c r="J417" s="10">
        <v>7289</v>
      </c>
      <c r="K417" s="10">
        <v>0</v>
      </c>
      <c r="L417" s="10">
        <v>7289</v>
      </c>
      <c r="M417" s="10">
        <v>0</v>
      </c>
      <c r="N417" s="11">
        <v>7289</v>
      </c>
      <c r="O417" s="12">
        <v>371385897</v>
      </c>
      <c r="P417" s="9">
        <v>285123</v>
      </c>
      <c r="Q417" s="9" t="s">
        <v>37</v>
      </c>
      <c r="R417" s="13">
        <v>45717</v>
      </c>
      <c r="S417" s="22">
        <v>45742</v>
      </c>
      <c r="T417" s="13">
        <v>45693</v>
      </c>
      <c r="U417" s="13">
        <v>45693</v>
      </c>
      <c r="V417" s="9" t="s">
        <v>47</v>
      </c>
      <c r="W417" s="9">
        <v>22770540</v>
      </c>
      <c r="X417" s="9">
        <v>3311105</v>
      </c>
      <c r="Y417" s="9">
        <v>69250840</v>
      </c>
      <c r="Z417" s="9" t="s">
        <v>39</v>
      </c>
      <c r="AA417" s="9">
        <v>220432706</v>
      </c>
      <c r="AB417" s="9">
        <v>78070</v>
      </c>
      <c r="AC417" s="9" t="s">
        <v>41</v>
      </c>
      <c r="AD417" s="9" t="s">
        <v>132</v>
      </c>
      <c r="AE417" s="9" t="s">
        <v>133</v>
      </c>
      <c r="AF417" s="9" t="s">
        <v>133</v>
      </c>
      <c r="AG417" s="14" t="str">
        <f t="shared" si="14"/>
        <v>EXAMENES DE LABORATORIO</v>
      </c>
      <c r="AH417" s="9">
        <v>0</v>
      </c>
      <c r="AI417" s="9">
        <v>0</v>
      </c>
      <c r="AJ417" s="9">
        <v>96617350</v>
      </c>
      <c r="AK417" s="9">
        <v>5</v>
      </c>
      <c r="AL417" s="26" t="s">
        <v>52</v>
      </c>
      <c r="AM417" s="14" t="s">
        <v>595</v>
      </c>
      <c r="AN417" s="27" t="str">
        <f t="shared" si="15"/>
        <v>11663256|96617350|371385897|65383952</v>
      </c>
      <c r="AO417" t="s">
        <v>44</v>
      </c>
      <c r="AP417" t="b">
        <v>0</v>
      </c>
      <c r="AQ417" t="s">
        <v>763</v>
      </c>
    </row>
    <row r="418" spans="1:43" x14ac:dyDescent="0.2">
      <c r="A418" s="14" t="s">
        <v>500</v>
      </c>
      <c r="B418" s="17">
        <v>14551107</v>
      </c>
      <c r="C418" s="14" t="s">
        <v>266</v>
      </c>
      <c r="D418" s="9">
        <v>14551107</v>
      </c>
      <c r="E418" s="9" t="s">
        <v>266</v>
      </c>
      <c r="F418" s="7">
        <v>45689</v>
      </c>
      <c r="G418" s="20" t="s">
        <v>36</v>
      </c>
      <c r="H418" s="8">
        <v>371387072</v>
      </c>
      <c r="I418" s="19">
        <v>371387072</v>
      </c>
      <c r="J418" s="10">
        <v>21203</v>
      </c>
      <c r="K418" s="10">
        <v>14842</v>
      </c>
      <c r="L418" s="10">
        <v>6361</v>
      </c>
      <c r="M418" s="10">
        <v>0</v>
      </c>
      <c r="N418" s="11">
        <v>6361</v>
      </c>
      <c r="O418" s="12">
        <v>371387072</v>
      </c>
      <c r="P418" s="9">
        <v>285123</v>
      </c>
      <c r="Q418" s="9" t="s">
        <v>37</v>
      </c>
      <c r="R418" s="13">
        <v>45693</v>
      </c>
      <c r="S418" s="22">
        <v>45693</v>
      </c>
      <c r="T418" s="13">
        <v>45693</v>
      </c>
      <c r="U418" s="13">
        <v>45693</v>
      </c>
      <c r="V418" s="9" t="s">
        <v>47</v>
      </c>
      <c r="W418" s="9">
        <v>22566220</v>
      </c>
      <c r="X418" s="9">
        <v>2101551</v>
      </c>
      <c r="Y418" s="9">
        <v>68821529</v>
      </c>
      <c r="Z418" s="9" t="s">
        <v>39</v>
      </c>
      <c r="AA418" s="9">
        <v>9022025</v>
      </c>
      <c r="AB418" s="9">
        <v>77586</v>
      </c>
      <c r="AC418" s="9" t="s">
        <v>41</v>
      </c>
      <c r="AD418" s="9" t="s">
        <v>132</v>
      </c>
      <c r="AE418" s="9" t="s">
        <v>133</v>
      </c>
      <c r="AF418" s="9" t="s">
        <v>133</v>
      </c>
      <c r="AG418" s="14" t="str">
        <f t="shared" si="14"/>
        <v>EXAMENES DE LABORATORIO</v>
      </c>
      <c r="AH418" s="9" t="s">
        <v>758</v>
      </c>
      <c r="AI418" s="9">
        <v>0</v>
      </c>
      <c r="AJ418" s="9">
        <v>96942400</v>
      </c>
      <c r="AK418" s="9">
        <v>2</v>
      </c>
      <c r="AL418" s="26" t="s">
        <v>76</v>
      </c>
      <c r="AM418" s="14" t="s">
        <v>596</v>
      </c>
      <c r="AN418" s="27" t="str">
        <f t="shared" si="15"/>
        <v>14551107|96942400|371387072|371387072</v>
      </c>
      <c r="AO418" t="s">
        <v>758</v>
      </c>
      <c r="AP418" t="b">
        <v>1</v>
      </c>
      <c r="AQ418" t="s">
        <v>764</v>
      </c>
    </row>
    <row r="419" spans="1:43" x14ac:dyDescent="0.2">
      <c r="A419" s="14" t="s">
        <v>500</v>
      </c>
      <c r="B419" s="17">
        <v>14551107</v>
      </c>
      <c r="C419" s="14" t="s">
        <v>266</v>
      </c>
      <c r="D419" s="9">
        <v>14551107</v>
      </c>
      <c r="E419" s="9" t="s">
        <v>266</v>
      </c>
      <c r="F419" s="7">
        <v>45717</v>
      </c>
      <c r="G419" s="20" t="s">
        <v>46</v>
      </c>
      <c r="H419" s="8">
        <v>371387072</v>
      </c>
      <c r="I419" s="19">
        <v>65384244</v>
      </c>
      <c r="J419" s="10">
        <v>6138</v>
      </c>
      <c r="K419" s="10">
        <v>0</v>
      </c>
      <c r="L419" s="10">
        <v>6138</v>
      </c>
      <c r="M419" s="10">
        <v>0</v>
      </c>
      <c r="N419" s="11">
        <v>6138</v>
      </c>
      <c r="O419" s="12">
        <v>371387072</v>
      </c>
      <c r="P419" s="9">
        <v>285123</v>
      </c>
      <c r="Q419" s="9" t="s">
        <v>37</v>
      </c>
      <c r="R419" s="13">
        <v>45717</v>
      </c>
      <c r="S419" s="22">
        <v>45742</v>
      </c>
      <c r="T419" s="13">
        <v>45693</v>
      </c>
      <c r="U419" s="13">
        <v>45693</v>
      </c>
      <c r="V419" s="9" t="s">
        <v>47</v>
      </c>
      <c r="W419" s="9">
        <v>22770544</v>
      </c>
      <c r="X419" s="9">
        <v>3311105</v>
      </c>
      <c r="Y419" s="9">
        <v>69251117</v>
      </c>
      <c r="Z419" s="9" t="s">
        <v>39</v>
      </c>
      <c r="AA419" s="9">
        <v>984289359</v>
      </c>
      <c r="AB419" s="9">
        <v>78070</v>
      </c>
      <c r="AC419" s="9" t="s">
        <v>41</v>
      </c>
      <c r="AD419" s="9" t="s">
        <v>132</v>
      </c>
      <c r="AE419" s="9" t="s">
        <v>133</v>
      </c>
      <c r="AF419" s="9" t="s">
        <v>133</v>
      </c>
      <c r="AG419" s="14" t="str">
        <f t="shared" si="14"/>
        <v>EXAMENES DE LABORATORIO</v>
      </c>
      <c r="AH419" s="9">
        <v>0</v>
      </c>
      <c r="AI419" s="9">
        <v>0</v>
      </c>
      <c r="AJ419" s="9">
        <v>96942400</v>
      </c>
      <c r="AK419" s="9">
        <v>2</v>
      </c>
      <c r="AL419" s="26" t="s">
        <v>52</v>
      </c>
      <c r="AM419" s="14" t="s">
        <v>596</v>
      </c>
      <c r="AN419" s="27" t="str">
        <f t="shared" si="15"/>
        <v>14551107|96942400|371387072|65384244</v>
      </c>
      <c r="AO419" t="s">
        <v>44</v>
      </c>
      <c r="AP419" t="b">
        <v>0</v>
      </c>
      <c r="AQ419" t="s">
        <v>763</v>
      </c>
    </row>
    <row r="420" spans="1:43" x14ac:dyDescent="0.2">
      <c r="A420" s="14" t="s">
        <v>500</v>
      </c>
      <c r="B420" s="17">
        <v>15510748</v>
      </c>
      <c r="C420" s="14" t="s">
        <v>256</v>
      </c>
      <c r="D420" s="9">
        <v>15510748</v>
      </c>
      <c r="E420" s="9" t="s">
        <v>256</v>
      </c>
      <c r="F420" s="7">
        <v>45689</v>
      </c>
      <c r="G420" s="20" t="s">
        <v>36</v>
      </c>
      <c r="H420" s="8">
        <v>371395787</v>
      </c>
      <c r="I420" s="19">
        <v>371395787</v>
      </c>
      <c r="J420" s="10">
        <v>14673</v>
      </c>
      <c r="K420" s="10">
        <v>11738</v>
      </c>
      <c r="L420" s="10">
        <v>2935</v>
      </c>
      <c r="M420" s="10">
        <v>0</v>
      </c>
      <c r="N420" s="11">
        <v>2935</v>
      </c>
      <c r="O420" s="12">
        <v>371395787</v>
      </c>
      <c r="P420" s="9">
        <v>285123</v>
      </c>
      <c r="Q420" s="9" t="s">
        <v>37</v>
      </c>
      <c r="R420" s="13">
        <v>45693</v>
      </c>
      <c r="S420" s="22">
        <v>45693</v>
      </c>
      <c r="T420" s="13">
        <v>45693</v>
      </c>
      <c r="U420" s="13">
        <v>45693</v>
      </c>
      <c r="V420" s="9" t="s">
        <v>47</v>
      </c>
      <c r="W420" s="9">
        <v>22566228</v>
      </c>
      <c r="X420" s="9">
        <v>2101551</v>
      </c>
      <c r="Y420" s="9">
        <v>68821752</v>
      </c>
      <c r="Z420" s="9" t="s">
        <v>39</v>
      </c>
      <c r="AA420" s="9">
        <v>9022025</v>
      </c>
      <c r="AB420" s="9">
        <v>77586</v>
      </c>
      <c r="AC420" s="9" t="s">
        <v>41</v>
      </c>
      <c r="AD420" s="9" t="s">
        <v>132</v>
      </c>
      <c r="AE420" s="9" t="s">
        <v>133</v>
      </c>
      <c r="AF420" s="9" t="s">
        <v>133</v>
      </c>
      <c r="AG420" s="14" t="str">
        <f t="shared" si="14"/>
        <v>EXAMENES DE LABORATORIO</v>
      </c>
      <c r="AH420" s="9" t="s">
        <v>758</v>
      </c>
      <c r="AI420" s="9">
        <v>0</v>
      </c>
      <c r="AJ420" s="9">
        <v>96986050</v>
      </c>
      <c r="AK420" s="9">
        <v>3</v>
      </c>
      <c r="AL420" s="26" t="s">
        <v>76</v>
      </c>
      <c r="AM420" s="14" t="s">
        <v>591</v>
      </c>
      <c r="AN420" s="27" t="str">
        <f t="shared" si="15"/>
        <v>15510748|96986050|371395787|371395787</v>
      </c>
      <c r="AO420" t="s">
        <v>758</v>
      </c>
      <c r="AP420" t="b">
        <v>1</v>
      </c>
      <c r="AQ420" t="s">
        <v>764</v>
      </c>
    </row>
    <row r="421" spans="1:43" x14ac:dyDescent="0.2">
      <c r="A421" s="14" t="s">
        <v>500</v>
      </c>
      <c r="B421" s="17">
        <v>15510748</v>
      </c>
      <c r="C421" s="14" t="s">
        <v>256</v>
      </c>
      <c r="D421" s="9">
        <v>15510748</v>
      </c>
      <c r="E421" s="9" t="s">
        <v>256</v>
      </c>
      <c r="F421" s="7">
        <v>45717</v>
      </c>
      <c r="G421" s="20" t="s">
        <v>46</v>
      </c>
      <c r="H421" s="8">
        <v>371395787</v>
      </c>
      <c r="I421" s="19">
        <v>65384290</v>
      </c>
      <c r="J421" s="10">
        <v>3067</v>
      </c>
      <c r="K421" s="10">
        <v>0</v>
      </c>
      <c r="L421" s="10">
        <v>3067</v>
      </c>
      <c r="M421" s="10">
        <v>0</v>
      </c>
      <c r="N421" s="11">
        <v>3067</v>
      </c>
      <c r="O421" s="12">
        <v>371395787</v>
      </c>
      <c r="P421" s="9">
        <v>285123</v>
      </c>
      <c r="Q421" s="9" t="s">
        <v>37</v>
      </c>
      <c r="R421" s="13">
        <v>45717</v>
      </c>
      <c r="S421" s="22">
        <v>45742</v>
      </c>
      <c r="T421" s="13">
        <v>45693</v>
      </c>
      <c r="U421" s="13">
        <v>45693</v>
      </c>
      <c r="V421" s="9" t="s">
        <v>47</v>
      </c>
      <c r="W421" s="9">
        <v>22770546</v>
      </c>
      <c r="X421" s="9">
        <v>3311105</v>
      </c>
      <c r="Y421" s="9">
        <v>69251173</v>
      </c>
      <c r="Z421" s="9" t="s">
        <v>39</v>
      </c>
      <c r="AA421" s="9">
        <v>104294701</v>
      </c>
      <c r="AB421" s="9">
        <v>78070</v>
      </c>
      <c r="AC421" s="9" t="s">
        <v>41</v>
      </c>
      <c r="AD421" s="9" t="s">
        <v>132</v>
      </c>
      <c r="AE421" s="9" t="s">
        <v>133</v>
      </c>
      <c r="AF421" s="9" t="s">
        <v>133</v>
      </c>
      <c r="AG421" s="14" t="str">
        <f t="shared" si="14"/>
        <v>EXAMENES DE LABORATORIO</v>
      </c>
      <c r="AH421" s="9">
        <v>0</v>
      </c>
      <c r="AI421" s="9">
        <v>0</v>
      </c>
      <c r="AJ421" s="9">
        <v>96986050</v>
      </c>
      <c r="AK421" s="9">
        <v>3</v>
      </c>
      <c r="AL421" s="26" t="s">
        <v>52</v>
      </c>
      <c r="AM421" s="14" t="s">
        <v>591</v>
      </c>
      <c r="AN421" s="27" t="str">
        <f t="shared" si="15"/>
        <v>15510748|96986050|371395787|65384290</v>
      </c>
      <c r="AO421" t="s">
        <v>44</v>
      </c>
      <c r="AP421" t="b">
        <v>0</v>
      </c>
      <c r="AQ421" t="s">
        <v>763</v>
      </c>
    </row>
    <row r="422" spans="1:43" x14ac:dyDescent="0.2">
      <c r="A422" s="14" t="s">
        <v>500</v>
      </c>
      <c r="B422" s="17">
        <v>15510748</v>
      </c>
      <c r="C422" s="14" t="s">
        <v>256</v>
      </c>
      <c r="D422" s="9">
        <v>15510748</v>
      </c>
      <c r="E422" s="9" t="s">
        <v>256</v>
      </c>
      <c r="F422" s="7">
        <v>45689</v>
      </c>
      <c r="G422" s="20" t="s">
        <v>36</v>
      </c>
      <c r="H422" s="8">
        <v>371395788</v>
      </c>
      <c r="I422" s="19">
        <v>371395788</v>
      </c>
      <c r="J422" s="10">
        <v>31133</v>
      </c>
      <c r="K422" s="10">
        <v>24906</v>
      </c>
      <c r="L422" s="10">
        <v>6227</v>
      </c>
      <c r="M422" s="10">
        <v>0</v>
      </c>
      <c r="N422" s="11">
        <v>6227</v>
      </c>
      <c r="O422" s="12">
        <v>371395788</v>
      </c>
      <c r="P422" s="9">
        <v>285123</v>
      </c>
      <c r="Q422" s="9" t="s">
        <v>37</v>
      </c>
      <c r="R422" s="13">
        <v>45693</v>
      </c>
      <c r="S422" s="22">
        <v>45693</v>
      </c>
      <c r="T422" s="13">
        <v>45693</v>
      </c>
      <c r="U422" s="13">
        <v>45693</v>
      </c>
      <c r="V422" s="9" t="s">
        <v>47</v>
      </c>
      <c r="W422" s="9">
        <v>22566228</v>
      </c>
      <c r="X422" s="9">
        <v>2101551</v>
      </c>
      <c r="Y422" s="9">
        <v>68821751</v>
      </c>
      <c r="Z422" s="9" t="s">
        <v>39</v>
      </c>
      <c r="AA422" s="9">
        <v>9022025</v>
      </c>
      <c r="AB422" s="9">
        <v>77586</v>
      </c>
      <c r="AC422" s="9" t="s">
        <v>41</v>
      </c>
      <c r="AD422" s="9" t="s">
        <v>132</v>
      </c>
      <c r="AE422" s="9" t="s">
        <v>133</v>
      </c>
      <c r="AF422" s="9" t="s">
        <v>133</v>
      </c>
      <c r="AG422" s="14" t="str">
        <f t="shared" si="14"/>
        <v>EXAMENES DE LABORATORIO</v>
      </c>
      <c r="AH422" s="9" t="s">
        <v>758</v>
      </c>
      <c r="AI422" s="9">
        <v>0</v>
      </c>
      <c r="AJ422" s="9">
        <v>96986050</v>
      </c>
      <c r="AK422" s="9">
        <v>3</v>
      </c>
      <c r="AL422" s="26" t="s">
        <v>76</v>
      </c>
      <c r="AM422" s="14" t="s">
        <v>591</v>
      </c>
      <c r="AN422" s="27" t="str">
        <f t="shared" si="15"/>
        <v>15510748|96986050|371395788|371395788</v>
      </c>
      <c r="AO422" t="s">
        <v>758</v>
      </c>
      <c r="AP422" t="b">
        <v>1</v>
      </c>
      <c r="AQ422" t="s">
        <v>764</v>
      </c>
    </row>
    <row r="423" spans="1:43" x14ac:dyDescent="0.2">
      <c r="A423" s="14" t="s">
        <v>500</v>
      </c>
      <c r="B423" s="17">
        <v>15510748</v>
      </c>
      <c r="C423" s="14" t="s">
        <v>256</v>
      </c>
      <c r="D423" s="9">
        <v>15510748</v>
      </c>
      <c r="E423" s="9" t="s">
        <v>256</v>
      </c>
      <c r="F423" s="7">
        <v>45717</v>
      </c>
      <c r="G423" s="20" t="s">
        <v>46</v>
      </c>
      <c r="H423" s="8">
        <v>371395788</v>
      </c>
      <c r="I423" s="19">
        <v>65384291</v>
      </c>
      <c r="J423" s="10">
        <v>6521</v>
      </c>
      <c r="K423" s="10">
        <v>0</v>
      </c>
      <c r="L423" s="10">
        <v>6521</v>
      </c>
      <c r="M423" s="10">
        <v>0</v>
      </c>
      <c r="N423" s="11">
        <v>6521</v>
      </c>
      <c r="O423" s="12">
        <v>371395788</v>
      </c>
      <c r="P423" s="9">
        <v>285123</v>
      </c>
      <c r="Q423" s="9" t="s">
        <v>37</v>
      </c>
      <c r="R423" s="13">
        <v>45717</v>
      </c>
      <c r="S423" s="22">
        <v>45742</v>
      </c>
      <c r="T423" s="13">
        <v>45693</v>
      </c>
      <c r="U423" s="13">
        <v>45693</v>
      </c>
      <c r="V423" s="9" t="s">
        <v>47</v>
      </c>
      <c r="W423" s="9">
        <v>22770546</v>
      </c>
      <c r="X423" s="9">
        <v>3311105</v>
      </c>
      <c r="Y423" s="9">
        <v>69251174</v>
      </c>
      <c r="Z423" s="9" t="s">
        <v>39</v>
      </c>
      <c r="AA423" s="9">
        <v>104294701</v>
      </c>
      <c r="AB423" s="9">
        <v>78070</v>
      </c>
      <c r="AC423" s="9" t="s">
        <v>41</v>
      </c>
      <c r="AD423" s="9" t="s">
        <v>132</v>
      </c>
      <c r="AE423" s="9" t="s">
        <v>133</v>
      </c>
      <c r="AF423" s="9" t="s">
        <v>133</v>
      </c>
      <c r="AG423" s="14" t="str">
        <f t="shared" si="14"/>
        <v>EXAMENES DE LABORATORIO</v>
      </c>
      <c r="AH423" s="9">
        <v>0</v>
      </c>
      <c r="AI423" s="9">
        <v>0</v>
      </c>
      <c r="AJ423" s="9">
        <v>96986050</v>
      </c>
      <c r="AK423" s="9">
        <v>3</v>
      </c>
      <c r="AL423" s="26" t="s">
        <v>52</v>
      </c>
      <c r="AM423" s="14" t="s">
        <v>591</v>
      </c>
      <c r="AN423" s="27" t="str">
        <f t="shared" si="15"/>
        <v>15510748|96986050|371395788|65384291</v>
      </c>
      <c r="AO423" t="s">
        <v>44</v>
      </c>
      <c r="AP423" t="b">
        <v>0</v>
      </c>
      <c r="AQ423" t="s">
        <v>763</v>
      </c>
    </row>
    <row r="424" spans="1:43" x14ac:dyDescent="0.2">
      <c r="A424" s="14" t="s">
        <v>500</v>
      </c>
      <c r="B424" s="17">
        <v>15510748</v>
      </c>
      <c r="C424" s="14" t="s">
        <v>256</v>
      </c>
      <c r="D424" s="9">
        <v>15510748</v>
      </c>
      <c r="E424" s="9" t="s">
        <v>256</v>
      </c>
      <c r="F424" s="7">
        <v>45689</v>
      </c>
      <c r="G424" s="20" t="s">
        <v>36</v>
      </c>
      <c r="H424" s="8">
        <v>371395789</v>
      </c>
      <c r="I424" s="19">
        <v>371395789</v>
      </c>
      <c r="J424" s="10">
        <v>31130</v>
      </c>
      <c r="K424" s="10">
        <v>24903</v>
      </c>
      <c r="L424" s="10">
        <v>6227</v>
      </c>
      <c r="M424" s="10">
        <v>0</v>
      </c>
      <c r="N424" s="11">
        <v>6227</v>
      </c>
      <c r="O424" s="12">
        <v>371395789</v>
      </c>
      <c r="P424" s="9">
        <v>285123</v>
      </c>
      <c r="Q424" s="9" t="s">
        <v>37</v>
      </c>
      <c r="R424" s="13">
        <v>45693</v>
      </c>
      <c r="S424" s="22">
        <v>45693</v>
      </c>
      <c r="T424" s="13">
        <v>45693</v>
      </c>
      <c r="U424" s="13">
        <v>45693</v>
      </c>
      <c r="V424" s="9" t="s">
        <v>47</v>
      </c>
      <c r="W424" s="9">
        <v>22566228</v>
      </c>
      <c r="X424" s="9">
        <v>2101551</v>
      </c>
      <c r="Y424" s="9">
        <v>68821750</v>
      </c>
      <c r="Z424" s="9" t="s">
        <v>39</v>
      </c>
      <c r="AA424" s="9">
        <v>9022025</v>
      </c>
      <c r="AB424" s="9">
        <v>77586</v>
      </c>
      <c r="AC424" s="9" t="s">
        <v>41</v>
      </c>
      <c r="AD424" s="9" t="s">
        <v>132</v>
      </c>
      <c r="AE424" s="9" t="s">
        <v>133</v>
      </c>
      <c r="AF424" s="9" t="s">
        <v>133</v>
      </c>
      <c r="AG424" s="14" t="str">
        <f t="shared" si="14"/>
        <v>EXAMENES DE LABORATORIO</v>
      </c>
      <c r="AH424" s="9" t="s">
        <v>758</v>
      </c>
      <c r="AI424" s="9">
        <v>0</v>
      </c>
      <c r="AJ424" s="9">
        <v>96986050</v>
      </c>
      <c r="AK424" s="9">
        <v>3</v>
      </c>
      <c r="AL424" s="26" t="s">
        <v>76</v>
      </c>
      <c r="AM424" s="14" t="s">
        <v>591</v>
      </c>
      <c r="AN424" s="27" t="str">
        <f t="shared" si="15"/>
        <v>15510748|96986050|371395789|371395789</v>
      </c>
      <c r="AO424" t="s">
        <v>758</v>
      </c>
      <c r="AP424" t="b">
        <v>1</v>
      </c>
      <c r="AQ424" t="s">
        <v>764</v>
      </c>
    </row>
    <row r="425" spans="1:43" x14ac:dyDescent="0.2">
      <c r="A425" s="14" t="s">
        <v>500</v>
      </c>
      <c r="B425" s="17">
        <v>15510748</v>
      </c>
      <c r="C425" s="14" t="s">
        <v>256</v>
      </c>
      <c r="D425" s="9">
        <v>15510748</v>
      </c>
      <c r="E425" s="9" t="s">
        <v>256</v>
      </c>
      <c r="F425" s="7">
        <v>45717</v>
      </c>
      <c r="G425" s="20" t="s">
        <v>46</v>
      </c>
      <c r="H425" s="8">
        <v>371395789</v>
      </c>
      <c r="I425" s="19">
        <v>65384292</v>
      </c>
      <c r="J425" s="10">
        <v>6138</v>
      </c>
      <c r="K425" s="10">
        <v>0</v>
      </c>
      <c r="L425" s="10">
        <v>6138</v>
      </c>
      <c r="M425" s="10">
        <v>0</v>
      </c>
      <c r="N425" s="11">
        <v>6138</v>
      </c>
      <c r="O425" s="12">
        <v>371395789</v>
      </c>
      <c r="P425" s="9">
        <v>285123</v>
      </c>
      <c r="Q425" s="9" t="s">
        <v>37</v>
      </c>
      <c r="R425" s="13">
        <v>45717</v>
      </c>
      <c r="S425" s="22">
        <v>45742</v>
      </c>
      <c r="T425" s="13">
        <v>45693</v>
      </c>
      <c r="U425" s="13">
        <v>45693</v>
      </c>
      <c r="V425" s="9" t="s">
        <v>47</v>
      </c>
      <c r="W425" s="9">
        <v>22770546</v>
      </c>
      <c r="X425" s="9">
        <v>3311105</v>
      </c>
      <c r="Y425" s="9">
        <v>69251175</v>
      </c>
      <c r="Z425" s="9" t="s">
        <v>39</v>
      </c>
      <c r="AA425" s="9">
        <v>104294701</v>
      </c>
      <c r="AB425" s="9">
        <v>78070</v>
      </c>
      <c r="AC425" s="9" t="s">
        <v>41</v>
      </c>
      <c r="AD425" s="9" t="s">
        <v>132</v>
      </c>
      <c r="AE425" s="9" t="s">
        <v>133</v>
      </c>
      <c r="AF425" s="9" t="s">
        <v>133</v>
      </c>
      <c r="AG425" s="14" t="str">
        <f t="shared" si="14"/>
        <v>EXAMENES DE LABORATORIO</v>
      </c>
      <c r="AH425" s="9">
        <v>0</v>
      </c>
      <c r="AI425" s="9">
        <v>0</v>
      </c>
      <c r="AJ425" s="9">
        <v>96986050</v>
      </c>
      <c r="AK425" s="9">
        <v>3</v>
      </c>
      <c r="AL425" s="26" t="s">
        <v>52</v>
      </c>
      <c r="AM425" s="14" t="s">
        <v>591</v>
      </c>
      <c r="AN425" s="27" t="str">
        <f t="shared" si="15"/>
        <v>15510748|96986050|371395789|65384292</v>
      </c>
      <c r="AO425" t="s">
        <v>44</v>
      </c>
      <c r="AP425" t="b">
        <v>0</v>
      </c>
      <c r="AQ425" t="s">
        <v>763</v>
      </c>
    </row>
    <row r="426" spans="1:43" x14ac:dyDescent="0.2">
      <c r="A426" s="14" t="s">
        <v>500</v>
      </c>
      <c r="B426" s="17">
        <v>15510748</v>
      </c>
      <c r="C426" s="14" t="s">
        <v>256</v>
      </c>
      <c r="D426" s="9">
        <v>15510748</v>
      </c>
      <c r="E426" s="9" t="s">
        <v>256</v>
      </c>
      <c r="F426" s="7">
        <v>45689</v>
      </c>
      <c r="G426" s="20" t="s">
        <v>36</v>
      </c>
      <c r="H426" s="8">
        <v>371395790</v>
      </c>
      <c r="I426" s="19">
        <v>371395790</v>
      </c>
      <c r="J426" s="10">
        <v>19947</v>
      </c>
      <c r="K426" s="10">
        <v>15958</v>
      </c>
      <c r="L426" s="10">
        <v>3989</v>
      </c>
      <c r="M426" s="10">
        <v>0</v>
      </c>
      <c r="N426" s="11">
        <v>3989</v>
      </c>
      <c r="O426" s="12">
        <v>371395790</v>
      </c>
      <c r="P426" s="9">
        <v>285123</v>
      </c>
      <c r="Q426" s="9" t="s">
        <v>37</v>
      </c>
      <c r="R426" s="13">
        <v>45693</v>
      </c>
      <c r="S426" s="22">
        <v>45693</v>
      </c>
      <c r="T426" s="13">
        <v>45693</v>
      </c>
      <c r="U426" s="13">
        <v>45693</v>
      </c>
      <c r="V426" s="9" t="s">
        <v>47</v>
      </c>
      <c r="W426" s="9">
        <v>22566228</v>
      </c>
      <c r="X426" s="9">
        <v>2101551</v>
      </c>
      <c r="Y426" s="9">
        <v>68821749</v>
      </c>
      <c r="Z426" s="9" t="s">
        <v>39</v>
      </c>
      <c r="AA426" s="9">
        <v>9022025</v>
      </c>
      <c r="AB426" s="9">
        <v>77586</v>
      </c>
      <c r="AC426" s="9" t="s">
        <v>41</v>
      </c>
      <c r="AD426" s="9" t="s">
        <v>132</v>
      </c>
      <c r="AE426" s="9" t="s">
        <v>133</v>
      </c>
      <c r="AF426" s="9" t="s">
        <v>133</v>
      </c>
      <c r="AG426" s="14" t="str">
        <f t="shared" si="14"/>
        <v>EXAMENES DE LABORATORIO</v>
      </c>
      <c r="AH426" s="9" t="s">
        <v>758</v>
      </c>
      <c r="AI426" s="9">
        <v>0</v>
      </c>
      <c r="AJ426" s="9">
        <v>96986050</v>
      </c>
      <c r="AK426" s="9">
        <v>3</v>
      </c>
      <c r="AL426" s="26" t="s">
        <v>76</v>
      </c>
      <c r="AM426" s="14" t="s">
        <v>591</v>
      </c>
      <c r="AN426" s="27" t="str">
        <f t="shared" si="15"/>
        <v>15510748|96986050|371395790|371395790</v>
      </c>
      <c r="AO426" t="s">
        <v>758</v>
      </c>
      <c r="AP426" t="b">
        <v>1</v>
      </c>
      <c r="AQ426" t="s">
        <v>764</v>
      </c>
    </row>
    <row r="427" spans="1:43" x14ac:dyDescent="0.2">
      <c r="A427" s="14" t="s">
        <v>500</v>
      </c>
      <c r="B427" s="17">
        <v>15510748</v>
      </c>
      <c r="C427" s="14" t="s">
        <v>256</v>
      </c>
      <c r="D427" s="9">
        <v>15510748</v>
      </c>
      <c r="E427" s="9" t="s">
        <v>256</v>
      </c>
      <c r="F427" s="7">
        <v>45717</v>
      </c>
      <c r="G427" s="20" t="s">
        <v>46</v>
      </c>
      <c r="H427" s="8">
        <v>371395790</v>
      </c>
      <c r="I427" s="19">
        <v>65384293</v>
      </c>
      <c r="J427" s="10">
        <v>3836</v>
      </c>
      <c r="K427" s="10">
        <v>0</v>
      </c>
      <c r="L427" s="10">
        <v>3836</v>
      </c>
      <c r="M427" s="10">
        <v>0</v>
      </c>
      <c r="N427" s="11">
        <v>3836</v>
      </c>
      <c r="O427" s="12">
        <v>371395790</v>
      </c>
      <c r="P427" s="9">
        <v>285123</v>
      </c>
      <c r="Q427" s="9" t="s">
        <v>37</v>
      </c>
      <c r="R427" s="13">
        <v>45717</v>
      </c>
      <c r="S427" s="22">
        <v>45742</v>
      </c>
      <c r="T427" s="13">
        <v>45693</v>
      </c>
      <c r="U427" s="13">
        <v>45693</v>
      </c>
      <c r="V427" s="9" t="s">
        <v>47</v>
      </c>
      <c r="W427" s="9">
        <v>22770546</v>
      </c>
      <c r="X427" s="9">
        <v>3311105</v>
      </c>
      <c r="Y427" s="9">
        <v>69251176</v>
      </c>
      <c r="Z427" s="9" t="s">
        <v>39</v>
      </c>
      <c r="AA427" s="9">
        <v>104294701</v>
      </c>
      <c r="AB427" s="9">
        <v>78070</v>
      </c>
      <c r="AC427" s="9" t="s">
        <v>41</v>
      </c>
      <c r="AD427" s="9" t="s">
        <v>132</v>
      </c>
      <c r="AE427" s="9" t="s">
        <v>133</v>
      </c>
      <c r="AF427" s="9" t="s">
        <v>133</v>
      </c>
      <c r="AG427" s="14" t="str">
        <f t="shared" si="14"/>
        <v>EXAMENES DE LABORATORIO</v>
      </c>
      <c r="AH427" s="9">
        <v>0</v>
      </c>
      <c r="AI427" s="9">
        <v>0</v>
      </c>
      <c r="AJ427" s="9">
        <v>96986050</v>
      </c>
      <c r="AK427" s="9">
        <v>3</v>
      </c>
      <c r="AL427" s="26" t="s">
        <v>52</v>
      </c>
      <c r="AM427" s="14" t="s">
        <v>591</v>
      </c>
      <c r="AN427" s="27" t="str">
        <f t="shared" si="15"/>
        <v>15510748|96986050|371395790|65384293</v>
      </c>
      <c r="AO427" t="s">
        <v>44</v>
      </c>
      <c r="AP427" t="b">
        <v>0</v>
      </c>
      <c r="AQ427" t="s">
        <v>763</v>
      </c>
    </row>
    <row r="428" spans="1:43" x14ac:dyDescent="0.2">
      <c r="A428" s="14" t="s">
        <v>500</v>
      </c>
      <c r="B428" s="17">
        <v>15510748</v>
      </c>
      <c r="C428" s="14" t="s">
        <v>256</v>
      </c>
      <c r="D428" s="9">
        <v>15510748</v>
      </c>
      <c r="E428" s="9" t="s">
        <v>256</v>
      </c>
      <c r="F428" s="7">
        <v>45689</v>
      </c>
      <c r="G428" s="20" t="s">
        <v>36</v>
      </c>
      <c r="H428" s="8">
        <v>371403225</v>
      </c>
      <c r="I428" s="19">
        <v>371403225</v>
      </c>
      <c r="J428" s="10">
        <v>10713</v>
      </c>
      <c r="K428" s="10">
        <v>7499</v>
      </c>
      <c r="L428" s="10">
        <v>3214</v>
      </c>
      <c r="M428" s="10">
        <v>0</v>
      </c>
      <c r="N428" s="11">
        <v>3214</v>
      </c>
      <c r="O428" s="12">
        <v>371403225</v>
      </c>
      <c r="P428" s="9">
        <v>285123</v>
      </c>
      <c r="Q428" s="9" t="s">
        <v>37</v>
      </c>
      <c r="R428" s="13">
        <v>45693</v>
      </c>
      <c r="S428" s="22">
        <v>45693</v>
      </c>
      <c r="T428" s="13">
        <v>45693</v>
      </c>
      <c r="U428" s="13">
        <v>45693</v>
      </c>
      <c r="V428" s="9" t="s">
        <v>47</v>
      </c>
      <c r="W428" s="9">
        <v>22566228</v>
      </c>
      <c r="X428" s="9">
        <v>2101551</v>
      </c>
      <c r="Y428" s="9">
        <v>68821857</v>
      </c>
      <c r="Z428" s="9" t="s">
        <v>39</v>
      </c>
      <c r="AA428" s="9">
        <v>9022025</v>
      </c>
      <c r="AB428" s="9">
        <v>77586</v>
      </c>
      <c r="AC428" s="9" t="s">
        <v>41</v>
      </c>
      <c r="AD428" s="9" t="s">
        <v>65</v>
      </c>
      <c r="AE428" s="9" t="s">
        <v>66</v>
      </c>
      <c r="AF428" s="9" t="s">
        <v>66</v>
      </c>
      <c r="AG428" s="14" t="str">
        <f t="shared" si="14"/>
        <v>PROCEDIMIENTOS TERAPEUTICOS</v>
      </c>
      <c r="AH428" s="9" t="s">
        <v>758</v>
      </c>
      <c r="AI428" s="9">
        <v>0</v>
      </c>
      <c r="AJ428" s="9">
        <v>76098454</v>
      </c>
      <c r="AK428" s="9" t="s">
        <v>161</v>
      </c>
      <c r="AL428" s="26" t="s">
        <v>76</v>
      </c>
      <c r="AM428" s="14" t="s">
        <v>591</v>
      </c>
      <c r="AN428" s="27" t="str">
        <f t="shared" si="15"/>
        <v>15510748|76098454|371403225|371403225</v>
      </c>
      <c r="AO428" t="s">
        <v>758</v>
      </c>
      <c r="AP428" t="b">
        <v>1</v>
      </c>
      <c r="AQ428" t="s">
        <v>764</v>
      </c>
    </row>
    <row r="429" spans="1:43" x14ac:dyDescent="0.2">
      <c r="A429" s="14" t="s">
        <v>500</v>
      </c>
      <c r="B429" s="17">
        <v>15510748</v>
      </c>
      <c r="C429" s="14" t="s">
        <v>256</v>
      </c>
      <c r="D429" s="9">
        <v>15510748</v>
      </c>
      <c r="E429" s="9" t="s">
        <v>256</v>
      </c>
      <c r="F429" s="7">
        <v>45717</v>
      </c>
      <c r="G429" s="20" t="s">
        <v>46</v>
      </c>
      <c r="H429" s="8">
        <v>371403225</v>
      </c>
      <c r="I429" s="19">
        <v>65384294</v>
      </c>
      <c r="J429" s="10">
        <v>3069</v>
      </c>
      <c r="K429" s="10">
        <v>0</v>
      </c>
      <c r="L429" s="10">
        <v>3069</v>
      </c>
      <c r="M429" s="10">
        <v>0</v>
      </c>
      <c r="N429" s="11">
        <v>3069</v>
      </c>
      <c r="O429" s="12">
        <v>371403225</v>
      </c>
      <c r="P429" s="9">
        <v>285123</v>
      </c>
      <c r="Q429" s="9" t="s">
        <v>37</v>
      </c>
      <c r="R429" s="13">
        <v>45717</v>
      </c>
      <c r="S429" s="22">
        <v>45742</v>
      </c>
      <c r="T429" s="13">
        <v>45693</v>
      </c>
      <c r="U429" s="13">
        <v>45693</v>
      </c>
      <c r="V429" s="9" t="s">
        <v>47</v>
      </c>
      <c r="W429" s="9">
        <v>22770546</v>
      </c>
      <c r="X429" s="9">
        <v>3311105</v>
      </c>
      <c r="Y429" s="9">
        <v>69251177</v>
      </c>
      <c r="Z429" s="9" t="s">
        <v>39</v>
      </c>
      <c r="AA429" s="9">
        <v>104294701</v>
      </c>
      <c r="AB429" s="9">
        <v>78070</v>
      </c>
      <c r="AC429" s="9" t="s">
        <v>41</v>
      </c>
      <c r="AD429" s="9" t="s">
        <v>65</v>
      </c>
      <c r="AE429" s="9" t="s">
        <v>66</v>
      </c>
      <c r="AF429" s="9" t="s">
        <v>66</v>
      </c>
      <c r="AG429" s="14" t="str">
        <f t="shared" si="14"/>
        <v>PROCEDIMIENTOS TERAPEUTICOS</v>
      </c>
      <c r="AH429" s="9">
        <v>0</v>
      </c>
      <c r="AI429" s="9">
        <v>0</v>
      </c>
      <c r="AJ429" s="9">
        <v>76098454</v>
      </c>
      <c r="AK429" s="9" t="s">
        <v>161</v>
      </c>
      <c r="AL429" s="26" t="s">
        <v>52</v>
      </c>
      <c r="AM429" s="14" t="s">
        <v>591</v>
      </c>
      <c r="AN429" s="27" t="str">
        <f t="shared" si="15"/>
        <v>15510748|76098454|371403225|65384294</v>
      </c>
      <c r="AO429" t="s">
        <v>44</v>
      </c>
      <c r="AP429" t="b">
        <v>0</v>
      </c>
      <c r="AQ429" t="s">
        <v>763</v>
      </c>
    </row>
    <row r="430" spans="1:43" x14ac:dyDescent="0.2">
      <c r="A430" s="14" t="s">
        <v>500</v>
      </c>
      <c r="B430" s="17">
        <v>11551746</v>
      </c>
      <c r="C430" s="14" t="s">
        <v>267</v>
      </c>
      <c r="D430" s="9">
        <v>22256448</v>
      </c>
      <c r="E430" s="9" t="s">
        <v>268</v>
      </c>
      <c r="F430" s="7">
        <v>45689</v>
      </c>
      <c r="G430" s="20" t="s">
        <v>36</v>
      </c>
      <c r="H430" s="8">
        <v>371474020</v>
      </c>
      <c r="I430" s="19">
        <v>371474020</v>
      </c>
      <c r="J430" s="10">
        <v>31886</v>
      </c>
      <c r="K430" s="10">
        <v>22321</v>
      </c>
      <c r="L430" s="10">
        <v>9565</v>
      </c>
      <c r="M430" s="10">
        <v>0</v>
      </c>
      <c r="N430" s="11">
        <v>9565</v>
      </c>
      <c r="O430" s="12">
        <v>371474020</v>
      </c>
      <c r="P430" s="9">
        <v>285123</v>
      </c>
      <c r="Q430" s="9" t="s">
        <v>37</v>
      </c>
      <c r="R430" s="13">
        <v>45695</v>
      </c>
      <c r="S430" s="22">
        <v>45695</v>
      </c>
      <c r="T430" s="13">
        <v>45695</v>
      </c>
      <c r="U430" s="13">
        <v>45695</v>
      </c>
      <c r="V430" s="9" t="s">
        <v>47</v>
      </c>
      <c r="W430" s="9">
        <v>22566287</v>
      </c>
      <c r="X430" s="9">
        <v>2101551</v>
      </c>
      <c r="Y430" s="9">
        <v>68822982</v>
      </c>
      <c r="Z430" s="9" t="s">
        <v>39</v>
      </c>
      <c r="AA430" s="9">
        <v>9022025</v>
      </c>
      <c r="AB430" s="9">
        <v>77586</v>
      </c>
      <c r="AC430" s="9" t="s">
        <v>41</v>
      </c>
      <c r="AD430" s="9" t="s">
        <v>132</v>
      </c>
      <c r="AE430" s="9" t="s">
        <v>133</v>
      </c>
      <c r="AF430" s="9" t="s">
        <v>133</v>
      </c>
      <c r="AG430" s="14" t="str">
        <f t="shared" si="14"/>
        <v>EXAMENES DE LABORATORIO</v>
      </c>
      <c r="AH430" s="9" t="s">
        <v>758</v>
      </c>
      <c r="AI430" s="9">
        <v>0</v>
      </c>
      <c r="AJ430" s="9">
        <v>99573490</v>
      </c>
      <c r="AK430" s="9">
        <v>7</v>
      </c>
      <c r="AL430" s="26" t="s">
        <v>76</v>
      </c>
      <c r="AM430" s="14" t="s">
        <v>597</v>
      </c>
      <c r="AN430" s="27" t="str">
        <f t="shared" si="15"/>
        <v>11551746|99573490|371474020|371474020</v>
      </c>
      <c r="AO430" t="s">
        <v>758</v>
      </c>
      <c r="AP430" t="b">
        <v>1</v>
      </c>
      <c r="AQ430" t="s">
        <v>764</v>
      </c>
    </row>
    <row r="431" spans="1:43" x14ac:dyDescent="0.2">
      <c r="A431" s="14" t="s">
        <v>500</v>
      </c>
      <c r="B431" s="17">
        <v>11551746</v>
      </c>
      <c r="C431" s="14" t="s">
        <v>267</v>
      </c>
      <c r="D431" s="9">
        <v>22256448</v>
      </c>
      <c r="E431" s="9" t="s">
        <v>268</v>
      </c>
      <c r="F431" s="7">
        <v>45717</v>
      </c>
      <c r="G431" s="20" t="s">
        <v>46</v>
      </c>
      <c r="H431" s="8">
        <v>371474020</v>
      </c>
      <c r="I431" s="19">
        <v>65383941</v>
      </c>
      <c r="J431" s="10">
        <v>9206</v>
      </c>
      <c r="K431" s="10">
        <v>0</v>
      </c>
      <c r="L431" s="10">
        <v>9206</v>
      </c>
      <c r="M431" s="10">
        <v>0</v>
      </c>
      <c r="N431" s="11">
        <v>9206</v>
      </c>
      <c r="O431" s="12">
        <v>371474020</v>
      </c>
      <c r="P431" s="9">
        <v>285123</v>
      </c>
      <c r="Q431" s="9" t="s">
        <v>37</v>
      </c>
      <c r="R431" s="13">
        <v>45717</v>
      </c>
      <c r="S431" s="22">
        <v>45742</v>
      </c>
      <c r="T431" s="13">
        <v>45695</v>
      </c>
      <c r="U431" s="13">
        <v>45695</v>
      </c>
      <c r="V431" s="9" t="s">
        <v>47</v>
      </c>
      <c r="W431" s="9">
        <v>22770557</v>
      </c>
      <c r="X431" s="9">
        <v>3311105</v>
      </c>
      <c r="Y431" s="9">
        <v>69250829</v>
      </c>
      <c r="Z431" s="9" t="s">
        <v>39</v>
      </c>
      <c r="AA431" s="9">
        <v>12084650</v>
      </c>
      <c r="AB431" s="9">
        <v>78070</v>
      </c>
      <c r="AC431" s="9" t="s">
        <v>41</v>
      </c>
      <c r="AD431" s="9" t="s">
        <v>132</v>
      </c>
      <c r="AE431" s="9" t="s">
        <v>133</v>
      </c>
      <c r="AF431" s="9" t="s">
        <v>133</v>
      </c>
      <c r="AG431" s="14" t="str">
        <f t="shared" si="14"/>
        <v>EXAMENES DE LABORATORIO</v>
      </c>
      <c r="AH431" s="9">
        <v>0</v>
      </c>
      <c r="AI431" s="9">
        <v>0</v>
      </c>
      <c r="AJ431" s="9">
        <v>99573490</v>
      </c>
      <c r="AK431" s="9">
        <v>7</v>
      </c>
      <c r="AL431" s="26" t="s">
        <v>52</v>
      </c>
      <c r="AM431" s="14" t="s">
        <v>597</v>
      </c>
      <c r="AN431" s="27" t="str">
        <f t="shared" si="15"/>
        <v>11551746|99573490|371474020|65383941</v>
      </c>
      <c r="AO431" t="s">
        <v>44</v>
      </c>
      <c r="AP431" t="b">
        <v>0</v>
      </c>
      <c r="AQ431" t="s">
        <v>763</v>
      </c>
    </row>
    <row r="432" spans="1:43" x14ac:dyDescent="0.2">
      <c r="A432" s="14" t="s">
        <v>500</v>
      </c>
      <c r="B432" s="17">
        <v>11551746</v>
      </c>
      <c r="C432" s="14" t="s">
        <v>267</v>
      </c>
      <c r="D432" s="9">
        <v>22256448</v>
      </c>
      <c r="E432" s="9" t="s">
        <v>268</v>
      </c>
      <c r="F432" s="7">
        <v>45689</v>
      </c>
      <c r="G432" s="20" t="s">
        <v>36</v>
      </c>
      <c r="H432" s="8">
        <v>371474021</v>
      </c>
      <c r="I432" s="19">
        <v>371474021</v>
      </c>
      <c r="J432" s="10">
        <v>56638</v>
      </c>
      <c r="K432" s="10">
        <v>39646</v>
      </c>
      <c r="L432" s="10">
        <v>16992</v>
      </c>
      <c r="M432" s="10">
        <v>0</v>
      </c>
      <c r="N432" s="11">
        <v>16992</v>
      </c>
      <c r="O432" s="12">
        <v>371474021</v>
      </c>
      <c r="P432" s="9">
        <v>285123</v>
      </c>
      <c r="Q432" s="9" t="s">
        <v>37</v>
      </c>
      <c r="R432" s="13">
        <v>45695</v>
      </c>
      <c r="S432" s="22">
        <v>45695</v>
      </c>
      <c r="T432" s="13">
        <v>45695</v>
      </c>
      <c r="U432" s="13">
        <v>45695</v>
      </c>
      <c r="V432" s="9" t="s">
        <v>47</v>
      </c>
      <c r="W432" s="9">
        <v>22566287</v>
      </c>
      <c r="X432" s="9">
        <v>2101551</v>
      </c>
      <c r="Y432" s="9">
        <v>68822981</v>
      </c>
      <c r="Z432" s="9" t="s">
        <v>39</v>
      </c>
      <c r="AA432" s="9">
        <v>9022025</v>
      </c>
      <c r="AB432" s="9">
        <v>77586</v>
      </c>
      <c r="AC432" s="9" t="s">
        <v>41</v>
      </c>
      <c r="AD432" s="9" t="s">
        <v>132</v>
      </c>
      <c r="AE432" s="9" t="s">
        <v>133</v>
      </c>
      <c r="AF432" s="9" t="s">
        <v>133</v>
      </c>
      <c r="AG432" s="14" t="str">
        <f t="shared" si="14"/>
        <v>EXAMENES DE LABORATORIO</v>
      </c>
      <c r="AH432" s="9" t="s">
        <v>758</v>
      </c>
      <c r="AI432" s="9">
        <v>0</v>
      </c>
      <c r="AJ432" s="9">
        <v>99573490</v>
      </c>
      <c r="AK432" s="9">
        <v>7</v>
      </c>
      <c r="AL432" s="26" t="s">
        <v>76</v>
      </c>
      <c r="AM432" s="14" t="s">
        <v>597</v>
      </c>
      <c r="AN432" s="27" t="str">
        <f t="shared" si="15"/>
        <v>11551746|99573490|371474021|371474021</v>
      </c>
      <c r="AO432" t="s">
        <v>758</v>
      </c>
      <c r="AP432" t="b">
        <v>1</v>
      </c>
      <c r="AQ432" t="s">
        <v>764</v>
      </c>
    </row>
    <row r="433" spans="1:43" x14ac:dyDescent="0.2">
      <c r="A433" s="14" t="s">
        <v>500</v>
      </c>
      <c r="B433" s="17">
        <v>11551746</v>
      </c>
      <c r="C433" s="14" t="s">
        <v>267</v>
      </c>
      <c r="D433" s="9">
        <v>22256448</v>
      </c>
      <c r="E433" s="9" t="s">
        <v>268</v>
      </c>
      <c r="F433" s="7">
        <v>45717</v>
      </c>
      <c r="G433" s="20" t="s">
        <v>46</v>
      </c>
      <c r="H433" s="8">
        <v>371474021</v>
      </c>
      <c r="I433" s="19">
        <v>65383942</v>
      </c>
      <c r="J433" s="10">
        <v>17264</v>
      </c>
      <c r="K433" s="10">
        <v>0</v>
      </c>
      <c r="L433" s="10">
        <v>17264</v>
      </c>
      <c r="M433" s="10">
        <v>0</v>
      </c>
      <c r="N433" s="11">
        <v>17264</v>
      </c>
      <c r="O433" s="12">
        <v>371474021</v>
      </c>
      <c r="P433" s="9">
        <v>285123</v>
      </c>
      <c r="Q433" s="9" t="s">
        <v>37</v>
      </c>
      <c r="R433" s="13">
        <v>45717</v>
      </c>
      <c r="S433" s="22">
        <v>45742</v>
      </c>
      <c r="T433" s="13">
        <v>45695</v>
      </c>
      <c r="U433" s="13">
        <v>45695</v>
      </c>
      <c r="V433" s="9" t="s">
        <v>47</v>
      </c>
      <c r="W433" s="9">
        <v>22770557</v>
      </c>
      <c r="X433" s="9">
        <v>3311105</v>
      </c>
      <c r="Y433" s="9">
        <v>69250830</v>
      </c>
      <c r="Z433" s="9" t="s">
        <v>39</v>
      </c>
      <c r="AA433" s="9">
        <v>12084650</v>
      </c>
      <c r="AB433" s="9">
        <v>78070</v>
      </c>
      <c r="AC433" s="9" t="s">
        <v>41</v>
      </c>
      <c r="AD433" s="9" t="s">
        <v>132</v>
      </c>
      <c r="AE433" s="9" t="s">
        <v>133</v>
      </c>
      <c r="AF433" s="9" t="s">
        <v>133</v>
      </c>
      <c r="AG433" s="14" t="str">
        <f t="shared" si="14"/>
        <v>EXAMENES DE LABORATORIO</v>
      </c>
      <c r="AH433" s="9">
        <v>0</v>
      </c>
      <c r="AI433" s="9">
        <v>0</v>
      </c>
      <c r="AJ433" s="9">
        <v>99573490</v>
      </c>
      <c r="AK433" s="9">
        <v>7</v>
      </c>
      <c r="AL433" s="26" t="s">
        <v>52</v>
      </c>
      <c r="AM433" s="14" t="s">
        <v>597</v>
      </c>
      <c r="AN433" s="27" t="str">
        <f t="shared" si="15"/>
        <v>11551746|99573490|371474021|65383942</v>
      </c>
      <c r="AO433" t="s">
        <v>44</v>
      </c>
      <c r="AP433" t="b">
        <v>0</v>
      </c>
      <c r="AQ433" t="s">
        <v>763</v>
      </c>
    </row>
    <row r="434" spans="1:43" x14ac:dyDescent="0.2">
      <c r="A434" s="14" t="s">
        <v>500</v>
      </c>
      <c r="B434" s="17">
        <v>11551746</v>
      </c>
      <c r="C434" s="14" t="s">
        <v>267</v>
      </c>
      <c r="D434" s="9">
        <v>22256448</v>
      </c>
      <c r="E434" s="9" t="s">
        <v>268</v>
      </c>
      <c r="F434" s="7">
        <v>45689</v>
      </c>
      <c r="G434" s="20" t="s">
        <v>36</v>
      </c>
      <c r="H434" s="8">
        <v>371474022</v>
      </c>
      <c r="I434" s="19">
        <v>371474022</v>
      </c>
      <c r="J434" s="10">
        <v>44387</v>
      </c>
      <c r="K434" s="10">
        <v>31071</v>
      </c>
      <c r="L434" s="10">
        <v>13316</v>
      </c>
      <c r="M434" s="10">
        <v>0</v>
      </c>
      <c r="N434" s="11">
        <v>13316</v>
      </c>
      <c r="O434" s="12">
        <v>371474022</v>
      </c>
      <c r="P434" s="9">
        <v>285123</v>
      </c>
      <c r="Q434" s="9" t="s">
        <v>37</v>
      </c>
      <c r="R434" s="13">
        <v>45695</v>
      </c>
      <c r="S434" s="22">
        <v>45695</v>
      </c>
      <c r="T434" s="13">
        <v>45695</v>
      </c>
      <c r="U434" s="13">
        <v>45695</v>
      </c>
      <c r="V434" s="9" t="s">
        <v>47</v>
      </c>
      <c r="W434" s="9">
        <v>22566287</v>
      </c>
      <c r="X434" s="9">
        <v>2101551</v>
      </c>
      <c r="Y434" s="9">
        <v>68822980</v>
      </c>
      <c r="Z434" s="9" t="s">
        <v>39</v>
      </c>
      <c r="AA434" s="9">
        <v>9022025</v>
      </c>
      <c r="AB434" s="9">
        <v>77586</v>
      </c>
      <c r="AC434" s="9" t="s">
        <v>41</v>
      </c>
      <c r="AD434" s="9" t="s">
        <v>132</v>
      </c>
      <c r="AE434" s="9" t="s">
        <v>133</v>
      </c>
      <c r="AF434" s="9" t="s">
        <v>133</v>
      </c>
      <c r="AG434" s="14" t="str">
        <f t="shared" si="14"/>
        <v>EXAMENES DE LABORATORIO</v>
      </c>
      <c r="AH434" s="9" t="s">
        <v>758</v>
      </c>
      <c r="AI434" s="9">
        <v>0</v>
      </c>
      <c r="AJ434" s="9">
        <v>99573490</v>
      </c>
      <c r="AK434" s="9">
        <v>7</v>
      </c>
      <c r="AL434" s="26" t="s">
        <v>76</v>
      </c>
      <c r="AM434" s="14" t="s">
        <v>597</v>
      </c>
      <c r="AN434" s="27" t="str">
        <f t="shared" si="15"/>
        <v>11551746|99573490|371474022|371474022</v>
      </c>
      <c r="AO434" t="s">
        <v>758</v>
      </c>
      <c r="AP434" t="b">
        <v>1</v>
      </c>
      <c r="AQ434" t="s">
        <v>764</v>
      </c>
    </row>
    <row r="435" spans="1:43" x14ac:dyDescent="0.2">
      <c r="A435" s="14" t="s">
        <v>500</v>
      </c>
      <c r="B435" s="17">
        <v>11551746</v>
      </c>
      <c r="C435" s="14" t="s">
        <v>267</v>
      </c>
      <c r="D435" s="9">
        <v>22256448</v>
      </c>
      <c r="E435" s="9" t="s">
        <v>268</v>
      </c>
      <c r="F435" s="7">
        <v>45717</v>
      </c>
      <c r="G435" s="20" t="s">
        <v>46</v>
      </c>
      <c r="H435" s="8">
        <v>371474022</v>
      </c>
      <c r="I435" s="19">
        <v>65383943</v>
      </c>
      <c r="J435" s="10">
        <v>13428</v>
      </c>
      <c r="K435" s="10">
        <v>0</v>
      </c>
      <c r="L435" s="10">
        <v>13428</v>
      </c>
      <c r="M435" s="10">
        <v>0</v>
      </c>
      <c r="N435" s="11">
        <v>13428</v>
      </c>
      <c r="O435" s="12">
        <v>371474022</v>
      </c>
      <c r="P435" s="9">
        <v>285123</v>
      </c>
      <c r="Q435" s="9" t="s">
        <v>37</v>
      </c>
      <c r="R435" s="13">
        <v>45717</v>
      </c>
      <c r="S435" s="22">
        <v>45742</v>
      </c>
      <c r="T435" s="13">
        <v>45695</v>
      </c>
      <c r="U435" s="13">
        <v>45695</v>
      </c>
      <c r="V435" s="9" t="s">
        <v>47</v>
      </c>
      <c r="W435" s="9">
        <v>22770557</v>
      </c>
      <c r="X435" s="9">
        <v>3311105</v>
      </c>
      <c r="Y435" s="9">
        <v>69250831</v>
      </c>
      <c r="Z435" s="9" t="s">
        <v>39</v>
      </c>
      <c r="AA435" s="9">
        <v>12084650</v>
      </c>
      <c r="AB435" s="9">
        <v>78070</v>
      </c>
      <c r="AC435" s="9" t="s">
        <v>41</v>
      </c>
      <c r="AD435" s="9" t="s">
        <v>132</v>
      </c>
      <c r="AE435" s="9" t="s">
        <v>133</v>
      </c>
      <c r="AF435" s="9" t="s">
        <v>133</v>
      </c>
      <c r="AG435" s="14" t="str">
        <f t="shared" si="14"/>
        <v>EXAMENES DE LABORATORIO</v>
      </c>
      <c r="AH435" s="9">
        <v>0</v>
      </c>
      <c r="AI435" s="9">
        <v>0</v>
      </c>
      <c r="AJ435" s="9">
        <v>99573490</v>
      </c>
      <c r="AK435" s="9">
        <v>7</v>
      </c>
      <c r="AL435" s="26" t="s">
        <v>52</v>
      </c>
      <c r="AM435" s="14" t="s">
        <v>597</v>
      </c>
      <c r="AN435" s="27" t="str">
        <f t="shared" si="15"/>
        <v>11551746|99573490|371474022|65383943</v>
      </c>
      <c r="AO435" t="s">
        <v>44</v>
      </c>
      <c r="AP435" t="b">
        <v>0</v>
      </c>
      <c r="AQ435" t="s">
        <v>763</v>
      </c>
    </row>
    <row r="436" spans="1:43" x14ac:dyDescent="0.2">
      <c r="A436" s="14" t="s">
        <v>500</v>
      </c>
      <c r="B436" s="17">
        <v>11551746</v>
      </c>
      <c r="C436" s="14" t="s">
        <v>267</v>
      </c>
      <c r="D436" s="9">
        <v>23388501</v>
      </c>
      <c r="E436" s="9" t="s">
        <v>269</v>
      </c>
      <c r="F436" s="7">
        <v>45689</v>
      </c>
      <c r="G436" s="20" t="s">
        <v>36</v>
      </c>
      <c r="H436" s="8">
        <v>371474288</v>
      </c>
      <c r="I436" s="19">
        <v>371474288</v>
      </c>
      <c r="J436" s="10">
        <v>37231</v>
      </c>
      <c r="K436" s="10">
        <v>26062</v>
      </c>
      <c r="L436" s="10">
        <v>11169</v>
      </c>
      <c r="M436" s="10">
        <v>0</v>
      </c>
      <c r="N436" s="11">
        <v>11169</v>
      </c>
      <c r="O436" s="12">
        <v>371474288</v>
      </c>
      <c r="P436" s="9">
        <v>285123</v>
      </c>
      <c r="Q436" s="9" t="s">
        <v>37</v>
      </c>
      <c r="R436" s="13">
        <v>45695</v>
      </c>
      <c r="S436" s="22">
        <v>45695</v>
      </c>
      <c r="T436" s="13">
        <v>45695</v>
      </c>
      <c r="U436" s="13">
        <v>45695</v>
      </c>
      <c r="V436" s="9" t="s">
        <v>47</v>
      </c>
      <c r="W436" s="9">
        <v>22566287</v>
      </c>
      <c r="X436" s="9">
        <v>2101551</v>
      </c>
      <c r="Y436" s="9">
        <v>68822996</v>
      </c>
      <c r="Z436" s="9" t="s">
        <v>39</v>
      </c>
      <c r="AA436" s="9">
        <v>9022025</v>
      </c>
      <c r="AB436" s="9">
        <v>77586</v>
      </c>
      <c r="AC436" s="9" t="s">
        <v>41</v>
      </c>
      <c r="AD436" s="9" t="s">
        <v>132</v>
      </c>
      <c r="AE436" s="9" t="s">
        <v>133</v>
      </c>
      <c r="AF436" s="9" t="s">
        <v>133</v>
      </c>
      <c r="AG436" s="14" t="str">
        <f t="shared" ref="AG436:AG499" si="16">+AF436</f>
        <v>EXAMENES DE LABORATORIO</v>
      </c>
      <c r="AH436" s="9" t="s">
        <v>758</v>
      </c>
      <c r="AI436" s="9">
        <v>0</v>
      </c>
      <c r="AJ436" s="9">
        <v>99573490</v>
      </c>
      <c r="AK436" s="9">
        <v>7</v>
      </c>
      <c r="AL436" s="26" t="s">
        <v>76</v>
      </c>
      <c r="AM436" s="14" t="s">
        <v>597</v>
      </c>
      <c r="AN436" s="27" t="str">
        <f t="shared" si="15"/>
        <v>11551746|99573490|371474288|371474288</v>
      </c>
      <c r="AO436" t="s">
        <v>758</v>
      </c>
      <c r="AP436" t="b">
        <v>1</v>
      </c>
      <c r="AQ436" t="s">
        <v>764</v>
      </c>
    </row>
    <row r="437" spans="1:43" x14ac:dyDescent="0.2">
      <c r="A437" s="14" t="s">
        <v>500</v>
      </c>
      <c r="B437" s="17">
        <v>11551746</v>
      </c>
      <c r="C437" s="14" t="s">
        <v>267</v>
      </c>
      <c r="D437" s="9">
        <v>23388501</v>
      </c>
      <c r="E437" s="9" t="s">
        <v>269</v>
      </c>
      <c r="F437" s="7">
        <v>45717</v>
      </c>
      <c r="G437" s="20" t="s">
        <v>46</v>
      </c>
      <c r="H437" s="8">
        <v>371474288</v>
      </c>
      <c r="I437" s="19">
        <v>65383944</v>
      </c>
      <c r="J437" s="10">
        <v>11124</v>
      </c>
      <c r="K437" s="10">
        <v>0</v>
      </c>
      <c r="L437" s="10">
        <v>11124</v>
      </c>
      <c r="M437" s="10">
        <v>0</v>
      </c>
      <c r="N437" s="11">
        <v>11124</v>
      </c>
      <c r="O437" s="12">
        <v>371474288</v>
      </c>
      <c r="P437" s="9">
        <v>285123</v>
      </c>
      <c r="Q437" s="9" t="s">
        <v>37</v>
      </c>
      <c r="R437" s="13">
        <v>45717</v>
      </c>
      <c r="S437" s="22">
        <v>45742</v>
      </c>
      <c r="T437" s="13">
        <v>45695</v>
      </c>
      <c r="U437" s="13">
        <v>45695</v>
      </c>
      <c r="V437" s="9" t="s">
        <v>47</v>
      </c>
      <c r="W437" s="9">
        <v>22770557</v>
      </c>
      <c r="X437" s="9">
        <v>3311105</v>
      </c>
      <c r="Y437" s="9">
        <v>69250832</v>
      </c>
      <c r="Z437" s="9" t="s">
        <v>39</v>
      </c>
      <c r="AA437" s="9">
        <v>12084650</v>
      </c>
      <c r="AB437" s="9">
        <v>78070</v>
      </c>
      <c r="AC437" s="9" t="s">
        <v>41</v>
      </c>
      <c r="AD437" s="9" t="s">
        <v>132</v>
      </c>
      <c r="AE437" s="9" t="s">
        <v>133</v>
      </c>
      <c r="AF437" s="9" t="s">
        <v>133</v>
      </c>
      <c r="AG437" s="14" t="str">
        <f t="shared" si="16"/>
        <v>EXAMENES DE LABORATORIO</v>
      </c>
      <c r="AH437" s="9">
        <v>0</v>
      </c>
      <c r="AI437" s="9">
        <v>0</v>
      </c>
      <c r="AJ437" s="9">
        <v>99573490</v>
      </c>
      <c r="AK437" s="9">
        <v>7</v>
      </c>
      <c r="AL437" s="26" t="s">
        <v>52</v>
      </c>
      <c r="AM437" s="14" t="s">
        <v>597</v>
      </c>
      <c r="AN437" s="27" t="str">
        <f t="shared" si="15"/>
        <v>11551746|99573490|371474288|65383944</v>
      </c>
      <c r="AO437" t="s">
        <v>44</v>
      </c>
      <c r="AP437" t="b">
        <v>0</v>
      </c>
      <c r="AQ437" t="s">
        <v>763</v>
      </c>
    </row>
    <row r="438" spans="1:43" x14ac:dyDescent="0.2">
      <c r="A438" s="14" t="s">
        <v>500</v>
      </c>
      <c r="B438" s="17">
        <v>11551746</v>
      </c>
      <c r="C438" s="14" t="s">
        <v>267</v>
      </c>
      <c r="D438" s="9">
        <v>23388501</v>
      </c>
      <c r="E438" s="9" t="s">
        <v>269</v>
      </c>
      <c r="F438" s="7">
        <v>45689</v>
      </c>
      <c r="G438" s="20" t="s">
        <v>36</v>
      </c>
      <c r="H438" s="8">
        <v>371474289</v>
      </c>
      <c r="I438" s="19">
        <v>371474289</v>
      </c>
      <c r="J438" s="10">
        <v>56909</v>
      </c>
      <c r="K438" s="10">
        <v>39836</v>
      </c>
      <c r="L438" s="10">
        <v>17073</v>
      </c>
      <c r="M438" s="10">
        <v>0</v>
      </c>
      <c r="N438" s="11">
        <v>17073</v>
      </c>
      <c r="O438" s="12">
        <v>371474289</v>
      </c>
      <c r="P438" s="9">
        <v>285123</v>
      </c>
      <c r="Q438" s="9" t="s">
        <v>37</v>
      </c>
      <c r="R438" s="13">
        <v>45695</v>
      </c>
      <c r="S438" s="22">
        <v>45695</v>
      </c>
      <c r="T438" s="13">
        <v>45695</v>
      </c>
      <c r="U438" s="13">
        <v>45695</v>
      </c>
      <c r="V438" s="9" t="s">
        <v>47</v>
      </c>
      <c r="W438" s="9">
        <v>22566287</v>
      </c>
      <c r="X438" s="9">
        <v>2101551</v>
      </c>
      <c r="Y438" s="9">
        <v>68822995</v>
      </c>
      <c r="Z438" s="9" t="s">
        <v>39</v>
      </c>
      <c r="AA438" s="9">
        <v>9022025</v>
      </c>
      <c r="AB438" s="9">
        <v>77586</v>
      </c>
      <c r="AC438" s="9" t="s">
        <v>41</v>
      </c>
      <c r="AD438" s="9" t="s">
        <v>132</v>
      </c>
      <c r="AE438" s="9" t="s">
        <v>133</v>
      </c>
      <c r="AF438" s="9" t="s">
        <v>133</v>
      </c>
      <c r="AG438" s="14" t="str">
        <f t="shared" si="16"/>
        <v>EXAMENES DE LABORATORIO</v>
      </c>
      <c r="AH438" s="9" t="s">
        <v>758</v>
      </c>
      <c r="AI438" s="9">
        <v>0</v>
      </c>
      <c r="AJ438" s="9">
        <v>99573490</v>
      </c>
      <c r="AK438" s="9">
        <v>7</v>
      </c>
      <c r="AL438" s="26" t="s">
        <v>76</v>
      </c>
      <c r="AM438" s="14" t="s">
        <v>597</v>
      </c>
      <c r="AN438" s="27" t="str">
        <f t="shared" si="15"/>
        <v>11551746|99573490|371474289|371474289</v>
      </c>
      <c r="AO438" t="s">
        <v>758</v>
      </c>
      <c r="AP438" t="b">
        <v>1</v>
      </c>
      <c r="AQ438" t="s">
        <v>764</v>
      </c>
    </row>
    <row r="439" spans="1:43" x14ac:dyDescent="0.2">
      <c r="A439" s="14" t="s">
        <v>500</v>
      </c>
      <c r="B439" s="17">
        <v>11551746</v>
      </c>
      <c r="C439" s="14" t="s">
        <v>267</v>
      </c>
      <c r="D439" s="9">
        <v>23388501</v>
      </c>
      <c r="E439" s="9" t="s">
        <v>269</v>
      </c>
      <c r="F439" s="7">
        <v>45717</v>
      </c>
      <c r="G439" s="20" t="s">
        <v>46</v>
      </c>
      <c r="H439" s="8">
        <v>371474289</v>
      </c>
      <c r="I439" s="19">
        <v>65383945</v>
      </c>
      <c r="J439" s="10">
        <v>17264</v>
      </c>
      <c r="K439" s="10">
        <v>0</v>
      </c>
      <c r="L439" s="10">
        <v>17264</v>
      </c>
      <c r="M439" s="10">
        <v>0</v>
      </c>
      <c r="N439" s="11">
        <v>17264</v>
      </c>
      <c r="O439" s="12">
        <v>371474289</v>
      </c>
      <c r="P439" s="9">
        <v>285123</v>
      </c>
      <c r="Q439" s="9" t="s">
        <v>37</v>
      </c>
      <c r="R439" s="13">
        <v>45717</v>
      </c>
      <c r="S439" s="22">
        <v>45742</v>
      </c>
      <c r="T439" s="13">
        <v>45695</v>
      </c>
      <c r="U439" s="13">
        <v>45695</v>
      </c>
      <c r="V439" s="9" t="s">
        <v>47</v>
      </c>
      <c r="W439" s="9">
        <v>22770557</v>
      </c>
      <c r="X439" s="9">
        <v>3311105</v>
      </c>
      <c r="Y439" s="9">
        <v>69250833</v>
      </c>
      <c r="Z439" s="9" t="s">
        <v>39</v>
      </c>
      <c r="AA439" s="9">
        <v>12084650</v>
      </c>
      <c r="AB439" s="9">
        <v>78070</v>
      </c>
      <c r="AC439" s="9" t="s">
        <v>41</v>
      </c>
      <c r="AD439" s="9" t="s">
        <v>132</v>
      </c>
      <c r="AE439" s="9" t="s">
        <v>133</v>
      </c>
      <c r="AF439" s="9" t="s">
        <v>133</v>
      </c>
      <c r="AG439" s="14" t="str">
        <f t="shared" si="16"/>
        <v>EXAMENES DE LABORATORIO</v>
      </c>
      <c r="AH439" s="9">
        <v>0</v>
      </c>
      <c r="AI439" s="9">
        <v>0</v>
      </c>
      <c r="AJ439" s="9">
        <v>99573490</v>
      </c>
      <c r="AK439" s="9">
        <v>7</v>
      </c>
      <c r="AL439" s="26" t="s">
        <v>52</v>
      </c>
      <c r="AM439" s="14" t="s">
        <v>597</v>
      </c>
      <c r="AN439" s="27" t="str">
        <f t="shared" si="15"/>
        <v>11551746|99573490|371474289|65383945</v>
      </c>
      <c r="AO439" t="s">
        <v>44</v>
      </c>
      <c r="AP439" t="b">
        <v>0</v>
      </c>
      <c r="AQ439" t="s">
        <v>763</v>
      </c>
    </row>
    <row r="440" spans="1:43" x14ac:dyDescent="0.2">
      <c r="A440" s="14" t="s">
        <v>500</v>
      </c>
      <c r="B440" s="17">
        <v>18307619</v>
      </c>
      <c r="C440" s="14" t="s">
        <v>172</v>
      </c>
      <c r="D440" s="9">
        <v>27677718</v>
      </c>
      <c r="E440" s="9" t="s">
        <v>270</v>
      </c>
      <c r="F440" s="7">
        <v>45689</v>
      </c>
      <c r="G440" s="20" t="s">
        <v>36</v>
      </c>
      <c r="H440" s="8">
        <v>371491864</v>
      </c>
      <c r="I440" s="19">
        <v>371491864</v>
      </c>
      <c r="J440" s="10">
        <v>32040</v>
      </c>
      <c r="K440" s="10">
        <v>22428</v>
      </c>
      <c r="L440" s="10">
        <v>9612</v>
      </c>
      <c r="M440" s="10">
        <v>0</v>
      </c>
      <c r="N440" s="11">
        <v>9612</v>
      </c>
      <c r="O440" s="12">
        <v>371491864</v>
      </c>
      <c r="P440" s="9">
        <v>285123</v>
      </c>
      <c r="Q440" s="9" t="s">
        <v>37</v>
      </c>
      <c r="R440" s="13">
        <v>45695</v>
      </c>
      <c r="S440" s="22">
        <v>45695</v>
      </c>
      <c r="T440" s="13">
        <v>45695</v>
      </c>
      <c r="U440" s="13">
        <v>45695</v>
      </c>
      <c r="V440" s="9" t="s">
        <v>47</v>
      </c>
      <c r="W440" s="9">
        <v>22566309</v>
      </c>
      <c r="X440" s="9">
        <v>2101551</v>
      </c>
      <c r="Y440" s="9">
        <v>68823276</v>
      </c>
      <c r="Z440" s="9" t="s">
        <v>39</v>
      </c>
      <c r="AA440" s="9">
        <v>9022025</v>
      </c>
      <c r="AB440" s="9">
        <v>77586</v>
      </c>
      <c r="AC440" s="9" t="s">
        <v>41</v>
      </c>
      <c r="AD440" s="9" t="s">
        <v>132</v>
      </c>
      <c r="AE440" s="9" t="s">
        <v>133</v>
      </c>
      <c r="AF440" s="9" t="s">
        <v>133</v>
      </c>
      <c r="AG440" s="14" t="str">
        <f t="shared" si="16"/>
        <v>EXAMENES DE LABORATORIO</v>
      </c>
      <c r="AH440" s="9" t="s">
        <v>758</v>
      </c>
      <c r="AI440" s="9">
        <v>0</v>
      </c>
      <c r="AJ440" s="9">
        <v>90753000</v>
      </c>
      <c r="AK440" s="9">
        <v>0</v>
      </c>
      <c r="AL440" s="26" t="s">
        <v>76</v>
      </c>
      <c r="AM440" s="14" t="s">
        <v>531</v>
      </c>
      <c r="AN440" s="27" t="str">
        <f t="shared" si="15"/>
        <v>18307619|90753000|371491864|371491864</v>
      </c>
      <c r="AO440" t="s">
        <v>758</v>
      </c>
      <c r="AP440" t="b">
        <v>1</v>
      </c>
      <c r="AQ440" t="s">
        <v>764</v>
      </c>
    </row>
    <row r="441" spans="1:43" x14ac:dyDescent="0.2">
      <c r="A441" s="14" t="s">
        <v>500</v>
      </c>
      <c r="B441" s="17">
        <v>18307619</v>
      </c>
      <c r="C441" s="14" t="s">
        <v>172</v>
      </c>
      <c r="D441" s="9">
        <v>27677718</v>
      </c>
      <c r="E441" s="9" t="s">
        <v>270</v>
      </c>
      <c r="F441" s="7">
        <v>45717</v>
      </c>
      <c r="G441" s="20" t="s">
        <v>46</v>
      </c>
      <c r="H441" s="8">
        <v>371491864</v>
      </c>
      <c r="I441" s="19">
        <v>65384455</v>
      </c>
      <c r="J441" s="10">
        <v>9591</v>
      </c>
      <c r="K441" s="10">
        <v>0</v>
      </c>
      <c r="L441" s="10">
        <v>9591</v>
      </c>
      <c r="M441" s="10">
        <v>0</v>
      </c>
      <c r="N441" s="11">
        <v>9591</v>
      </c>
      <c r="O441" s="12">
        <v>371491864</v>
      </c>
      <c r="P441" s="9">
        <v>285123</v>
      </c>
      <c r="Q441" s="9" t="s">
        <v>37</v>
      </c>
      <c r="R441" s="13">
        <v>45717</v>
      </c>
      <c r="S441" s="22">
        <v>45742</v>
      </c>
      <c r="T441" s="13">
        <v>45695</v>
      </c>
      <c r="U441" s="13">
        <v>45695</v>
      </c>
      <c r="V441" s="9" t="s">
        <v>47</v>
      </c>
      <c r="W441" s="9">
        <v>22770564</v>
      </c>
      <c r="X441" s="9">
        <v>3311105</v>
      </c>
      <c r="Y441" s="9">
        <v>69251321</v>
      </c>
      <c r="Z441" s="9" t="s">
        <v>39</v>
      </c>
      <c r="AA441" s="9">
        <v>226499717</v>
      </c>
      <c r="AB441" s="9">
        <v>78070</v>
      </c>
      <c r="AC441" s="9" t="s">
        <v>41</v>
      </c>
      <c r="AD441" s="9" t="s">
        <v>132</v>
      </c>
      <c r="AE441" s="9" t="s">
        <v>133</v>
      </c>
      <c r="AF441" s="9" t="s">
        <v>133</v>
      </c>
      <c r="AG441" s="14" t="str">
        <f t="shared" si="16"/>
        <v>EXAMENES DE LABORATORIO</v>
      </c>
      <c r="AH441" s="9">
        <v>0</v>
      </c>
      <c r="AI441" s="9">
        <v>0</v>
      </c>
      <c r="AJ441" s="9">
        <v>90753000</v>
      </c>
      <c r="AK441" s="9">
        <v>0</v>
      </c>
      <c r="AL441" s="26" t="s">
        <v>52</v>
      </c>
      <c r="AM441" s="14" t="s">
        <v>531</v>
      </c>
      <c r="AN441" s="27" t="str">
        <f t="shared" si="15"/>
        <v>18307619|90753000|371491864|65384455</v>
      </c>
      <c r="AO441" t="s">
        <v>44</v>
      </c>
      <c r="AP441" t="b">
        <v>0</v>
      </c>
      <c r="AQ441" t="s">
        <v>763</v>
      </c>
    </row>
    <row r="442" spans="1:43" x14ac:dyDescent="0.2">
      <c r="A442" s="14" t="s">
        <v>500</v>
      </c>
      <c r="B442" s="17">
        <v>11867573</v>
      </c>
      <c r="C442" s="14" t="s">
        <v>248</v>
      </c>
      <c r="D442" s="9">
        <v>11867573</v>
      </c>
      <c r="E442" s="9" t="s">
        <v>248</v>
      </c>
      <c r="F442" s="7">
        <v>45689</v>
      </c>
      <c r="G442" s="20" t="s">
        <v>36</v>
      </c>
      <c r="H442" s="8">
        <v>371515851</v>
      </c>
      <c r="I442" s="19">
        <v>371515851</v>
      </c>
      <c r="J442" s="10">
        <v>25901</v>
      </c>
      <c r="K442" s="10">
        <v>7260</v>
      </c>
      <c r="L442" s="10">
        <v>18641</v>
      </c>
      <c r="M442" s="10">
        <v>0</v>
      </c>
      <c r="N442" s="11">
        <v>18641</v>
      </c>
      <c r="O442" s="12">
        <v>371515851</v>
      </c>
      <c r="P442" s="9">
        <v>285123</v>
      </c>
      <c r="Q442" s="9" t="s">
        <v>37</v>
      </c>
      <c r="R442" s="13">
        <v>45696</v>
      </c>
      <c r="S442" s="22">
        <v>45696</v>
      </c>
      <c r="T442" s="13">
        <v>45696</v>
      </c>
      <c r="U442" s="13">
        <v>45696</v>
      </c>
      <c r="V442" s="9" t="s">
        <v>47</v>
      </c>
      <c r="W442" s="9">
        <v>22598295</v>
      </c>
      <c r="X442" s="9">
        <v>2171709</v>
      </c>
      <c r="Y442" s="9">
        <v>68875571</v>
      </c>
      <c r="Z442" s="9" t="s">
        <v>39</v>
      </c>
      <c r="AA442" s="9">
        <v>16022025</v>
      </c>
      <c r="AB442" s="9">
        <v>77646</v>
      </c>
      <c r="AC442" s="9" t="s">
        <v>41</v>
      </c>
      <c r="AD442" s="9" t="s">
        <v>134</v>
      </c>
      <c r="AE442" s="9" t="s">
        <v>135</v>
      </c>
      <c r="AF442" s="9" t="s">
        <v>135</v>
      </c>
      <c r="AG442" s="14" t="str">
        <f t="shared" si="16"/>
        <v>EXAMENES RADIOLOGICOS</v>
      </c>
      <c r="AH442" s="9" t="s">
        <v>758</v>
      </c>
      <c r="AI442" s="9">
        <v>0</v>
      </c>
      <c r="AJ442" s="9">
        <v>79980070</v>
      </c>
      <c r="AK442" s="9">
        <v>5</v>
      </c>
      <c r="AL442" s="26" t="s">
        <v>76</v>
      </c>
      <c r="AM442" s="14" t="s">
        <v>584</v>
      </c>
      <c r="AN442" s="27" t="str">
        <f t="shared" si="15"/>
        <v>11867573|79980070|371515851|371515851</v>
      </c>
      <c r="AO442" t="s">
        <v>758</v>
      </c>
      <c r="AP442" t="b">
        <v>1</v>
      </c>
      <c r="AQ442" t="s">
        <v>764</v>
      </c>
    </row>
    <row r="443" spans="1:43" x14ac:dyDescent="0.2">
      <c r="A443" s="14" t="s">
        <v>500</v>
      </c>
      <c r="B443" s="17">
        <v>11867573</v>
      </c>
      <c r="C443" s="14" t="s">
        <v>248</v>
      </c>
      <c r="D443" s="9">
        <v>11867573</v>
      </c>
      <c r="E443" s="9" t="s">
        <v>248</v>
      </c>
      <c r="F443" s="7">
        <v>45717</v>
      </c>
      <c r="G443" s="20" t="s">
        <v>46</v>
      </c>
      <c r="H443" s="8">
        <v>371515851</v>
      </c>
      <c r="I443" s="19">
        <v>65383973</v>
      </c>
      <c r="J443" s="10">
        <v>16113</v>
      </c>
      <c r="K443" s="10">
        <v>0</v>
      </c>
      <c r="L443" s="10">
        <v>16113</v>
      </c>
      <c r="M443" s="10">
        <v>0</v>
      </c>
      <c r="N443" s="11">
        <v>16113</v>
      </c>
      <c r="O443" s="12">
        <v>371515851</v>
      </c>
      <c r="P443" s="9">
        <v>285123</v>
      </c>
      <c r="Q443" s="9" t="s">
        <v>37</v>
      </c>
      <c r="R443" s="13">
        <v>45717</v>
      </c>
      <c r="S443" s="22">
        <v>45742</v>
      </c>
      <c r="T443" s="13">
        <v>45696</v>
      </c>
      <c r="U443" s="13">
        <v>45696</v>
      </c>
      <c r="V443" s="9" t="s">
        <v>47</v>
      </c>
      <c r="W443" s="9">
        <v>22770567</v>
      </c>
      <c r="X443" s="9">
        <v>3311105</v>
      </c>
      <c r="Y443" s="9">
        <v>69250861</v>
      </c>
      <c r="Z443" s="9" t="s">
        <v>39</v>
      </c>
      <c r="AA443" s="9">
        <v>6920217</v>
      </c>
      <c r="AB443" s="9">
        <v>78070</v>
      </c>
      <c r="AC443" s="9" t="s">
        <v>41</v>
      </c>
      <c r="AD443" s="9" t="s">
        <v>134</v>
      </c>
      <c r="AE443" s="9" t="s">
        <v>135</v>
      </c>
      <c r="AF443" s="9" t="s">
        <v>135</v>
      </c>
      <c r="AG443" s="14" t="str">
        <f t="shared" si="16"/>
        <v>EXAMENES RADIOLOGICOS</v>
      </c>
      <c r="AH443" s="9">
        <v>0</v>
      </c>
      <c r="AI443" s="9">
        <v>0</v>
      </c>
      <c r="AJ443" s="9">
        <v>79980070</v>
      </c>
      <c r="AK443" s="9">
        <v>5</v>
      </c>
      <c r="AL443" s="26" t="s">
        <v>52</v>
      </c>
      <c r="AM443" s="14" t="s">
        <v>584</v>
      </c>
      <c r="AN443" s="27" t="str">
        <f t="shared" si="15"/>
        <v>11867573|79980070|371515851|65383973</v>
      </c>
      <c r="AO443" t="s">
        <v>44</v>
      </c>
      <c r="AP443" t="b">
        <v>0</v>
      </c>
      <c r="AQ443" t="s">
        <v>763</v>
      </c>
    </row>
    <row r="444" spans="1:43" x14ac:dyDescent="0.2">
      <c r="A444" s="14" t="s">
        <v>500</v>
      </c>
      <c r="B444" s="17">
        <v>11128784</v>
      </c>
      <c r="C444" s="14" t="s">
        <v>271</v>
      </c>
      <c r="D444" s="9">
        <v>11128784</v>
      </c>
      <c r="E444" s="9" t="s">
        <v>271</v>
      </c>
      <c r="F444" s="7">
        <v>45689</v>
      </c>
      <c r="G444" s="20" t="s">
        <v>36</v>
      </c>
      <c r="H444" s="8">
        <v>371546977</v>
      </c>
      <c r="I444" s="19">
        <v>371546977</v>
      </c>
      <c r="J444" s="10">
        <v>208400</v>
      </c>
      <c r="K444" s="10">
        <v>182800</v>
      </c>
      <c r="L444" s="10">
        <v>25600</v>
      </c>
      <c r="M444" s="10">
        <v>0</v>
      </c>
      <c r="N444" s="11">
        <v>25600</v>
      </c>
      <c r="O444" s="12">
        <v>371546977</v>
      </c>
      <c r="P444" s="9">
        <v>285123</v>
      </c>
      <c r="Q444" s="9" t="s">
        <v>37</v>
      </c>
      <c r="R444" s="13">
        <v>45698</v>
      </c>
      <c r="S444" s="22">
        <v>45698</v>
      </c>
      <c r="T444" s="13">
        <v>45698</v>
      </c>
      <c r="U444" s="13">
        <v>45698</v>
      </c>
      <c r="V444" s="9" t="s">
        <v>47</v>
      </c>
      <c r="W444" s="9">
        <v>22598327</v>
      </c>
      <c r="X444" s="9">
        <v>2171709</v>
      </c>
      <c r="Y444" s="9">
        <v>68876063</v>
      </c>
      <c r="Z444" s="9" t="s">
        <v>39</v>
      </c>
      <c r="AA444" s="9">
        <v>16022025</v>
      </c>
      <c r="AB444" s="9">
        <v>77646</v>
      </c>
      <c r="AC444" s="9" t="s">
        <v>41</v>
      </c>
      <c r="AD444" s="9" t="s">
        <v>134</v>
      </c>
      <c r="AE444" s="9" t="s">
        <v>135</v>
      </c>
      <c r="AF444" s="9" t="s">
        <v>135</v>
      </c>
      <c r="AG444" s="14" t="str">
        <f t="shared" si="16"/>
        <v>EXAMENES RADIOLOGICOS</v>
      </c>
      <c r="AH444" s="9" t="s">
        <v>758</v>
      </c>
      <c r="AI444" s="9">
        <v>0</v>
      </c>
      <c r="AJ444" s="9">
        <v>96617350</v>
      </c>
      <c r="AK444" s="9">
        <v>5</v>
      </c>
      <c r="AL444" s="26" t="s">
        <v>76</v>
      </c>
      <c r="AM444" s="14" t="s">
        <v>598</v>
      </c>
      <c r="AN444" s="27" t="str">
        <f t="shared" si="15"/>
        <v>11128784|96617350|371546977|371546977</v>
      </c>
      <c r="AO444" t="s">
        <v>758</v>
      </c>
      <c r="AP444" t="b">
        <v>1</v>
      </c>
      <c r="AQ444" t="s">
        <v>764</v>
      </c>
    </row>
    <row r="445" spans="1:43" x14ac:dyDescent="0.2">
      <c r="A445" s="14" t="s">
        <v>500</v>
      </c>
      <c r="B445" s="17">
        <v>11128784</v>
      </c>
      <c r="C445" s="14" t="s">
        <v>271</v>
      </c>
      <c r="D445" s="9">
        <v>11128784</v>
      </c>
      <c r="E445" s="9" t="s">
        <v>271</v>
      </c>
      <c r="F445" s="7">
        <v>45717</v>
      </c>
      <c r="G445" s="20" t="s">
        <v>46</v>
      </c>
      <c r="H445" s="8">
        <v>371546977</v>
      </c>
      <c r="I445" s="19">
        <v>65383910</v>
      </c>
      <c r="J445" s="10">
        <v>25702</v>
      </c>
      <c r="K445" s="10">
        <v>0</v>
      </c>
      <c r="L445" s="10">
        <v>25702</v>
      </c>
      <c r="M445" s="10">
        <v>0</v>
      </c>
      <c r="N445" s="11">
        <v>25702</v>
      </c>
      <c r="O445" s="12">
        <v>371546977</v>
      </c>
      <c r="P445" s="9">
        <v>285123</v>
      </c>
      <c r="Q445" s="9" t="s">
        <v>37</v>
      </c>
      <c r="R445" s="13">
        <v>45717</v>
      </c>
      <c r="S445" s="22">
        <v>45742</v>
      </c>
      <c r="T445" s="13">
        <v>45698</v>
      </c>
      <c r="U445" s="13">
        <v>45698</v>
      </c>
      <c r="V445" s="9" t="s">
        <v>47</v>
      </c>
      <c r="W445" s="9">
        <v>22770579</v>
      </c>
      <c r="X445" s="9">
        <v>3311105</v>
      </c>
      <c r="Y445" s="9">
        <v>69250799</v>
      </c>
      <c r="Z445" s="9" t="s">
        <v>39</v>
      </c>
      <c r="AA445" s="9">
        <v>1130439</v>
      </c>
      <c r="AB445" s="9">
        <v>78070</v>
      </c>
      <c r="AC445" s="9" t="s">
        <v>41</v>
      </c>
      <c r="AD445" s="9" t="s">
        <v>134</v>
      </c>
      <c r="AE445" s="9" t="s">
        <v>135</v>
      </c>
      <c r="AF445" s="9" t="s">
        <v>135</v>
      </c>
      <c r="AG445" s="14" t="str">
        <f t="shared" si="16"/>
        <v>EXAMENES RADIOLOGICOS</v>
      </c>
      <c r="AH445" s="9">
        <v>0</v>
      </c>
      <c r="AI445" s="9">
        <v>0</v>
      </c>
      <c r="AJ445" s="9">
        <v>96617350</v>
      </c>
      <c r="AK445" s="9">
        <v>5</v>
      </c>
      <c r="AL445" s="26" t="s">
        <v>52</v>
      </c>
      <c r="AM445" s="14" t="s">
        <v>598</v>
      </c>
      <c r="AN445" s="27" t="str">
        <f t="shared" si="15"/>
        <v>11128784|96617350|371546977|65383910</v>
      </c>
      <c r="AO445" t="s">
        <v>44</v>
      </c>
      <c r="AP445" t="b">
        <v>0</v>
      </c>
      <c r="AQ445" t="s">
        <v>763</v>
      </c>
    </row>
    <row r="446" spans="1:43" x14ac:dyDescent="0.2">
      <c r="A446" s="14" t="s">
        <v>500</v>
      </c>
      <c r="B446" s="17">
        <v>15510748</v>
      </c>
      <c r="C446" s="14" t="s">
        <v>256</v>
      </c>
      <c r="D446" s="9">
        <v>15510748</v>
      </c>
      <c r="E446" s="9" t="s">
        <v>256</v>
      </c>
      <c r="F446" s="7">
        <v>45689</v>
      </c>
      <c r="G446" s="20" t="s">
        <v>36</v>
      </c>
      <c r="H446" s="8">
        <v>371548026</v>
      </c>
      <c r="I446" s="19">
        <v>371548026</v>
      </c>
      <c r="J446" s="10">
        <v>23556</v>
      </c>
      <c r="K446" s="10">
        <v>18845</v>
      </c>
      <c r="L446" s="10">
        <v>4711</v>
      </c>
      <c r="M446" s="10">
        <v>0</v>
      </c>
      <c r="N446" s="11">
        <v>4711</v>
      </c>
      <c r="O446" s="12">
        <v>371548026</v>
      </c>
      <c r="P446" s="9">
        <v>285123</v>
      </c>
      <c r="Q446" s="9" t="s">
        <v>37</v>
      </c>
      <c r="R446" s="13">
        <v>45698</v>
      </c>
      <c r="S446" s="22">
        <v>45698</v>
      </c>
      <c r="T446" s="13">
        <v>45698</v>
      </c>
      <c r="U446" s="13">
        <v>45698</v>
      </c>
      <c r="V446" s="9" t="s">
        <v>47</v>
      </c>
      <c r="W446" s="9">
        <v>22598341</v>
      </c>
      <c r="X446" s="9">
        <v>2171709</v>
      </c>
      <c r="Y446" s="9">
        <v>68876074</v>
      </c>
      <c r="Z446" s="9" t="s">
        <v>39</v>
      </c>
      <c r="AA446" s="9">
        <v>16022025</v>
      </c>
      <c r="AB446" s="9">
        <v>77646</v>
      </c>
      <c r="AC446" s="9" t="s">
        <v>41</v>
      </c>
      <c r="AD446" s="9" t="s">
        <v>134</v>
      </c>
      <c r="AE446" s="9" t="s">
        <v>135</v>
      </c>
      <c r="AF446" s="9" t="s">
        <v>135</v>
      </c>
      <c r="AG446" s="14" t="str">
        <f t="shared" si="16"/>
        <v>EXAMENES RADIOLOGICOS</v>
      </c>
      <c r="AH446" s="9" t="s">
        <v>758</v>
      </c>
      <c r="AI446" s="9">
        <v>0</v>
      </c>
      <c r="AJ446" s="9">
        <v>76098454</v>
      </c>
      <c r="AK446" s="9" t="s">
        <v>161</v>
      </c>
      <c r="AL446" s="26" t="s">
        <v>76</v>
      </c>
      <c r="AM446" s="14" t="s">
        <v>591</v>
      </c>
      <c r="AN446" s="27" t="str">
        <f t="shared" si="15"/>
        <v>15510748|76098454|371548026|371548026</v>
      </c>
      <c r="AO446" t="s">
        <v>758</v>
      </c>
      <c r="AP446" t="b">
        <v>1</v>
      </c>
      <c r="AQ446" t="s">
        <v>764</v>
      </c>
    </row>
    <row r="447" spans="1:43" x14ac:dyDescent="0.2">
      <c r="A447" s="14" t="s">
        <v>500</v>
      </c>
      <c r="B447" s="17">
        <v>15510748</v>
      </c>
      <c r="C447" s="14" t="s">
        <v>256</v>
      </c>
      <c r="D447" s="9">
        <v>15510748</v>
      </c>
      <c r="E447" s="9" t="s">
        <v>256</v>
      </c>
      <c r="F447" s="7">
        <v>45717</v>
      </c>
      <c r="G447" s="20" t="s">
        <v>46</v>
      </c>
      <c r="H447" s="8">
        <v>371548026</v>
      </c>
      <c r="I447" s="19">
        <v>65384295</v>
      </c>
      <c r="J447" s="10">
        <v>4603</v>
      </c>
      <c r="K447" s="10">
        <v>0</v>
      </c>
      <c r="L447" s="10">
        <v>4603</v>
      </c>
      <c r="M447" s="10">
        <v>0</v>
      </c>
      <c r="N447" s="11">
        <v>4603</v>
      </c>
      <c r="O447" s="12">
        <v>371548026</v>
      </c>
      <c r="P447" s="9">
        <v>285123</v>
      </c>
      <c r="Q447" s="9" t="s">
        <v>37</v>
      </c>
      <c r="R447" s="13">
        <v>45717</v>
      </c>
      <c r="S447" s="22">
        <v>45742</v>
      </c>
      <c r="T447" s="13">
        <v>45698</v>
      </c>
      <c r="U447" s="13">
        <v>45698</v>
      </c>
      <c r="V447" s="9" t="s">
        <v>47</v>
      </c>
      <c r="W447" s="9">
        <v>22770581</v>
      </c>
      <c r="X447" s="9">
        <v>3311105</v>
      </c>
      <c r="Y447" s="9">
        <v>69251178</v>
      </c>
      <c r="Z447" s="9" t="s">
        <v>39</v>
      </c>
      <c r="AA447" s="9">
        <v>104294701</v>
      </c>
      <c r="AB447" s="9">
        <v>78070</v>
      </c>
      <c r="AC447" s="9" t="s">
        <v>41</v>
      </c>
      <c r="AD447" s="9" t="s">
        <v>134</v>
      </c>
      <c r="AE447" s="9" t="s">
        <v>135</v>
      </c>
      <c r="AF447" s="9" t="s">
        <v>135</v>
      </c>
      <c r="AG447" s="14" t="str">
        <f t="shared" si="16"/>
        <v>EXAMENES RADIOLOGICOS</v>
      </c>
      <c r="AH447" s="9">
        <v>0</v>
      </c>
      <c r="AI447" s="9">
        <v>0</v>
      </c>
      <c r="AJ447" s="9">
        <v>76098454</v>
      </c>
      <c r="AK447" s="9" t="s">
        <v>161</v>
      </c>
      <c r="AL447" s="26" t="s">
        <v>52</v>
      </c>
      <c r="AM447" s="14" t="s">
        <v>591</v>
      </c>
      <c r="AN447" s="27" t="str">
        <f t="shared" si="15"/>
        <v>15510748|76098454|371548026|65384295</v>
      </c>
      <c r="AO447" t="s">
        <v>44</v>
      </c>
      <c r="AP447" t="b">
        <v>0</v>
      </c>
      <c r="AQ447" t="s">
        <v>763</v>
      </c>
    </row>
    <row r="448" spans="1:43" x14ac:dyDescent="0.2">
      <c r="A448" s="14" t="s">
        <v>500</v>
      </c>
      <c r="B448" s="17">
        <v>8592614</v>
      </c>
      <c r="C448" s="14" t="s">
        <v>272</v>
      </c>
      <c r="D448" s="9">
        <v>8592614</v>
      </c>
      <c r="E448" s="9" t="s">
        <v>272</v>
      </c>
      <c r="F448" s="7">
        <v>45689</v>
      </c>
      <c r="G448" s="20" t="s">
        <v>36</v>
      </c>
      <c r="H448" s="8">
        <v>371556218</v>
      </c>
      <c r="I448" s="19">
        <v>371556218</v>
      </c>
      <c r="J448" s="10">
        <v>37690</v>
      </c>
      <c r="K448" s="10">
        <v>30152</v>
      </c>
      <c r="L448" s="10">
        <v>7538</v>
      </c>
      <c r="M448" s="10">
        <v>0</v>
      </c>
      <c r="N448" s="11">
        <v>7538</v>
      </c>
      <c r="O448" s="12">
        <v>371556218</v>
      </c>
      <c r="P448" s="9">
        <v>285123</v>
      </c>
      <c r="Q448" s="9" t="s">
        <v>37</v>
      </c>
      <c r="R448" s="13">
        <v>45698</v>
      </c>
      <c r="S448" s="22">
        <v>45698</v>
      </c>
      <c r="T448" s="13">
        <v>45698</v>
      </c>
      <c r="U448" s="13">
        <v>45698</v>
      </c>
      <c r="V448" s="9" t="s">
        <v>47</v>
      </c>
      <c r="W448" s="9">
        <v>22598314</v>
      </c>
      <c r="X448" s="9">
        <v>2171709</v>
      </c>
      <c r="Y448" s="9">
        <v>68876176</v>
      </c>
      <c r="Z448" s="9" t="s">
        <v>39</v>
      </c>
      <c r="AA448" s="9">
        <v>16022025</v>
      </c>
      <c r="AB448" s="9">
        <v>77646</v>
      </c>
      <c r="AC448" s="9" t="s">
        <v>41</v>
      </c>
      <c r="AD448" s="9" t="s">
        <v>134</v>
      </c>
      <c r="AE448" s="9" t="s">
        <v>135</v>
      </c>
      <c r="AF448" s="9" t="s">
        <v>135</v>
      </c>
      <c r="AG448" s="14" t="str">
        <f t="shared" si="16"/>
        <v>EXAMENES RADIOLOGICOS</v>
      </c>
      <c r="AH448" s="9" t="s">
        <v>758</v>
      </c>
      <c r="AI448" s="9">
        <v>0</v>
      </c>
      <c r="AJ448" s="9">
        <v>96680980</v>
      </c>
      <c r="AK448" s="9">
        <v>9</v>
      </c>
      <c r="AL448" s="26" t="s">
        <v>76</v>
      </c>
      <c r="AM448" s="14" t="s">
        <v>599</v>
      </c>
      <c r="AN448" s="27" t="str">
        <f t="shared" si="15"/>
        <v>8592614|96680980|371556218|371556218</v>
      </c>
      <c r="AO448" t="s">
        <v>758</v>
      </c>
      <c r="AP448" t="b">
        <v>1</v>
      </c>
      <c r="AQ448" t="s">
        <v>764</v>
      </c>
    </row>
    <row r="449" spans="1:43" x14ac:dyDescent="0.2">
      <c r="A449" s="14" t="s">
        <v>500</v>
      </c>
      <c r="B449" s="17">
        <v>8592614</v>
      </c>
      <c r="C449" s="14" t="s">
        <v>272</v>
      </c>
      <c r="D449" s="9">
        <v>8592614</v>
      </c>
      <c r="E449" s="9" t="s">
        <v>272</v>
      </c>
      <c r="F449" s="7">
        <v>45717</v>
      </c>
      <c r="G449" s="20" t="s">
        <v>46</v>
      </c>
      <c r="H449" s="8">
        <v>371556218</v>
      </c>
      <c r="I449" s="19">
        <v>65383687</v>
      </c>
      <c r="J449" s="10">
        <v>7288</v>
      </c>
      <c r="K449" s="10">
        <v>0</v>
      </c>
      <c r="L449" s="10">
        <v>7288</v>
      </c>
      <c r="M449" s="10">
        <v>0</v>
      </c>
      <c r="N449" s="11">
        <v>7288</v>
      </c>
      <c r="O449" s="12">
        <v>371556218</v>
      </c>
      <c r="P449" s="9">
        <v>285123</v>
      </c>
      <c r="Q449" s="9" t="s">
        <v>37</v>
      </c>
      <c r="R449" s="13">
        <v>45717</v>
      </c>
      <c r="S449" s="22">
        <v>45742</v>
      </c>
      <c r="T449" s="13">
        <v>45698</v>
      </c>
      <c r="U449" s="13">
        <v>45698</v>
      </c>
      <c r="V449" s="9" t="s">
        <v>47</v>
      </c>
      <c r="W449" s="9">
        <v>22770574</v>
      </c>
      <c r="X449" s="9">
        <v>3311105</v>
      </c>
      <c r="Y449" s="9">
        <v>69250578</v>
      </c>
      <c r="Z449" s="9" t="s">
        <v>39</v>
      </c>
      <c r="AA449" s="9">
        <v>70366080</v>
      </c>
      <c r="AB449" s="9">
        <v>78070</v>
      </c>
      <c r="AC449" s="9" t="s">
        <v>41</v>
      </c>
      <c r="AD449" s="9" t="s">
        <v>134</v>
      </c>
      <c r="AE449" s="9" t="s">
        <v>135</v>
      </c>
      <c r="AF449" s="9" t="s">
        <v>135</v>
      </c>
      <c r="AG449" s="14" t="str">
        <f t="shared" si="16"/>
        <v>EXAMENES RADIOLOGICOS</v>
      </c>
      <c r="AH449" s="9">
        <v>0</v>
      </c>
      <c r="AI449" s="9">
        <v>0</v>
      </c>
      <c r="AJ449" s="9">
        <v>96680980</v>
      </c>
      <c r="AK449" s="9">
        <v>9</v>
      </c>
      <c r="AL449" s="26" t="s">
        <v>52</v>
      </c>
      <c r="AM449" s="14" t="s">
        <v>599</v>
      </c>
      <c r="AN449" s="27" t="str">
        <f t="shared" si="15"/>
        <v>8592614|96680980|371556218|65383687</v>
      </c>
      <c r="AO449" t="s">
        <v>44</v>
      </c>
      <c r="AP449" t="b">
        <v>0</v>
      </c>
      <c r="AQ449" t="s">
        <v>763</v>
      </c>
    </row>
    <row r="450" spans="1:43" x14ac:dyDescent="0.2">
      <c r="A450" s="14" t="s">
        <v>500</v>
      </c>
      <c r="B450" s="17">
        <v>8376812</v>
      </c>
      <c r="C450" s="14" t="s">
        <v>234</v>
      </c>
      <c r="D450" s="9">
        <v>21754631</v>
      </c>
      <c r="E450" s="9" t="s">
        <v>273</v>
      </c>
      <c r="F450" s="7">
        <v>45689</v>
      </c>
      <c r="G450" s="20" t="s">
        <v>36</v>
      </c>
      <c r="H450" s="8">
        <v>371561787</v>
      </c>
      <c r="I450" s="19">
        <v>371561787</v>
      </c>
      <c r="J450" s="10">
        <v>28146</v>
      </c>
      <c r="K450" s="10">
        <v>22517</v>
      </c>
      <c r="L450" s="10">
        <v>5629</v>
      </c>
      <c r="M450" s="10">
        <v>0</v>
      </c>
      <c r="N450" s="11">
        <v>5629</v>
      </c>
      <c r="O450" s="12">
        <v>371561787</v>
      </c>
      <c r="P450" s="9">
        <v>285123</v>
      </c>
      <c r="Q450" s="9" t="s">
        <v>37</v>
      </c>
      <c r="R450" s="13">
        <v>45698</v>
      </c>
      <c r="S450" s="22">
        <v>45698</v>
      </c>
      <c r="T450" s="13">
        <v>45698</v>
      </c>
      <c r="U450" s="13">
        <v>45698</v>
      </c>
      <c r="V450" s="9" t="s">
        <v>47</v>
      </c>
      <c r="W450" s="9">
        <v>22598313</v>
      </c>
      <c r="X450" s="9">
        <v>2171709</v>
      </c>
      <c r="Y450" s="9">
        <v>68876260</v>
      </c>
      <c r="Z450" s="9" t="s">
        <v>39</v>
      </c>
      <c r="AA450" s="9">
        <v>16022025</v>
      </c>
      <c r="AB450" s="9">
        <v>77646</v>
      </c>
      <c r="AC450" s="9" t="s">
        <v>41</v>
      </c>
      <c r="AD450" s="9" t="s">
        <v>134</v>
      </c>
      <c r="AE450" s="9" t="s">
        <v>135</v>
      </c>
      <c r="AF450" s="9" t="s">
        <v>135</v>
      </c>
      <c r="AG450" s="14" t="str">
        <f t="shared" si="16"/>
        <v>EXAMENES RADIOLOGICOS</v>
      </c>
      <c r="AH450" s="9" t="s">
        <v>758</v>
      </c>
      <c r="AI450" s="9">
        <v>0</v>
      </c>
      <c r="AJ450" s="9">
        <v>76055963</v>
      </c>
      <c r="AK450" s="9">
        <v>6</v>
      </c>
      <c r="AL450" s="26" t="s">
        <v>76</v>
      </c>
      <c r="AM450" s="14" t="s">
        <v>574</v>
      </c>
      <c r="AN450" s="27" t="str">
        <f t="shared" si="15"/>
        <v>8376812|76055963|371561787|371561787</v>
      </c>
      <c r="AO450" t="s">
        <v>758</v>
      </c>
      <c r="AP450" t="b">
        <v>1</v>
      </c>
      <c r="AQ450" t="s">
        <v>764</v>
      </c>
    </row>
    <row r="451" spans="1:43" x14ac:dyDescent="0.2">
      <c r="A451" s="14" t="s">
        <v>500</v>
      </c>
      <c r="B451" s="17">
        <v>8376812</v>
      </c>
      <c r="C451" s="14" t="s">
        <v>234</v>
      </c>
      <c r="D451" s="9">
        <v>21754631</v>
      </c>
      <c r="E451" s="9" t="s">
        <v>273</v>
      </c>
      <c r="F451" s="7">
        <v>45717</v>
      </c>
      <c r="G451" s="20" t="s">
        <v>46</v>
      </c>
      <c r="H451" s="8">
        <v>371561787</v>
      </c>
      <c r="I451" s="19">
        <v>65383656</v>
      </c>
      <c r="J451" s="10">
        <v>5754</v>
      </c>
      <c r="K451" s="10">
        <v>0</v>
      </c>
      <c r="L451" s="10">
        <v>5754</v>
      </c>
      <c r="M451" s="10">
        <v>0</v>
      </c>
      <c r="N451" s="11">
        <v>5754</v>
      </c>
      <c r="O451" s="12">
        <v>371561787</v>
      </c>
      <c r="P451" s="9">
        <v>285123</v>
      </c>
      <c r="Q451" s="9" t="s">
        <v>37</v>
      </c>
      <c r="R451" s="13">
        <v>45717</v>
      </c>
      <c r="S451" s="22">
        <v>45742</v>
      </c>
      <c r="T451" s="13">
        <v>45698</v>
      </c>
      <c r="U451" s="13">
        <v>45698</v>
      </c>
      <c r="V451" s="9" t="s">
        <v>47</v>
      </c>
      <c r="W451" s="9">
        <v>22770573</v>
      </c>
      <c r="X451" s="9">
        <v>3311105</v>
      </c>
      <c r="Y451" s="9">
        <v>69250547</v>
      </c>
      <c r="Z451" s="9" t="s">
        <v>39</v>
      </c>
      <c r="AA451" s="9">
        <v>0</v>
      </c>
      <c r="AB451" s="9">
        <v>78070</v>
      </c>
      <c r="AC451" s="9" t="s">
        <v>41</v>
      </c>
      <c r="AD451" s="9" t="s">
        <v>134</v>
      </c>
      <c r="AE451" s="9" t="s">
        <v>135</v>
      </c>
      <c r="AF451" s="9" t="s">
        <v>135</v>
      </c>
      <c r="AG451" s="14" t="str">
        <f t="shared" si="16"/>
        <v>EXAMENES RADIOLOGICOS</v>
      </c>
      <c r="AH451" s="9">
        <v>0</v>
      </c>
      <c r="AI451" s="9">
        <v>0</v>
      </c>
      <c r="AJ451" s="9">
        <v>76055963</v>
      </c>
      <c r="AK451" s="9">
        <v>6</v>
      </c>
      <c r="AL451" s="26" t="s">
        <v>52</v>
      </c>
      <c r="AM451" s="14" t="s">
        <v>574</v>
      </c>
      <c r="AN451" s="27" t="str">
        <f t="shared" ref="AN451:AN514" si="17">B451&amp;"|"&amp;AJ451&amp;"|"&amp;H451&amp;"|"&amp;I451</f>
        <v>8376812|76055963|371561787|65383656</v>
      </c>
      <c r="AO451" t="s">
        <v>44</v>
      </c>
      <c r="AP451" t="b">
        <v>0</v>
      </c>
      <c r="AQ451" t="s">
        <v>763</v>
      </c>
    </row>
    <row r="452" spans="1:43" x14ac:dyDescent="0.2">
      <c r="A452" s="14" t="s">
        <v>500</v>
      </c>
      <c r="B452" s="17">
        <v>15537243</v>
      </c>
      <c r="C452" s="14" t="s">
        <v>274</v>
      </c>
      <c r="D452" s="9">
        <v>15537243</v>
      </c>
      <c r="E452" s="9" t="s">
        <v>274</v>
      </c>
      <c r="F452" s="7">
        <v>45689</v>
      </c>
      <c r="G452" s="20" t="s">
        <v>36</v>
      </c>
      <c r="H452" s="8">
        <v>371577111</v>
      </c>
      <c r="I452" s="19">
        <v>371577111</v>
      </c>
      <c r="J452" s="10">
        <v>39039</v>
      </c>
      <c r="K452" s="10">
        <v>27328</v>
      </c>
      <c r="L452" s="10">
        <v>11711</v>
      </c>
      <c r="M452" s="10">
        <v>0</v>
      </c>
      <c r="N452" s="11">
        <v>11711</v>
      </c>
      <c r="O452" s="12">
        <v>371577111</v>
      </c>
      <c r="P452" s="9">
        <v>285123</v>
      </c>
      <c r="Q452" s="9" t="s">
        <v>37</v>
      </c>
      <c r="R452" s="13">
        <v>45699</v>
      </c>
      <c r="S452" s="22">
        <v>45699</v>
      </c>
      <c r="T452" s="13">
        <v>45699</v>
      </c>
      <c r="U452" s="13">
        <v>45699</v>
      </c>
      <c r="V452" s="9" t="s">
        <v>47</v>
      </c>
      <c r="W452" s="9">
        <v>22598366</v>
      </c>
      <c r="X452" s="9">
        <v>2171709</v>
      </c>
      <c r="Y452" s="9">
        <v>68876416</v>
      </c>
      <c r="Z452" s="9" t="s">
        <v>39</v>
      </c>
      <c r="AA452" s="9">
        <v>16022025</v>
      </c>
      <c r="AB452" s="9">
        <v>77646</v>
      </c>
      <c r="AC452" s="9" t="s">
        <v>41</v>
      </c>
      <c r="AD452" s="9" t="s">
        <v>132</v>
      </c>
      <c r="AE452" s="9" t="s">
        <v>133</v>
      </c>
      <c r="AF452" s="9" t="s">
        <v>133</v>
      </c>
      <c r="AG452" s="14" t="str">
        <f t="shared" si="16"/>
        <v>EXAMENES DE LABORATORIO</v>
      </c>
      <c r="AH452" s="9" t="s">
        <v>758</v>
      </c>
      <c r="AI452" s="9">
        <v>0</v>
      </c>
      <c r="AJ452" s="9">
        <v>96942400</v>
      </c>
      <c r="AK452" s="9">
        <v>2</v>
      </c>
      <c r="AL452" s="26" t="s">
        <v>76</v>
      </c>
      <c r="AM452" s="14" t="s">
        <v>600</v>
      </c>
      <c r="AN452" s="27" t="str">
        <f t="shared" si="17"/>
        <v>15537243|96942400|371577111|371577111</v>
      </c>
      <c r="AO452" t="s">
        <v>758</v>
      </c>
      <c r="AP452" t="b">
        <v>1</v>
      </c>
      <c r="AQ452" t="s">
        <v>764</v>
      </c>
    </row>
    <row r="453" spans="1:43" x14ac:dyDescent="0.2">
      <c r="A453" s="14" t="s">
        <v>500</v>
      </c>
      <c r="B453" s="17">
        <v>15537243</v>
      </c>
      <c r="C453" s="14" t="s">
        <v>274</v>
      </c>
      <c r="D453" s="9">
        <v>15537243</v>
      </c>
      <c r="E453" s="9" t="s">
        <v>274</v>
      </c>
      <c r="F453" s="7">
        <v>45717</v>
      </c>
      <c r="G453" s="20" t="s">
        <v>46</v>
      </c>
      <c r="H453" s="8">
        <v>371577111</v>
      </c>
      <c r="I453" s="19">
        <v>65384306</v>
      </c>
      <c r="J453" s="10">
        <v>11515</v>
      </c>
      <c r="K453" s="10">
        <v>0</v>
      </c>
      <c r="L453" s="10">
        <v>11515</v>
      </c>
      <c r="M453" s="10">
        <v>0</v>
      </c>
      <c r="N453" s="11">
        <v>11515</v>
      </c>
      <c r="O453" s="12">
        <v>371577111</v>
      </c>
      <c r="P453" s="9">
        <v>285123</v>
      </c>
      <c r="Q453" s="9" t="s">
        <v>37</v>
      </c>
      <c r="R453" s="13">
        <v>45717</v>
      </c>
      <c r="S453" s="22">
        <v>45742</v>
      </c>
      <c r="T453" s="13">
        <v>45699</v>
      </c>
      <c r="U453" s="13">
        <v>45699</v>
      </c>
      <c r="V453" s="9" t="s">
        <v>47</v>
      </c>
      <c r="W453" s="9">
        <v>22770590</v>
      </c>
      <c r="X453" s="9">
        <v>3311105</v>
      </c>
      <c r="Y453" s="9">
        <v>69251189</v>
      </c>
      <c r="Z453" s="9" t="s">
        <v>39</v>
      </c>
      <c r="AA453" s="9">
        <v>230562301</v>
      </c>
      <c r="AB453" s="9">
        <v>78070</v>
      </c>
      <c r="AC453" s="9" t="s">
        <v>41</v>
      </c>
      <c r="AD453" s="9" t="s">
        <v>132</v>
      </c>
      <c r="AE453" s="9" t="s">
        <v>133</v>
      </c>
      <c r="AF453" s="9" t="s">
        <v>133</v>
      </c>
      <c r="AG453" s="14" t="str">
        <f t="shared" si="16"/>
        <v>EXAMENES DE LABORATORIO</v>
      </c>
      <c r="AH453" s="9">
        <v>0</v>
      </c>
      <c r="AI453" s="9">
        <v>0</v>
      </c>
      <c r="AJ453" s="9">
        <v>96942400</v>
      </c>
      <c r="AK453" s="9">
        <v>2</v>
      </c>
      <c r="AL453" s="26" t="s">
        <v>52</v>
      </c>
      <c r="AM453" s="14" t="s">
        <v>600</v>
      </c>
      <c r="AN453" s="27" t="str">
        <f t="shared" si="17"/>
        <v>15537243|96942400|371577111|65384306</v>
      </c>
      <c r="AO453" t="s">
        <v>44</v>
      </c>
      <c r="AP453" t="b">
        <v>0</v>
      </c>
      <c r="AQ453" t="s">
        <v>763</v>
      </c>
    </row>
    <row r="454" spans="1:43" x14ac:dyDescent="0.2">
      <c r="A454" s="14" t="s">
        <v>500</v>
      </c>
      <c r="B454" s="17">
        <v>15537243</v>
      </c>
      <c r="C454" s="14" t="s">
        <v>274</v>
      </c>
      <c r="D454" s="9">
        <v>15537243</v>
      </c>
      <c r="E454" s="9" t="s">
        <v>274</v>
      </c>
      <c r="F454" s="7">
        <v>45689</v>
      </c>
      <c r="G454" s="20" t="s">
        <v>36</v>
      </c>
      <c r="H454" s="8">
        <v>371577112</v>
      </c>
      <c r="I454" s="19">
        <v>371577112</v>
      </c>
      <c r="J454" s="10">
        <v>25623</v>
      </c>
      <c r="K454" s="10">
        <v>17937</v>
      </c>
      <c r="L454" s="10">
        <v>7686</v>
      </c>
      <c r="M454" s="10">
        <v>0</v>
      </c>
      <c r="N454" s="11">
        <v>7686</v>
      </c>
      <c r="O454" s="12">
        <v>371577112</v>
      </c>
      <c r="P454" s="9">
        <v>285123</v>
      </c>
      <c r="Q454" s="9" t="s">
        <v>37</v>
      </c>
      <c r="R454" s="13">
        <v>45699</v>
      </c>
      <c r="S454" s="22">
        <v>45699</v>
      </c>
      <c r="T454" s="13">
        <v>45699</v>
      </c>
      <c r="U454" s="13">
        <v>45699</v>
      </c>
      <c r="V454" s="9" t="s">
        <v>47</v>
      </c>
      <c r="W454" s="9">
        <v>22598366</v>
      </c>
      <c r="X454" s="9">
        <v>2171709</v>
      </c>
      <c r="Y454" s="9">
        <v>68876415</v>
      </c>
      <c r="Z454" s="9" t="s">
        <v>39</v>
      </c>
      <c r="AA454" s="9">
        <v>16022025</v>
      </c>
      <c r="AB454" s="9">
        <v>77646</v>
      </c>
      <c r="AC454" s="9" t="s">
        <v>41</v>
      </c>
      <c r="AD454" s="9" t="s">
        <v>132</v>
      </c>
      <c r="AE454" s="9" t="s">
        <v>133</v>
      </c>
      <c r="AF454" s="9" t="s">
        <v>133</v>
      </c>
      <c r="AG454" s="14" t="str">
        <f t="shared" si="16"/>
        <v>EXAMENES DE LABORATORIO</v>
      </c>
      <c r="AH454" s="9" t="s">
        <v>758</v>
      </c>
      <c r="AI454" s="9">
        <v>0</v>
      </c>
      <c r="AJ454" s="9">
        <v>96942400</v>
      </c>
      <c r="AK454" s="9">
        <v>2</v>
      </c>
      <c r="AL454" s="26" t="s">
        <v>76</v>
      </c>
      <c r="AM454" s="14" t="s">
        <v>600</v>
      </c>
      <c r="AN454" s="27" t="str">
        <f t="shared" si="17"/>
        <v>15537243|96942400|371577112|371577112</v>
      </c>
      <c r="AO454" t="s">
        <v>758</v>
      </c>
      <c r="AP454" t="b">
        <v>1</v>
      </c>
      <c r="AQ454" t="s">
        <v>764</v>
      </c>
    </row>
    <row r="455" spans="1:43" x14ac:dyDescent="0.2">
      <c r="A455" s="14" t="s">
        <v>500</v>
      </c>
      <c r="B455" s="17">
        <v>15537243</v>
      </c>
      <c r="C455" s="14" t="s">
        <v>274</v>
      </c>
      <c r="D455" s="9">
        <v>15537243</v>
      </c>
      <c r="E455" s="9" t="s">
        <v>274</v>
      </c>
      <c r="F455" s="7">
        <v>45717</v>
      </c>
      <c r="G455" s="20" t="s">
        <v>46</v>
      </c>
      <c r="H455" s="8">
        <v>371577112</v>
      </c>
      <c r="I455" s="19">
        <v>65384307</v>
      </c>
      <c r="J455" s="10">
        <v>7291</v>
      </c>
      <c r="K455" s="10">
        <v>0</v>
      </c>
      <c r="L455" s="10">
        <v>7291</v>
      </c>
      <c r="M455" s="10">
        <v>0</v>
      </c>
      <c r="N455" s="11">
        <v>7291</v>
      </c>
      <c r="O455" s="12">
        <v>371577112</v>
      </c>
      <c r="P455" s="9">
        <v>285123</v>
      </c>
      <c r="Q455" s="9" t="s">
        <v>37</v>
      </c>
      <c r="R455" s="13">
        <v>45717</v>
      </c>
      <c r="S455" s="22">
        <v>45742</v>
      </c>
      <c r="T455" s="13">
        <v>45699</v>
      </c>
      <c r="U455" s="13">
        <v>45699</v>
      </c>
      <c r="V455" s="9" t="s">
        <v>47</v>
      </c>
      <c r="W455" s="9">
        <v>22770590</v>
      </c>
      <c r="X455" s="9">
        <v>3311105</v>
      </c>
      <c r="Y455" s="9">
        <v>69251190</v>
      </c>
      <c r="Z455" s="9" t="s">
        <v>39</v>
      </c>
      <c r="AA455" s="9">
        <v>230562301</v>
      </c>
      <c r="AB455" s="9">
        <v>78070</v>
      </c>
      <c r="AC455" s="9" t="s">
        <v>41</v>
      </c>
      <c r="AD455" s="9" t="s">
        <v>132</v>
      </c>
      <c r="AE455" s="9" t="s">
        <v>133</v>
      </c>
      <c r="AF455" s="9" t="s">
        <v>133</v>
      </c>
      <c r="AG455" s="14" t="str">
        <f t="shared" si="16"/>
        <v>EXAMENES DE LABORATORIO</v>
      </c>
      <c r="AH455" s="9">
        <v>0</v>
      </c>
      <c r="AI455" s="9">
        <v>0</v>
      </c>
      <c r="AJ455" s="9">
        <v>96942400</v>
      </c>
      <c r="AK455" s="9">
        <v>2</v>
      </c>
      <c r="AL455" s="26" t="s">
        <v>52</v>
      </c>
      <c r="AM455" s="14" t="s">
        <v>600</v>
      </c>
      <c r="AN455" s="27" t="str">
        <f t="shared" si="17"/>
        <v>15537243|96942400|371577112|65384307</v>
      </c>
      <c r="AO455" t="s">
        <v>44</v>
      </c>
      <c r="AP455" t="b">
        <v>0</v>
      </c>
      <c r="AQ455" t="s">
        <v>763</v>
      </c>
    </row>
    <row r="456" spans="1:43" x14ac:dyDescent="0.2">
      <c r="A456" s="14" t="s">
        <v>500</v>
      </c>
      <c r="B456" s="17">
        <v>15537243</v>
      </c>
      <c r="C456" s="14" t="s">
        <v>274</v>
      </c>
      <c r="D456" s="9">
        <v>15537243</v>
      </c>
      <c r="E456" s="9" t="s">
        <v>274</v>
      </c>
      <c r="F456" s="7">
        <v>45689</v>
      </c>
      <c r="G456" s="20" t="s">
        <v>36</v>
      </c>
      <c r="H456" s="8">
        <v>371577113</v>
      </c>
      <c r="I456" s="19">
        <v>371577113</v>
      </c>
      <c r="J456" s="10">
        <v>13624</v>
      </c>
      <c r="K456" s="10">
        <v>9538</v>
      </c>
      <c r="L456" s="10">
        <v>4086</v>
      </c>
      <c r="M456" s="10">
        <v>0</v>
      </c>
      <c r="N456" s="11">
        <v>4086</v>
      </c>
      <c r="O456" s="12">
        <v>371577113</v>
      </c>
      <c r="P456" s="9">
        <v>285123</v>
      </c>
      <c r="Q456" s="9" t="s">
        <v>37</v>
      </c>
      <c r="R456" s="13">
        <v>45699</v>
      </c>
      <c r="S456" s="22">
        <v>45699</v>
      </c>
      <c r="T456" s="13">
        <v>45699</v>
      </c>
      <c r="U456" s="13">
        <v>45699</v>
      </c>
      <c r="V456" s="9" t="s">
        <v>47</v>
      </c>
      <c r="W456" s="9">
        <v>22598366</v>
      </c>
      <c r="X456" s="9">
        <v>2171709</v>
      </c>
      <c r="Y456" s="9">
        <v>68876414</v>
      </c>
      <c r="Z456" s="9" t="s">
        <v>39</v>
      </c>
      <c r="AA456" s="9">
        <v>16022025</v>
      </c>
      <c r="AB456" s="9">
        <v>77646</v>
      </c>
      <c r="AC456" s="9" t="s">
        <v>41</v>
      </c>
      <c r="AD456" s="9" t="s">
        <v>132</v>
      </c>
      <c r="AE456" s="9" t="s">
        <v>133</v>
      </c>
      <c r="AF456" s="9" t="s">
        <v>133</v>
      </c>
      <c r="AG456" s="14" t="str">
        <f t="shared" si="16"/>
        <v>EXAMENES DE LABORATORIO</v>
      </c>
      <c r="AH456" s="9" t="s">
        <v>758</v>
      </c>
      <c r="AI456" s="9">
        <v>0</v>
      </c>
      <c r="AJ456" s="9">
        <v>96942400</v>
      </c>
      <c r="AK456" s="9">
        <v>2</v>
      </c>
      <c r="AL456" s="26" t="s">
        <v>76</v>
      </c>
      <c r="AM456" s="14" t="s">
        <v>600</v>
      </c>
      <c r="AN456" s="27" t="str">
        <f t="shared" si="17"/>
        <v>15537243|96942400|371577113|371577113</v>
      </c>
      <c r="AO456" t="s">
        <v>758</v>
      </c>
      <c r="AP456" t="b">
        <v>1</v>
      </c>
      <c r="AQ456" t="s">
        <v>764</v>
      </c>
    </row>
    <row r="457" spans="1:43" x14ac:dyDescent="0.2">
      <c r="A457" s="14" t="s">
        <v>500</v>
      </c>
      <c r="B457" s="17">
        <v>15537243</v>
      </c>
      <c r="C457" s="14" t="s">
        <v>274</v>
      </c>
      <c r="D457" s="9">
        <v>15537243</v>
      </c>
      <c r="E457" s="9" t="s">
        <v>274</v>
      </c>
      <c r="F457" s="7">
        <v>45717</v>
      </c>
      <c r="G457" s="20" t="s">
        <v>46</v>
      </c>
      <c r="H457" s="8">
        <v>371577113</v>
      </c>
      <c r="I457" s="19">
        <v>65384308</v>
      </c>
      <c r="J457" s="10">
        <v>3836</v>
      </c>
      <c r="K457" s="10">
        <v>0</v>
      </c>
      <c r="L457" s="10">
        <v>3836</v>
      </c>
      <c r="M457" s="10">
        <v>0</v>
      </c>
      <c r="N457" s="11">
        <v>3836</v>
      </c>
      <c r="O457" s="12">
        <v>371577113</v>
      </c>
      <c r="P457" s="9">
        <v>285123</v>
      </c>
      <c r="Q457" s="9" t="s">
        <v>37</v>
      </c>
      <c r="R457" s="13">
        <v>45717</v>
      </c>
      <c r="S457" s="22">
        <v>45742</v>
      </c>
      <c r="T457" s="13">
        <v>45699</v>
      </c>
      <c r="U457" s="13">
        <v>45699</v>
      </c>
      <c r="V457" s="9" t="s">
        <v>47</v>
      </c>
      <c r="W457" s="9">
        <v>22770590</v>
      </c>
      <c r="X457" s="9">
        <v>3311105</v>
      </c>
      <c r="Y457" s="9">
        <v>69251191</v>
      </c>
      <c r="Z457" s="9" t="s">
        <v>39</v>
      </c>
      <c r="AA457" s="9">
        <v>230562301</v>
      </c>
      <c r="AB457" s="9">
        <v>78070</v>
      </c>
      <c r="AC457" s="9" t="s">
        <v>41</v>
      </c>
      <c r="AD457" s="9" t="s">
        <v>132</v>
      </c>
      <c r="AE457" s="9" t="s">
        <v>133</v>
      </c>
      <c r="AF457" s="9" t="s">
        <v>133</v>
      </c>
      <c r="AG457" s="14" t="str">
        <f t="shared" si="16"/>
        <v>EXAMENES DE LABORATORIO</v>
      </c>
      <c r="AH457" s="9">
        <v>0</v>
      </c>
      <c r="AI457" s="9">
        <v>0</v>
      </c>
      <c r="AJ457" s="9">
        <v>96942400</v>
      </c>
      <c r="AK457" s="9">
        <v>2</v>
      </c>
      <c r="AL457" s="26" t="s">
        <v>52</v>
      </c>
      <c r="AM457" s="14" t="s">
        <v>600</v>
      </c>
      <c r="AN457" s="27" t="str">
        <f t="shared" si="17"/>
        <v>15537243|96942400|371577113|65384308</v>
      </c>
      <c r="AO457" t="s">
        <v>44</v>
      </c>
      <c r="AP457" t="b">
        <v>0</v>
      </c>
      <c r="AQ457" t="s">
        <v>763</v>
      </c>
    </row>
    <row r="458" spans="1:43" x14ac:dyDescent="0.2">
      <c r="A458" s="14" t="s">
        <v>500</v>
      </c>
      <c r="B458" s="17">
        <v>15537243</v>
      </c>
      <c r="C458" s="14" t="s">
        <v>274</v>
      </c>
      <c r="D458" s="9">
        <v>15537243</v>
      </c>
      <c r="E458" s="9" t="s">
        <v>274</v>
      </c>
      <c r="F458" s="7">
        <v>45689</v>
      </c>
      <c r="G458" s="20" t="s">
        <v>36</v>
      </c>
      <c r="H458" s="8">
        <v>371577222</v>
      </c>
      <c r="I458" s="19">
        <v>371577222</v>
      </c>
      <c r="J458" s="10">
        <v>30719</v>
      </c>
      <c r="K458" s="10">
        <v>21503</v>
      </c>
      <c r="L458" s="10">
        <v>9216</v>
      </c>
      <c r="M458" s="10">
        <v>0</v>
      </c>
      <c r="N458" s="11">
        <v>9216</v>
      </c>
      <c r="O458" s="12">
        <v>371577222</v>
      </c>
      <c r="P458" s="9">
        <v>285123</v>
      </c>
      <c r="Q458" s="9" t="s">
        <v>37</v>
      </c>
      <c r="R458" s="13">
        <v>45699</v>
      </c>
      <c r="S458" s="22">
        <v>45699</v>
      </c>
      <c r="T458" s="13">
        <v>45699</v>
      </c>
      <c r="U458" s="13">
        <v>45699</v>
      </c>
      <c r="V458" s="9" t="s">
        <v>47</v>
      </c>
      <c r="W458" s="9">
        <v>22598366</v>
      </c>
      <c r="X458" s="9">
        <v>2171709</v>
      </c>
      <c r="Y458" s="9">
        <v>68876424</v>
      </c>
      <c r="Z458" s="9" t="s">
        <v>39</v>
      </c>
      <c r="AA458" s="9">
        <v>16022025</v>
      </c>
      <c r="AB458" s="9">
        <v>77646</v>
      </c>
      <c r="AC458" s="9" t="s">
        <v>41</v>
      </c>
      <c r="AD458" s="9" t="s">
        <v>132</v>
      </c>
      <c r="AE458" s="9" t="s">
        <v>133</v>
      </c>
      <c r="AF458" s="9" t="s">
        <v>133</v>
      </c>
      <c r="AG458" s="14" t="str">
        <f t="shared" si="16"/>
        <v>EXAMENES DE LABORATORIO</v>
      </c>
      <c r="AH458" s="9" t="s">
        <v>758</v>
      </c>
      <c r="AI458" s="9">
        <v>0</v>
      </c>
      <c r="AJ458" s="9">
        <v>96942400</v>
      </c>
      <c r="AK458" s="9">
        <v>2</v>
      </c>
      <c r="AL458" s="26" t="s">
        <v>76</v>
      </c>
      <c r="AM458" s="14" t="s">
        <v>600</v>
      </c>
      <c r="AN458" s="27" t="str">
        <f t="shared" si="17"/>
        <v>15537243|96942400|371577222|371577222</v>
      </c>
      <c r="AO458" t="s">
        <v>758</v>
      </c>
      <c r="AP458" t="b">
        <v>1</v>
      </c>
      <c r="AQ458" t="s">
        <v>764</v>
      </c>
    </row>
    <row r="459" spans="1:43" x14ac:dyDescent="0.2">
      <c r="A459" s="14" t="s">
        <v>500</v>
      </c>
      <c r="B459" s="17">
        <v>15537243</v>
      </c>
      <c r="C459" s="14" t="s">
        <v>274</v>
      </c>
      <c r="D459" s="9">
        <v>15537243</v>
      </c>
      <c r="E459" s="9" t="s">
        <v>274</v>
      </c>
      <c r="F459" s="7">
        <v>45717</v>
      </c>
      <c r="G459" s="20" t="s">
        <v>46</v>
      </c>
      <c r="H459" s="8">
        <v>371577222</v>
      </c>
      <c r="I459" s="19">
        <v>65384309</v>
      </c>
      <c r="J459" s="10">
        <v>9213</v>
      </c>
      <c r="K459" s="10">
        <v>0</v>
      </c>
      <c r="L459" s="10">
        <v>9213</v>
      </c>
      <c r="M459" s="10">
        <v>0</v>
      </c>
      <c r="N459" s="11">
        <v>9213</v>
      </c>
      <c r="O459" s="12">
        <v>371577222</v>
      </c>
      <c r="P459" s="9">
        <v>285123</v>
      </c>
      <c r="Q459" s="9" t="s">
        <v>37</v>
      </c>
      <c r="R459" s="13">
        <v>45717</v>
      </c>
      <c r="S459" s="22">
        <v>45742</v>
      </c>
      <c r="T459" s="13">
        <v>45699</v>
      </c>
      <c r="U459" s="13">
        <v>45699</v>
      </c>
      <c r="V459" s="9" t="s">
        <v>47</v>
      </c>
      <c r="W459" s="9">
        <v>22770590</v>
      </c>
      <c r="X459" s="9">
        <v>3311105</v>
      </c>
      <c r="Y459" s="9">
        <v>69251192</v>
      </c>
      <c r="Z459" s="9" t="s">
        <v>39</v>
      </c>
      <c r="AA459" s="9">
        <v>230562301</v>
      </c>
      <c r="AB459" s="9">
        <v>78070</v>
      </c>
      <c r="AC459" s="9" t="s">
        <v>41</v>
      </c>
      <c r="AD459" s="9" t="s">
        <v>132</v>
      </c>
      <c r="AE459" s="9" t="s">
        <v>133</v>
      </c>
      <c r="AF459" s="9" t="s">
        <v>133</v>
      </c>
      <c r="AG459" s="14" t="str">
        <f t="shared" si="16"/>
        <v>EXAMENES DE LABORATORIO</v>
      </c>
      <c r="AH459" s="9">
        <v>0</v>
      </c>
      <c r="AI459" s="9">
        <v>0</v>
      </c>
      <c r="AJ459" s="9">
        <v>96942400</v>
      </c>
      <c r="AK459" s="9">
        <v>2</v>
      </c>
      <c r="AL459" s="26" t="s">
        <v>52</v>
      </c>
      <c r="AM459" s="14" t="s">
        <v>600</v>
      </c>
      <c r="AN459" s="27" t="str">
        <f t="shared" si="17"/>
        <v>15537243|96942400|371577222|65384309</v>
      </c>
      <c r="AO459" t="s">
        <v>44</v>
      </c>
      <c r="AP459" t="b">
        <v>0</v>
      </c>
      <c r="AQ459" t="s">
        <v>763</v>
      </c>
    </row>
    <row r="460" spans="1:43" x14ac:dyDescent="0.2">
      <c r="A460" s="14" t="s">
        <v>500</v>
      </c>
      <c r="B460" s="17">
        <v>15537243</v>
      </c>
      <c r="C460" s="14" t="s">
        <v>274</v>
      </c>
      <c r="D460" s="9">
        <v>15537243</v>
      </c>
      <c r="E460" s="9" t="s">
        <v>274</v>
      </c>
      <c r="F460" s="7">
        <v>45689</v>
      </c>
      <c r="G460" s="20" t="s">
        <v>36</v>
      </c>
      <c r="H460" s="8">
        <v>371577523</v>
      </c>
      <c r="I460" s="19">
        <v>371577523</v>
      </c>
      <c r="J460" s="10">
        <v>28808</v>
      </c>
      <c r="K460" s="10">
        <v>20166</v>
      </c>
      <c r="L460" s="10">
        <v>8642</v>
      </c>
      <c r="M460" s="10">
        <v>0</v>
      </c>
      <c r="N460" s="11">
        <v>8642</v>
      </c>
      <c r="O460" s="12">
        <v>371577523</v>
      </c>
      <c r="P460" s="9">
        <v>285123</v>
      </c>
      <c r="Q460" s="9" t="s">
        <v>37</v>
      </c>
      <c r="R460" s="13">
        <v>45699</v>
      </c>
      <c r="S460" s="22">
        <v>45699</v>
      </c>
      <c r="T460" s="13">
        <v>45699</v>
      </c>
      <c r="U460" s="13">
        <v>45699</v>
      </c>
      <c r="V460" s="9" t="s">
        <v>47</v>
      </c>
      <c r="W460" s="9">
        <v>22598366</v>
      </c>
      <c r="X460" s="9">
        <v>2171709</v>
      </c>
      <c r="Y460" s="9">
        <v>68876440</v>
      </c>
      <c r="Z460" s="9" t="s">
        <v>39</v>
      </c>
      <c r="AA460" s="9">
        <v>16022025</v>
      </c>
      <c r="AB460" s="9">
        <v>77646</v>
      </c>
      <c r="AC460" s="9" t="s">
        <v>41</v>
      </c>
      <c r="AD460" s="9" t="s">
        <v>134</v>
      </c>
      <c r="AE460" s="9" t="s">
        <v>135</v>
      </c>
      <c r="AF460" s="9" t="s">
        <v>135</v>
      </c>
      <c r="AG460" s="14" t="str">
        <f t="shared" si="16"/>
        <v>EXAMENES RADIOLOGICOS</v>
      </c>
      <c r="AH460" s="9" t="s">
        <v>758</v>
      </c>
      <c r="AI460" s="9">
        <v>0</v>
      </c>
      <c r="AJ460" s="9">
        <v>96942400</v>
      </c>
      <c r="AK460" s="9">
        <v>2</v>
      </c>
      <c r="AL460" s="26" t="s">
        <v>76</v>
      </c>
      <c r="AM460" s="14" t="s">
        <v>600</v>
      </c>
      <c r="AN460" s="27" t="str">
        <f t="shared" si="17"/>
        <v>15537243|96942400|371577523|371577523</v>
      </c>
      <c r="AO460" t="s">
        <v>758</v>
      </c>
      <c r="AP460" t="b">
        <v>1</v>
      </c>
      <c r="AQ460" t="s">
        <v>764</v>
      </c>
    </row>
    <row r="461" spans="1:43" x14ac:dyDescent="0.2">
      <c r="A461" s="14" t="s">
        <v>500</v>
      </c>
      <c r="B461" s="17">
        <v>15537243</v>
      </c>
      <c r="C461" s="14" t="s">
        <v>274</v>
      </c>
      <c r="D461" s="9">
        <v>15537243</v>
      </c>
      <c r="E461" s="9" t="s">
        <v>274</v>
      </c>
      <c r="F461" s="7">
        <v>45717</v>
      </c>
      <c r="G461" s="20" t="s">
        <v>46</v>
      </c>
      <c r="H461" s="8">
        <v>371577523</v>
      </c>
      <c r="I461" s="19">
        <v>65384310</v>
      </c>
      <c r="J461" s="10">
        <v>8830</v>
      </c>
      <c r="K461" s="10">
        <v>0</v>
      </c>
      <c r="L461" s="10">
        <v>8830</v>
      </c>
      <c r="M461" s="10">
        <v>0</v>
      </c>
      <c r="N461" s="11">
        <v>8830</v>
      </c>
      <c r="O461" s="12">
        <v>371577523</v>
      </c>
      <c r="P461" s="9">
        <v>285123</v>
      </c>
      <c r="Q461" s="9" t="s">
        <v>37</v>
      </c>
      <c r="R461" s="13">
        <v>45717</v>
      </c>
      <c r="S461" s="22">
        <v>45742</v>
      </c>
      <c r="T461" s="13">
        <v>45699</v>
      </c>
      <c r="U461" s="13">
        <v>45699</v>
      </c>
      <c r="V461" s="9" t="s">
        <v>47</v>
      </c>
      <c r="W461" s="9">
        <v>22770590</v>
      </c>
      <c r="X461" s="9">
        <v>3311105</v>
      </c>
      <c r="Y461" s="9">
        <v>69251193</v>
      </c>
      <c r="Z461" s="9" t="s">
        <v>39</v>
      </c>
      <c r="AA461" s="9">
        <v>230562301</v>
      </c>
      <c r="AB461" s="9">
        <v>78070</v>
      </c>
      <c r="AC461" s="9" t="s">
        <v>41</v>
      </c>
      <c r="AD461" s="9" t="s">
        <v>134</v>
      </c>
      <c r="AE461" s="9" t="s">
        <v>135</v>
      </c>
      <c r="AF461" s="9" t="s">
        <v>135</v>
      </c>
      <c r="AG461" s="14" t="str">
        <f t="shared" si="16"/>
        <v>EXAMENES RADIOLOGICOS</v>
      </c>
      <c r="AH461" s="9">
        <v>0</v>
      </c>
      <c r="AI461" s="9">
        <v>0</v>
      </c>
      <c r="AJ461" s="9">
        <v>96942400</v>
      </c>
      <c r="AK461" s="9">
        <v>2</v>
      </c>
      <c r="AL461" s="26" t="s">
        <v>52</v>
      </c>
      <c r="AM461" s="14" t="s">
        <v>600</v>
      </c>
      <c r="AN461" s="27" t="str">
        <f t="shared" si="17"/>
        <v>15537243|96942400|371577523|65384310</v>
      </c>
      <c r="AO461" t="s">
        <v>44</v>
      </c>
      <c r="AP461" t="b">
        <v>0</v>
      </c>
      <c r="AQ461" t="s">
        <v>763</v>
      </c>
    </row>
    <row r="462" spans="1:43" x14ac:dyDescent="0.2">
      <c r="A462" s="14" t="s">
        <v>500</v>
      </c>
      <c r="B462" s="17">
        <v>15537243</v>
      </c>
      <c r="C462" s="14" t="s">
        <v>274</v>
      </c>
      <c r="D462" s="9">
        <v>15537243</v>
      </c>
      <c r="E462" s="9" t="s">
        <v>274</v>
      </c>
      <c r="F462" s="7">
        <v>45689</v>
      </c>
      <c r="G462" s="20" t="s">
        <v>36</v>
      </c>
      <c r="H462" s="8">
        <v>371581188</v>
      </c>
      <c r="I462" s="19">
        <v>371581188</v>
      </c>
      <c r="J462" s="10">
        <v>99584</v>
      </c>
      <c r="K462" s="10">
        <v>63524</v>
      </c>
      <c r="L462" s="10">
        <v>36060</v>
      </c>
      <c r="M462" s="10">
        <v>0</v>
      </c>
      <c r="N462" s="11">
        <v>36060</v>
      </c>
      <c r="O462" s="12">
        <v>371581188</v>
      </c>
      <c r="P462" s="9">
        <v>285123</v>
      </c>
      <c r="Q462" s="9" t="s">
        <v>37</v>
      </c>
      <c r="R462" s="13">
        <v>45699</v>
      </c>
      <c r="S462" s="22">
        <v>45699</v>
      </c>
      <c r="T462" s="13">
        <v>45699</v>
      </c>
      <c r="U462" s="13">
        <v>45699</v>
      </c>
      <c r="V462" s="9" t="s">
        <v>47</v>
      </c>
      <c r="W462" s="9">
        <v>22598366</v>
      </c>
      <c r="X462" s="9">
        <v>2171709</v>
      </c>
      <c r="Y462" s="9">
        <v>68876551</v>
      </c>
      <c r="Z462" s="9" t="s">
        <v>39</v>
      </c>
      <c r="AA462" s="9">
        <v>16022025</v>
      </c>
      <c r="AB462" s="9">
        <v>77646</v>
      </c>
      <c r="AC462" s="9" t="s">
        <v>41</v>
      </c>
      <c r="AD462" s="9" t="s">
        <v>134</v>
      </c>
      <c r="AE462" s="9" t="s">
        <v>135</v>
      </c>
      <c r="AF462" s="9" t="s">
        <v>135</v>
      </c>
      <c r="AG462" s="14" t="str">
        <f t="shared" si="16"/>
        <v>EXAMENES RADIOLOGICOS</v>
      </c>
      <c r="AH462" s="9" t="s">
        <v>758</v>
      </c>
      <c r="AI462" s="9">
        <v>0</v>
      </c>
      <c r="AJ462" s="9">
        <v>96942400</v>
      </c>
      <c r="AK462" s="9">
        <v>2</v>
      </c>
      <c r="AL462" s="26" t="s">
        <v>76</v>
      </c>
      <c r="AM462" s="14" t="s">
        <v>600</v>
      </c>
      <c r="AN462" s="27" t="str">
        <f t="shared" si="17"/>
        <v>15537243|96942400|371581188|371581188</v>
      </c>
      <c r="AO462" t="s">
        <v>758</v>
      </c>
      <c r="AP462" t="b">
        <v>1</v>
      </c>
      <c r="AQ462" t="s">
        <v>764</v>
      </c>
    </row>
    <row r="463" spans="1:43" x14ac:dyDescent="0.2">
      <c r="A463" s="14" t="s">
        <v>500</v>
      </c>
      <c r="B463" s="17">
        <v>15537243</v>
      </c>
      <c r="C463" s="14" t="s">
        <v>274</v>
      </c>
      <c r="D463" s="9">
        <v>15537243</v>
      </c>
      <c r="E463" s="9" t="s">
        <v>274</v>
      </c>
      <c r="F463" s="7">
        <v>45717</v>
      </c>
      <c r="G463" s="20" t="s">
        <v>46</v>
      </c>
      <c r="H463" s="8">
        <v>371581188</v>
      </c>
      <c r="I463" s="19">
        <v>65384311</v>
      </c>
      <c r="J463" s="10">
        <v>36087</v>
      </c>
      <c r="K463" s="10">
        <v>0</v>
      </c>
      <c r="L463" s="10">
        <v>36087</v>
      </c>
      <c r="M463" s="10">
        <v>0</v>
      </c>
      <c r="N463" s="11">
        <v>36087</v>
      </c>
      <c r="O463" s="12">
        <v>371581188</v>
      </c>
      <c r="P463" s="9">
        <v>285123</v>
      </c>
      <c r="Q463" s="9" t="s">
        <v>37</v>
      </c>
      <c r="R463" s="13">
        <v>45717</v>
      </c>
      <c r="S463" s="22">
        <v>45742</v>
      </c>
      <c r="T463" s="13">
        <v>45699</v>
      </c>
      <c r="U463" s="13">
        <v>45699</v>
      </c>
      <c r="V463" s="9" t="s">
        <v>47</v>
      </c>
      <c r="W463" s="9">
        <v>22770590</v>
      </c>
      <c r="X463" s="9">
        <v>3311105</v>
      </c>
      <c r="Y463" s="9">
        <v>69251194</v>
      </c>
      <c r="Z463" s="9" t="s">
        <v>39</v>
      </c>
      <c r="AA463" s="9">
        <v>230562301</v>
      </c>
      <c r="AB463" s="9">
        <v>78070</v>
      </c>
      <c r="AC463" s="9" t="s">
        <v>41</v>
      </c>
      <c r="AD463" s="9" t="s">
        <v>134</v>
      </c>
      <c r="AE463" s="9" t="s">
        <v>135</v>
      </c>
      <c r="AF463" s="9" t="s">
        <v>135</v>
      </c>
      <c r="AG463" s="14" t="str">
        <f t="shared" si="16"/>
        <v>EXAMENES RADIOLOGICOS</v>
      </c>
      <c r="AH463" s="9">
        <v>0</v>
      </c>
      <c r="AI463" s="9">
        <v>0</v>
      </c>
      <c r="AJ463" s="9">
        <v>96942400</v>
      </c>
      <c r="AK463" s="9">
        <v>2</v>
      </c>
      <c r="AL463" s="26" t="s">
        <v>52</v>
      </c>
      <c r="AM463" s="14" t="s">
        <v>600</v>
      </c>
      <c r="AN463" s="27" t="str">
        <f t="shared" si="17"/>
        <v>15537243|96942400|371581188|65384311</v>
      </c>
      <c r="AO463" t="s">
        <v>44</v>
      </c>
      <c r="AP463" t="b">
        <v>0</v>
      </c>
      <c r="AQ463" t="s">
        <v>763</v>
      </c>
    </row>
    <row r="464" spans="1:43" x14ac:dyDescent="0.2">
      <c r="A464" s="14" t="s">
        <v>500</v>
      </c>
      <c r="B464" s="17">
        <v>15537243</v>
      </c>
      <c r="C464" s="14" t="s">
        <v>274</v>
      </c>
      <c r="D464" s="9">
        <v>15537243</v>
      </c>
      <c r="E464" s="9" t="s">
        <v>274</v>
      </c>
      <c r="F464" s="7">
        <v>45689</v>
      </c>
      <c r="G464" s="20" t="s">
        <v>36</v>
      </c>
      <c r="H464" s="8">
        <v>371583394</v>
      </c>
      <c r="I464" s="19">
        <v>371583394</v>
      </c>
      <c r="J464" s="10">
        <v>2405</v>
      </c>
      <c r="K464" s="10">
        <v>1684</v>
      </c>
      <c r="L464" s="10">
        <v>721</v>
      </c>
      <c r="M464" s="10">
        <v>0</v>
      </c>
      <c r="N464" s="11">
        <v>721</v>
      </c>
      <c r="O464" s="12">
        <v>371583394</v>
      </c>
      <c r="P464" s="9">
        <v>285123</v>
      </c>
      <c r="Q464" s="9" t="s">
        <v>37</v>
      </c>
      <c r="R464" s="13">
        <v>45699</v>
      </c>
      <c r="S464" s="22">
        <v>45699</v>
      </c>
      <c r="T464" s="13">
        <v>45699</v>
      </c>
      <c r="U464" s="13">
        <v>45699</v>
      </c>
      <c r="V464" s="9" t="s">
        <v>47</v>
      </c>
      <c r="W464" s="9">
        <v>22598366</v>
      </c>
      <c r="X464" s="9">
        <v>2171709</v>
      </c>
      <c r="Y464" s="9">
        <v>68876610</v>
      </c>
      <c r="Z464" s="9" t="s">
        <v>39</v>
      </c>
      <c r="AA464" s="9">
        <v>16022025</v>
      </c>
      <c r="AB464" s="9">
        <v>77646</v>
      </c>
      <c r="AC464" s="9" t="s">
        <v>41</v>
      </c>
      <c r="AD464" s="9" t="s">
        <v>132</v>
      </c>
      <c r="AE464" s="9" t="s">
        <v>133</v>
      </c>
      <c r="AF464" s="9" t="s">
        <v>133</v>
      </c>
      <c r="AG464" s="14" t="str">
        <f t="shared" si="16"/>
        <v>EXAMENES DE LABORATORIO</v>
      </c>
      <c r="AH464" s="9" t="s">
        <v>758</v>
      </c>
      <c r="AI464" s="9">
        <v>0</v>
      </c>
      <c r="AJ464" s="9">
        <v>96942400</v>
      </c>
      <c r="AK464" s="9">
        <v>2</v>
      </c>
      <c r="AL464" s="26" t="s">
        <v>76</v>
      </c>
      <c r="AM464" s="14" t="s">
        <v>600</v>
      </c>
      <c r="AN464" s="27" t="str">
        <f t="shared" si="17"/>
        <v>15537243|96942400|371583394|371583394</v>
      </c>
      <c r="AO464" t="s">
        <v>758</v>
      </c>
      <c r="AP464" t="b">
        <v>1</v>
      </c>
      <c r="AQ464" t="s">
        <v>764</v>
      </c>
    </row>
    <row r="465" spans="1:43" x14ac:dyDescent="0.2">
      <c r="A465" s="14" t="s">
        <v>500</v>
      </c>
      <c r="B465" s="17">
        <v>15537243</v>
      </c>
      <c r="C465" s="14" t="s">
        <v>274</v>
      </c>
      <c r="D465" s="9">
        <v>15537243</v>
      </c>
      <c r="E465" s="9" t="s">
        <v>274</v>
      </c>
      <c r="F465" s="7">
        <v>45717</v>
      </c>
      <c r="G465" s="20" t="s">
        <v>46</v>
      </c>
      <c r="H465" s="8">
        <v>371583394</v>
      </c>
      <c r="I465" s="19">
        <v>65384312</v>
      </c>
      <c r="J465" s="10">
        <v>767</v>
      </c>
      <c r="K465" s="10">
        <v>0</v>
      </c>
      <c r="L465" s="10">
        <v>767</v>
      </c>
      <c r="M465" s="10">
        <v>0</v>
      </c>
      <c r="N465" s="11">
        <v>767</v>
      </c>
      <c r="O465" s="12">
        <v>371583394</v>
      </c>
      <c r="P465" s="9">
        <v>285123</v>
      </c>
      <c r="Q465" s="9" t="s">
        <v>37</v>
      </c>
      <c r="R465" s="13">
        <v>45717</v>
      </c>
      <c r="S465" s="22">
        <v>45742</v>
      </c>
      <c r="T465" s="13">
        <v>45699</v>
      </c>
      <c r="U465" s="13">
        <v>45699</v>
      </c>
      <c r="V465" s="9" t="s">
        <v>47</v>
      </c>
      <c r="W465" s="9">
        <v>22770590</v>
      </c>
      <c r="X465" s="9">
        <v>3311105</v>
      </c>
      <c r="Y465" s="9">
        <v>69251195</v>
      </c>
      <c r="Z465" s="9" t="s">
        <v>39</v>
      </c>
      <c r="AA465" s="9">
        <v>230562301</v>
      </c>
      <c r="AB465" s="9">
        <v>78070</v>
      </c>
      <c r="AC465" s="9" t="s">
        <v>41</v>
      </c>
      <c r="AD465" s="9" t="s">
        <v>132</v>
      </c>
      <c r="AE465" s="9" t="s">
        <v>133</v>
      </c>
      <c r="AF465" s="9" t="s">
        <v>133</v>
      </c>
      <c r="AG465" s="14" t="str">
        <f t="shared" si="16"/>
        <v>EXAMENES DE LABORATORIO</v>
      </c>
      <c r="AH465" s="9">
        <v>0</v>
      </c>
      <c r="AI465" s="9">
        <v>0</v>
      </c>
      <c r="AJ465" s="9">
        <v>96942400</v>
      </c>
      <c r="AK465" s="9">
        <v>2</v>
      </c>
      <c r="AL465" s="26" t="s">
        <v>52</v>
      </c>
      <c r="AM465" s="14" t="s">
        <v>600</v>
      </c>
      <c r="AN465" s="27" t="str">
        <f t="shared" si="17"/>
        <v>15537243|96942400|371583394|65384312</v>
      </c>
      <c r="AO465" t="s">
        <v>44</v>
      </c>
      <c r="AP465" t="b">
        <v>0</v>
      </c>
      <c r="AQ465" t="s">
        <v>763</v>
      </c>
    </row>
    <row r="466" spans="1:43" x14ac:dyDescent="0.2">
      <c r="A466" s="14" t="s">
        <v>500</v>
      </c>
      <c r="B466" s="17">
        <v>15537243</v>
      </c>
      <c r="C466" s="14" t="s">
        <v>274</v>
      </c>
      <c r="D466" s="9">
        <v>15537243</v>
      </c>
      <c r="E466" s="9" t="s">
        <v>274</v>
      </c>
      <c r="F466" s="7">
        <v>45689</v>
      </c>
      <c r="G466" s="20" t="s">
        <v>36</v>
      </c>
      <c r="H466" s="8">
        <v>371584825</v>
      </c>
      <c r="I466" s="19">
        <v>371584825</v>
      </c>
      <c r="J466" s="10">
        <v>23232</v>
      </c>
      <c r="K466" s="10">
        <v>14155</v>
      </c>
      <c r="L466" s="10">
        <v>9077</v>
      </c>
      <c r="M466" s="10">
        <v>0</v>
      </c>
      <c r="N466" s="11">
        <v>9077</v>
      </c>
      <c r="O466" s="12">
        <v>371584825</v>
      </c>
      <c r="P466" s="9">
        <v>285123</v>
      </c>
      <c r="Q466" s="9" t="s">
        <v>37</v>
      </c>
      <c r="R466" s="13">
        <v>45699</v>
      </c>
      <c r="S466" s="22">
        <v>45699</v>
      </c>
      <c r="T466" s="13">
        <v>45699</v>
      </c>
      <c r="U466" s="13">
        <v>45699</v>
      </c>
      <c r="V466" s="9" t="s">
        <v>47</v>
      </c>
      <c r="W466" s="9">
        <v>22598366</v>
      </c>
      <c r="X466" s="9">
        <v>2171709</v>
      </c>
      <c r="Y466" s="9">
        <v>68876641</v>
      </c>
      <c r="Z466" s="9" t="s">
        <v>39</v>
      </c>
      <c r="AA466" s="9">
        <v>16022025</v>
      </c>
      <c r="AB466" s="9">
        <v>77646</v>
      </c>
      <c r="AC466" s="9" t="s">
        <v>41</v>
      </c>
      <c r="AD466" s="9" t="s">
        <v>134</v>
      </c>
      <c r="AE466" s="9" t="s">
        <v>135</v>
      </c>
      <c r="AF466" s="9" t="s">
        <v>135</v>
      </c>
      <c r="AG466" s="14" t="str">
        <f t="shared" si="16"/>
        <v>EXAMENES RADIOLOGICOS</v>
      </c>
      <c r="AH466" s="9" t="s">
        <v>758</v>
      </c>
      <c r="AI466" s="9">
        <v>0</v>
      </c>
      <c r="AJ466" s="9">
        <v>96942400</v>
      </c>
      <c r="AK466" s="9">
        <v>2</v>
      </c>
      <c r="AL466" s="26" t="s">
        <v>76</v>
      </c>
      <c r="AM466" s="14" t="s">
        <v>600</v>
      </c>
      <c r="AN466" s="27" t="str">
        <f t="shared" si="17"/>
        <v>15537243|96942400|371584825|371584825</v>
      </c>
      <c r="AO466" t="s">
        <v>758</v>
      </c>
      <c r="AP466" t="b">
        <v>1</v>
      </c>
      <c r="AQ466" t="s">
        <v>764</v>
      </c>
    </row>
    <row r="467" spans="1:43" x14ac:dyDescent="0.2">
      <c r="A467" s="14" t="s">
        <v>500</v>
      </c>
      <c r="B467" s="17">
        <v>15537243</v>
      </c>
      <c r="C467" s="14" t="s">
        <v>274</v>
      </c>
      <c r="D467" s="9">
        <v>15537243</v>
      </c>
      <c r="E467" s="9" t="s">
        <v>274</v>
      </c>
      <c r="F467" s="7">
        <v>45717</v>
      </c>
      <c r="G467" s="20" t="s">
        <v>46</v>
      </c>
      <c r="H467" s="8">
        <v>371584825</v>
      </c>
      <c r="I467" s="19">
        <v>65384313</v>
      </c>
      <c r="J467" s="10">
        <v>9214</v>
      </c>
      <c r="K467" s="10">
        <v>0</v>
      </c>
      <c r="L467" s="10">
        <v>9214</v>
      </c>
      <c r="M467" s="10">
        <v>0</v>
      </c>
      <c r="N467" s="11">
        <v>9214</v>
      </c>
      <c r="O467" s="12">
        <v>371584825</v>
      </c>
      <c r="P467" s="9">
        <v>285123</v>
      </c>
      <c r="Q467" s="9" t="s">
        <v>37</v>
      </c>
      <c r="R467" s="13">
        <v>45717</v>
      </c>
      <c r="S467" s="22">
        <v>45742</v>
      </c>
      <c r="T467" s="13">
        <v>45699</v>
      </c>
      <c r="U467" s="13">
        <v>45699</v>
      </c>
      <c r="V467" s="9" t="s">
        <v>47</v>
      </c>
      <c r="W467" s="9">
        <v>22770590</v>
      </c>
      <c r="X467" s="9">
        <v>3311105</v>
      </c>
      <c r="Y467" s="9">
        <v>69251196</v>
      </c>
      <c r="Z467" s="9" t="s">
        <v>39</v>
      </c>
      <c r="AA467" s="9">
        <v>230562301</v>
      </c>
      <c r="AB467" s="9">
        <v>78070</v>
      </c>
      <c r="AC467" s="9" t="s">
        <v>41</v>
      </c>
      <c r="AD467" s="9" t="s">
        <v>134</v>
      </c>
      <c r="AE467" s="9" t="s">
        <v>135</v>
      </c>
      <c r="AF467" s="9" t="s">
        <v>135</v>
      </c>
      <c r="AG467" s="14" t="str">
        <f t="shared" si="16"/>
        <v>EXAMENES RADIOLOGICOS</v>
      </c>
      <c r="AH467" s="9">
        <v>0</v>
      </c>
      <c r="AI467" s="9">
        <v>0</v>
      </c>
      <c r="AJ467" s="9">
        <v>96942400</v>
      </c>
      <c r="AK467" s="9">
        <v>2</v>
      </c>
      <c r="AL467" s="26" t="s">
        <v>52</v>
      </c>
      <c r="AM467" s="14" t="s">
        <v>600</v>
      </c>
      <c r="AN467" s="27" t="str">
        <f t="shared" si="17"/>
        <v>15537243|96942400|371584825|65384313</v>
      </c>
      <c r="AO467" t="s">
        <v>44</v>
      </c>
      <c r="AP467" t="b">
        <v>0</v>
      </c>
      <c r="AQ467" t="s">
        <v>763</v>
      </c>
    </row>
    <row r="468" spans="1:43" x14ac:dyDescent="0.2">
      <c r="A468" s="14" t="s">
        <v>500</v>
      </c>
      <c r="B468" s="17">
        <v>15537243</v>
      </c>
      <c r="C468" s="14" t="s">
        <v>274</v>
      </c>
      <c r="D468" s="9">
        <v>15537243</v>
      </c>
      <c r="E468" s="9" t="s">
        <v>274</v>
      </c>
      <c r="F468" s="7">
        <v>45689</v>
      </c>
      <c r="G468" s="20" t="s">
        <v>36</v>
      </c>
      <c r="H468" s="8">
        <v>371587620</v>
      </c>
      <c r="I468" s="19">
        <v>371587620</v>
      </c>
      <c r="J468" s="10">
        <v>11504</v>
      </c>
      <c r="K468" s="10">
        <v>8053</v>
      </c>
      <c r="L468" s="10">
        <v>3451</v>
      </c>
      <c r="M468" s="10">
        <v>0</v>
      </c>
      <c r="N468" s="11">
        <v>3451</v>
      </c>
      <c r="O468" s="12">
        <v>371587620</v>
      </c>
      <c r="P468" s="9">
        <v>285123</v>
      </c>
      <c r="Q468" s="9" t="s">
        <v>37</v>
      </c>
      <c r="R468" s="13">
        <v>45699</v>
      </c>
      <c r="S468" s="22">
        <v>45699</v>
      </c>
      <c r="T468" s="13">
        <v>45699</v>
      </c>
      <c r="U468" s="13">
        <v>45699</v>
      </c>
      <c r="V468" s="9" t="s">
        <v>47</v>
      </c>
      <c r="W468" s="9">
        <v>22598366</v>
      </c>
      <c r="X468" s="9">
        <v>2171709</v>
      </c>
      <c r="Y468" s="9">
        <v>68876680</v>
      </c>
      <c r="Z468" s="9" t="s">
        <v>39</v>
      </c>
      <c r="AA468" s="9">
        <v>16022025</v>
      </c>
      <c r="AB468" s="9">
        <v>77646</v>
      </c>
      <c r="AC468" s="9" t="s">
        <v>41</v>
      </c>
      <c r="AD468" s="9" t="s">
        <v>65</v>
      </c>
      <c r="AE468" s="9" t="s">
        <v>66</v>
      </c>
      <c r="AF468" s="9" t="s">
        <v>66</v>
      </c>
      <c r="AG468" s="14" t="str">
        <f t="shared" si="16"/>
        <v>PROCEDIMIENTOS TERAPEUTICOS</v>
      </c>
      <c r="AH468" s="9" t="s">
        <v>758</v>
      </c>
      <c r="AI468" s="9">
        <v>0</v>
      </c>
      <c r="AJ468" s="9">
        <v>96942400</v>
      </c>
      <c r="AK468" s="9">
        <v>2</v>
      </c>
      <c r="AL468" s="26" t="s">
        <v>76</v>
      </c>
      <c r="AM468" s="14" t="s">
        <v>600</v>
      </c>
      <c r="AN468" s="27" t="str">
        <f t="shared" si="17"/>
        <v>15537243|96942400|371587620|371587620</v>
      </c>
      <c r="AO468" t="s">
        <v>758</v>
      </c>
      <c r="AP468" t="b">
        <v>1</v>
      </c>
      <c r="AQ468" t="s">
        <v>764</v>
      </c>
    </row>
    <row r="469" spans="1:43" x14ac:dyDescent="0.2">
      <c r="A469" s="14" t="s">
        <v>500</v>
      </c>
      <c r="B469" s="17">
        <v>15537243</v>
      </c>
      <c r="C469" s="14" t="s">
        <v>274</v>
      </c>
      <c r="D469" s="9">
        <v>15537243</v>
      </c>
      <c r="E469" s="9" t="s">
        <v>274</v>
      </c>
      <c r="F469" s="7">
        <v>45717</v>
      </c>
      <c r="G469" s="20" t="s">
        <v>46</v>
      </c>
      <c r="H469" s="8">
        <v>371587620</v>
      </c>
      <c r="I469" s="19">
        <v>65384314</v>
      </c>
      <c r="J469" s="10">
        <v>3455</v>
      </c>
      <c r="K469" s="10">
        <v>0</v>
      </c>
      <c r="L469" s="10">
        <v>3455</v>
      </c>
      <c r="M469" s="10">
        <v>0</v>
      </c>
      <c r="N469" s="11">
        <v>3455</v>
      </c>
      <c r="O469" s="12">
        <v>371587620</v>
      </c>
      <c r="P469" s="9">
        <v>285123</v>
      </c>
      <c r="Q469" s="9" t="s">
        <v>37</v>
      </c>
      <c r="R469" s="13">
        <v>45717</v>
      </c>
      <c r="S469" s="22">
        <v>45742</v>
      </c>
      <c r="T469" s="13">
        <v>45699</v>
      </c>
      <c r="U469" s="13">
        <v>45699</v>
      </c>
      <c r="V469" s="9" t="s">
        <v>47</v>
      </c>
      <c r="W469" s="9">
        <v>22770590</v>
      </c>
      <c r="X469" s="9">
        <v>3311105</v>
      </c>
      <c r="Y469" s="9">
        <v>69251197</v>
      </c>
      <c r="Z469" s="9" t="s">
        <v>39</v>
      </c>
      <c r="AA469" s="9">
        <v>230562301</v>
      </c>
      <c r="AB469" s="9">
        <v>78070</v>
      </c>
      <c r="AC469" s="9" t="s">
        <v>41</v>
      </c>
      <c r="AD469" s="9" t="s">
        <v>65</v>
      </c>
      <c r="AE469" s="9" t="s">
        <v>66</v>
      </c>
      <c r="AF469" s="9" t="s">
        <v>66</v>
      </c>
      <c r="AG469" s="14" t="str">
        <f t="shared" si="16"/>
        <v>PROCEDIMIENTOS TERAPEUTICOS</v>
      </c>
      <c r="AH469" s="9">
        <v>0</v>
      </c>
      <c r="AI469" s="9">
        <v>0</v>
      </c>
      <c r="AJ469" s="9">
        <v>96942400</v>
      </c>
      <c r="AK469" s="9">
        <v>2</v>
      </c>
      <c r="AL469" s="26" t="s">
        <v>52</v>
      </c>
      <c r="AM469" s="14" t="s">
        <v>600</v>
      </c>
      <c r="AN469" s="27" t="str">
        <f t="shared" si="17"/>
        <v>15537243|96942400|371587620|65384314</v>
      </c>
      <c r="AO469" t="s">
        <v>44</v>
      </c>
      <c r="AP469" t="b">
        <v>0</v>
      </c>
      <c r="AQ469" t="s">
        <v>763</v>
      </c>
    </row>
    <row r="470" spans="1:43" x14ac:dyDescent="0.2">
      <c r="A470" s="14" t="s">
        <v>500</v>
      </c>
      <c r="B470" s="17">
        <v>9830180</v>
      </c>
      <c r="C470" s="14" t="s">
        <v>275</v>
      </c>
      <c r="D470" s="9">
        <v>9830180</v>
      </c>
      <c r="E470" s="9" t="s">
        <v>275</v>
      </c>
      <c r="F470" s="7">
        <v>45689</v>
      </c>
      <c r="G470" s="20" t="s">
        <v>36</v>
      </c>
      <c r="H470" s="8">
        <v>371622933</v>
      </c>
      <c r="I470" s="19">
        <v>371622933</v>
      </c>
      <c r="J470" s="10">
        <v>20184</v>
      </c>
      <c r="K470" s="10">
        <v>14130</v>
      </c>
      <c r="L470" s="10">
        <v>6054</v>
      </c>
      <c r="M470" s="10">
        <v>0</v>
      </c>
      <c r="N470" s="11">
        <v>6054</v>
      </c>
      <c r="O470" s="12">
        <v>371622933</v>
      </c>
      <c r="P470" s="9">
        <v>285123</v>
      </c>
      <c r="Q470" s="9" t="s">
        <v>37</v>
      </c>
      <c r="R470" s="13">
        <v>45700</v>
      </c>
      <c r="S470" s="22">
        <v>45700</v>
      </c>
      <c r="T470" s="13">
        <v>45700</v>
      </c>
      <c r="U470" s="13">
        <v>45700</v>
      </c>
      <c r="V470" s="9" t="s">
        <v>47</v>
      </c>
      <c r="W470" s="9">
        <v>22598394</v>
      </c>
      <c r="X470" s="9">
        <v>2171709</v>
      </c>
      <c r="Y470" s="9">
        <v>68877109</v>
      </c>
      <c r="Z470" s="9" t="s">
        <v>39</v>
      </c>
      <c r="AA470" s="9">
        <v>16022025</v>
      </c>
      <c r="AB470" s="9">
        <v>77646</v>
      </c>
      <c r="AC470" s="9" t="s">
        <v>41</v>
      </c>
      <c r="AD470" s="9" t="s">
        <v>132</v>
      </c>
      <c r="AE470" s="9" t="s">
        <v>133</v>
      </c>
      <c r="AF470" s="9" t="s">
        <v>133</v>
      </c>
      <c r="AG470" s="14" t="str">
        <f t="shared" si="16"/>
        <v>EXAMENES DE LABORATORIO</v>
      </c>
      <c r="AH470" s="9" t="s">
        <v>758</v>
      </c>
      <c r="AI470" s="9">
        <v>0</v>
      </c>
      <c r="AJ470" s="9">
        <v>96986050</v>
      </c>
      <c r="AK470" s="9">
        <v>3</v>
      </c>
      <c r="AL470" s="26" t="s">
        <v>238</v>
      </c>
      <c r="AM470" s="14" t="s">
        <v>601</v>
      </c>
      <c r="AN470" s="27" t="str">
        <f t="shared" si="17"/>
        <v>9830180|96986050|371622933|371622933</v>
      </c>
      <c r="AO470" t="s">
        <v>758</v>
      </c>
      <c r="AP470" t="b">
        <v>1</v>
      </c>
      <c r="AQ470" t="s">
        <v>764</v>
      </c>
    </row>
    <row r="471" spans="1:43" x14ac:dyDescent="0.2">
      <c r="A471" s="14" t="s">
        <v>500</v>
      </c>
      <c r="B471" s="17">
        <v>9830180</v>
      </c>
      <c r="C471" s="14" t="s">
        <v>275</v>
      </c>
      <c r="D471" s="9">
        <v>9830180</v>
      </c>
      <c r="E471" s="9" t="s">
        <v>275</v>
      </c>
      <c r="F471" s="7">
        <v>45717</v>
      </c>
      <c r="G471" s="20" t="s">
        <v>46</v>
      </c>
      <c r="H471" s="8">
        <v>371622933</v>
      </c>
      <c r="I471" s="19">
        <v>65383765</v>
      </c>
      <c r="J471" s="10">
        <v>6144</v>
      </c>
      <c r="K471" s="10">
        <v>0</v>
      </c>
      <c r="L471" s="10">
        <v>6144</v>
      </c>
      <c r="M471" s="10">
        <v>0</v>
      </c>
      <c r="N471" s="11">
        <v>6144</v>
      </c>
      <c r="O471" s="12">
        <v>371622933</v>
      </c>
      <c r="P471" s="9">
        <v>285123</v>
      </c>
      <c r="Q471" s="9" t="s">
        <v>37</v>
      </c>
      <c r="R471" s="13">
        <v>45717</v>
      </c>
      <c r="S471" s="22">
        <v>45742</v>
      </c>
      <c r="T471" s="13">
        <v>45700</v>
      </c>
      <c r="U471" s="13">
        <v>45700</v>
      </c>
      <c r="V471" s="9" t="s">
        <v>47</v>
      </c>
      <c r="W471" s="9">
        <v>22770601</v>
      </c>
      <c r="X471" s="9">
        <v>3311105</v>
      </c>
      <c r="Y471" s="9">
        <v>69250655</v>
      </c>
      <c r="Z471" s="9" t="s">
        <v>39</v>
      </c>
      <c r="AA471" s="9">
        <v>6771920</v>
      </c>
      <c r="AB471" s="9">
        <v>78070</v>
      </c>
      <c r="AC471" s="9" t="s">
        <v>41</v>
      </c>
      <c r="AD471" s="9" t="s">
        <v>132</v>
      </c>
      <c r="AE471" s="9" t="s">
        <v>133</v>
      </c>
      <c r="AF471" s="9" t="s">
        <v>133</v>
      </c>
      <c r="AG471" s="14" t="str">
        <f t="shared" si="16"/>
        <v>EXAMENES DE LABORATORIO</v>
      </c>
      <c r="AH471" s="9">
        <v>0</v>
      </c>
      <c r="AI471" s="9">
        <v>0</v>
      </c>
      <c r="AJ471" s="9">
        <v>96986050</v>
      </c>
      <c r="AK471" s="9">
        <v>3</v>
      </c>
      <c r="AL471" s="26" t="s">
        <v>52</v>
      </c>
      <c r="AM471" s="14" t="s">
        <v>601</v>
      </c>
      <c r="AN471" s="27" t="str">
        <f t="shared" si="17"/>
        <v>9830180|96986050|371622933|65383765</v>
      </c>
      <c r="AO471" t="s">
        <v>44</v>
      </c>
      <c r="AP471" t="b">
        <v>0</v>
      </c>
      <c r="AQ471" t="s">
        <v>763</v>
      </c>
    </row>
    <row r="472" spans="1:43" x14ac:dyDescent="0.2">
      <c r="A472" s="14" t="s">
        <v>500</v>
      </c>
      <c r="B472" s="17">
        <v>9830180</v>
      </c>
      <c r="C472" s="14" t="s">
        <v>275</v>
      </c>
      <c r="D472" s="9">
        <v>9830180</v>
      </c>
      <c r="E472" s="9" t="s">
        <v>275</v>
      </c>
      <c r="F472" s="7">
        <v>45689</v>
      </c>
      <c r="G472" s="20" t="s">
        <v>36</v>
      </c>
      <c r="H472" s="8">
        <v>371622934</v>
      </c>
      <c r="I472" s="19">
        <v>371622934</v>
      </c>
      <c r="J472" s="10">
        <v>2035</v>
      </c>
      <c r="K472" s="10">
        <v>1425</v>
      </c>
      <c r="L472" s="10">
        <v>610</v>
      </c>
      <c r="M472" s="10">
        <v>0</v>
      </c>
      <c r="N472" s="11">
        <v>610</v>
      </c>
      <c r="O472" s="12">
        <v>371622934</v>
      </c>
      <c r="P472" s="9">
        <v>285123</v>
      </c>
      <c r="Q472" s="9" t="s">
        <v>37</v>
      </c>
      <c r="R472" s="13">
        <v>45700</v>
      </c>
      <c r="S472" s="22">
        <v>45700</v>
      </c>
      <c r="T472" s="13">
        <v>45700</v>
      </c>
      <c r="U472" s="13">
        <v>45700</v>
      </c>
      <c r="V472" s="9" t="s">
        <v>47</v>
      </c>
      <c r="W472" s="9">
        <v>22598394</v>
      </c>
      <c r="X472" s="9">
        <v>2171709</v>
      </c>
      <c r="Y472" s="9">
        <v>68877108</v>
      </c>
      <c r="Z472" s="9" t="s">
        <v>39</v>
      </c>
      <c r="AA472" s="9">
        <v>16022025</v>
      </c>
      <c r="AB472" s="9">
        <v>77646</v>
      </c>
      <c r="AC472" s="9" t="s">
        <v>41</v>
      </c>
      <c r="AD472" s="9" t="s">
        <v>132</v>
      </c>
      <c r="AE472" s="9" t="s">
        <v>133</v>
      </c>
      <c r="AF472" s="9" t="s">
        <v>133</v>
      </c>
      <c r="AG472" s="14" t="str">
        <f t="shared" si="16"/>
        <v>EXAMENES DE LABORATORIO</v>
      </c>
      <c r="AH472" s="9" t="s">
        <v>758</v>
      </c>
      <c r="AI472" s="9">
        <v>0</v>
      </c>
      <c r="AJ472" s="9">
        <v>96986050</v>
      </c>
      <c r="AK472" s="9">
        <v>3</v>
      </c>
      <c r="AL472" s="26" t="s">
        <v>238</v>
      </c>
      <c r="AM472" s="14" t="s">
        <v>601</v>
      </c>
      <c r="AN472" s="27" t="str">
        <f t="shared" si="17"/>
        <v>9830180|96986050|371622934|371622934</v>
      </c>
      <c r="AO472" t="s">
        <v>758</v>
      </c>
      <c r="AP472" t="b">
        <v>1</v>
      </c>
      <c r="AQ472" t="s">
        <v>764</v>
      </c>
    </row>
    <row r="473" spans="1:43" x14ac:dyDescent="0.2">
      <c r="A473" s="14" t="s">
        <v>500</v>
      </c>
      <c r="B473" s="17">
        <v>9830180</v>
      </c>
      <c r="C473" s="14" t="s">
        <v>275</v>
      </c>
      <c r="D473" s="9">
        <v>9830180</v>
      </c>
      <c r="E473" s="9" t="s">
        <v>275</v>
      </c>
      <c r="F473" s="7">
        <v>45717</v>
      </c>
      <c r="G473" s="20" t="s">
        <v>46</v>
      </c>
      <c r="H473" s="8">
        <v>371622934</v>
      </c>
      <c r="I473" s="19">
        <v>65383766</v>
      </c>
      <c r="J473" s="10">
        <v>768</v>
      </c>
      <c r="K473" s="10">
        <v>0</v>
      </c>
      <c r="L473" s="10">
        <v>768</v>
      </c>
      <c r="M473" s="10">
        <v>0</v>
      </c>
      <c r="N473" s="11">
        <v>768</v>
      </c>
      <c r="O473" s="12">
        <v>371622934</v>
      </c>
      <c r="P473" s="9">
        <v>285123</v>
      </c>
      <c r="Q473" s="9" t="s">
        <v>37</v>
      </c>
      <c r="R473" s="13">
        <v>45717</v>
      </c>
      <c r="S473" s="22">
        <v>45742</v>
      </c>
      <c r="T473" s="13">
        <v>45700</v>
      </c>
      <c r="U473" s="13">
        <v>45700</v>
      </c>
      <c r="V473" s="9" t="s">
        <v>47</v>
      </c>
      <c r="W473" s="9">
        <v>22770601</v>
      </c>
      <c r="X473" s="9">
        <v>3311105</v>
      </c>
      <c r="Y473" s="9">
        <v>69250656</v>
      </c>
      <c r="Z473" s="9" t="s">
        <v>39</v>
      </c>
      <c r="AA473" s="9">
        <v>6771920</v>
      </c>
      <c r="AB473" s="9">
        <v>78070</v>
      </c>
      <c r="AC473" s="9" t="s">
        <v>41</v>
      </c>
      <c r="AD473" s="9" t="s">
        <v>132</v>
      </c>
      <c r="AE473" s="9" t="s">
        <v>133</v>
      </c>
      <c r="AF473" s="9" t="s">
        <v>133</v>
      </c>
      <c r="AG473" s="14" t="str">
        <f t="shared" si="16"/>
        <v>EXAMENES DE LABORATORIO</v>
      </c>
      <c r="AH473" s="9">
        <v>0</v>
      </c>
      <c r="AI473" s="9">
        <v>0</v>
      </c>
      <c r="AJ473" s="9">
        <v>96986050</v>
      </c>
      <c r="AK473" s="9">
        <v>3</v>
      </c>
      <c r="AL473" s="26" t="s">
        <v>52</v>
      </c>
      <c r="AM473" s="14" t="s">
        <v>601</v>
      </c>
      <c r="AN473" s="27" t="str">
        <f t="shared" si="17"/>
        <v>9830180|96986050|371622934|65383766</v>
      </c>
      <c r="AO473" t="s">
        <v>44</v>
      </c>
      <c r="AP473" t="b">
        <v>0</v>
      </c>
      <c r="AQ473" t="s">
        <v>763</v>
      </c>
    </row>
    <row r="474" spans="1:43" x14ac:dyDescent="0.2">
      <c r="A474" s="14" t="s">
        <v>500</v>
      </c>
      <c r="B474" s="17">
        <v>15510748</v>
      </c>
      <c r="C474" s="14" t="s">
        <v>256</v>
      </c>
      <c r="D474" s="9">
        <v>15510748</v>
      </c>
      <c r="E474" s="9" t="s">
        <v>256</v>
      </c>
      <c r="F474" s="7">
        <v>45689</v>
      </c>
      <c r="G474" s="20" t="s">
        <v>36</v>
      </c>
      <c r="H474" s="8">
        <v>371641962</v>
      </c>
      <c r="I474" s="19">
        <v>371641962</v>
      </c>
      <c r="J474" s="10">
        <v>260211</v>
      </c>
      <c r="K474" s="10">
        <v>208169</v>
      </c>
      <c r="L474" s="10">
        <v>52042</v>
      </c>
      <c r="M474" s="10">
        <v>0</v>
      </c>
      <c r="N474" s="11">
        <v>52042</v>
      </c>
      <c r="O474" s="12">
        <v>371641962</v>
      </c>
      <c r="P474" s="9">
        <v>285123</v>
      </c>
      <c r="Q474" s="9" t="s">
        <v>37</v>
      </c>
      <c r="R474" s="13">
        <v>45700</v>
      </c>
      <c r="S474" s="22">
        <v>45700</v>
      </c>
      <c r="T474" s="13">
        <v>45700</v>
      </c>
      <c r="U474" s="13">
        <v>45700</v>
      </c>
      <c r="V474" s="9" t="s">
        <v>47</v>
      </c>
      <c r="W474" s="9">
        <v>22598420</v>
      </c>
      <c r="X474" s="9">
        <v>2171709</v>
      </c>
      <c r="Y474" s="9">
        <v>68877541</v>
      </c>
      <c r="Z474" s="9" t="s">
        <v>39</v>
      </c>
      <c r="AA474" s="9">
        <v>16022025</v>
      </c>
      <c r="AB474" s="9">
        <v>77646</v>
      </c>
      <c r="AC474" s="9" t="s">
        <v>41</v>
      </c>
      <c r="AD474" s="9" t="s">
        <v>134</v>
      </c>
      <c r="AE474" s="9" t="s">
        <v>135</v>
      </c>
      <c r="AF474" s="9" t="s">
        <v>135</v>
      </c>
      <c r="AG474" s="14" t="str">
        <f t="shared" si="16"/>
        <v>EXAMENES RADIOLOGICOS</v>
      </c>
      <c r="AH474" s="9" t="s">
        <v>758</v>
      </c>
      <c r="AI474" s="9">
        <v>0</v>
      </c>
      <c r="AJ474" s="9">
        <v>76098454</v>
      </c>
      <c r="AK474" s="9" t="s">
        <v>161</v>
      </c>
      <c r="AL474" s="26" t="s">
        <v>76</v>
      </c>
      <c r="AM474" s="14" t="s">
        <v>591</v>
      </c>
      <c r="AN474" s="27" t="str">
        <f t="shared" si="17"/>
        <v>15510748|76098454|371641962|371641962</v>
      </c>
      <c r="AO474" t="s">
        <v>758</v>
      </c>
      <c r="AP474" t="b">
        <v>1</v>
      </c>
      <c r="AQ474" t="s">
        <v>764</v>
      </c>
    </row>
    <row r="475" spans="1:43" x14ac:dyDescent="0.2">
      <c r="A475" s="14" t="s">
        <v>500</v>
      </c>
      <c r="B475" s="17">
        <v>15510748</v>
      </c>
      <c r="C475" s="14" t="s">
        <v>256</v>
      </c>
      <c r="D475" s="9">
        <v>15510748</v>
      </c>
      <c r="E475" s="9" t="s">
        <v>256</v>
      </c>
      <c r="F475" s="7">
        <v>45717</v>
      </c>
      <c r="G475" s="20" t="s">
        <v>46</v>
      </c>
      <c r="H475" s="8">
        <v>371641962</v>
      </c>
      <c r="I475" s="19">
        <v>65384296</v>
      </c>
      <c r="J475" s="10">
        <v>52233</v>
      </c>
      <c r="K475" s="10">
        <v>0</v>
      </c>
      <c r="L475" s="10">
        <v>52233</v>
      </c>
      <c r="M475" s="10">
        <v>0</v>
      </c>
      <c r="N475" s="11">
        <v>52233</v>
      </c>
      <c r="O475" s="12">
        <v>371641962</v>
      </c>
      <c r="P475" s="9">
        <v>285123</v>
      </c>
      <c r="Q475" s="9" t="s">
        <v>37</v>
      </c>
      <c r="R475" s="13">
        <v>45717</v>
      </c>
      <c r="S475" s="22">
        <v>45742</v>
      </c>
      <c r="T475" s="13">
        <v>45700</v>
      </c>
      <c r="U475" s="13">
        <v>45700</v>
      </c>
      <c r="V475" s="9" t="s">
        <v>47</v>
      </c>
      <c r="W475" s="9">
        <v>22770607</v>
      </c>
      <c r="X475" s="9">
        <v>3311105</v>
      </c>
      <c r="Y475" s="9">
        <v>69251179</v>
      </c>
      <c r="Z475" s="9" t="s">
        <v>39</v>
      </c>
      <c r="AA475" s="9">
        <v>104294701</v>
      </c>
      <c r="AB475" s="9">
        <v>78070</v>
      </c>
      <c r="AC475" s="9" t="s">
        <v>41</v>
      </c>
      <c r="AD475" s="9" t="s">
        <v>134</v>
      </c>
      <c r="AE475" s="9" t="s">
        <v>135</v>
      </c>
      <c r="AF475" s="9" t="s">
        <v>135</v>
      </c>
      <c r="AG475" s="14" t="str">
        <f t="shared" si="16"/>
        <v>EXAMENES RADIOLOGICOS</v>
      </c>
      <c r="AH475" s="9">
        <v>0</v>
      </c>
      <c r="AI475" s="9">
        <v>0</v>
      </c>
      <c r="AJ475" s="9">
        <v>76098454</v>
      </c>
      <c r="AK475" s="9" t="s">
        <v>161</v>
      </c>
      <c r="AL475" s="26" t="s">
        <v>52</v>
      </c>
      <c r="AM475" s="14" t="s">
        <v>591</v>
      </c>
      <c r="AN475" s="27" t="str">
        <f t="shared" si="17"/>
        <v>15510748|76098454|371641962|65384296</v>
      </c>
      <c r="AO475" t="s">
        <v>44</v>
      </c>
      <c r="AP475" t="b">
        <v>0</v>
      </c>
      <c r="AQ475" t="s">
        <v>763</v>
      </c>
    </row>
    <row r="476" spans="1:43" x14ac:dyDescent="0.2">
      <c r="A476" s="14" t="s">
        <v>500</v>
      </c>
      <c r="B476" s="17">
        <v>15510748</v>
      </c>
      <c r="C476" s="14" t="s">
        <v>256</v>
      </c>
      <c r="D476" s="9">
        <v>15510748</v>
      </c>
      <c r="E476" s="9" t="s">
        <v>256</v>
      </c>
      <c r="F476" s="7">
        <v>45689</v>
      </c>
      <c r="G476" s="20" t="s">
        <v>36</v>
      </c>
      <c r="H476" s="8">
        <v>371641988</v>
      </c>
      <c r="I476" s="19">
        <v>371641988</v>
      </c>
      <c r="J476" s="10">
        <v>260211</v>
      </c>
      <c r="K476" s="10">
        <v>217931</v>
      </c>
      <c r="L476" s="10">
        <v>42280</v>
      </c>
      <c r="M476" s="10">
        <v>0</v>
      </c>
      <c r="N476" s="11">
        <v>42280</v>
      </c>
      <c r="O476" s="12">
        <v>371641988</v>
      </c>
      <c r="P476" s="9">
        <v>285123</v>
      </c>
      <c r="Q476" s="9" t="s">
        <v>37</v>
      </c>
      <c r="R476" s="13">
        <v>45700</v>
      </c>
      <c r="S476" s="22">
        <v>45700</v>
      </c>
      <c r="T476" s="13">
        <v>45700</v>
      </c>
      <c r="U476" s="13">
        <v>45700</v>
      </c>
      <c r="V476" s="9" t="s">
        <v>47</v>
      </c>
      <c r="W476" s="9">
        <v>22598420</v>
      </c>
      <c r="X476" s="9">
        <v>2171709</v>
      </c>
      <c r="Y476" s="9">
        <v>68877542</v>
      </c>
      <c r="Z476" s="9" t="s">
        <v>39</v>
      </c>
      <c r="AA476" s="9">
        <v>16022025</v>
      </c>
      <c r="AB476" s="9">
        <v>77646</v>
      </c>
      <c r="AC476" s="9" t="s">
        <v>41</v>
      </c>
      <c r="AD476" s="9" t="s">
        <v>134</v>
      </c>
      <c r="AE476" s="9" t="s">
        <v>135</v>
      </c>
      <c r="AF476" s="9" t="s">
        <v>135</v>
      </c>
      <c r="AG476" s="14" t="str">
        <f t="shared" si="16"/>
        <v>EXAMENES RADIOLOGICOS</v>
      </c>
      <c r="AH476" s="9" t="s">
        <v>758</v>
      </c>
      <c r="AI476" s="9">
        <v>0</v>
      </c>
      <c r="AJ476" s="9">
        <v>76098454</v>
      </c>
      <c r="AK476" s="9" t="s">
        <v>161</v>
      </c>
      <c r="AL476" s="26" t="s">
        <v>76</v>
      </c>
      <c r="AM476" s="14" t="s">
        <v>591</v>
      </c>
      <c r="AN476" s="27" t="str">
        <f t="shared" si="17"/>
        <v>15510748|76098454|371641988|371641988</v>
      </c>
      <c r="AO476" t="s">
        <v>758</v>
      </c>
      <c r="AP476" t="b">
        <v>1</v>
      </c>
      <c r="AQ476" t="s">
        <v>764</v>
      </c>
    </row>
    <row r="477" spans="1:43" x14ac:dyDescent="0.2">
      <c r="A477" s="14" t="s">
        <v>500</v>
      </c>
      <c r="B477" s="17">
        <v>15510748</v>
      </c>
      <c r="C477" s="14" t="s">
        <v>256</v>
      </c>
      <c r="D477" s="9">
        <v>15510748</v>
      </c>
      <c r="E477" s="9" t="s">
        <v>256</v>
      </c>
      <c r="F477" s="7">
        <v>45717</v>
      </c>
      <c r="G477" s="20" t="s">
        <v>46</v>
      </c>
      <c r="H477" s="8">
        <v>371641988</v>
      </c>
      <c r="I477" s="19">
        <v>65384297</v>
      </c>
      <c r="J477" s="10">
        <v>42247</v>
      </c>
      <c r="K477" s="10">
        <v>0</v>
      </c>
      <c r="L477" s="10">
        <v>42247</v>
      </c>
      <c r="M477" s="10">
        <v>0</v>
      </c>
      <c r="N477" s="11">
        <v>42247</v>
      </c>
      <c r="O477" s="12">
        <v>371641988</v>
      </c>
      <c r="P477" s="9">
        <v>285123</v>
      </c>
      <c r="Q477" s="9" t="s">
        <v>37</v>
      </c>
      <c r="R477" s="13">
        <v>45717</v>
      </c>
      <c r="S477" s="22">
        <v>45742</v>
      </c>
      <c r="T477" s="13">
        <v>45700</v>
      </c>
      <c r="U477" s="13">
        <v>45700</v>
      </c>
      <c r="V477" s="9" t="s">
        <v>47</v>
      </c>
      <c r="W477" s="9">
        <v>22770607</v>
      </c>
      <c r="X477" s="9">
        <v>3311105</v>
      </c>
      <c r="Y477" s="9">
        <v>69251180</v>
      </c>
      <c r="Z477" s="9" t="s">
        <v>39</v>
      </c>
      <c r="AA477" s="9">
        <v>104294701</v>
      </c>
      <c r="AB477" s="9">
        <v>78070</v>
      </c>
      <c r="AC477" s="9" t="s">
        <v>41</v>
      </c>
      <c r="AD477" s="9" t="s">
        <v>134</v>
      </c>
      <c r="AE477" s="9" t="s">
        <v>135</v>
      </c>
      <c r="AF477" s="9" t="s">
        <v>135</v>
      </c>
      <c r="AG477" s="14" t="str">
        <f t="shared" si="16"/>
        <v>EXAMENES RADIOLOGICOS</v>
      </c>
      <c r="AH477" s="9">
        <v>0</v>
      </c>
      <c r="AI477" s="9">
        <v>0</v>
      </c>
      <c r="AJ477" s="9">
        <v>76098454</v>
      </c>
      <c r="AK477" s="9" t="s">
        <v>161</v>
      </c>
      <c r="AL477" s="26" t="s">
        <v>52</v>
      </c>
      <c r="AM477" s="14" t="s">
        <v>591</v>
      </c>
      <c r="AN477" s="27" t="str">
        <f t="shared" si="17"/>
        <v>15510748|76098454|371641988|65384297</v>
      </c>
      <c r="AO477" t="s">
        <v>44</v>
      </c>
      <c r="AP477" t="b">
        <v>0</v>
      </c>
      <c r="AQ477" t="s">
        <v>763</v>
      </c>
    </row>
    <row r="478" spans="1:43" x14ac:dyDescent="0.2">
      <c r="A478" s="14" t="s">
        <v>500</v>
      </c>
      <c r="B478" s="17">
        <v>13937747</v>
      </c>
      <c r="C478" s="14" t="s">
        <v>276</v>
      </c>
      <c r="D478" s="9">
        <v>15184207</v>
      </c>
      <c r="E478" s="9" t="s">
        <v>277</v>
      </c>
      <c r="F478" s="7">
        <v>45689</v>
      </c>
      <c r="G478" s="20" t="s">
        <v>36</v>
      </c>
      <c r="H478" s="8">
        <v>371703947</v>
      </c>
      <c r="I478" s="19">
        <v>371703947</v>
      </c>
      <c r="J478" s="10">
        <v>265948</v>
      </c>
      <c r="K478" s="10">
        <v>212758</v>
      </c>
      <c r="L478" s="10">
        <v>53190</v>
      </c>
      <c r="M478" s="10">
        <v>0</v>
      </c>
      <c r="N478" s="11">
        <v>53190</v>
      </c>
      <c r="O478" s="12">
        <v>371703947</v>
      </c>
      <c r="P478" s="9">
        <v>285123</v>
      </c>
      <c r="Q478" s="9" t="s">
        <v>37</v>
      </c>
      <c r="R478" s="13">
        <v>45702</v>
      </c>
      <c r="S478" s="22">
        <v>45702</v>
      </c>
      <c r="T478" s="13">
        <v>45702</v>
      </c>
      <c r="U478" s="13">
        <v>45702</v>
      </c>
      <c r="V478" s="9" t="s">
        <v>47</v>
      </c>
      <c r="W478" s="9">
        <v>22598500</v>
      </c>
      <c r="X478" s="9">
        <v>2171709</v>
      </c>
      <c r="Y478" s="9">
        <v>68878643</v>
      </c>
      <c r="Z478" s="9" t="s">
        <v>39</v>
      </c>
      <c r="AA478" s="9">
        <v>16022025</v>
      </c>
      <c r="AB478" s="9">
        <v>77646</v>
      </c>
      <c r="AC478" s="9" t="s">
        <v>41</v>
      </c>
      <c r="AD478" s="9" t="s">
        <v>134</v>
      </c>
      <c r="AE478" s="9" t="s">
        <v>135</v>
      </c>
      <c r="AF478" s="9" t="s">
        <v>135</v>
      </c>
      <c r="AG478" s="14" t="str">
        <f t="shared" si="16"/>
        <v>EXAMENES RADIOLOGICOS</v>
      </c>
      <c r="AH478" s="9" t="s">
        <v>758</v>
      </c>
      <c r="AI478" s="9">
        <v>0</v>
      </c>
      <c r="AJ478" s="9">
        <v>77200240</v>
      </c>
      <c r="AK478" s="9">
        <v>8</v>
      </c>
      <c r="AL478" s="26" t="s">
        <v>76</v>
      </c>
      <c r="AM478" s="14" t="s">
        <v>602</v>
      </c>
      <c r="AN478" s="27" t="str">
        <f t="shared" si="17"/>
        <v>13937747|77200240|371703947|371703947</v>
      </c>
      <c r="AO478" t="s">
        <v>758</v>
      </c>
      <c r="AP478" t="b">
        <v>1</v>
      </c>
      <c r="AQ478" t="s">
        <v>764</v>
      </c>
    </row>
    <row r="479" spans="1:43" x14ac:dyDescent="0.2">
      <c r="A479" s="14" t="s">
        <v>500</v>
      </c>
      <c r="B479" s="17">
        <v>13937747</v>
      </c>
      <c r="C479" s="14" t="s">
        <v>276</v>
      </c>
      <c r="D479" s="9">
        <v>15184207</v>
      </c>
      <c r="E479" s="9" t="s">
        <v>277</v>
      </c>
      <c r="F479" s="7">
        <v>45717</v>
      </c>
      <c r="G479" s="20" t="s">
        <v>46</v>
      </c>
      <c r="H479" s="8">
        <v>371703947</v>
      </c>
      <c r="I479" s="19">
        <v>65384168</v>
      </c>
      <c r="J479" s="10">
        <v>53041</v>
      </c>
      <c r="K479" s="10">
        <v>0</v>
      </c>
      <c r="L479" s="10">
        <v>53041</v>
      </c>
      <c r="M479" s="10">
        <v>0</v>
      </c>
      <c r="N479" s="11">
        <v>53041</v>
      </c>
      <c r="O479" s="12">
        <v>371703947</v>
      </c>
      <c r="P479" s="9">
        <v>285123</v>
      </c>
      <c r="Q479" s="9" t="s">
        <v>37</v>
      </c>
      <c r="R479" s="13">
        <v>45717</v>
      </c>
      <c r="S479" s="22">
        <v>45742</v>
      </c>
      <c r="T479" s="13">
        <v>45702</v>
      </c>
      <c r="U479" s="13">
        <v>45702</v>
      </c>
      <c r="V479" s="9" t="s">
        <v>47</v>
      </c>
      <c r="W479" s="9">
        <v>22770630</v>
      </c>
      <c r="X479" s="9">
        <v>3311105</v>
      </c>
      <c r="Y479" s="9">
        <v>69251046</v>
      </c>
      <c r="Z479" s="9" t="s">
        <v>39</v>
      </c>
      <c r="AA479" s="9">
        <v>223759867</v>
      </c>
      <c r="AB479" s="9">
        <v>78070</v>
      </c>
      <c r="AC479" s="9" t="s">
        <v>41</v>
      </c>
      <c r="AD479" s="9" t="s">
        <v>134</v>
      </c>
      <c r="AE479" s="9" t="s">
        <v>135</v>
      </c>
      <c r="AF479" s="9" t="s">
        <v>135</v>
      </c>
      <c r="AG479" s="14" t="str">
        <f t="shared" si="16"/>
        <v>EXAMENES RADIOLOGICOS</v>
      </c>
      <c r="AH479" s="9">
        <v>0</v>
      </c>
      <c r="AI479" s="9">
        <v>0</v>
      </c>
      <c r="AJ479" s="9">
        <v>77200240</v>
      </c>
      <c r="AK479" s="9">
        <v>8</v>
      </c>
      <c r="AL479" s="26" t="s">
        <v>52</v>
      </c>
      <c r="AM479" s="14" t="s">
        <v>602</v>
      </c>
      <c r="AN479" s="27" t="str">
        <f t="shared" si="17"/>
        <v>13937747|77200240|371703947|65384168</v>
      </c>
      <c r="AO479" t="s">
        <v>44</v>
      </c>
      <c r="AP479" t="b">
        <v>0</v>
      </c>
      <c r="AQ479" t="s">
        <v>763</v>
      </c>
    </row>
    <row r="480" spans="1:43" x14ac:dyDescent="0.2">
      <c r="A480" s="14" t="s">
        <v>500</v>
      </c>
      <c r="B480" s="17">
        <v>13937747</v>
      </c>
      <c r="C480" s="14" t="s">
        <v>276</v>
      </c>
      <c r="D480" s="9">
        <v>15184207</v>
      </c>
      <c r="E480" s="9" t="s">
        <v>277</v>
      </c>
      <c r="F480" s="7">
        <v>45689</v>
      </c>
      <c r="G480" s="20" t="s">
        <v>36</v>
      </c>
      <c r="H480" s="8">
        <v>371712442</v>
      </c>
      <c r="I480" s="19">
        <v>371712442</v>
      </c>
      <c r="J480" s="10">
        <v>59189</v>
      </c>
      <c r="K480" s="10">
        <v>47352</v>
      </c>
      <c r="L480" s="10">
        <v>11837</v>
      </c>
      <c r="M480" s="10">
        <v>0</v>
      </c>
      <c r="N480" s="11">
        <v>11837</v>
      </c>
      <c r="O480" s="12">
        <v>371712442</v>
      </c>
      <c r="P480" s="9">
        <v>285123</v>
      </c>
      <c r="Q480" s="9" t="s">
        <v>37</v>
      </c>
      <c r="R480" s="13">
        <v>45702</v>
      </c>
      <c r="S480" s="22">
        <v>45702</v>
      </c>
      <c r="T480" s="13">
        <v>45702</v>
      </c>
      <c r="U480" s="13">
        <v>45702</v>
      </c>
      <c r="V480" s="9" t="s">
        <v>47</v>
      </c>
      <c r="W480" s="9">
        <v>22598500</v>
      </c>
      <c r="X480" s="9">
        <v>2171709</v>
      </c>
      <c r="Y480" s="9">
        <v>68878867</v>
      </c>
      <c r="Z480" s="9" t="s">
        <v>39</v>
      </c>
      <c r="AA480" s="9">
        <v>16022025</v>
      </c>
      <c r="AB480" s="9">
        <v>77646</v>
      </c>
      <c r="AC480" s="9" t="s">
        <v>41</v>
      </c>
      <c r="AD480" s="9" t="s">
        <v>132</v>
      </c>
      <c r="AE480" s="9" t="s">
        <v>133</v>
      </c>
      <c r="AF480" s="9" t="s">
        <v>133</v>
      </c>
      <c r="AG480" s="14" t="str">
        <f t="shared" si="16"/>
        <v>EXAMENES DE LABORATORIO</v>
      </c>
      <c r="AH480" s="9" t="s">
        <v>758</v>
      </c>
      <c r="AI480" s="9">
        <v>0</v>
      </c>
      <c r="AJ480" s="9">
        <v>90753000</v>
      </c>
      <c r="AK480" s="9">
        <v>0</v>
      </c>
      <c r="AL480" s="26" t="s">
        <v>76</v>
      </c>
      <c r="AM480" s="14" t="s">
        <v>602</v>
      </c>
      <c r="AN480" s="27" t="str">
        <f t="shared" si="17"/>
        <v>13937747|90753000|371712442|371712442</v>
      </c>
      <c r="AO480" t="s">
        <v>758</v>
      </c>
      <c r="AP480" t="b">
        <v>1</v>
      </c>
      <c r="AQ480" t="s">
        <v>764</v>
      </c>
    </row>
    <row r="481" spans="1:43" x14ac:dyDescent="0.2">
      <c r="A481" s="14" t="s">
        <v>500</v>
      </c>
      <c r="B481" s="17">
        <v>13937747</v>
      </c>
      <c r="C481" s="14" t="s">
        <v>276</v>
      </c>
      <c r="D481" s="9">
        <v>15184207</v>
      </c>
      <c r="E481" s="9" t="s">
        <v>277</v>
      </c>
      <c r="F481" s="7">
        <v>45717</v>
      </c>
      <c r="G481" s="20" t="s">
        <v>46</v>
      </c>
      <c r="H481" s="8">
        <v>371712442</v>
      </c>
      <c r="I481" s="19">
        <v>65384169</v>
      </c>
      <c r="J481" s="10">
        <v>11913</v>
      </c>
      <c r="K481" s="10">
        <v>0</v>
      </c>
      <c r="L481" s="10">
        <v>11913</v>
      </c>
      <c r="M481" s="10">
        <v>0</v>
      </c>
      <c r="N481" s="11">
        <v>11913</v>
      </c>
      <c r="O481" s="12">
        <v>371712442</v>
      </c>
      <c r="P481" s="9">
        <v>285123</v>
      </c>
      <c r="Q481" s="9" t="s">
        <v>37</v>
      </c>
      <c r="R481" s="13">
        <v>45717</v>
      </c>
      <c r="S481" s="22">
        <v>45742</v>
      </c>
      <c r="T481" s="13">
        <v>45702</v>
      </c>
      <c r="U481" s="13">
        <v>45702</v>
      </c>
      <c r="V481" s="9" t="s">
        <v>47</v>
      </c>
      <c r="W481" s="9">
        <v>22770630</v>
      </c>
      <c r="X481" s="9">
        <v>3311105</v>
      </c>
      <c r="Y481" s="9">
        <v>69251047</v>
      </c>
      <c r="Z481" s="9" t="s">
        <v>39</v>
      </c>
      <c r="AA481" s="9">
        <v>223759867</v>
      </c>
      <c r="AB481" s="9">
        <v>78070</v>
      </c>
      <c r="AC481" s="9" t="s">
        <v>41</v>
      </c>
      <c r="AD481" s="9" t="s">
        <v>132</v>
      </c>
      <c r="AE481" s="9" t="s">
        <v>133</v>
      </c>
      <c r="AF481" s="9" t="s">
        <v>133</v>
      </c>
      <c r="AG481" s="14" t="str">
        <f t="shared" si="16"/>
        <v>EXAMENES DE LABORATORIO</v>
      </c>
      <c r="AH481" s="9">
        <v>0</v>
      </c>
      <c r="AI481" s="9">
        <v>0</v>
      </c>
      <c r="AJ481" s="9">
        <v>90753000</v>
      </c>
      <c r="AK481" s="9">
        <v>0</v>
      </c>
      <c r="AL481" s="26" t="s">
        <v>52</v>
      </c>
      <c r="AM481" s="14" t="s">
        <v>602</v>
      </c>
      <c r="AN481" s="27" t="str">
        <f t="shared" si="17"/>
        <v>13937747|90753000|371712442|65384169</v>
      </c>
      <c r="AO481" t="s">
        <v>44</v>
      </c>
      <c r="AP481" t="b">
        <v>0</v>
      </c>
      <c r="AQ481" t="s">
        <v>763</v>
      </c>
    </row>
    <row r="482" spans="1:43" x14ac:dyDescent="0.2">
      <c r="A482" s="14" t="s">
        <v>500</v>
      </c>
      <c r="B482" s="17">
        <v>13937747</v>
      </c>
      <c r="C482" s="14" t="s">
        <v>276</v>
      </c>
      <c r="D482" s="9">
        <v>15184207</v>
      </c>
      <c r="E482" s="9" t="s">
        <v>277</v>
      </c>
      <c r="F482" s="7">
        <v>45689</v>
      </c>
      <c r="G482" s="20" t="s">
        <v>36</v>
      </c>
      <c r="H482" s="8">
        <v>371712443</v>
      </c>
      <c r="I482" s="19">
        <v>371712443</v>
      </c>
      <c r="J482" s="10">
        <v>32580</v>
      </c>
      <c r="K482" s="10">
        <v>26064</v>
      </c>
      <c r="L482" s="10">
        <v>6516</v>
      </c>
      <c r="M482" s="10">
        <v>0</v>
      </c>
      <c r="N482" s="11">
        <v>6516</v>
      </c>
      <c r="O482" s="12">
        <v>371712443</v>
      </c>
      <c r="P482" s="9">
        <v>285123</v>
      </c>
      <c r="Q482" s="9" t="s">
        <v>37</v>
      </c>
      <c r="R482" s="13">
        <v>45702</v>
      </c>
      <c r="S482" s="22">
        <v>45702</v>
      </c>
      <c r="T482" s="13">
        <v>45702</v>
      </c>
      <c r="U482" s="13">
        <v>45702</v>
      </c>
      <c r="V482" s="9" t="s">
        <v>47</v>
      </c>
      <c r="W482" s="9">
        <v>22598500</v>
      </c>
      <c r="X482" s="9">
        <v>2171709</v>
      </c>
      <c r="Y482" s="9">
        <v>68878866</v>
      </c>
      <c r="Z482" s="9" t="s">
        <v>39</v>
      </c>
      <c r="AA482" s="9">
        <v>16022025</v>
      </c>
      <c r="AB482" s="9">
        <v>77646</v>
      </c>
      <c r="AC482" s="9" t="s">
        <v>41</v>
      </c>
      <c r="AD482" s="9" t="s">
        <v>132</v>
      </c>
      <c r="AE482" s="9" t="s">
        <v>133</v>
      </c>
      <c r="AF482" s="9" t="s">
        <v>133</v>
      </c>
      <c r="AG482" s="14" t="str">
        <f t="shared" si="16"/>
        <v>EXAMENES DE LABORATORIO</v>
      </c>
      <c r="AH482" s="9" t="s">
        <v>758</v>
      </c>
      <c r="AI482" s="9">
        <v>0</v>
      </c>
      <c r="AJ482" s="9">
        <v>90753000</v>
      </c>
      <c r="AK482" s="9">
        <v>0</v>
      </c>
      <c r="AL482" s="26" t="s">
        <v>76</v>
      </c>
      <c r="AM482" s="14" t="s">
        <v>602</v>
      </c>
      <c r="AN482" s="27" t="str">
        <f t="shared" si="17"/>
        <v>13937747|90753000|371712443|371712443</v>
      </c>
      <c r="AO482" t="s">
        <v>758</v>
      </c>
      <c r="AP482" t="b">
        <v>1</v>
      </c>
      <c r="AQ482" t="s">
        <v>764</v>
      </c>
    </row>
    <row r="483" spans="1:43" x14ac:dyDescent="0.2">
      <c r="A483" s="14" t="s">
        <v>500</v>
      </c>
      <c r="B483" s="17">
        <v>13937747</v>
      </c>
      <c r="C483" s="14" t="s">
        <v>276</v>
      </c>
      <c r="D483" s="9">
        <v>15184207</v>
      </c>
      <c r="E483" s="9" t="s">
        <v>277</v>
      </c>
      <c r="F483" s="7">
        <v>45717</v>
      </c>
      <c r="G483" s="20" t="s">
        <v>46</v>
      </c>
      <c r="H483" s="8">
        <v>371712443</v>
      </c>
      <c r="I483" s="19">
        <v>65384170</v>
      </c>
      <c r="J483" s="10">
        <v>6147</v>
      </c>
      <c r="K483" s="10">
        <v>0</v>
      </c>
      <c r="L483" s="10">
        <v>6147</v>
      </c>
      <c r="M483" s="10">
        <v>0</v>
      </c>
      <c r="N483" s="11">
        <v>6147</v>
      </c>
      <c r="O483" s="12">
        <v>371712443</v>
      </c>
      <c r="P483" s="9">
        <v>285123</v>
      </c>
      <c r="Q483" s="9" t="s">
        <v>37</v>
      </c>
      <c r="R483" s="13">
        <v>45717</v>
      </c>
      <c r="S483" s="22">
        <v>45742</v>
      </c>
      <c r="T483" s="13">
        <v>45702</v>
      </c>
      <c r="U483" s="13">
        <v>45702</v>
      </c>
      <c r="V483" s="9" t="s">
        <v>47</v>
      </c>
      <c r="W483" s="9">
        <v>22770630</v>
      </c>
      <c r="X483" s="9">
        <v>3311105</v>
      </c>
      <c r="Y483" s="9">
        <v>69251048</v>
      </c>
      <c r="Z483" s="9" t="s">
        <v>39</v>
      </c>
      <c r="AA483" s="9">
        <v>223759867</v>
      </c>
      <c r="AB483" s="9">
        <v>78070</v>
      </c>
      <c r="AC483" s="9" t="s">
        <v>41</v>
      </c>
      <c r="AD483" s="9" t="s">
        <v>132</v>
      </c>
      <c r="AE483" s="9" t="s">
        <v>133</v>
      </c>
      <c r="AF483" s="9" t="s">
        <v>133</v>
      </c>
      <c r="AG483" s="14" t="str">
        <f t="shared" si="16"/>
        <v>EXAMENES DE LABORATORIO</v>
      </c>
      <c r="AH483" s="9">
        <v>0</v>
      </c>
      <c r="AI483" s="9">
        <v>0</v>
      </c>
      <c r="AJ483" s="9">
        <v>90753000</v>
      </c>
      <c r="AK483" s="9">
        <v>0</v>
      </c>
      <c r="AL483" s="26" t="s">
        <v>52</v>
      </c>
      <c r="AM483" s="14" t="s">
        <v>602</v>
      </c>
      <c r="AN483" s="27" t="str">
        <f t="shared" si="17"/>
        <v>13937747|90753000|371712443|65384170</v>
      </c>
      <c r="AO483" t="s">
        <v>44</v>
      </c>
      <c r="AP483" t="b">
        <v>0</v>
      </c>
      <c r="AQ483" t="s">
        <v>763</v>
      </c>
    </row>
    <row r="484" spans="1:43" x14ac:dyDescent="0.2">
      <c r="A484" s="14" t="s">
        <v>500</v>
      </c>
      <c r="B484" s="17">
        <v>13937747</v>
      </c>
      <c r="C484" s="14" t="s">
        <v>276</v>
      </c>
      <c r="D484" s="9">
        <v>15184207</v>
      </c>
      <c r="E484" s="9" t="s">
        <v>277</v>
      </c>
      <c r="F484" s="7">
        <v>45689</v>
      </c>
      <c r="G484" s="20" t="s">
        <v>36</v>
      </c>
      <c r="H484" s="8">
        <v>371716469</v>
      </c>
      <c r="I484" s="19">
        <v>371716469</v>
      </c>
      <c r="J484" s="10">
        <v>85479</v>
      </c>
      <c r="K484" s="10">
        <v>68383</v>
      </c>
      <c r="L484" s="10">
        <v>17096</v>
      </c>
      <c r="M484" s="10">
        <v>0</v>
      </c>
      <c r="N484" s="11">
        <v>17096</v>
      </c>
      <c r="O484" s="12">
        <v>371716469</v>
      </c>
      <c r="P484" s="9">
        <v>285123</v>
      </c>
      <c r="Q484" s="9" t="s">
        <v>37</v>
      </c>
      <c r="R484" s="13">
        <v>45702</v>
      </c>
      <c r="S484" s="22">
        <v>45702</v>
      </c>
      <c r="T484" s="13">
        <v>45702</v>
      </c>
      <c r="U484" s="13">
        <v>45702</v>
      </c>
      <c r="V484" s="9" t="s">
        <v>47</v>
      </c>
      <c r="W484" s="9">
        <v>22598500</v>
      </c>
      <c r="X484" s="9">
        <v>2171709</v>
      </c>
      <c r="Y484" s="9">
        <v>68878932</v>
      </c>
      <c r="Z484" s="9" t="s">
        <v>39</v>
      </c>
      <c r="AA484" s="9">
        <v>16022025</v>
      </c>
      <c r="AB484" s="9">
        <v>77646</v>
      </c>
      <c r="AC484" s="9" t="s">
        <v>41</v>
      </c>
      <c r="AD484" s="9" t="s">
        <v>65</v>
      </c>
      <c r="AE484" s="9" t="s">
        <v>66</v>
      </c>
      <c r="AF484" s="9" t="s">
        <v>66</v>
      </c>
      <c r="AG484" s="14" t="str">
        <f t="shared" si="16"/>
        <v>PROCEDIMIENTOS TERAPEUTICOS</v>
      </c>
      <c r="AH484" s="9" t="s">
        <v>758</v>
      </c>
      <c r="AI484" s="9">
        <v>0</v>
      </c>
      <c r="AJ484" s="9">
        <v>77200240</v>
      </c>
      <c r="AK484" s="9">
        <v>8</v>
      </c>
      <c r="AL484" s="26" t="s">
        <v>76</v>
      </c>
      <c r="AM484" s="14" t="s">
        <v>602</v>
      </c>
      <c r="AN484" s="27" t="str">
        <f t="shared" si="17"/>
        <v>13937747|77200240|371716469|371716469</v>
      </c>
      <c r="AO484" t="s">
        <v>758</v>
      </c>
      <c r="AP484" t="b">
        <v>1</v>
      </c>
      <c r="AQ484" t="s">
        <v>764</v>
      </c>
    </row>
    <row r="485" spans="1:43" x14ac:dyDescent="0.2">
      <c r="A485" s="14" t="s">
        <v>500</v>
      </c>
      <c r="B485" s="17">
        <v>13937747</v>
      </c>
      <c r="C485" s="14" t="s">
        <v>276</v>
      </c>
      <c r="D485" s="9">
        <v>15184207</v>
      </c>
      <c r="E485" s="9" t="s">
        <v>277</v>
      </c>
      <c r="F485" s="7">
        <v>45717</v>
      </c>
      <c r="G485" s="20" t="s">
        <v>46</v>
      </c>
      <c r="H485" s="8">
        <v>371716469</v>
      </c>
      <c r="I485" s="19">
        <v>65384171</v>
      </c>
      <c r="J485" s="10">
        <v>16912</v>
      </c>
      <c r="K485" s="10">
        <v>0</v>
      </c>
      <c r="L485" s="10">
        <v>16912</v>
      </c>
      <c r="M485" s="10">
        <v>0</v>
      </c>
      <c r="N485" s="11">
        <v>16912</v>
      </c>
      <c r="O485" s="12">
        <v>371716469</v>
      </c>
      <c r="P485" s="9">
        <v>285123</v>
      </c>
      <c r="Q485" s="9" t="s">
        <v>37</v>
      </c>
      <c r="R485" s="13">
        <v>45717</v>
      </c>
      <c r="S485" s="22">
        <v>45742</v>
      </c>
      <c r="T485" s="13">
        <v>45702</v>
      </c>
      <c r="U485" s="13">
        <v>45702</v>
      </c>
      <c r="V485" s="9" t="s">
        <v>47</v>
      </c>
      <c r="W485" s="9">
        <v>22770630</v>
      </c>
      <c r="X485" s="9">
        <v>3311105</v>
      </c>
      <c r="Y485" s="9">
        <v>69251049</v>
      </c>
      <c r="Z485" s="9" t="s">
        <v>39</v>
      </c>
      <c r="AA485" s="9">
        <v>223759867</v>
      </c>
      <c r="AB485" s="9">
        <v>78070</v>
      </c>
      <c r="AC485" s="9" t="s">
        <v>41</v>
      </c>
      <c r="AD485" s="9" t="s">
        <v>65</v>
      </c>
      <c r="AE485" s="9" t="s">
        <v>66</v>
      </c>
      <c r="AF485" s="9" t="s">
        <v>66</v>
      </c>
      <c r="AG485" s="14" t="str">
        <f t="shared" si="16"/>
        <v>PROCEDIMIENTOS TERAPEUTICOS</v>
      </c>
      <c r="AH485" s="9">
        <v>0</v>
      </c>
      <c r="AI485" s="9">
        <v>0</v>
      </c>
      <c r="AJ485" s="9">
        <v>77200240</v>
      </c>
      <c r="AK485" s="9">
        <v>8</v>
      </c>
      <c r="AL485" s="26" t="s">
        <v>52</v>
      </c>
      <c r="AM485" s="14" t="s">
        <v>602</v>
      </c>
      <c r="AN485" s="27" t="str">
        <f t="shared" si="17"/>
        <v>13937747|77200240|371716469|65384171</v>
      </c>
      <c r="AO485" t="s">
        <v>44</v>
      </c>
      <c r="AP485" t="b">
        <v>0</v>
      </c>
      <c r="AQ485" t="s">
        <v>763</v>
      </c>
    </row>
    <row r="486" spans="1:43" x14ac:dyDescent="0.2">
      <c r="A486" s="14" t="s">
        <v>500</v>
      </c>
      <c r="B486" s="17">
        <v>8576939</v>
      </c>
      <c r="C486" s="14" t="s">
        <v>278</v>
      </c>
      <c r="D486" s="9">
        <v>8576939</v>
      </c>
      <c r="E486" s="9" t="s">
        <v>278</v>
      </c>
      <c r="F486" s="7">
        <v>45689</v>
      </c>
      <c r="G486" s="20" t="s">
        <v>36</v>
      </c>
      <c r="H486" s="8">
        <v>371780152</v>
      </c>
      <c r="I486" s="19">
        <v>371780152</v>
      </c>
      <c r="J486" s="10">
        <v>28116</v>
      </c>
      <c r="K486" s="10">
        <v>19683</v>
      </c>
      <c r="L486" s="10">
        <v>8433</v>
      </c>
      <c r="M486" s="10">
        <v>0</v>
      </c>
      <c r="N486" s="11">
        <v>8433</v>
      </c>
      <c r="O486" s="12">
        <v>371780152</v>
      </c>
      <c r="P486" s="9">
        <v>285123</v>
      </c>
      <c r="Q486" s="9" t="s">
        <v>37</v>
      </c>
      <c r="R486" s="13">
        <v>45705</v>
      </c>
      <c r="S486" s="22">
        <v>45705</v>
      </c>
      <c r="T486" s="13">
        <v>45705</v>
      </c>
      <c r="U486" s="13">
        <v>45705</v>
      </c>
      <c r="V486" s="9" t="s">
        <v>47</v>
      </c>
      <c r="W486" s="9">
        <v>22621721</v>
      </c>
      <c r="X486" s="9">
        <v>2250942</v>
      </c>
      <c r="Y486" s="9">
        <v>68909610</v>
      </c>
      <c r="Z486" s="9" t="s">
        <v>39</v>
      </c>
      <c r="AA486" s="9">
        <v>23022025</v>
      </c>
      <c r="AB486" s="9">
        <v>77703</v>
      </c>
      <c r="AC486" s="9" t="s">
        <v>41</v>
      </c>
      <c r="AD486" s="9" t="s">
        <v>132</v>
      </c>
      <c r="AE486" s="9" t="s">
        <v>133</v>
      </c>
      <c r="AF486" s="9" t="s">
        <v>133</v>
      </c>
      <c r="AG486" s="14" t="str">
        <f t="shared" si="16"/>
        <v>EXAMENES DE LABORATORIO</v>
      </c>
      <c r="AH486" s="9" t="s">
        <v>758</v>
      </c>
      <c r="AI486" s="9">
        <v>0</v>
      </c>
      <c r="AJ486" s="9">
        <v>96986050</v>
      </c>
      <c r="AK486" s="9">
        <v>3</v>
      </c>
      <c r="AL486" s="26" t="s">
        <v>238</v>
      </c>
      <c r="AM486" s="14" t="s">
        <v>603</v>
      </c>
      <c r="AN486" s="27" t="str">
        <f t="shared" si="17"/>
        <v>8576939|96986050|371780152|371780152</v>
      </c>
      <c r="AO486" t="s">
        <v>758</v>
      </c>
      <c r="AP486" t="b">
        <v>1</v>
      </c>
      <c r="AQ486" t="s">
        <v>764</v>
      </c>
    </row>
    <row r="487" spans="1:43" x14ac:dyDescent="0.2">
      <c r="A487" s="14" t="s">
        <v>500</v>
      </c>
      <c r="B487" s="17">
        <v>8576939</v>
      </c>
      <c r="C487" s="14" t="s">
        <v>278</v>
      </c>
      <c r="D487" s="9">
        <v>8576939</v>
      </c>
      <c r="E487" s="9" t="s">
        <v>278</v>
      </c>
      <c r="F487" s="7">
        <v>45717</v>
      </c>
      <c r="G487" s="20" t="s">
        <v>46</v>
      </c>
      <c r="H487" s="8">
        <v>371780152</v>
      </c>
      <c r="I487" s="19">
        <v>65383678</v>
      </c>
      <c r="J487" s="10">
        <v>8848</v>
      </c>
      <c r="K487" s="10">
        <v>0</v>
      </c>
      <c r="L487" s="10">
        <v>8848</v>
      </c>
      <c r="M487" s="10">
        <v>0</v>
      </c>
      <c r="N487" s="11">
        <v>8848</v>
      </c>
      <c r="O487" s="12">
        <v>371780152</v>
      </c>
      <c r="P487" s="9">
        <v>285123</v>
      </c>
      <c r="Q487" s="9" t="s">
        <v>37</v>
      </c>
      <c r="R487" s="13">
        <v>45717</v>
      </c>
      <c r="S487" s="22">
        <v>45742</v>
      </c>
      <c r="T487" s="13">
        <v>45705</v>
      </c>
      <c r="U487" s="13">
        <v>45705</v>
      </c>
      <c r="V487" s="9" t="s">
        <v>47</v>
      </c>
      <c r="W487" s="9">
        <v>22770640</v>
      </c>
      <c r="X487" s="9">
        <v>3311105</v>
      </c>
      <c r="Y487" s="9">
        <v>69250569</v>
      </c>
      <c r="Z487" s="9" t="s">
        <v>39</v>
      </c>
      <c r="AA487" s="9">
        <v>40197654</v>
      </c>
      <c r="AB487" s="9">
        <v>78070</v>
      </c>
      <c r="AC487" s="9" t="s">
        <v>41</v>
      </c>
      <c r="AD487" s="9" t="s">
        <v>132</v>
      </c>
      <c r="AE487" s="9" t="s">
        <v>133</v>
      </c>
      <c r="AF487" s="9" t="s">
        <v>133</v>
      </c>
      <c r="AG487" s="14" t="str">
        <f t="shared" si="16"/>
        <v>EXAMENES DE LABORATORIO</v>
      </c>
      <c r="AH487" s="9">
        <v>0</v>
      </c>
      <c r="AI487" s="9">
        <v>0</v>
      </c>
      <c r="AJ487" s="9">
        <v>96986050</v>
      </c>
      <c r="AK487" s="9">
        <v>3</v>
      </c>
      <c r="AL487" s="26" t="s">
        <v>52</v>
      </c>
      <c r="AM487" s="14" t="s">
        <v>603</v>
      </c>
      <c r="AN487" s="27" t="str">
        <f t="shared" si="17"/>
        <v>8576939|96986050|371780152|65383678</v>
      </c>
      <c r="AO487" t="s">
        <v>44</v>
      </c>
      <c r="AP487" t="b">
        <v>0</v>
      </c>
      <c r="AQ487" t="s">
        <v>763</v>
      </c>
    </row>
    <row r="488" spans="1:43" x14ac:dyDescent="0.2">
      <c r="A488" s="14" t="s">
        <v>500</v>
      </c>
      <c r="B488" s="17">
        <v>8536609</v>
      </c>
      <c r="C488" s="14" t="s">
        <v>279</v>
      </c>
      <c r="D488" s="9">
        <v>8536609</v>
      </c>
      <c r="E488" s="9" t="s">
        <v>279</v>
      </c>
      <c r="F488" s="7">
        <v>45689</v>
      </c>
      <c r="G488" s="20" t="s">
        <v>36</v>
      </c>
      <c r="H488" s="8">
        <v>371854567</v>
      </c>
      <c r="I488" s="19">
        <v>371854567</v>
      </c>
      <c r="J488" s="10">
        <v>46601</v>
      </c>
      <c r="K488" s="10">
        <v>44001</v>
      </c>
      <c r="L488" s="10">
        <v>2600</v>
      </c>
      <c r="M488" s="10">
        <v>0</v>
      </c>
      <c r="N488" s="11">
        <v>2600</v>
      </c>
      <c r="O488" s="12">
        <v>371854567</v>
      </c>
      <c r="P488" s="9">
        <v>285123</v>
      </c>
      <c r="Q488" s="9" t="s">
        <v>37</v>
      </c>
      <c r="R488" s="13">
        <v>45707</v>
      </c>
      <c r="S488" s="22">
        <v>45707</v>
      </c>
      <c r="T488" s="13">
        <v>45707</v>
      </c>
      <c r="U488" s="13">
        <v>45707</v>
      </c>
      <c r="V488" s="9" t="s">
        <v>47</v>
      </c>
      <c r="W488" s="9">
        <v>22621810</v>
      </c>
      <c r="X488" s="9">
        <v>2250942</v>
      </c>
      <c r="Y488" s="9">
        <v>68910803</v>
      </c>
      <c r="Z488" s="9" t="s">
        <v>39</v>
      </c>
      <c r="AA488" s="9">
        <v>23022025</v>
      </c>
      <c r="AB488" s="9">
        <v>77703</v>
      </c>
      <c r="AC488" s="9" t="s">
        <v>41</v>
      </c>
      <c r="AD488" s="9" t="s">
        <v>132</v>
      </c>
      <c r="AE488" s="9" t="s">
        <v>133</v>
      </c>
      <c r="AF488" s="9" t="s">
        <v>133</v>
      </c>
      <c r="AG488" s="14" t="str">
        <f t="shared" si="16"/>
        <v>EXAMENES DE LABORATORIO</v>
      </c>
      <c r="AH488" s="9" t="s">
        <v>758</v>
      </c>
      <c r="AI488" s="9">
        <v>0</v>
      </c>
      <c r="AJ488" s="9">
        <v>96617350</v>
      </c>
      <c r="AK488" s="9">
        <v>5</v>
      </c>
      <c r="AL488" s="26" t="s">
        <v>76</v>
      </c>
      <c r="AM488" s="14" t="s">
        <v>604</v>
      </c>
      <c r="AN488" s="27" t="str">
        <f t="shared" si="17"/>
        <v>8536609|96617350|371854567|371854567</v>
      </c>
      <c r="AO488" t="s">
        <v>758</v>
      </c>
      <c r="AP488" t="b">
        <v>1</v>
      </c>
      <c r="AQ488" t="s">
        <v>764</v>
      </c>
    </row>
    <row r="489" spans="1:43" x14ac:dyDescent="0.2">
      <c r="A489" s="14" t="s">
        <v>500</v>
      </c>
      <c r="B489" s="17">
        <v>8536609</v>
      </c>
      <c r="C489" s="14" t="s">
        <v>279</v>
      </c>
      <c r="D489" s="9">
        <v>8536609</v>
      </c>
      <c r="E489" s="9" t="s">
        <v>279</v>
      </c>
      <c r="F489" s="7">
        <v>45717</v>
      </c>
      <c r="G489" s="20" t="s">
        <v>46</v>
      </c>
      <c r="H489" s="8">
        <v>371854567</v>
      </c>
      <c r="I489" s="19">
        <v>65383669</v>
      </c>
      <c r="J489" s="10">
        <v>2695</v>
      </c>
      <c r="K489" s="10">
        <v>0</v>
      </c>
      <c r="L489" s="10">
        <v>2695</v>
      </c>
      <c r="M489" s="10">
        <v>0</v>
      </c>
      <c r="N489" s="11">
        <v>2695</v>
      </c>
      <c r="O489" s="12">
        <v>371854567</v>
      </c>
      <c r="P489" s="9">
        <v>285123</v>
      </c>
      <c r="Q489" s="9" t="s">
        <v>37</v>
      </c>
      <c r="R489" s="13">
        <v>45717</v>
      </c>
      <c r="S489" s="22">
        <v>45742</v>
      </c>
      <c r="T489" s="13">
        <v>45707</v>
      </c>
      <c r="U489" s="13">
        <v>45707</v>
      </c>
      <c r="V489" s="9" t="s">
        <v>47</v>
      </c>
      <c r="W489" s="9">
        <v>22770661</v>
      </c>
      <c r="X489" s="9">
        <v>3311105</v>
      </c>
      <c r="Y489" s="9">
        <v>69250560</v>
      </c>
      <c r="Z489" s="9" t="s">
        <v>39</v>
      </c>
      <c r="AA489" s="9">
        <v>1710319886</v>
      </c>
      <c r="AB489" s="9">
        <v>78070</v>
      </c>
      <c r="AC489" s="9" t="s">
        <v>41</v>
      </c>
      <c r="AD489" s="9" t="s">
        <v>132</v>
      </c>
      <c r="AE489" s="9" t="s">
        <v>133</v>
      </c>
      <c r="AF489" s="9" t="s">
        <v>133</v>
      </c>
      <c r="AG489" s="14" t="str">
        <f t="shared" si="16"/>
        <v>EXAMENES DE LABORATORIO</v>
      </c>
      <c r="AH489" s="9">
        <v>0</v>
      </c>
      <c r="AI489" s="9">
        <v>0</v>
      </c>
      <c r="AJ489" s="9">
        <v>96617350</v>
      </c>
      <c r="AK489" s="9">
        <v>5</v>
      </c>
      <c r="AL489" s="26" t="s">
        <v>52</v>
      </c>
      <c r="AM489" s="14" t="s">
        <v>604</v>
      </c>
      <c r="AN489" s="27" t="str">
        <f t="shared" si="17"/>
        <v>8536609|96617350|371854567|65383669</v>
      </c>
      <c r="AO489" t="s">
        <v>44</v>
      </c>
      <c r="AP489" t="b">
        <v>0</v>
      </c>
      <c r="AQ489" t="s">
        <v>763</v>
      </c>
    </row>
    <row r="490" spans="1:43" x14ac:dyDescent="0.2">
      <c r="A490" s="14" t="s">
        <v>500</v>
      </c>
      <c r="B490" s="17">
        <v>8536609</v>
      </c>
      <c r="C490" s="14" t="s">
        <v>279</v>
      </c>
      <c r="D490" s="9">
        <v>8536609</v>
      </c>
      <c r="E490" s="9" t="s">
        <v>279</v>
      </c>
      <c r="F490" s="7">
        <v>45689</v>
      </c>
      <c r="G490" s="20" t="s">
        <v>36</v>
      </c>
      <c r="H490" s="8">
        <v>371854568</v>
      </c>
      <c r="I490" s="19">
        <v>371854568</v>
      </c>
      <c r="J490" s="10">
        <v>11544</v>
      </c>
      <c r="K490" s="10">
        <v>10784</v>
      </c>
      <c r="L490" s="10">
        <v>760</v>
      </c>
      <c r="M490" s="10">
        <v>0</v>
      </c>
      <c r="N490" s="11">
        <v>760</v>
      </c>
      <c r="O490" s="12">
        <v>371854568</v>
      </c>
      <c r="P490" s="9">
        <v>285123</v>
      </c>
      <c r="Q490" s="9" t="s">
        <v>37</v>
      </c>
      <c r="R490" s="13">
        <v>45707</v>
      </c>
      <c r="S490" s="22">
        <v>45707</v>
      </c>
      <c r="T490" s="13">
        <v>45707</v>
      </c>
      <c r="U490" s="13">
        <v>45707</v>
      </c>
      <c r="V490" s="9" t="s">
        <v>47</v>
      </c>
      <c r="W490" s="9">
        <v>22621810</v>
      </c>
      <c r="X490" s="9">
        <v>2250942</v>
      </c>
      <c r="Y490" s="9">
        <v>68910802</v>
      </c>
      <c r="Z490" s="9" t="s">
        <v>39</v>
      </c>
      <c r="AA490" s="9">
        <v>23022025</v>
      </c>
      <c r="AB490" s="9">
        <v>77703</v>
      </c>
      <c r="AC490" s="9" t="s">
        <v>41</v>
      </c>
      <c r="AD490" s="9" t="s">
        <v>132</v>
      </c>
      <c r="AE490" s="9" t="s">
        <v>133</v>
      </c>
      <c r="AF490" s="9" t="s">
        <v>133</v>
      </c>
      <c r="AG490" s="14" t="str">
        <f t="shared" si="16"/>
        <v>EXAMENES DE LABORATORIO</v>
      </c>
      <c r="AH490" s="9" t="s">
        <v>758</v>
      </c>
      <c r="AI490" s="9">
        <v>0</v>
      </c>
      <c r="AJ490" s="9">
        <v>96617350</v>
      </c>
      <c r="AK490" s="9">
        <v>5</v>
      </c>
      <c r="AL490" s="26" t="s">
        <v>76</v>
      </c>
      <c r="AM490" s="14" t="s">
        <v>604</v>
      </c>
      <c r="AN490" s="27" t="str">
        <f t="shared" si="17"/>
        <v>8536609|96617350|371854568|371854568</v>
      </c>
      <c r="AO490" t="s">
        <v>758</v>
      </c>
      <c r="AP490" t="b">
        <v>1</v>
      </c>
      <c r="AQ490" t="s">
        <v>764</v>
      </c>
    </row>
    <row r="491" spans="1:43" x14ac:dyDescent="0.2">
      <c r="A491" s="14" t="s">
        <v>500</v>
      </c>
      <c r="B491" s="17">
        <v>8536609</v>
      </c>
      <c r="C491" s="14" t="s">
        <v>279</v>
      </c>
      <c r="D491" s="9">
        <v>8536609</v>
      </c>
      <c r="E491" s="9" t="s">
        <v>279</v>
      </c>
      <c r="F491" s="7">
        <v>45717</v>
      </c>
      <c r="G491" s="20" t="s">
        <v>46</v>
      </c>
      <c r="H491" s="8">
        <v>371854568</v>
      </c>
      <c r="I491" s="19">
        <v>65383670</v>
      </c>
      <c r="J491" s="10">
        <v>385</v>
      </c>
      <c r="K491" s="10">
        <v>0</v>
      </c>
      <c r="L491" s="10">
        <v>385</v>
      </c>
      <c r="M491" s="10">
        <v>0</v>
      </c>
      <c r="N491" s="11">
        <v>385</v>
      </c>
      <c r="O491" s="12">
        <v>371854568</v>
      </c>
      <c r="P491" s="9">
        <v>285123</v>
      </c>
      <c r="Q491" s="9" t="s">
        <v>37</v>
      </c>
      <c r="R491" s="13">
        <v>45717</v>
      </c>
      <c r="S491" s="22">
        <v>45742</v>
      </c>
      <c r="T491" s="13">
        <v>45707</v>
      </c>
      <c r="U491" s="13">
        <v>45707</v>
      </c>
      <c r="V491" s="9" t="s">
        <v>47</v>
      </c>
      <c r="W491" s="9">
        <v>22770661</v>
      </c>
      <c r="X491" s="9">
        <v>3311105</v>
      </c>
      <c r="Y491" s="9">
        <v>69250561</v>
      </c>
      <c r="Z491" s="9" t="s">
        <v>39</v>
      </c>
      <c r="AA491" s="9">
        <v>1710319886</v>
      </c>
      <c r="AB491" s="9">
        <v>78070</v>
      </c>
      <c r="AC491" s="9" t="s">
        <v>41</v>
      </c>
      <c r="AD491" s="9" t="s">
        <v>132</v>
      </c>
      <c r="AE491" s="9" t="s">
        <v>133</v>
      </c>
      <c r="AF491" s="9" t="s">
        <v>133</v>
      </c>
      <c r="AG491" s="14" t="str">
        <f t="shared" si="16"/>
        <v>EXAMENES DE LABORATORIO</v>
      </c>
      <c r="AH491" s="9">
        <v>0</v>
      </c>
      <c r="AI491" s="9">
        <v>0</v>
      </c>
      <c r="AJ491" s="9">
        <v>96617350</v>
      </c>
      <c r="AK491" s="9">
        <v>5</v>
      </c>
      <c r="AL491" s="26" t="s">
        <v>52</v>
      </c>
      <c r="AM491" s="14" t="s">
        <v>604</v>
      </c>
      <c r="AN491" s="27" t="str">
        <f t="shared" si="17"/>
        <v>8536609|96617350|371854568|65383670</v>
      </c>
      <c r="AO491" t="s">
        <v>44</v>
      </c>
      <c r="AP491" t="b">
        <v>0</v>
      </c>
      <c r="AQ491" t="s">
        <v>763</v>
      </c>
    </row>
    <row r="492" spans="1:43" x14ac:dyDescent="0.2">
      <c r="A492" s="14" t="s">
        <v>500</v>
      </c>
      <c r="B492" s="17">
        <v>8536609</v>
      </c>
      <c r="C492" s="14" t="s">
        <v>279</v>
      </c>
      <c r="D492" s="9">
        <v>8536609</v>
      </c>
      <c r="E492" s="9" t="s">
        <v>279</v>
      </c>
      <c r="F492" s="7">
        <v>45689</v>
      </c>
      <c r="G492" s="20" t="s">
        <v>36</v>
      </c>
      <c r="H492" s="8">
        <v>371854569</v>
      </c>
      <c r="I492" s="19">
        <v>371854569</v>
      </c>
      <c r="J492" s="10">
        <v>10190</v>
      </c>
      <c r="K492" s="10">
        <v>9190</v>
      </c>
      <c r="L492" s="10">
        <v>1000</v>
      </c>
      <c r="M492" s="10">
        <v>0</v>
      </c>
      <c r="N492" s="11">
        <v>1000</v>
      </c>
      <c r="O492" s="12">
        <v>371854569</v>
      </c>
      <c r="P492" s="9">
        <v>285123</v>
      </c>
      <c r="Q492" s="9" t="s">
        <v>37</v>
      </c>
      <c r="R492" s="13">
        <v>45707</v>
      </c>
      <c r="S492" s="22">
        <v>45707</v>
      </c>
      <c r="T492" s="13">
        <v>45707</v>
      </c>
      <c r="U492" s="13">
        <v>45707</v>
      </c>
      <c r="V492" s="9" t="s">
        <v>47</v>
      </c>
      <c r="W492" s="9">
        <v>22621810</v>
      </c>
      <c r="X492" s="9">
        <v>2250942</v>
      </c>
      <c r="Y492" s="9">
        <v>68910801</v>
      </c>
      <c r="Z492" s="9" t="s">
        <v>39</v>
      </c>
      <c r="AA492" s="9">
        <v>23022025</v>
      </c>
      <c r="AB492" s="9">
        <v>77703</v>
      </c>
      <c r="AC492" s="9" t="s">
        <v>41</v>
      </c>
      <c r="AD492" s="9" t="s">
        <v>132</v>
      </c>
      <c r="AE492" s="9" t="s">
        <v>133</v>
      </c>
      <c r="AF492" s="9" t="s">
        <v>133</v>
      </c>
      <c r="AG492" s="14" t="str">
        <f t="shared" si="16"/>
        <v>EXAMENES DE LABORATORIO</v>
      </c>
      <c r="AH492" s="9" t="s">
        <v>758</v>
      </c>
      <c r="AI492" s="9">
        <v>0</v>
      </c>
      <c r="AJ492" s="9">
        <v>96617350</v>
      </c>
      <c r="AK492" s="9">
        <v>5</v>
      </c>
      <c r="AL492" s="26" t="s">
        <v>76</v>
      </c>
      <c r="AM492" s="14" t="s">
        <v>604</v>
      </c>
      <c r="AN492" s="27" t="str">
        <f t="shared" si="17"/>
        <v>8536609|96617350|371854569|371854569</v>
      </c>
      <c r="AO492" t="s">
        <v>758</v>
      </c>
      <c r="AP492" t="b">
        <v>1</v>
      </c>
      <c r="AQ492" t="s">
        <v>764</v>
      </c>
    </row>
    <row r="493" spans="1:43" x14ac:dyDescent="0.2">
      <c r="A493" s="14" t="s">
        <v>500</v>
      </c>
      <c r="B493" s="17">
        <v>8536609</v>
      </c>
      <c r="C493" s="14" t="s">
        <v>279</v>
      </c>
      <c r="D493" s="9">
        <v>8536609</v>
      </c>
      <c r="E493" s="9" t="s">
        <v>279</v>
      </c>
      <c r="F493" s="7">
        <v>45717</v>
      </c>
      <c r="G493" s="20" t="s">
        <v>46</v>
      </c>
      <c r="H493" s="8">
        <v>371854569</v>
      </c>
      <c r="I493" s="19">
        <v>65383671</v>
      </c>
      <c r="J493" s="10">
        <v>1155</v>
      </c>
      <c r="K493" s="10">
        <v>0</v>
      </c>
      <c r="L493" s="10">
        <v>1155</v>
      </c>
      <c r="M493" s="10">
        <v>0</v>
      </c>
      <c r="N493" s="11">
        <v>1155</v>
      </c>
      <c r="O493" s="12">
        <v>371854569</v>
      </c>
      <c r="P493" s="9">
        <v>285123</v>
      </c>
      <c r="Q493" s="9" t="s">
        <v>37</v>
      </c>
      <c r="R493" s="13">
        <v>45717</v>
      </c>
      <c r="S493" s="22">
        <v>45742</v>
      </c>
      <c r="T493" s="13">
        <v>45707</v>
      </c>
      <c r="U493" s="13">
        <v>45707</v>
      </c>
      <c r="V493" s="9" t="s">
        <v>47</v>
      </c>
      <c r="W493" s="9">
        <v>22770661</v>
      </c>
      <c r="X493" s="9">
        <v>3311105</v>
      </c>
      <c r="Y493" s="9">
        <v>69250562</v>
      </c>
      <c r="Z493" s="9" t="s">
        <v>39</v>
      </c>
      <c r="AA493" s="9">
        <v>1710319886</v>
      </c>
      <c r="AB493" s="9">
        <v>78070</v>
      </c>
      <c r="AC493" s="9" t="s">
        <v>41</v>
      </c>
      <c r="AD493" s="9" t="s">
        <v>132</v>
      </c>
      <c r="AE493" s="9" t="s">
        <v>133</v>
      </c>
      <c r="AF493" s="9" t="s">
        <v>133</v>
      </c>
      <c r="AG493" s="14" t="str">
        <f t="shared" si="16"/>
        <v>EXAMENES DE LABORATORIO</v>
      </c>
      <c r="AH493" s="9">
        <v>0</v>
      </c>
      <c r="AI493" s="9">
        <v>0</v>
      </c>
      <c r="AJ493" s="9">
        <v>96617350</v>
      </c>
      <c r="AK493" s="9">
        <v>5</v>
      </c>
      <c r="AL493" s="26" t="s">
        <v>52</v>
      </c>
      <c r="AM493" s="14" t="s">
        <v>604</v>
      </c>
      <c r="AN493" s="27" t="str">
        <f t="shared" si="17"/>
        <v>8536609|96617350|371854569|65383671</v>
      </c>
      <c r="AO493" t="s">
        <v>44</v>
      </c>
      <c r="AP493" t="b">
        <v>0</v>
      </c>
      <c r="AQ493" t="s">
        <v>763</v>
      </c>
    </row>
    <row r="494" spans="1:43" x14ac:dyDescent="0.2">
      <c r="A494" s="14" t="s">
        <v>500</v>
      </c>
      <c r="B494" s="17">
        <v>8536609</v>
      </c>
      <c r="C494" s="14" t="s">
        <v>279</v>
      </c>
      <c r="D494" s="9">
        <v>8536609</v>
      </c>
      <c r="E494" s="9" t="s">
        <v>279</v>
      </c>
      <c r="F494" s="7">
        <v>45689</v>
      </c>
      <c r="G494" s="20" t="s">
        <v>36</v>
      </c>
      <c r="H494" s="8">
        <v>371854852</v>
      </c>
      <c r="I494" s="19">
        <v>371854852</v>
      </c>
      <c r="J494" s="10">
        <v>48133</v>
      </c>
      <c r="K494" s="10">
        <v>41633</v>
      </c>
      <c r="L494" s="10">
        <v>6500</v>
      </c>
      <c r="M494" s="10">
        <v>0</v>
      </c>
      <c r="N494" s="11">
        <v>6500</v>
      </c>
      <c r="O494" s="12">
        <v>371854852</v>
      </c>
      <c r="P494" s="9">
        <v>285123</v>
      </c>
      <c r="Q494" s="9" t="s">
        <v>37</v>
      </c>
      <c r="R494" s="13">
        <v>45707</v>
      </c>
      <c r="S494" s="22">
        <v>45707</v>
      </c>
      <c r="T494" s="13">
        <v>45707</v>
      </c>
      <c r="U494" s="13">
        <v>45707</v>
      </c>
      <c r="V494" s="9" t="s">
        <v>47</v>
      </c>
      <c r="W494" s="9">
        <v>22621810</v>
      </c>
      <c r="X494" s="9">
        <v>2250942</v>
      </c>
      <c r="Y494" s="9">
        <v>68910811</v>
      </c>
      <c r="Z494" s="9" t="s">
        <v>39</v>
      </c>
      <c r="AA494" s="9">
        <v>23022025</v>
      </c>
      <c r="AB494" s="9">
        <v>77703</v>
      </c>
      <c r="AC494" s="9" t="s">
        <v>41</v>
      </c>
      <c r="AD494" s="9" t="s">
        <v>65</v>
      </c>
      <c r="AE494" s="9" t="s">
        <v>66</v>
      </c>
      <c r="AF494" s="9" t="s">
        <v>66</v>
      </c>
      <c r="AG494" s="14" t="str">
        <f t="shared" si="16"/>
        <v>PROCEDIMIENTOS TERAPEUTICOS</v>
      </c>
      <c r="AH494" s="9" t="s">
        <v>758</v>
      </c>
      <c r="AI494" s="9">
        <v>0</v>
      </c>
      <c r="AJ494" s="9">
        <v>96617350</v>
      </c>
      <c r="AK494" s="9">
        <v>5</v>
      </c>
      <c r="AL494" s="26" t="s">
        <v>76</v>
      </c>
      <c r="AM494" s="14" t="s">
        <v>604</v>
      </c>
      <c r="AN494" s="27" t="str">
        <f t="shared" si="17"/>
        <v>8536609|96617350|371854852|371854852</v>
      </c>
      <c r="AO494" t="s">
        <v>758</v>
      </c>
      <c r="AP494" t="b">
        <v>1</v>
      </c>
      <c r="AQ494" t="s">
        <v>764</v>
      </c>
    </row>
    <row r="495" spans="1:43" x14ac:dyDescent="0.2">
      <c r="A495" s="14" t="s">
        <v>500</v>
      </c>
      <c r="B495" s="17">
        <v>8536609</v>
      </c>
      <c r="C495" s="14" t="s">
        <v>279</v>
      </c>
      <c r="D495" s="9">
        <v>8536609</v>
      </c>
      <c r="E495" s="9" t="s">
        <v>279</v>
      </c>
      <c r="F495" s="7">
        <v>45717</v>
      </c>
      <c r="G495" s="20" t="s">
        <v>46</v>
      </c>
      <c r="H495" s="8">
        <v>371854852</v>
      </c>
      <c r="I495" s="19">
        <v>65383672</v>
      </c>
      <c r="J495" s="10">
        <v>6547</v>
      </c>
      <c r="K495" s="10">
        <v>0</v>
      </c>
      <c r="L495" s="10">
        <v>6547</v>
      </c>
      <c r="M495" s="10">
        <v>0</v>
      </c>
      <c r="N495" s="11">
        <v>6547</v>
      </c>
      <c r="O495" s="12">
        <v>371854852</v>
      </c>
      <c r="P495" s="9">
        <v>285123</v>
      </c>
      <c r="Q495" s="9" t="s">
        <v>37</v>
      </c>
      <c r="R495" s="13">
        <v>45717</v>
      </c>
      <c r="S495" s="22">
        <v>45742</v>
      </c>
      <c r="T495" s="13">
        <v>45707</v>
      </c>
      <c r="U495" s="13">
        <v>45707</v>
      </c>
      <c r="V495" s="9" t="s">
        <v>47</v>
      </c>
      <c r="W495" s="9">
        <v>22770661</v>
      </c>
      <c r="X495" s="9">
        <v>3311105</v>
      </c>
      <c r="Y495" s="9">
        <v>69250563</v>
      </c>
      <c r="Z495" s="9" t="s">
        <v>39</v>
      </c>
      <c r="AA495" s="9">
        <v>1710319886</v>
      </c>
      <c r="AB495" s="9">
        <v>78070</v>
      </c>
      <c r="AC495" s="9" t="s">
        <v>41</v>
      </c>
      <c r="AD495" s="9" t="s">
        <v>65</v>
      </c>
      <c r="AE495" s="9" t="s">
        <v>66</v>
      </c>
      <c r="AF495" s="9" t="s">
        <v>66</v>
      </c>
      <c r="AG495" s="14" t="str">
        <f t="shared" si="16"/>
        <v>PROCEDIMIENTOS TERAPEUTICOS</v>
      </c>
      <c r="AH495" s="9">
        <v>0</v>
      </c>
      <c r="AI495" s="9">
        <v>0</v>
      </c>
      <c r="AJ495" s="9">
        <v>96617350</v>
      </c>
      <c r="AK495" s="9">
        <v>5</v>
      </c>
      <c r="AL495" s="26" t="s">
        <v>52</v>
      </c>
      <c r="AM495" s="14" t="s">
        <v>604</v>
      </c>
      <c r="AN495" s="27" t="str">
        <f t="shared" si="17"/>
        <v>8536609|96617350|371854852|65383672</v>
      </c>
      <c r="AO495" t="s">
        <v>44</v>
      </c>
      <c r="AP495" t="b">
        <v>0</v>
      </c>
      <c r="AQ495" t="s">
        <v>763</v>
      </c>
    </row>
    <row r="496" spans="1:43" x14ac:dyDescent="0.2">
      <c r="A496" s="14" t="s">
        <v>500</v>
      </c>
      <c r="B496" s="17">
        <v>8536609</v>
      </c>
      <c r="C496" s="14" t="s">
        <v>279</v>
      </c>
      <c r="D496" s="9">
        <v>8536609</v>
      </c>
      <c r="E496" s="9" t="s">
        <v>279</v>
      </c>
      <c r="F496" s="7">
        <v>45689</v>
      </c>
      <c r="G496" s="20" t="s">
        <v>36</v>
      </c>
      <c r="H496" s="8">
        <v>371863769</v>
      </c>
      <c r="I496" s="19">
        <v>371863769</v>
      </c>
      <c r="J496" s="10">
        <v>27878</v>
      </c>
      <c r="K496" s="10">
        <v>7260</v>
      </c>
      <c r="L496" s="10">
        <v>20618</v>
      </c>
      <c r="M496" s="10">
        <v>0</v>
      </c>
      <c r="N496" s="11">
        <v>20618</v>
      </c>
      <c r="O496" s="12">
        <v>371863769</v>
      </c>
      <c r="P496" s="9">
        <v>285123</v>
      </c>
      <c r="Q496" s="9" t="s">
        <v>37</v>
      </c>
      <c r="R496" s="13">
        <v>45707</v>
      </c>
      <c r="S496" s="22">
        <v>45707</v>
      </c>
      <c r="T496" s="13">
        <v>45707</v>
      </c>
      <c r="U496" s="13">
        <v>45707</v>
      </c>
      <c r="V496" s="9" t="s">
        <v>47</v>
      </c>
      <c r="W496" s="9">
        <v>22621810</v>
      </c>
      <c r="X496" s="9">
        <v>2250942</v>
      </c>
      <c r="Y496" s="9">
        <v>68910998</v>
      </c>
      <c r="Z496" s="9" t="s">
        <v>39</v>
      </c>
      <c r="AA496" s="9">
        <v>23022025</v>
      </c>
      <c r="AB496" s="9">
        <v>77703</v>
      </c>
      <c r="AC496" s="9" t="s">
        <v>41</v>
      </c>
      <c r="AD496" s="9" t="s">
        <v>134</v>
      </c>
      <c r="AE496" s="9" t="s">
        <v>135</v>
      </c>
      <c r="AF496" s="9" t="s">
        <v>135</v>
      </c>
      <c r="AG496" s="14" t="str">
        <f t="shared" si="16"/>
        <v>EXAMENES RADIOLOGICOS</v>
      </c>
      <c r="AH496" s="9" t="s">
        <v>758</v>
      </c>
      <c r="AI496" s="9">
        <v>0</v>
      </c>
      <c r="AJ496" s="9">
        <v>76098454</v>
      </c>
      <c r="AK496" s="9" t="s">
        <v>161</v>
      </c>
      <c r="AL496" s="26" t="s">
        <v>76</v>
      </c>
      <c r="AM496" s="14" t="s">
        <v>604</v>
      </c>
      <c r="AN496" s="27" t="str">
        <f t="shared" si="17"/>
        <v>8536609|76098454|371863769|371863769</v>
      </c>
      <c r="AO496" t="s">
        <v>758</v>
      </c>
      <c r="AP496" t="b">
        <v>1</v>
      </c>
      <c r="AQ496" t="s">
        <v>764</v>
      </c>
    </row>
    <row r="497" spans="1:43" x14ac:dyDescent="0.2">
      <c r="A497" s="14" t="s">
        <v>500</v>
      </c>
      <c r="B497" s="17">
        <v>8536609</v>
      </c>
      <c r="C497" s="14" t="s">
        <v>279</v>
      </c>
      <c r="D497" s="9">
        <v>8536609</v>
      </c>
      <c r="E497" s="9" t="s">
        <v>279</v>
      </c>
      <c r="F497" s="7">
        <v>45717</v>
      </c>
      <c r="G497" s="20" t="s">
        <v>46</v>
      </c>
      <c r="H497" s="8">
        <v>371863769</v>
      </c>
      <c r="I497" s="19">
        <v>65383673</v>
      </c>
      <c r="J497" s="10">
        <v>17330</v>
      </c>
      <c r="K497" s="10">
        <v>0</v>
      </c>
      <c r="L497" s="10">
        <v>17330</v>
      </c>
      <c r="M497" s="10">
        <v>0</v>
      </c>
      <c r="N497" s="11">
        <v>17330</v>
      </c>
      <c r="O497" s="12">
        <v>371863769</v>
      </c>
      <c r="P497" s="9">
        <v>285123</v>
      </c>
      <c r="Q497" s="9" t="s">
        <v>37</v>
      </c>
      <c r="R497" s="13">
        <v>45717</v>
      </c>
      <c r="S497" s="22">
        <v>45742</v>
      </c>
      <c r="T497" s="13">
        <v>45707</v>
      </c>
      <c r="U497" s="13">
        <v>45707</v>
      </c>
      <c r="V497" s="9" t="s">
        <v>47</v>
      </c>
      <c r="W497" s="9">
        <v>22770661</v>
      </c>
      <c r="X497" s="9">
        <v>3311105</v>
      </c>
      <c r="Y497" s="9">
        <v>69250564</v>
      </c>
      <c r="Z497" s="9" t="s">
        <v>39</v>
      </c>
      <c r="AA497" s="9">
        <v>1710319886</v>
      </c>
      <c r="AB497" s="9">
        <v>78070</v>
      </c>
      <c r="AC497" s="9" t="s">
        <v>41</v>
      </c>
      <c r="AD497" s="9" t="s">
        <v>134</v>
      </c>
      <c r="AE497" s="9" t="s">
        <v>135</v>
      </c>
      <c r="AF497" s="9" t="s">
        <v>135</v>
      </c>
      <c r="AG497" s="14" t="str">
        <f t="shared" si="16"/>
        <v>EXAMENES RADIOLOGICOS</v>
      </c>
      <c r="AH497" s="9">
        <v>0</v>
      </c>
      <c r="AI497" s="9">
        <v>0</v>
      </c>
      <c r="AJ497" s="9">
        <v>76098454</v>
      </c>
      <c r="AK497" s="9" t="s">
        <v>161</v>
      </c>
      <c r="AL497" s="26" t="s">
        <v>52</v>
      </c>
      <c r="AM497" s="14" t="s">
        <v>604</v>
      </c>
      <c r="AN497" s="27" t="str">
        <f t="shared" si="17"/>
        <v>8536609|76098454|371863769|65383673</v>
      </c>
      <c r="AO497" t="s">
        <v>44</v>
      </c>
      <c r="AP497" t="b">
        <v>0</v>
      </c>
      <c r="AQ497" t="s">
        <v>763</v>
      </c>
    </row>
    <row r="498" spans="1:43" x14ac:dyDescent="0.2">
      <c r="A498" s="14" t="s">
        <v>500</v>
      </c>
      <c r="B498" s="17">
        <v>8536609</v>
      </c>
      <c r="C498" s="14" t="s">
        <v>279</v>
      </c>
      <c r="D498" s="9">
        <v>8536609</v>
      </c>
      <c r="E498" s="9" t="s">
        <v>279</v>
      </c>
      <c r="F498" s="7">
        <v>45689</v>
      </c>
      <c r="G498" s="20" t="s">
        <v>36</v>
      </c>
      <c r="H498" s="8">
        <v>371865457</v>
      </c>
      <c r="I498" s="19">
        <v>371865457</v>
      </c>
      <c r="J498" s="10">
        <v>33800</v>
      </c>
      <c r="K498" s="10">
        <v>13000</v>
      </c>
      <c r="L498" s="10">
        <v>20800</v>
      </c>
      <c r="M498" s="10">
        <v>0</v>
      </c>
      <c r="N498" s="11">
        <v>20800</v>
      </c>
      <c r="O498" s="12">
        <v>371865457</v>
      </c>
      <c r="P498" s="9">
        <v>285123</v>
      </c>
      <c r="Q498" s="9" t="s">
        <v>37</v>
      </c>
      <c r="R498" s="13">
        <v>45707</v>
      </c>
      <c r="S498" s="22">
        <v>45707</v>
      </c>
      <c r="T498" s="13">
        <v>45707</v>
      </c>
      <c r="U498" s="13">
        <v>45707</v>
      </c>
      <c r="V498" s="9" t="s">
        <v>47</v>
      </c>
      <c r="W498" s="9">
        <v>22621810</v>
      </c>
      <c r="X498" s="9">
        <v>2250942</v>
      </c>
      <c r="Y498" s="9">
        <v>68911030</v>
      </c>
      <c r="Z498" s="9" t="s">
        <v>39</v>
      </c>
      <c r="AA498" s="9">
        <v>23022025</v>
      </c>
      <c r="AB498" s="9">
        <v>77703</v>
      </c>
      <c r="AC498" s="9" t="s">
        <v>41</v>
      </c>
      <c r="AD498" s="9" t="s">
        <v>134</v>
      </c>
      <c r="AE498" s="9" t="s">
        <v>135</v>
      </c>
      <c r="AF498" s="9" t="s">
        <v>135</v>
      </c>
      <c r="AG498" s="14" t="str">
        <f t="shared" si="16"/>
        <v>EXAMENES RADIOLOGICOS</v>
      </c>
      <c r="AH498" s="9" t="s">
        <v>758</v>
      </c>
      <c r="AI498" s="9">
        <v>0</v>
      </c>
      <c r="AJ498" s="9">
        <v>76098454</v>
      </c>
      <c r="AK498" s="9" t="s">
        <v>161</v>
      </c>
      <c r="AL498" s="26" t="s">
        <v>76</v>
      </c>
      <c r="AM498" s="14" t="s">
        <v>604</v>
      </c>
      <c r="AN498" s="27" t="str">
        <f t="shared" si="17"/>
        <v>8536609|76098454|371865457|371865457</v>
      </c>
      <c r="AO498" t="s">
        <v>758</v>
      </c>
      <c r="AP498" t="b">
        <v>1</v>
      </c>
      <c r="AQ498" t="s">
        <v>764</v>
      </c>
    </row>
    <row r="499" spans="1:43" x14ac:dyDescent="0.2">
      <c r="A499" s="14" t="s">
        <v>500</v>
      </c>
      <c r="B499" s="17">
        <v>8536609</v>
      </c>
      <c r="C499" s="14" t="s">
        <v>279</v>
      </c>
      <c r="D499" s="9">
        <v>8536609</v>
      </c>
      <c r="E499" s="9" t="s">
        <v>279</v>
      </c>
      <c r="F499" s="7">
        <v>45717</v>
      </c>
      <c r="G499" s="20" t="s">
        <v>46</v>
      </c>
      <c r="H499" s="8">
        <v>371865457</v>
      </c>
      <c r="I499" s="19">
        <v>65383674</v>
      </c>
      <c r="J499" s="10">
        <v>18871</v>
      </c>
      <c r="K499" s="10">
        <v>0</v>
      </c>
      <c r="L499" s="10">
        <v>18871</v>
      </c>
      <c r="M499" s="10">
        <v>0</v>
      </c>
      <c r="N499" s="11">
        <v>18871</v>
      </c>
      <c r="O499" s="12">
        <v>371865457</v>
      </c>
      <c r="P499" s="9">
        <v>285123</v>
      </c>
      <c r="Q499" s="9" t="s">
        <v>37</v>
      </c>
      <c r="R499" s="13">
        <v>45717</v>
      </c>
      <c r="S499" s="22">
        <v>45742</v>
      </c>
      <c r="T499" s="13">
        <v>45707</v>
      </c>
      <c r="U499" s="13">
        <v>45707</v>
      </c>
      <c r="V499" s="9" t="s">
        <v>47</v>
      </c>
      <c r="W499" s="9">
        <v>22770661</v>
      </c>
      <c r="X499" s="9">
        <v>3311105</v>
      </c>
      <c r="Y499" s="9">
        <v>69250565</v>
      </c>
      <c r="Z499" s="9" t="s">
        <v>39</v>
      </c>
      <c r="AA499" s="9">
        <v>1710319886</v>
      </c>
      <c r="AB499" s="9">
        <v>78070</v>
      </c>
      <c r="AC499" s="9" t="s">
        <v>41</v>
      </c>
      <c r="AD499" s="9" t="s">
        <v>134</v>
      </c>
      <c r="AE499" s="9" t="s">
        <v>135</v>
      </c>
      <c r="AF499" s="9" t="s">
        <v>135</v>
      </c>
      <c r="AG499" s="14" t="str">
        <f t="shared" si="16"/>
        <v>EXAMENES RADIOLOGICOS</v>
      </c>
      <c r="AH499" s="9">
        <v>0</v>
      </c>
      <c r="AI499" s="9">
        <v>0</v>
      </c>
      <c r="AJ499" s="9">
        <v>76098454</v>
      </c>
      <c r="AK499" s="9" t="s">
        <v>161</v>
      </c>
      <c r="AL499" s="26" t="s">
        <v>52</v>
      </c>
      <c r="AM499" s="14" t="s">
        <v>604</v>
      </c>
      <c r="AN499" s="27" t="str">
        <f t="shared" si="17"/>
        <v>8536609|76098454|371865457|65383674</v>
      </c>
      <c r="AO499" t="s">
        <v>44</v>
      </c>
      <c r="AP499" t="b">
        <v>0</v>
      </c>
      <c r="AQ499" t="s">
        <v>763</v>
      </c>
    </row>
    <row r="500" spans="1:43" x14ac:dyDescent="0.2">
      <c r="A500" s="14" t="s">
        <v>500</v>
      </c>
      <c r="B500" s="17">
        <v>19204324</v>
      </c>
      <c r="C500" s="14" t="s">
        <v>253</v>
      </c>
      <c r="D500" s="9">
        <v>19204324</v>
      </c>
      <c r="E500" s="9" t="s">
        <v>253</v>
      </c>
      <c r="F500" s="7">
        <v>45689</v>
      </c>
      <c r="G500" s="20" t="s">
        <v>36</v>
      </c>
      <c r="H500" s="8">
        <v>371874728</v>
      </c>
      <c r="I500" s="19">
        <v>371874728</v>
      </c>
      <c r="J500" s="10">
        <v>33869</v>
      </c>
      <c r="K500" s="10">
        <v>23708</v>
      </c>
      <c r="L500" s="10">
        <v>10161</v>
      </c>
      <c r="M500" s="10">
        <v>0</v>
      </c>
      <c r="N500" s="11">
        <v>10161</v>
      </c>
      <c r="O500" s="12">
        <v>371874728</v>
      </c>
      <c r="P500" s="9">
        <v>285123</v>
      </c>
      <c r="Q500" s="9" t="s">
        <v>37</v>
      </c>
      <c r="R500" s="13">
        <v>45707</v>
      </c>
      <c r="S500" s="22">
        <v>45707</v>
      </c>
      <c r="T500" s="13">
        <v>45707</v>
      </c>
      <c r="U500" s="13">
        <v>45707</v>
      </c>
      <c r="V500" s="9" t="s">
        <v>58</v>
      </c>
      <c r="W500" s="9">
        <v>22621849</v>
      </c>
      <c r="X500" s="9">
        <v>2250942</v>
      </c>
      <c r="Y500" s="9">
        <v>68911148</v>
      </c>
      <c r="Z500" s="9" t="s">
        <v>39</v>
      </c>
      <c r="AA500" s="9">
        <v>23022025</v>
      </c>
      <c r="AB500" s="9">
        <v>77703</v>
      </c>
      <c r="AC500" s="9" t="s">
        <v>41</v>
      </c>
      <c r="AD500" s="9" t="s">
        <v>71</v>
      </c>
      <c r="AE500" s="9" t="s">
        <v>72</v>
      </c>
      <c r="AF500" s="9" t="s">
        <v>73</v>
      </c>
      <c r="AG500" s="14" t="str">
        <f t="shared" ref="AG500:AG563" si="18">+AF500</f>
        <v>CONSULTA PSIQUIATRICA</v>
      </c>
      <c r="AH500" s="9" t="s">
        <v>758</v>
      </c>
      <c r="AI500" s="9">
        <v>0</v>
      </c>
      <c r="AJ500" s="9">
        <v>60910000</v>
      </c>
      <c r="AK500" s="9">
        <v>1</v>
      </c>
      <c r="AL500" s="26" t="s">
        <v>76</v>
      </c>
      <c r="AM500" s="14" t="s">
        <v>589</v>
      </c>
      <c r="AN500" s="27" t="str">
        <f t="shared" si="17"/>
        <v>19204324|60910000|371874728|371874728</v>
      </c>
      <c r="AO500" t="s">
        <v>758</v>
      </c>
      <c r="AP500" t="b">
        <v>1</v>
      </c>
      <c r="AQ500" t="s">
        <v>764</v>
      </c>
    </row>
    <row r="501" spans="1:43" x14ac:dyDescent="0.2">
      <c r="A501" s="14" t="s">
        <v>500</v>
      </c>
      <c r="B501" s="17">
        <v>19204324</v>
      </c>
      <c r="C501" s="14" t="s">
        <v>253</v>
      </c>
      <c r="D501" s="9">
        <v>19204324</v>
      </c>
      <c r="E501" s="9" t="s">
        <v>253</v>
      </c>
      <c r="F501" s="7">
        <v>45717</v>
      </c>
      <c r="G501" s="20" t="s">
        <v>46</v>
      </c>
      <c r="H501" s="8">
        <v>371874728</v>
      </c>
      <c r="I501" s="19">
        <v>65384479</v>
      </c>
      <c r="J501" s="10">
        <v>10013</v>
      </c>
      <c r="K501" s="10">
        <v>0</v>
      </c>
      <c r="L501" s="10">
        <v>10013</v>
      </c>
      <c r="M501" s="10">
        <v>0</v>
      </c>
      <c r="N501" s="11">
        <v>10013</v>
      </c>
      <c r="O501" s="12">
        <v>371874728</v>
      </c>
      <c r="P501" s="9">
        <v>285123</v>
      </c>
      <c r="Q501" s="9" t="s">
        <v>37</v>
      </c>
      <c r="R501" s="13">
        <v>45717</v>
      </c>
      <c r="S501" s="22">
        <v>45742</v>
      </c>
      <c r="T501" s="13">
        <v>45707</v>
      </c>
      <c r="U501" s="13">
        <v>45707</v>
      </c>
      <c r="V501" s="9" t="s">
        <v>58</v>
      </c>
      <c r="W501" s="9">
        <v>22770673</v>
      </c>
      <c r="X501" s="9">
        <v>3311105</v>
      </c>
      <c r="Y501" s="9">
        <v>69251345</v>
      </c>
      <c r="Z501" s="9" t="s">
        <v>39</v>
      </c>
      <c r="AA501" s="9">
        <v>19204324</v>
      </c>
      <c r="AB501" s="9">
        <v>78070</v>
      </c>
      <c r="AC501" s="9" t="s">
        <v>41</v>
      </c>
      <c r="AD501" s="9" t="s">
        <v>71</v>
      </c>
      <c r="AE501" s="9" t="s">
        <v>72</v>
      </c>
      <c r="AF501" s="9" t="s">
        <v>73</v>
      </c>
      <c r="AG501" s="14" t="str">
        <f t="shared" si="18"/>
        <v>CONSULTA PSIQUIATRICA</v>
      </c>
      <c r="AH501" s="9">
        <v>0</v>
      </c>
      <c r="AI501" s="9">
        <v>0</v>
      </c>
      <c r="AJ501" s="9">
        <v>60910000</v>
      </c>
      <c r="AK501" s="9">
        <v>1</v>
      </c>
      <c r="AL501" s="26" t="s">
        <v>52</v>
      </c>
      <c r="AM501" s="14" t="s">
        <v>589</v>
      </c>
      <c r="AN501" s="27" t="str">
        <f t="shared" si="17"/>
        <v>19204324|60910000|371874728|65384479</v>
      </c>
      <c r="AO501" t="s">
        <v>44</v>
      </c>
      <c r="AP501" t="b">
        <v>0</v>
      </c>
      <c r="AQ501" t="s">
        <v>763</v>
      </c>
    </row>
    <row r="502" spans="1:43" x14ac:dyDescent="0.2">
      <c r="A502" s="14" t="s">
        <v>500</v>
      </c>
      <c r="B502" s="17">
        <v>7693346</v>
      </c>
      <c r="C502" s="14" t="s">
        <v>280</v>
      </c>
      <c r="D502" s="9">
        <v>7693346</v>
      </c>
      <c r="E502" s="9" t="s">
        <v>280</v>
      </c>
      <c r="F502" s="7">
        <v>45689</v>
      </c>
      <c r="G502" s="20" t="s">
        <v>36</v>
      </c>
      <c r="H502" s="8">
        <v>371935385</v>
      </c>
      <c r="I502" s="19">
        <v>371935385</v>
      </c>
      <c r="J502" s="10">
        <v>15185</v>
      </c>
      <c r="K502" s="10">
        <v>10630</v>
      </c>
      <c r="L502" s="10">
        <v>4555</v>
      </c>
      <c r="M502" s="10">
        <v>0</v>
      </c>
      <c r="N502" s="11">
        <v>4555</v>
      </c>
      <c r="O502" s="12">
        <v>371935385</v>
      </c>
      <c r="P502" s="9">
        <v>285123</v>
      </c>
      <c r="Q502" s="9" t="s">
        <v>37</v>
      </c>
      <c r="R502" s="13">
        <v>45709</v>
      </c>
      <c r="S502" s="22">
        <v>45709</v>
      </c>
      <c r="T502" s="13">
        <v>45709</v>
      </c>
      <c r="U502" s="13">
        <v>45709</v>
      </c>
      <c r="V502" s="9" t="s">
        <v>47</v>
      </c>
      <c r="W502" s="9">
        <v>22621896</v>
      </c>
      <c r="X502" s="9">
        <v>2250942</v>
      </c>
      <c r="Y502" s="9">
        <v>68912069</v>
      </c>
      <c r="Z502" s="9" t="s">
        <v>39</v>
      </c>
      <c r="AA502" s="9">
        <v>23022025</v>
      </c>
      <c r="AB502" s="9">
        <v>77703</v>
      </c>
      <c r="AC502" s="9" t="s">
        <v>41</v>
      </c>
      <c r="AD502" s="9" t="s">
        <v>132</v>
      </c>
      <c r="AE502" s="9" t="s">
        <v>133</v>
      </c>
      <c r="AF502" s="9" t="s">
        <v>133</v>
      </c>
      <c r="AG502" s="14" t="str">
        <f t="shared" si="18"/>
        <v>EXAMENES DE LABORATORIO</v>
      </c>
      <c r="AH502" s="9" t="s">
        <v>758</v>
      </c>
      <c r="AI502" s="9">
        <v>0</v>
      </c>
      <c r="AJ502" s="9">
        <v>96986050</v>
      </c>
      <c r="AK502" s="9">
        <v>3</v>
      </c>
      <c r="AL502" s="26" t="s">
        <v>238</v>
      </c>
      <c r="AM502" s="14" t="s">
        <v>605</v>
      </c>
      <c r="AN502" s="27" t="str">
        <f t="shared" si="17"/>
        <v>7693346|96986050|371935385|371935385</v>
      </c>
      <c r="AO502" t="s">
        <v>758</v>
      </c>
      <c r="AP502" t="b">
        <v>1</v>
      </c>
      <c r="AQ502" t="s">
        <v>764</v>
      </c>
    </row>
    <row r="503" spans="1:43" x14ac:dyDescent="0.2">
      <c r="A503" s="14" t="s">
        <v>500</v>
      </c>
      <c r="B503" s="17">
        <v>7693346</v>
      </c>
      <c r="C503" s="14" t="s">
        <v>280</v>
      </c>
      <c r="D503" s="9">
        <v>7693346</v>
      </c>
      <c r="E503" s="9" t="s">
        <v>280</v>
      </c>
      <c r="F503" s="7">
        <v>45717</v>
      </c>
      <c r="G503" s="20" t="s">
        <v>46</v>
      </c>
      <c r="H503" s="8">
        <v>371935385</v>
      </c>
      <c r="I503" s="19">
        <v>65383619</v>
      </c>
      <c r="J503" s="10">
        <v>4623</v>
      </c>
      <c r="K503" s="10">
        <v>0</v>
      </c>
      <c r="L503" s="10">
        <v>4623</v>
      </c>
      <c r="M503" s="10">
        <v>0</v>
      </c>
      <c r="N503" s="11">
        <v>4623</v>
      </c>
      <c r="O503" s="12">
        <v>371935385</v>
      </c>
      <c r="P503" s="9">
        <v>285123</v>
      </c>
      <c r="Q503" s="9" t="s">
        <v>37</v>
      </c>
      <c r="R503" s="13">
        <v>45717</v>
      </c>
      <c r="S503" s="22">
        <v>45742</v>
      </c>
      <c r="T503" s="13">
        <v>45709</v>
      </c>
      <c r="U503" s="13">
        <v>45709</v>
      </c>
      <c r="V503" s="9" t="s">
        <v>47</v>
      </c>
      <c r="W503" s="9">
        <v>22770681</v>
      </c>
      <c r="X503" s="9">
        <v>3311105</v>
      </c>
      <c r="Y503" s="9">
        <v>69250510</v>
      </c>
      <c r="Z503" s="9" t="s">
        <v>39</v>
      </c>
      <c r="AA503" s="9">
        <v>12993972</v>
      </c>
      <c r="AB503" s="9">
        <v>78070</v>
      </c>
      <c r="AC503" s="9" t="s">
        <v>41</v>
      </c>
      <c r="AD503" s="9" t="s">
        <v>132</v>
      </c>
      <c r="AE503" s="9" t="s">
        <v>133</v>
      </c>
      <c r="AF503" s="9" t="s">
        <v>133</v>
      </c>
      <c r="AG503" s="14" t="str">
        <f t="shared" si="18"/>
        <v>EXAMENES DE LABORATORIO</v>
      </c>
      <c r="AH503" s="9">
        <v>0</v>
      </c>
      <c r="AI503" s="9">
        <v>0</v>
      </c>
      <c r="AJ503" s="9">
        <v>96986050</v>
      </c>
      <c r="AK503" s="9">
        <v>3</v>
      </c>
      <c r="AL503" s="26" t="s">
        <v>52</v>
      </c>
      <c r="AM503" s="14" t="s">
        <v>605</v>
      </c>
      <c r="AN503" s="27" t="str">
        <f t="shared" si="17"/>
        <v>7693346|96986050|371935385|65383619</v>
      </c>
      <c r="AO503" t="s">
        <v>44</v>
      </c>
      <c r="AP503" t="b">
        <v>0</v>
      </c>
      <c r="AQ503" t="s">
        <v>763</v>
      </c>
    </row>
    <row r="504" spans="1:43" x14ac:dyDescent="0.2">
      <c r="A504" s="14" t="s">
        <v>500</v>
      </c>
      <c r="B504" s="17">
        <v>7693346</v>
      </c>
      <c r="C504" s="14" t="s">
        <v>280</v>
      </c>
      <c r="D504" s="9">
        <v>7693346</v>
      </c>
      <c r="E504" s="9" t="s">
        <v>280</v>
      </c>
      <c r="F504" s="7">
        <v>45689</v>
      </c>
      <c r="G504" s="20" t="s">
        <v>36</v>
      </c>
      <c r="H504" s="8">
        <v>371935386</v>
      </c>
      <c r="I504" s="19">
        <v>371935386</v>
      </c>
      <c r="J504" s="10">
        <v>2035</v>
      </c>
      <c r="K504" s="10">
        <v>1425</v>
      </c>
      <c r="L504" s="10">
        <v>610</v>
      </c>
      <c r="M504" s="10">
        <v>0</v>
      </c>
      <c r="N504" s="11">
        <v>610</v>
      </c>
      <c r="O504" s="12">
        <v>371935386</v>
      </c>
      <c r="P504" s="9">
        <v>285123</v>
      </c>
      <c r="Q504" s="9" t="s">
        <v>37</v>
      </c>
      <c r="R504" s="13">
        <v>45709</v>
      </c>
      <c r="S504" s="22">
        <v>45709</v>
      </c>
      <c r="T504" s="13">
        <v>45709</v>
      </c>
      <c r="U504" s="13">
        <v>45709</v>
      </c>
      <c r="V504" s="9" t="s">
        <v>47</v>
      </c>
      <c r="W504" s="9">
        <v>22621896</v>
      </c>
      <c r="X504" s="9">
        <v>2250942</v>
      </c>
      <c r="Y504" s="9">
        <v>68912068</v>
      </c>
      <c r="Z504" s="9" t="s">
        <v>39</v>
      </c>
      <c r="AA504" s="9">
        <v>23022025</v>
      </c>
      <c r="AB504" s="9">
        <v>77703</v>
      </c>
      <c r="AC504" s="9" t="s">
        <v>41</v>
      </c>
      <c r="AD504" s="9" t="s">
        <v>132</v>
      </c>
      <c r="AE504" s="9" t="s">
        <v>133</v>
      </c>
      <c r="AF504" s="9" t="s">
        <v>133</v>
      </c>
      <c r="AG504" s="14" t="str">
        <f t="shared" si="18"/>
        <v>EXAMENES DE LABORATORIO</v>
      </c>
      <c r="AH504" s="9" t="s">
        <v>758</v>
      </c>
      <c r="AI504" s="9">
        <v>0</v>
      </c>
      <c r="AJ504" s="9">
        <v>96986050</v>
      </c>
      <c r="AK504" s="9">
        <v>3</v>
      </c>
      <c r="AL504" s="26" t="s">
        <v>238</v>
      </c>
      <c r="AM504" s="14" t="s">
        <v>605</v>
      </c>
      <c r="AN504" s="27" t="str">
        <f t="shared" si="17"/>
        <v>7693346|96986050|371935386|371935386</v>
      </c>
      <c r="AO504" t="s">
        <v>758</v>
      </c>
      <c r="AP504" t="b">
        <v>1</v>
      </c>
      <c r="AQ504" t="s">
        <v>764</v>
      </c>
    </row>
    <row r="505" spans="1:43" x14ac:dyDescent="0.2">
      <c r="A505" s="14" t="s">
        <v>500</v>
      </c>
      <c r="B505" s="17">
        <v>7693346</v>
      </c>
      <c r="C505" s="14" t="s">
        <v>280</v>
      </c>
      <c r="D505" s="9">
        <v>7693346</v>
      </c>
      <c r="E505" s="9" t="s">
        <v>280</v>
      </c>
      <c r="F505" s="7">
        <v>45717</v>
      </c>
      <c r="G505" s="20" t="s">
        <v>46</v>
      </c>
      <c r="H505" s="8">
        <v>371935386</v>
      </c>
      <c r="I505" s="19">
        <v>65383620</v>
      </c>
      <c r="J505" s="10">
        <v>770</v>
      </c>
      <c r="K505" s="10">
        <v>0</v>
      </c>
      <c r="L505" s="10">
        <v>770</v>
      </c>
      <c r="M505" s="10">
        <v>0</v>
      </c>
      <c r="N505" s="11">
        <v>770</v>
      </c>
      <c r="O505" s="12">
        <v>371935386</v>
      </c>
      <c r="P505" s="9">
        <v>285123</v>
      </c>
      <c r="Q505" s="9" t="s">
        <v>37</v>
      </c>
      <c r="R505" s="13">
        <v>45717</v>
      </c>
      <c r="S505" s="22">
        <v>45742</v>
      </c>
      <c r="T505" s="13">
        <v>45709</v>
      </c>
      <c r="U505" s="13">
        <v>45709</v>
      </c>
      <c r="V505" s="9" t="s">
        <v>47</v>
      </c>
      <c r="W505" s="9">
        <v>22770681</v>
      </c>
      <c r="X505" s="9">
        <v>3311105</v>
      </c>
      <c r="Y505" s="9">
        <v>69250511</v>
      </c>
      <c r="Z505" s="9" t="s">
        <v>39</v>
      </c>
      <c r="AA505" s="9">
        <v>12993972</v>
      </c>
      <c r="AB505" s="9">
        <v>78070</v>
      </c>
      <c r="AC505" s="9" t="s">
        <v>41</v>
      </c>
      <c r="AD505" s="9" t="s">
        <v>132</v>
      </c>
      <c r="AE505" s="9" t="s">
        <v>133</v>
      </c>
      <c r="AF505" s="9" t="s">
        <v>133</v>
      </c>
      <c r="AG505" s="14" t="str">
        <f t="shared" si="18"/>
        <v>EXAMENES DE LABORATORIO</v>
      </c>
      <c r="AH505" s="9">
        <v>0</v>
      </c>
      <c r="AI505" s="9">
        <v>0</v>
      </c>
      <c r="AJ505" s="9">
        <v>96986050</v>
      </c>
      <c r="AK505" s="9">
        <v>3</v>
      </c>
      <c r="AL505" s="26" t="s">
        <v>52</v>
      </c>
      <c r="AM505" s="14" t="s">
        <v>605</v>
      </c>
      <c r="AN505" s="27" t="str">
        <f t="shared" si="17"/>
        <v>7693346|96986050|371935386|65383620</v>
      </c>
      <c r="AO505" t="s">
        <v>44</v>
      </c>
      <c r="AP505" t="b">
        <v>0</v>
      </c>
      <c r="AQ505" t="s">
        <v>763</v>
      </c>
    </row>
    <row r="506" spans="1:43" x14ac:dyDescent="0.2">
      <c r="A506" s="14" t="s">
        <v>500</v>
      </c>
      <c r="B506" s="17">
        <v>13830966</v>
      </c>
      <c r="C506" s="14" t="s">
        <v>281</v>
      </c>
      <c r="D506" s="9">
        <v>13830966</v>
      </c>
      <c r="E506" s="9" t="s">
        <v>281</v>
      </c>
      <c r="F506" s="7">
        <v>45689</v>
      </c>
      <c r="G506" s="20" t="s">
        <v>36</v>
      </c>
      <c r="H506" s="8">
        <v>371968141</v>
      </c>
      <c r="I506" s="19">
        <v>371968141</v>
      </c>
      <c r="J506" s="10">
        <v>24702</v>
      </c>
      <c r="K506" s="10">
        <v>14821</v>
      </c>
      <c r="L506" s="10">
        <v>9881</v>
      </c>
      <c r="M506" s="10">
        <v>0</v>
      </c>
      <c r="N506" s="11">
        <v>9881</v>
      </c>
      <c r="O506" s="12">
        <v>371968141</v>
      </c>
      <c r="P506" s="9">
        <v>285123</v>
      </c>
      <c r="Q506" s="9" t="s">
        <v>37</v>
      </c>
      <c r="R506" s="13">
        <v>45710</v>
      </c>
      <c r="S506" s="22">
        <v>45710</v>
      </c>
      <c r="T506" s="13">
        <v>45710</v>
      </c>
      <c r="U506" s="13">
        <v>45710</v>
      </c>
      <c r="V506" s="9" t="s">
        <v>47</v>
      </c>
      <c r="W506" s="9">
        <v>22646289</v>
      </c>
      <c r="X506" s="9">
        <v>3041018</v>
      </c>
      <c r="Y506" s="9">
        <v>68950203</v>
      </c>
      <c r="Z506" s="9" t="s">
        <v>39</v>
      </c>
      <c r="AA506" s="9">
        <v>2032025</v>
      </c>
      <c r="AB506" s="9">
        <v>77760</v>
      </c>
      <c r="AC506" s="9" t="s">
        <v>41</v>
      </c>
      <c r="AD506" s="9" t="s">
        <v>132</v>
      </c>
      <c r="AE506" s="9" t="s">
        <v>133</v>
      </c>
      <c r="AF506" s="9" t="s">
        <v>133</v>
      </c>
      <c r="AG506" s="14" t="str">
        <f t="shared" si="18"/>
        <v>EXAMENES DE LABORATORIO</v>
      </c>
      <c r="AH506" s="9" t="s">
        <v>758</v>
      </c>
      <c r="AI506" s="9">
        <v>0</v>
      </c>
      <c r="AJ506" s="9">
        <v>90753000</v>
      </c>
      <c r="AK506" s="9">
        <v>0</v>
      </c>
      <c r="AL506" s="26" t="s">
        <v>76</v>
      </c>
      <c r="AM506" s="14" t="s">
        <v>606</v>
      </c>
      <c r="AN506" s="27" t="str">
        <f t="shared" si="17"/>
        <v>13830966|90753000|371968141|371968141</v>
      </c>
      <c r="AO506" t="s">
        <v>758</v>
      </c>
      <c r="AP506" t="b">
        <v>1</v>
      </c>
      <c r="AQ506" t="s">
        <v>764</v>
      </c>
    </row>
    <row r="507" spans="1:43" x14ac:dyDescent="0.2">
      <c r="A507" s="14" t="s">
        <v>500</v>
      </c>
      <c r="B507" s="17">
        <v>13830966</v>
      </c>
      <c r="C507" s="14" t="s">
        <v>281</v>
      </c>
      <c r="D507" s="9">
        <v>13830966</v>
      </c>
      <c r="E507" s="9" t="s">
        <v>281</v>
      </c>
      <c r="F507" s="7">
        <v>45717</v>
      </c>
      <c r="G507" s="20" t="s">
        <v>46</v>
      </c>
      <c r="H507" s="8">
        <v>371968141</v>
      </c>
      <c r="I507" s="19">
        <v>65384141</v>
      </c>
      <c r="J507" s="10">
        <v>10023</v>
      </c>
      <c r="K507" s="10">
        <v>0</v>
      </c>
      <c r="L507" s="10">
        <v>10023</v>
      </c>
      <c r="M507" s="10">
        <v>0</v>
      </c>
      <c r="N507" s="11">
        <v>10023</v>
      </c>
      <c r="O507" s="12">
        <v>371968141</v>
      </c>
      <c r="P507" s="9">
        <v>285123</v>
      </c>
      <c r="Q507" s="9" t="s">
        <v>37</v>
      </c>
      <c r="R507" s="13">
        <v>45717</v>
      </c>
      <c r="S507" s="22">
        <v>45742</v>
      </c>
      <c r="T507" s="13">
        <v>45710</v>
      </c>
      <c r="U507" s="13">
        <v>45710</v>
      </c>
      <c r="V507" s="9" t="s">
        <v>47</v>
      </c>
      <c r="W507" s="9">
        <v>22770691</v>
      </c>
      <c r="X507" s="9">
        <v>3311105</v>
      </c>
      <c r="Y507" s="9">
        <v>69251021</v>
      </c>
      <c r="Z507" s="9" t="s">
        <v>39</v>
      </c>
      <c r="AA507" s="9">
        <v>29378354</v>
      </c>
      <c r="AB507" s="9">
        <v>78070</v>
      </c>
      <c r="AC507" s="9" t="s">
        <v>41</v>
      </c>
      <c r="AD507" s="9" t="s">
        <v>132</v>
      </c>
      <c r="AE507" s="9" t="s">
        <v>133</v>
      </c>
      <c r="AF507" s="9" t="s">
        <v>133</v>
      </c>
      <c r="AG507" s="14" t="str">
        <f t="shared" si="18"/>
        <v>EXAMENES DE LABORATORIO</v>
      </c>
      <c r="AH507" s="9">
        <v>0</v>
      </c>
      <c r="AI507" s="9">
        <v>0</v>
      </c>
      <c r="AJ507" s="9">
        <v>90753000</v>
      </c>
      <c r="AK507" s="9">
        <v>0</v>
      </c>
      <c r="AL507" s="26" t="s">
        <v>52</v>
      </c>
      <c r="AM507" s="14" t="s">
        <v>606</v>
      </c>
      <c r="AN507" s="27" t="str">
        <f t="shared" si="17"/>
        <v>13830966|90753000|371968141|65384141</v>
      </c>
      <c r="AO507" t="s">
        <v>44</v>
      </c>
      <c r="AP507" t="b">
        <v>0</v>
      </c>
      <c r="AQ507" t="s">
        <v>763</v>
      </c>
    </row>
    <row r="508" spans="1:43" x14ac:dyDescent="0.2">
      <c r="A508" s="14" t="s">
        <v>500</v>
      </c>
      <c r="B508" s="17">
        <v>9347751</v>
      </c>
      <c r="C508" s="14" t="s">
        <v>282</v>
      </c>
      <c r="D508" s="9">
        <v>9347751</v>
      </c>
      <c r="E508" s="9" t="s">
        <v>282</v>
      </c>
      <c r="F508" s="7">
        <v>45689</v>
      </c>
      <c r="G508" s="20" t="s">
        <v>36</v>
      </c>
      <c r="H508" s="8">
        <v>372022402</v>
      </c>
      <c r="I508" s="19">
        <v>372022402</v>
      </c>
      <c r="J508" s="10">
        <v>6292</v>
      </c>
      <c r="K508" s="10">
        <v>4405</v>
      </c>
      <c r="L508" s="10">
        <v>1887</v>
      </c>
      <c r="M508" s="10">
        <v>0</v>
      </c>
      <c r="N508" s="11">
        <v>1887</v>
      </c>
      <c r="O508" s="12">
        <v>372022402</v>
      </c>
      <c r="P508" s="9">
        <v>285123</v>
      </c>
      <c r="Q508" s="9" t="s">
        <v>37</v>
      </c>
      <c r="R508" s="13">
        <v>45712</v>
      </c>
      <c r="S508" s="22">
        <v>45712</v>
      </c>
      <c r="T508" s="13">
        <v>45712</v>
      </c>
      <c r="U508" s="13">
        <v>45712</v>
      </c>
      <c r="V508" s="9" t="s">
        <v>47</v>
      </c>
      <c r="W508" s="9">
        <v>22646305</v>
      </c>
      <c r="X508" s="9">
        <v>3041018</v>
      </c>
      <c r="Y508" s="9">
        <v>68951149</v>
      </c>
      <c r="Z508" s="9" t="s">
        <v>39</v>
      </c>
      <c r="AA508" s="9">
        <v>2032025</v>
      </c>
      <c r="AB508" s="9">
        <v>77760</v>
      </c>
      <c r="AC508" s="9" t="s">
        <v>41</v>
      </c>
      <c r="AD508" s="9" t="s">
        <v>132</v>
      </c>
      <c r="AE508" s="9" t="s">
        <v>133</v>
      </c>
      <c r="AF508" s="9" t="s">
        <v>133</v>
      </c>
      <c r="AG508" s="14" t="str">
        <f t="shared" si="18"/>
        <v>EXAMENES DE LABORATORIO</v>
      </c>
      <c r="AH508" s="9" t="s">
        <v>758</v>
      </c>
      <c r="AI508" s="9">
        <v>0</v>
      </c>
      <c r="AJ508" s="9">
        <v>96986050</v>
      </c>
      <c r="AK508" s="9">
        <v>3</v>
      </c>
      <c r="AL508" s="26" t="s">
        <v>238</v>
      </c>
      <c r="AM508" s="14" t="s">
        <v>607</v>
      </c>
      <c r="AN508" s="27" t="str">
        <f t="shared" si="17"/>
        <v>9347751|96986050|372022402|372022402</v>
      </c>
      <c r="AO508" t="s">
        <v>758</v>
      </c>
      <c r="AP508" t="b">
        <v>1</v>
      </c>
      <c r="AQ508" t="s">
        <v>764</v>
      </c>
    </row>
    <row r="509" spans="1:43" x14ac:dyDescent="0.2">
      <c r="A509" s="14" t="s">
        <v>500</v>
      </c>
      <c r="B509" s="17">
        <v>9347751</v>
      </c>
      <c r="C509" s="14" t="s">
        <v>282</v>
      </c>
      <c r="D509" s="9">
        <v>9347751</v>
      </c>
      <c r="E509" s="9" t="s">
        <v>282</v>
      </c>
      <c r="F509" s="7">
        <v>45717</v>
      </c>
      <c r="G509" s="20" t="s">
        <v>46</v>
      </c>
      <c r="H509" s="8">
        <v>372022402</v>
      </c>
      <c r="I509" s="19">
        <v>65383721</v>
      </c>
      <c r="J509" s="10">
        <v>1927</v>
      </c>
      <c r="K509" s="10">
        <v>0</v>
      </c>
      <c r="L509" s="10">
        <v>1927</v>
      </c>
      <c r="M509" s="10">
        <v>0</v>
      </c>
      <c r="N509" s="11">
        <v>1927</v>
      </c>
      <c r="O509" s="12">
        <v>372022402</v>
      </c>
      <c r="P509" s="9">
        <v>285123</v>
      </c>
      <c r="Q509" s="9" t="s">
        <v>37</v>
      </c>
      <c r="R509" s="13">
        <v>45717</v>
      </c>
      <c r="S509" s="22">
        <v>45742</v>
      </c>
      <c r="T509" s="13">
        <v>45712</v>
      </c>
      <c r="U509" s="13">
        <v>45712</v>
      </c>
      <c r="V509" s="9" t="s">
        <v>47</v>
      </c>
      <c r="W509" s="9">
        <v>22770696</v>
      </c>
      <c r="X509" s="9">
        <v>3311105</v>
      </c>
      <c r="Y509" s="9">
        <v>69250612</v>
      </c>
      <c r="Z509" s="9" t="s">
        <v>39</v>
      </c>
      <c r="AA509" s="9">
        <v>7038304</v>
      </c>
      <c r="AB509" s="9">
        <v>78070</v>
      </c>
      <c r="AC509" s="9" t="s">
        <v>41</v>
      </c>
      <c r="AD509" s="9" t="s">
        <v>132</v>
      </c>
      <c r="AE509" s="9" t="s">
        <v>133</v>
      </c>
      <c r="AF509" s="9" t="s">
        <v>133</v>
      </c>
      <c r="AG509" s="14" t="str">
        <f t="shared" si="18"/>
        <v>EXAMENES DE LABORATORIO</v>
      </c>
      <c r="AH509" s="9">
        <v>0</v>
      </c>
      <c r="AI509" s="9">
        <v>0</v>
      </c>
      <c r="AJ509" s="9">
        <v>96986050</v>
      </c>
      <c r="AK509" s="9">
        <v>3</v>
      </c>
      <c r="AL509" s="26" t="s">
        <v>52</v>
      </c>
      <c r="AM509" s="14" t="s">
        <v>607</v>
      </c>
      <c r="AN509" s="27" t="str">
        <f t="shared" si="17"/>
        <v>9347751|96986050|372022402|65383721</v>
      </c>
      <c r="AO509" t="s">
        <v>44</v>
      </c>
      <c r="AP509" t="b">
        <v>0</v>
      </c>
      <c r="AQ509" t="s">
        <v>763</v>
      </c>
    </row>
    <row r="510" spans="1:43" x14ac:dyDescent="0.2">
      <c r="A510" s="14" t="s">
        <v>500</v>
      </c>
      <c r="B510" s="17">
        <v>15344033</v>
      </c>
      <c r="C510" s="14" t="s">
        <v>236</v>
      </c>
      <c r="D510" s="9">
        <v>26689266</v>
      </c>
      <c r="E510" s="9" t="s">
        <v>283</v>
      </c>
      <c r="F510" s="7">
        <v>45689</v>
      </c>
      <c r="G510" s="20" t="s">
        <v>36</v>
      </c>
      <c r="H510" s="8">
        <v>372023435</v>
      </c>
      <c r="I510" s="19">
        <v>372023435</v>
      </c>
      <c r="J510" s="10">
        <v>202004</v>
      </c>
      <c r="K510" s="10">
        <v>141403</v>
      </c>
      <c r="L510" s="10">
        <v>60601</v>
      </c>
      <c r="M510" s="10">
        <v>0</v>
      </c>
      <c r="N510" s="11">
        <v>60601</v>
      </c>
      <c r="O510" s="12">
        <v>372023435</v>
      </c>
      <c r="P510" s="9">
        <v>285123</v>
      </c>
      <c r="Q510" s="9" t="s">
        <v>37</v>
      </c>
      <c r="R510" s="13">
        <v>45712</v>
      </c>
      <c r="S510" s="22">
        <v>45712</v>
      </c>
      <c r="T510" s="13">
        <v>45712</v>
      </c>
      <c r="U510" s="13">
        <v>45712</v>
      </c>
      <c r="V510" s="9" t="s">
        <v>47</v>
      </c>
      <c r="W510" s="9">
        <v>22646325</v>
      </c>
      <c r="X510" s="9">
        <v>3041018</v>
      </c>
      <c r="Y510" s="9">
        <v>68951168</v>
      </c>
      <c r="Z510" s="9" t="s">
        <v>39</v>
      </c>
      <c r="AA510" s="9">
        <v>2032025</v>
      </c>
      <c r="AB510" s="9">
        <v>77760</v>
      </c>
      <c r="AC510" s="9" t="s">
        <v>41</v>
      </c>
      <c r="AD510" s="9" t="s">
        <v>65</v>
      </c>
      <c r="AE510" s="9" t="s">
        <v>66</v>
      </c>
      <c r="AF510" s="9" t="s">
        <v>66</v>
      </c>
      <c r="AG510" s="14" t="str">
        <f t="shared" si="18"/>
        <v>PROCEDIMIENTOS TERAPEUTICOS</v>
      </c>
      <c r="AH510" s="9" t="s">
        <v>758</v>
      </c>
      <c r="AI510" s="9">
        <v>0</v>
      </c>
      <c r="AJ510" s="9">
        <v>99540210</v>
      </c>
      <c r="AK510" s="9">
        <v>6</v>
      </c>
      <c r="AL510" s="26" t="s">
        <v>76</v>
      </c>
      <c r="AM510" s="14" t="s">
        <v>575</v>
      </c>
      <c r="AN510" s="27" t="str">
        <f t="shared" si="17"/>
        <v>15344033|99540210|372023435|372023435</v>
      </c>
      <c r="AO510" t="s">
        <v>758</v>
      </c>
      <c r="AP510" t="b">
        <v>1</v>
      </c>
      <c r="AQ510" t="s">
        <v>764</v>
      </c>
    </row>
    <row r="511" spans="1:43" x14ac:dyDescent="0.2">
      <c r="A511" s="14" t="s">
        <v>500</v>
      </c>
      <c r="B511" s="17">
        <v>15344033</v>
      </c>
      <c r="C511" s="14" t="s">
        <v>236</v>
      </c>
      <c r="D511" s="9">
        <v>26689266</v>
      </c>
      <c r="E511" s="9" t="s">
        <v>283</v>
      </c>
      <c r="F511" s="7">
        <v>45717</v>
      </c>
      <c r="G511" s="20" t="s">
        <v>46</v>
      </c>
      <c r="H511" s="8">
        <v>372023435</v>
      </c>
      <c r="I511" s="19">
        <v>65384275</v>
      </c>
      <c r="J511" s="10">
        <v>60582</v>
      </c>
      <c r="K511" s="10">
        <v>0</v>
      </c>
      <c r="L511" s="10">
        <v>60582</v>
      </c>
      <c r="M511" s="10">
        <v>0</v>
      </c>
      <c r="N511" s="11">
        <v>60582</v>
      </c>
      <c r="O511" s="12">
        <v>372023435</v>
      </c>
      <c r="P511" s="9">
        <v>285123</v>
      </c>
      <c r="Q511" s="9" t="s">
        <v>37</v>
      </c>
      <c r="R511" s="13">
        <v>45717</v>
      </c>
      <c r="S511" s="22">
        <v>45742</v>
      </c>
      <c r="T511" s="13">
        <v>45712</v>
      </c>
      <c r="U511" s="13">
        <v>45712</v>
      </c>
      <c r="V511" s="9" t="s">
        <v>47</v>
      </c>
      <c r="W511" s="9">
        <v>22770704</v>
      </c>
      <c r="X511" s="9">
        <v>3311105</v>
      </c>
      <c r="Y511" s="9">
        <v>69251158</v>
      </c>
      <c r="Z511" s="9" t="s">
        <v>39</v>
      </c>
      <c r="AA511" s="9">
        <v>37507648</v>
      </c>
      <c r="AB511" s="9">
        <v>78070</v>
      </c>
      <c r="AC511" s="9" t="s">
        <v>41</v>
      </c>
      <c r="AD511" s="9" t="s">
        <v>65</v>
      </c>
      <c r="AE511" s="9" t="s">
        <v>66</v>
      </c>
      <c r="AF511" s="9" t="s">
        <v>66</v>
      </c>
      <c r="AG511" s="14" t="str">
        <f t="shared" si="18"/>
        <v>PROCEDIMIENTOS TERAPEUTICOS</v>
      </c>
      <c r="AH511" s="9">
        <v>0</v>
      </c>
      <c r="AI511" s="9">
        <v>0</v>
      </c>
      <c r="AJ511" s="9">
        <v>99540210</v>
      </c>
      <c r="AK511" s="9">
        <v>6</v>
      </c>
      <c r="AL511" s="26" t="s">
        <v>52</v>
      </c>
      <c r="AM511" s="14" t="s">
        <v>575</v>
      </c>
      <c r="AN511" s="27" t="str">
        <f t="shared" si="17"/>
        <v>15344033|99540210|372023435|65384275</v>
      </c>
      <c r="AO511" t="s">
        <v>44</v>
      </c>
      <c r="AP511" t="b">
        <v>0</v>
      </c>
      <c r="AQ511" t="s">
        <v>763</v>
      </c>
    </row>
    <row r="512" spans="1:43" x14ac:dyDescent="0.2">
      <c r="A512" s="14" t="s">
        <v>500</v>
      </c>
      <c r="B512" s="17">
        <v>15344033</v>
      </c>
      <c r="C512" s="14" t="s">
        <v>236</v>
      </c>
      <c r="D512" s="9">
        <v>26689266</v>
      </c>
      <c r="E512" s="9" t="s">
        <v>283</v>
      </c>
      <c r="F512" s="7">
        <v>45689</v>
      </c>
      <c r="G512" s="20" t="s">
        <v>36</v>
      </c>
      <c r="H512" s="8">
        <v>372023521</v>
      </c>
      <c r="I512" s="19">
        <v>372023521</v>
      </c>
      <c r="J512" s="10">
        <v>38514</v>
      </c>
      <c r="K512" s="10">
        <v>15899</v>
      </c>
      <c r="L512" s="10">
        <v>22615</v>
      </c>
      <c r="M512" s="10">
        <v>0</v>
      </c>
      <c r="N512" s="11">
        <v>22615</v>
      </c>
      <c r="O512" s="12">
        <v>372023521</v>
      </c>
      <c r="P512" s="9">
        <v>285123</v>
      </c>
      <c r="Q512" s="9" t="s">
        <v>37</v>
      </c>
      <c r="R512" s="13">
        <v>45712</v>
      </c>
      <c r="S512" s="22">
        <v>45712</v>
      </c>
      <c r="T512" s="13">
        <v>45712</v>
      </c>
      <c r="U512" s="13">
        <v>45712</v>
      </c>
      <c r="V512" s="9" t="s">
        <v>47</v>
      </c>
      <c r="W512" s="9">
        <v>22646325</v>
      </c>
      <c r="X512" s="9">
        <v>3041018</v>
      </c>
      <c r="Y512" s="9">
        <v>68951170</v>
      </c>
      <c r="Z512" s="9" t="s">
        <v>39</v>
      </c>
      <c r="AA512" s="9">
        <v>2032025</v>
      </c>
      <c r="AB512" s="9">
        <v>77760</v>
      </c>
      <c r="AC512" s="9" t="s">
        <v>41</v>
      </c>
      <c r="AD512" s="9" t="s">
        <v>65</v>
      </c>
      <c r="AE512" s="9" t="s">
        <v>66</v>
      </c>
      <c r="AF512" s="9" t="s">
        <v>66</v>
      </c>
      <c r="AG512" s="14" t="str">
        <f t="shared" si="18"/>
        <v>PROCEDIMIENTOS TERAPEUTICOS</v>
      </c>
      <c r="AH512" s="9" t="s">
        <v>758</v>
      </c>
      <c r="AI512" s="9">
        <v>0</v>
      </c>
      <c r="AJ512" s="9">
        <v>99540210</v>
      </c>
      <c r="AK512" s="9">
        <v>6</v>
      </c>
      <c r="AL512" s="26" t="s">
        <v>76</v>
      </c>
      <c r="AM512" s="14" t="s">
        <v>575</v>
      </c>
      <c r="AN512" s="27" t="str">
        <f t="shared" si="17"/>
        <v>15344033|99540210|372023521|372023521</v>
      </c>
      <c r="AO512" t="s">
        <v>758</v>
      </c>
      <c r="AP512" t="b">
        <v>1</v>
      </c>
      <c r="AQ512" t="s">
        <v>764</v>
      </c>
    </row>
    <row r="513" spans="1:43" x14ac:dyDescent="0.2">
      <c r="A513" s="14" t="s">
        <v>500</v>
      </c>
      <c r="B513" s="17">
        <v>15344033</v>
      </c>
      <c r="C513" s="14" t="s">
        <v>236</v>
      </c>
      <c r="D513" s="9">
        <v>26689266</v>
      </c>
      <c r="E513" s="9" t="s">
        <v>283</v>
      </c>
      <c r="F513" s="7">
        <v>45717</v>
      </c>
      <c r="G513" s="20" t="s">
        <v>46</v>
      </c>
      <c r="H513" s="8">
        <v>372023521</v>
      </c>
      <c r="I513" s="19">
        <v>65384276</v>
      </c>
      <c r="J513" s="10">
        <v>21223</v>
      </c>
      <c r="K513" s="10">
        <v>0</v>
      </c>
      <c r="L513" s="10">
        <v>21223</v>
      </c>
      <c r="M513" s="10">
        <v>0</v>
      </c>
      <c r="N513" s="11">
        <v>21223</v>
      </c>
      <c r="O513" s="12">
        <v>372023521</v>
      </c>
      <c r="P513" s="9">
        <v>285123</v>
      </c>
      <c r="Q513" s="9" t="s">
        <v>37</v>
      </c>
      <c r="R513" s="13">
        <v>45717</v>
      </c>
      <c r="S513" s="22">
        <v>45742</v>
      </c>
      <c r="T513" s="13">
        <v>45712</v>
      </c>
      <c r="U513" s="13">
        <v>45712</v>
      </c>
      <c r="V513" s="9" t="s">
        <v>47</v>
      </c>
      <c r="W513" s="9">
        <v>22770704</v>
      </c>
      <c r="X513" s="9">
        <v>3311105</v>
      </c>
      <c r="Y513" s="9">
        <v>69251159</v>
      </c>
      <c r="Z513" s="9" t="s">
        <v>39</v>
      </c>
      <c r="AA513" s="9">
        <v>37507648</v>
      </c>
      <c r="AB513" s="9">
        <v>78070</v>
      </c>
      <c r="AC513" s="9" t="s">
        <v>41</v>
      </c>
      <c r="AD513" s="9" t="s">
        <v>65</v>
      </c>
      <c r="AE513" s="9" t="s">
        <v>66</v>
      </c>
      <c r="AF513" s="9" t="s">
        <v>66</v>
      </c>
      <c r="AG513" s="14" t="str">
        <f t="shared" si="18"/>
        <v>PROCEDIMIENTOS TERAPEUTICOS</v>
      </c>
      <c r="AH513" s="9">
        <v>0</v>
      </c>
      <c r="AI513" s="9">
        <v>0</v>
      </c>
      <c r="AJ513" s="9">
        <v>99540210</v>
      </c>
      <c r="AK513" s="9">
        <v>6</v>
      </c>
      <c r="AL513" s="26" t="s">
        <v>52</v>
      </c>
      <c r="AM513" s="14" t="s">
        <v>575</v>
      </c>
      <c r="AN513" s="27" t="str">
        <f t="shared" si="17"/>
        <v>15344033|99540210|372023521|65384276</v>
      </c>
      <c r="AO513" t="s">
        <v>44</v>
      </c>
      <c r="AP513" t="b">
        <v>0</v>
      </c>
      <c r="AQ513" t="s">
        <v>763</v>
      </c>
    </row>
    <row r="514" spans="1:43" x14ac:dyDescent="0.2">
      <c r="A514" s="14" t="s">
        <v>500</v>
      </c>
      <c r="B514" s="17">
        <v>10056123</v>
      </c>
      <c r="C514" s="14" t="s">
        <v>284</v>
      </c>
      <c r="D514" s="9">
        <v>10056123</v>
      </c>
      <c r="E514" s="9" t="s">
        <v>284</v>
      </c>
      <c r="F514" s="7">
        <v>45689</v>
      </c>
      <c r="G514" s="20" t="s">
        <v>36</v>
      </c>
      <c r="H514" s="8">
        <v>372034610</v>
      </c>
      <c r="I514" s="19">
        <v>372034610</v>
      </c>
      <c r="J514" s="10">
        <v>57360</v>
      </c>
      <c r="K514" s="10">
        <v>32381</v>
      </c>
      <c r="L514" s="10">
        <v>24979</v>
      </c>
      <c r="M514" s="10">
        <v>0</v>
      </c>
      <c r="N514" s="11">
        <v>24979</v>
      </c>
      <c r="O514" s="12">
        <v>372034610</v>
      </c>
      <c r="P514" s="9">
        <v>285123</v>
      </c>
      <c r="Q514" s="9" t="s">
        <v>37</v>
      </c>
      <c r="R514" s="13">
        <v>45712</v>
      </c>
      <c r="S514" s="22">
        <v>45712</v>
      </c>
      <c r="T514" s="13">
        <v>45712</v>
      </c>
      <c r="U514" s="13">
        <v>45712</v>
      </c>
      <c r="V514" s="9" t="s">
        <v>47</v>
      </c>
      <c r="W514" s="9">
        <v>22646309</v>
      </c>
      <c r="X514" s="9">
        <v>3041018</v>
      </c>
      <c r="Y514" s="9">
        <v>68951335</v>
      </c>
      <c r="Z514" s="9" t="s">
        <v>39</v>
      </c>
      <c r="AA514" s="9">
        <v>2032025</v>
      </c>
      <c r="AB514" s="9">
        <v>77760</v>
      </c>
      <c r="AC514" s="9" t="s">
        <v>41</v>
      </c>
      <c r="AD514" s="9" t="s">
        <v>65</v>
      </c>
      <c r="AE514" s="9" t="s">
        <v>66</v>
      </c>
      <c r="AF514" s="9" t="s">
        <v>66</v>
      </c>
      <c r="AG514" s="14" t="str">
        <f t="shared" si="18"/>
        <v>PROCEDIMIENTOS TERAPEUTICOS</v>
      </c>
      <c r="AH514" s="9" t="s">
        <v>758</v>
      </c>
      <c r="AI514" s="9">
        <v>0</v>
      </c>
      <c r="AJ514" s="9">
        <v>76098454</v>
      </c>
      <c r="AK514" s="9" t="s">
        <v>161</v>
      </c>
      <c r="AL514" s="26" t="s">
        <v>76</v>
      </c>
      <c r="AM514" s="14" t="s">
        <v>608</v>
      </c>
      <c r="AN514" s="27" t="str">
        <f t="shared" si="17"/>
        <v>10056123|76098454|372034610|372034610</v>
      </c>
      <c r="AO514" t="s">
        <v>758</v>
      </c>
      <c r="AP514" t="b">
        <v>1</v>
      </c>
      <c r="AQ514" t="s">
        <v>764</v>
      </c>
    </row>
    <row r="515" spans="1:43" x14ac:dyDescent="0.2">
      <c r="A515" s="14" t="s">
        <v>500</v>
      </c>
      <c r="B515" s="17">
        <v>10056123</v>
      </c>
      <c r="C515" s="14" t="s">
        <v>284</v>
      </c>
      <c r="D515" s="9">
        <v>10056123</v>
      </c>
      <c r="E515" s="9" t="s">
        <v>284</v>
      </c>
      <c r="F515" s="7">
        <v>45717</v>
      </c>
      <c r="G515" s="20" t="s">
        <v>46</v>
      </c>
      <c r="H515" s="8">
        <v>372034610</v>
      </c>
      <c r="I515" s="19">
        <v>65383796</v>
      </c>
      <c r="J515" s="10">
        <v>24695</v>
      </c>
      <c r="K515" s="10">
        <v>0</v>
      </c>
      <c r="L515" s="10">
        <v>24695</v>
      </c>
      <c r="M515" s="10">
        <v>0</v>
      </c>
      <c r="N515" s="11">
        <v>24695</v>
      </c>
      <c r="O515" s="12">
        <v>372034610</v>
      </c>
      <c r="P515" s="9">
        <v>285123</v>
      </c>
      <c r="Q515" s="9" t="s">
        <v>37</v>
      </c>
      <c r="R515" s="13">
        <v>45717</v>
      </c>
      <c r="S515" s="22">
        <v>45742</v>
      </c>
      <c r="T515" s="13">
        <v>45712</v>
      </c>
      <c r="U515" s="13">
        <v>45712</v>
      </c>
      <c r="V515" s="9" t="s">
        <v>47</v>
      </c>
      <c r="W515" s="9">
        <v>22770699</v>
      </c>
      <c r="X515" s="9">
        <v>3311105</v>
      </c>
      <c r="Y515" s="9">
        <v>69250685</v>
      </c>
      <c r="Z515" s="9" t="s">
        <v>39</v>
      </c>
      <c r="AA515" s="9">
        <v>1010352303</v>
      </c>
      <c r="AB515" s="9">
        <v>78070</v>
      </c>
      <c r="AC515" s="9" t="s">
        <v>41</v>
      </c>
      <c r="AD515" s="9" t="s">
        <v>65</v>
      </c>
      <c r="AE515" s="9" t="s">
        <v>66</v>
      </c>
      <c r="AF515" s="9" t="s">
        <v>66</v>
      </c>
      <c r="AG515" s="14" t="str">
        <f t="shared" si="18"/>
        <v>PROCEDIMIENTOS TERAPEUTICOS</v>
      </c>
      <c r="AH515" s="9">
        <v>0</v>
      </c>
      <c r="AI515" s="9">
        <v>0</v>
      </c>
      <c r="AJ515" s="9">
        <v>76098454</v>
      </c>
      <c r="AK515" s="9" t="s">
        <v>161</v>
      </c>
      <c r="AL515" s="26" t="s">
        <v>52</v>
      </c>
      <c r="AM515" s="14" t="s">
        <v>608</v>
      </c>
      <c r="AN515" s="27" t="str">
        <f t="shared" ref="AN515:AN578" si="19">B515&amp;"|"&amp;AJ515&amp;"|"&amp;H515&amp;"|"&amp;I515</f>
        <v>10056123|76098454|372034610|65383796</v>
      </c>
      <c r="AO515" t="s">
        <v>44</v>
      </c>
      <c r="AP515" t="b">
        <v>0</v>
      </c>
      <c r="AQ515" t="s">
        <v>763</v>
      </c>
    </row>
    <row r="516" spans="1:43" x14ac:dyDescent="0.2">
      <c r="A516" s="14" t="s">
        <v>500</v>
      </c>
      <c r="B516" s="17">
        <v>8576939</v>
      </c>
      <c r="C516" s="14" t="s">
        <v>278</v>
      </c>
      <c r="D516" s="9">
        <v>8576939</v>
      </c>
      <c r="E516" s="9" t="s">
        <v>278</v>
      </c>
      <c r="F516" s="7">
        <v>45689</v>
      </c>
      <c r="G516" s="20" t="s">
        <v>36</v>
      </c>
      <c r="H516" s="8">
        <v>372072261</v>
      </c>
      <c r="I516" s="19">
        <v>372072261</v>
      </c>
      <c r="J516" s="10">
        <v>175315</v>
      </c>
      <c r="K516" s="10">
        <v>117970</v>
      </c>
      <c r="L516" s="10">
        <v>57345</v>
      </c>
      <c r="M516" s="10">
        <v>0</v>
      </c>
      <c r="N516" s="11">
        <v>57345</v>
      </c>
      <c r="O516" s="12">
        <v>372072261</v>
      </c>
      <c r="P516" s="9">
        <v>285123</v>
      </c>
      <c r="Q516" s="9" t="s">
        <v>37</v>
      </c>
      <c r="R516" s="13">
        <v>45713</v>
      </c>
      <c r="S516" s="22">
        <v>45713</v>
      </c>
      <c r="T516" s="13">
        <v>45713</v>
      </c>
      <c r="U516" s="13">
        <v>45713</v>
      </c>
      <c r="V516" s="9" t="s">
        <v>47</v>
      </c>
      <c r="W516" s="9">
        <v>22646346</v>
      </c>
      <c r="X516" s="9">
        <v>3041018</v>
      </c>
      <c r="Y516" s="9">
        <v>68951956</v>
      </c>
      <c r="Z516" s="9" t="s">
        <v>39</v>
      </c>
      <c r="AA516" s="9">
        <v>2032025</v>
      </c>
      <c r="AB516" s="9">
        <v>77760</v>
      </c>
      <c r="AC516" s="9" t="s">
        <v>41</v>
      </c>
      <c r="AD516" s="9" t="s">
        <v>65</v>
      </c>
      <c r="AE516" s="9" t="s">
        <v>66</v>
      </c>
      <c r="AF516" s="9" t="s">
        <v>66</v>
      </c>
      <c r="AG516" s="14" t="str">
        <f t="shared" si="18"/>
        <v>PROCEDIMIENTOS TERAPEUTICOS</v>
      </c>
      <c r="AH516" s="9" t="s">
        <v>758</v>
      </c>
      <c r="AI516" s="9">
        <v>0</v>
      </c>
      <c r="AJ516" s="9">
        <v>96617350</v>
      </c>
      <c r="AK516" s="9">
        <v>5</v>
      </c>
      <c r="AL516" s="26" t="s">
        <v>238</v>
      </c>
      <c r="AM516" s="14" t="s">
        <v>603</v>
      </c>
      <c r="AN516" s="27" t="str">
        <f t="shared" si="19"/>
        <v>8576939|96617350|372072261|372072261</v>
      </c>
      <c r="AO516" t="s">
        <v>758</v>
      </c>
      <c r="AP516" t="b">
        <v>1</v>
      </c>
      <c r="AQ516" t="s">
        <v>764</v>
      </c>
    </row>
    <row r="517" spans="1:43" x14ac:dyDescent="0.2">
      <c r="A517" s="14" t="s">
        <v>500</v>
      </c>
      <c r="B517" s="17">
        <v>8576939</v>
      </c>
      <c r="C517" s="14" t="s">
        <v>278</v>
      </c>
      <c r="D517" s="9">
        <v>8576939</v>
      </c>
      <c r="E517" s="9" t="s">
        <v>278</v>
      </c>
      <c r="F517" s="7">
        <v>45717</v>
      </c>
      <c r="G517" s="20" t="s">
        <v>46</v>
      </c>
      <c r="H517" s="8">
        <v>372072261</v>
      </c>
      <c r="I517" s="19">
        <v>65383679</v>
      </c>
      <c r="J517" s="10">
        <v>57131</v>
      </c>
      <c r="K517" s="10">
        <v>0</v>
      </c>
      <c r="L517" s="10">
        <v>57131</v>
      </c>
      <c r="M517" s="10">
        <v>0</v>
      </c>
      <c r="N517" s="11">
        <v>57131</v>
      </c>
      <c r="O517" s="12">
        <v>372072261</v>
      </c>
      <c r="P517" s="9">
        <v>285123</v>
      </c>
      <c r="Q517" s="9" t="s">
        <v>37</v>
      </c>
      <c r="R517" s="13">
        <v>45717</v>
      </c>
      <c r="S517" s="22">
        <v>45742</v>
      </c>
      <c r="T517" s="13">
        <v>45713</v>
      </c>
      <c r="U517" s="13">
        <v>45713</v>
      </c>
      <c r="V517" s="9" t="s">
        <v>47</v>
      </c>
      <c r="W517" s="9">
        <v>22770709</v>
      </c>
      <c r="X517" s="9">
        <v>3311105</v>
      </c>
      <c r="Y517" s="9">
        <v>69250570</v>
      </c>
      <c r="Z517" s="9" t="s">
        <v>39</v>
      </c>
      <c r="AA517" s="9">
        <v>40197654</v>
      </c>
      <c r="AB517" s="9">
        <v>78070</v>
      </c>
      <c r="AC517" s="9" t="s">
        <v>41</v>
      </c>
      <c r="AD517" s="9" t="s">
        <v>65</v>
      </c>
      <c r="AE517" s="9" t="s">
        <v>66</v>
      </c>
      <c r="AF517" s="9" t="s">
        <v>66</v>
      </c>
      <c r="AG517" s="14" t="str">
        <f t="shared" si="18"/>
        <v>PROCEDIMIENTOS TERAPEUTICOS</v>
      </c>
      <c r="AH517" s="9">
        <v>0</v>
      </c>
      <c r="AI517" s="9">
        <v>0</v>
      </c>
      <c r="AJ517" s="9">
        <v>96617350</v>
      </c>
      <c r="AK517" s="9">
        <v>5</v>
      </c>
      <c r="AL517" s="26" t="s">
        <v>52</v>
      </c>
      <c r="AM517" s="14" t="s">
        <v>603</v>
      </c>
      <c r="AN517" s="27" t="str">
        <f t="shared" si="19"/>
        <v>8576939|96617350|372072261|65383679</v>
      </c>
      <c r="AO517" t="s">
        <v>44</v>
      </c>
      <c r="AP517" t="b">
        <v>0</v>
      </c>
      <c r="AQ517" t="s">
        <v>763</v>
      </c>
    </row>
    <row r="518" spans="1:43" x14ac:dyDescent="0.2">
      <c r="A518" s="14" t="s">
        <v>500</v>
      </c>
      <c r="B518" s="17">
        <v>13830329</v>
      </c>
      <c r="C518" s="14" t="s">
        <v>285</v>
      </c>
      <c r="D518" s="9">
        <v>23994888</v>
      </c>
      <c r="E518" s="9" t="s">
        <v>286</v>
      </c>
      <c r="F518" s="7">
        <v>45689</v>
      </c>
      <c r="G518" s="20" t="s">
        <v>36</v>
      </c>
      <c r="H518" s="8">
        <v>372089295</v>
      </c>
      <c r="I518" s="19">
        <v>372089295</v>
      </c>
      <c r="J518" s="10">
        <v>54075</v>
      </c>
      <c r="K518" s="10">
        <v>32445</v>
      </c>
      <c r="L518" s="10">
        <v>21630</v>
      </c>
      <c r="M518" s="10">
        <v>0</v>
      </c>
      <c r="N518" s="11">
        <v>21630</v>
      </c>
      <c r="O518" s="12">
        <v>372089295</v>
      </c>
      <c r="P518" s="9">
        <v>285123</v>
      </c>
      <c r="Q518" s="9" t="s">
        <v>37</v>
      </c>
      <c r="R518" s="13">
        <v>45714</v>
      </c>
      <c r="S518" s="22">
        <v>45714</v>
      </c>
      <c r="T518" s="13">
        <v>45714</v>
      </c>
      <c r="U518" s="13">
        <v>45714</v>
      </c>
      <c r="V518" s="9" t="s">
        <v>47</v>
      </c>
      <c r="W518" s="9">
        <v>22646405</v>
      </c>
      <c r="X518" s="9">
        <v>3041018</v>
      </c>
      <c r="Y518" s="9">
        <v>68952248</v>
      </c>
      <c r="Z518" s="9" t="s">
        <v>39</v>
      </c>
      <c r="AA518" s="9">
        <v>2032025</v>
      </c>
      <c r="AB518" s="9">
        <v>77760</v>
      </c>
      <c r="AC518" s="9" t="s">
        <v>41</v>
      </c>
      <c r="AD518" s="9" t="s">
        <v>65</v>
      </c>
      <c r="AE518" s="9" t="s">
        <v>66</v>
      </c>
      <c r="AF518" s="9" t="s">
        <v>66</v>
      </c>
      <c r="AG518" s="14" t="str">
        <f t="shared" si="18"/>
        <v>PROCEDIMIENTOS TERAPEUTICOS</v>
      </c>
      <c r="AH518" s="9" t="s">
        <v>758</v>
      </c>
      <c r="AI518" s="9">
        <v>0</v>
      </c>
      <c r="AJ518" s="9">
        <v>96770100</v>
      </c>
      <c r="AK518" s="9">
        <v>9</v>
      </c>
      <c r="AL518" s="26" t="s">
        <v>76</v>
      </c>
      <c r="AM518" s="14" t="s">
        <v>609</v>
      </c>
      <c r="AN518" s="27" t="str">
        <f t="shared" si="19"/>
        <v>13830329|96770100|372089295|372089295</v>
      </c>
      <c r="AO518" t="s">
        <v>758</v>
      </c>
      <c r="AP518" t="b">
        <v>1</v>
      </c>
      <c r="AQ518" t="s">
        <v>764</v>
      </c>
    </row>
    <row r="519" spans="1:43" x14ac:dyDescent="0.2">
      <c r="A519" s="14" t="s">
        <v>500</v>
      </c>
      <c r="B519" s="17">
        <v>13830329</v>
      </c>
      <c r="C519" s="14" t="s">
        <v>285</v>
      </c>
      <c r="D519" s="9">
        <v>23994888</v>
      </c>
      <c r="E519" s="9" t="s">
        <v>286</v>
      </c>
      <c r="F519" s="7">
        <v>45717</v>
      </c>
      <c r="G519" s="20" t="s">
        <v>46</v>
      </c>
      <c r="H519" s="8">
        <v>372089295</v>
      </c>
      <c r="I519" s="19">
        <v>65384140</v>
      </c>
      <c r="J519" s="10">
        <v>21625</v>
      </c>
      <c r="K519" s="10">
        <v>0</v>
      </c>
      <c r="L519" s="10">
        <v>21625</v>
      </c>
      <c r="M519" s="10">
        <v>0</v>
      </c>
      <c r="N519" s="11">
        <v>21625</v>
      </c>
      <c r="O519" s="12">
        <v>372089295</v>
      </c>
      <c r="P519" s="9">
        <v>285123</v>
      </c>
      <c r="Q519" s="9" t="s">
        <v>37</v>
      </c>
      <c r="R519" s="13">
        <v>45717</v>
      </c>
      <c r="S519" s="22">
        <v>45742</v>
      </c>
      <c r="T519" s="13">
        <v>45714</v>
      </c>
      <c r="U519" s="13">
        <v>45714</v>
      </c>
      <c r="V519" s="9" t="s">
        <v>47</v>
      </c>
      <c r="W519" s="9">
        <v>22770727</v>
      </c>
      <c r="X519" s="9">
        <v>3311105</v>
      </c>
      <c r="Y519" s="9">
        <v>69251020</v>
      </c>
      <c r="Z519" s="9" t="s">
        <v>39</v>
      </c>
      <c r="AA519" s="9">
        <v>50183704</v>
      </c>
      <c r="AB519" s="9">
        <v>78070</v>
      </c>
      <c r="AC519" s="9" t="s">
        <v>41</v>
      </c>
      <c r="AD519" s="9" t="s">
        <v>65</v>
      </c>
      <c r="AE519" s="9" t="s">
        <v>66</v>
      </c>
      <c r="AF519" s="9" t="s">
        <v>66</v>
      </c>
      <c r="AG519" s="14" t="str">
        <f t="shared" si="18"/>
        <v>PROCEDIMIENTOS TERAPEUTICOS</v>
      </c>
      <c r="AH519" s="9">
        <v>0</v>
      </c>
      <c r="AI519" s="9">
        <v>0</v>
      </c>
      <c r="AJ519" s="9">
        <v>96770100</v>
      </c>
      <c r="AK519" s="9">
        <v>9</v>
      </c>
      <c r="AL519" s="26" t="s">
        <v>52</v>
      </c>
      <c r="AM519" s="14" t="s">
        <v>609</v>
      </c>
      <c r="AN519" s="27" t="str">
        <f t="shared" si="19"/>
        <v>13830329|96770100|372089295|65384140</v>
      </c>
      <c r="AO519" t="s">
        <v>44</v>
      </c>
      <c r="AP519" t="b">
        <v>0</v>
      </c>
      <c r="AQ519" t="s">
        <v>763</v>
      </c>
    </row>
    <row r="520" spans="1:43" x14ac:dyDescent="0.2">
      <c r="A520" s="14" t="s">
        <v>500</v>
      </c>
      <c r="B520" s="17">
        <v>7849980</v>
      </c>
      <c r="C520" s="14" t="s">
        <v>287</v>
      </c>
      <c r="D520" s="9">
        <v>7451468</v>
      </c>
      <c r="E520" s="9" t="s">
        <v>288</v>
      </c>
      <c r="F520" s="7">
        <v>45689</v>
      </c>
      <c r="G520" s="20" t="s">
        <v>36</v>
      </c>
      <c r="H520" s="8">
        <v>372127324</v>
      </c>
      <c r="I520" s="19">
        <v>372127324</v>
      </c>
      <c r="J520" s="10">
        <v>5565</v>
      </c>
      <c r="K520" s="10">
        <v>4994</v>
      </c>
      <c r="L520" s="10">
        <v>571</v>
      </c>
      <c r="M520" s="10">
        <v>0</v>
      </c>
      <c r="N520" s="11">
        <v>571</v>
      </c>
      <c r="O520" s="12">
        <v>372127324</v>
      </c>
      <c r="P520" s="9">
        <v>285123</v>
      </c>
      <c r="Q520" s="9" t="s">
        <v>37</v>
      </c>
      <c r="R520" s="13">
        <v>45715</v>
      </c>
      <c r="S520" s="22">
        <v>45715</v>
      </c>
      <c r="T520" s="13">
        <v>45715</v>
      </c>
      <c r="U520" s="13">
        <v>45715</v>
      </c>
      <c r="V520" s="9" t="s">
        <v>47</v>
      </c>
      <c r="W520" s="9">
        <v>22646422</v>
      </c>
      <c r="X520" s="9">
        <v>3041018</v>
      </c>
      <c r="Y520" s="9">
        <v>68952909</v>
      </c>
      <c r="Z520" s="9" t="s">
        <v>39</v>
      </c>
      <c r="AA520" s="9">
        <v>2032025</v>
      </c>
      <c r="AB520" s="9">
        <v>77760</v>
      </c>
      <c r="AC520" s="9" t="s">
        <v>41</v>
      </c>
      <c r="AD520" s="9" t="s">
        <v>132</v>
      </c>
      <c r="AE520" s="9" t="s">
        <v>133</v>
      </c>
      <c r="AF520" s="9" t="s">
        <v>133</v>
      </c>
      <c r="AG520" s="14" t="str">
        <f t="shared" si="18"/>
        <v>EXAMENES DE LABORATORIO</v>
      </c>
      <c r="AH520" s="9" t="s">
        <v>758</v>
      </c>
      <c r="AI520" s="9">
        <v>0</v>
      </c>
      <c r="AJ520" s="9">
        <v>96617350</v>
      </c>
      <c r="AK520" s="9">
        <v>5</v>
      </c>
      <c r="AL520" s="26" t="s">
        <v>76</v>
      </c>
      <c r="AM520" s="14" t="s">
        <v>610</v>
      </c>
      <c r="AN520" s="27" t="str">
        <f t="shared" si="19"/>
        <v>7849980|96617350|372127324|372127324</v>
      </c>
      <c r="AO520" t="s">
        <v>758</v>
      </c>
      <c r="AP520" t="b">
        <v>1</v>
      </c>
      <c r="AQ520" t="s">
        <v>764</v>
      </c>
    </row>
    <row r="521" spans="1:43" x14ac:dyDescent="0.2">
      <c r="A521" s="14" t="s">
        <v>500</v>
      </c>
      <c r="B521" s="17">
        <v>7849980</v>
      </c>
      <c r="C521" s="14" t="s">
        <v>287</v>
      </c>
      <c r="D521" s="9">
        <v>7451468</v>
      </c>
      <c r="E521" s="9" t="s">
        <v>288</v>
      </c>
      <c r="F521" s="7">
        <v>45717</v>
      </c>
      <c r="G521" s="20" t="s">
        <v>46</v>
      </c>
      <c r="H521" s="8">
        <v>372127324</v>
      </c>
      <c r="I521" s="19">
        <v>65383635</v>
      </c>
      <c r="J521" s="10">
        <v>386</v>
      </c>
      <c r="K521" s="10">
        <v>0</v>
      </c>
      <c r="L521" s="10">
        <v>386</v>
      </c>
      <c r="M521" s="10">
        <v>0</v>
      </c>
      <c r="N521" s="11">
        <v>386</v>
      </c>
      <c r="O521" s="12">
        <v>372127324</v>
      </c>
      <c r="P521" s="9">
        <v>285123</v>
      </c>
      <c r="Q521" s="9" t="s">
        <v>37</v>
      </c>
      <c r="R521" s="13">
        <v>45717</v>
      </c>
      <c r="S521" s="22">
        <v>45742</v>
      </c>
      <c r="T521" s="13">
        <v>45715</v>
      </c>
      <c r="U521" s="13">
        <v>45715</v>
      </c>
      <c r="V521" s="9" t="s">
        <v>47</v>
      </c>
      <c r="W521" s="9">
        <v>22770730</v>
      </c>
      <c r="X521" s="9">
        <v>3311105</v>
      </c>
      <c r="Y521" s="9">
        <v>69250526</v>
      </c>
      <c r="Z521" s="9" t="s">
        <v>39</v>
      </c>
      <c r="AA521" s="9">
        <v>62849754</v>
      </c>
      <c r="AB521" s="9">
        <v>78070</v>
      </c>
      <c r="AC521" s="9" t="s">
        <v>41</v>
      </c>
      <c r="AD521" s="9" t="s">
        <v>132</v>
      </c>
      <c r="AE521" s="9" t="s">
        <v>133</v>
      </c>
      <c r="AF521" s="9" t="s">
        <v>133</v>
      </c>
      <c r="AG521" s="14" t="str">
        <f t="shared" si="18"/>
        <v>EXAMENES DE LABORATORIO</v>
      </c>
      <c r="AH521" s="9">
        <v>0</v>
      </c>
      <c r="AI521" s="9">
        <v>0</v>
      </c>
      <c r="AJ521" s="9">
        <v>96617350</v>
      </c>
      <c r="AK521" s="9">
        <v>5</v>
      </c>
      <c r="AL521" s="26" t="s">
        <v>52</v>
      </c>
      <c r="AM521" s="14" t="s">
        <v>610</v>
      </c>
      <c r="AN521" s="27" t="str">
        <f t="shared" si="19"/>
        <v>7849980|96617350|372127324|65383635</v>
      </c>
      <c r="AO521" t="s">
        <v>44</v>
      </c>
      <c r="AP521" t="b">
        <v>0</v>
      </c>
      <c r="AQ521" t="s">
        <v>763</v>
      </c>
    </row>
    <row r="522" spans="1:43" x14ac:dyDescent="0.2">
      <c r="A522" s="14" t="s">
        <v>500</v>
      </c>
      <c r="B522" s="17">
        <v>7849980</v>
      </c>
      <c r="C522" s="14" t="s">
        <v>287</v>
      </c>
      <c r="D522" s="9">
        <v>7451468</v>
      </c>
      <c r="E522" s="9" t="s">
        <v>288</v>
      </c>
      <c r="F522" s="7">
        <v>45689</v>
      </c>
      <c r="G522" s="20" t="s">
        <v>36</v>
      </c>
      <c r="H522" s="8">
        <v>372127325</v>
      </c>
      <c r="I522" s="19">
        <v>372127325</v>
      </c>
      <c r="J522" s="10">
        <v>982</v>
      </c>
      <c r="K522" s="10">
        <v>582</v>
      </c>
      <c r="L522" s="10">
        <v>400</v>
      </c>
      <c r="M522" s="10">
        <v>0</v>
      </c>
      <c r="N522" s="11">
        <v>400</v>
      </c>
      <c r="O522" s="12">
        <v>372127325</v>
      </c>
      <c r="P522" s="9">
        <v>285123</v>
      </c>
      <c r="Q522" s="9" t="s">
        <v>37</v>
      </c>
      <c r="R522" s="13">
        <v>45715</v>
      </c>
      <c r="S522" s="22">
        <v>45715</v>
      </c>
      <c r="T522" s="13">
        <v>45715</v>
      </c>
      <c r="U522" s="13">
        <v>45715</v>
      </c>
      <c r="V522" s="9" t="s">
        <v>47</v>
      </c>
      <c r="W522" s="9">
        <v>22646422</v>
      </c>
      <c r="X522" s="9">
        <v>3041018</v>
      </c>
      <c r="Y522" s="9">
        <v>68952908</v>
      </c>
      <c r="Z522" s="9" t="s">
        <v>39</v>
      </c>
      <c r="AA522" s="9">
        <v>2032025</v>
      </c>
      <c r="AB522" s="9">
        <v>77760</v>
      </c>
      <c r="AC522" s="9" t="s">
        <v>41</v>
      </c>
      <c r="AD522" s="9" t="s">
        <v>132</v>
      </c>
      <c r="AE522" s="9" t="s">
        <v>133</v>
      </c>
      <c r="AF522" s="9" t="s">
        <v>133</v>
      </c>
      <c r="AG522" s="14" t="str">
        <f t="shared" si="18"/>
        <v>EXAMENES DE LABORATORIO</v>
      </c>
      <c r="AH522" s="9" t="s">
        <v>758</v>
      </c>
      <c r="AI522" s="9">
        <v>0</v>
      </c>
      <c r="AJ522" s="9">
        <v>96617350</v>
      </c>
      <c r="AK522" s="9">
        <v>5</v>
      </c>
      <c r="AL522" s="26" t="s">
        <v>76</v>
      </c>
      <c r="AM522" s="14" t="s">
        <v>610</v>
      </c>
      <c r="AN522" s="27" t="str">
        <f t="shared" si="19"/>
        <v>7849980|96617350|372127325|372127325</v>
      </c>
      <c r="AO522" t="s">
        <v>758</v>
      </c>
      <c r="AP522" t="b">
        <v>1</v>
      </c>
      <c r="AQ522" t="s">
        <v>764</v>
      </c>
    </row>
    <row r="523" spans="1:43" x14ac:dyDescent="0.2">
      <c r="A523" s="14" t="s">
        <v>500</v>
      </c>
      <c r="B523" s="17">
        <v>7849980</v>
      </c>
      <c r="C523" s="14" t="s">
        <v>287</v>
      </c>
      <c r="D523" s="9">
        <v>7451468</v>
      </c>
      <c r="E523" s="9" t="s">
        <v>288</v>
      </c>
      <c r="F523" s="7">
        <v>45717</v>
      </c>
      <c r="G523" s="20" t="s">
        <v>46</v>
      </c>
      <c r="H523" s="8">
        <v>372127325</v>
      </c>
      <c r="I523" s="19">
        <v>65383636</v>
      </c>
      <c r="J523" s="10">
        <v>386</v>
      </c>
      <c r="K523" s="10">
        <v>0</v>
      </c>
      <c r="L523" s="10">
        <v>386</v>
      </c>
      <c r="M523" s="10">
        <v>0</v>
      </c>
      <c r="N523" s="11">
        <v>386</v>
      </c>
      <c r="O523" s="12">
        <v>372127325</v>
      </c>
      <c r="P523" s="9">
        <v>285123</v>
      </c>
      <c r="Q523" s="9" t="s">
        <v>37</v>
      </c>
      <c r="R523" s="13">
        <v>45717</v>
      </c>
      <c r="S523" s="22">
        <v>45742</v>
      </c>
      <c r="T523" s="13">
        <v>45715</v>
      </c>
      <c r="U523" s="13">
        <v>45715</v>
      </c>
      <c r="V523" s="9" t="s">
        <v>47</v>
      </c>
      <c r="W523" s="9">
        <v>22770730</v>
      </c>
      <c r="X523" s="9">
        <v>3311105</v>
      </c>
      <c r="Y523" s="9">
        <v>69250527</v>
      </c>
      <c r="Z523" s="9" t="s">
        <v>39</v>
      </c>
      <c r="AA523" s="9">
        <v>62849754</v>
      </c>
      <c r="AB523" s="9">
        <v>78070</v>
      </c>
      <c r="AC523" s="9" t="s">
        <v>41</v>
      </c>
      <c r="AD523" s="9" t="s">
        <v>132</v>
      </c>
      <c r="AE523" s="9" t="s">
        <v>133</v>
      </c>
      <c r="AF523" s="9" t="s">
        <v>133</v>
      </c>
      <c r="AG523" s="14" t="str">
        <f t="shared" si="18"/>
        <v>EXAMENES DE LABORATORIO</v>
      </c>
      <c r="AH523" s="9">
        <v>0</v>
      </c>
      <c r="AI523" s="9">
        <v>0</v>
      </c>
      <c r="AJ523" s="9">
        <v>96617350</v>
      </c>
      <c r="AK523" s="9">
        <v>5</v>
      </c>
      <c r="AL523" s="26" t="s">
        <v>52</v>
      </c>
      <c r="AM523" s="14" t="s">
        <v>610</v>
      </c>
      <c r="AN523" s="27" t="str">
        <f t="shared" si="19"/>
        <v>7849980|96617350|372127325|65383636</v>
      </c>
      <c r="AO523" t="s">
        <v>44</v>
      </c>
      <c r="AP523" t="b">
        <v>0</v>
      </c>
      <c r="AQ523" t="s">
        <v>763</v>
      </c>
    </row>
    <row r="524" spans="1:43" x14ac:dyDescent="0.2">
      <c r="A524" s="14" t="s">
        <v>500</v>
      </c>
      <c r="B524" s="17">
        <v>14720057</v>
      </c>
      <c r="C524" s="14" t="s">
        <v>289</v>
      </c>
      <c r="D524" s="9">
        <v>24299651</v>
      </c>
      <c r="E524" s="9" t="s">
        <v>290</v>
      </c>
      <c r="F524" s="7">
        <v>45689</v>
      </c>
      <c r="G524" s="20" t="s">
        <v>36</v>
      </c>
      <c r="H524" s="8">
        <v>372183136</v>
      </c>
      <c r="I524" s="19">
        <v>372183136</v>
      </c>
      <c r="J524" s="10">
        <v>84038</v>
      </c>
      <c r="K524" s="10">
        <v>58826</v>
      </c>
      <c r="L524" s="10">
        <v>25212</v>
      </c>
      <c r="M524" s="10">
        <v>0</v>
      </c>
      <c r="N524" s="11">
        <v>25212</v>
      </c>
      <c r="O524" s="12">
        <v>372183136</v>
      </c>
      <c r="P524" s="9">
        <v>285123</v>
      </c>
      <c r="Q524" s="9" t="s">
        <v>37</v>
      </c>
      <c r="R524" s="13">
        <v>45716</v>
      </c>
      <c r="S524" s="22">
        <v>45716</v>
      </c>
      <c r="T524" s="13">
        <v>45716</v>
      </c>
      <c r="U524" s="13">
        <v>45716</v>
      </c>
      <c r="V524" s="9" t="s">
        <v>47</v>
      </c>
      <c r="W524" s="9">
        <v>22646510</v>
      </c>
      <c r="X524" s="9">
        <v>3041018</v>
      </c>
      <c r="Y524" s="9">
        <v>68953767</v>
      </c>
      <c r="Z524" s="9" t="s">
        <v>39</v>
      </c>
      <c r="AA524" s="9">
        <v>2032025</v>
      </c>
      <c r="AB524" s="9">
        <v>77760</v>
      </c>
      <c r="AC524" s="9" t="s">
        <v>41</v>
      </c>
      <c r="AD524" s="9" t="s">
        <v>132</v>
      </c>
      <c r="AE524" s="9" t="s">
        <v>133</v>
      </c>
      <c r="AF524" s="9" t="s">
        <v>133</v>
      </c>
      <c r="AG524" s="14" t="str">
        <f t="shared" si="18"/>
        <v>EXAMENES DE LABORATORIO</v>
      </c>
      <c r="AH524" s="9" t="s">
        <v>758</v>
      </c>
      <c r="AI524" s="9">
        <v>0</v>
      </c>
      <c r="AJ524" s="9">
        <v>71614000</v>
      </c>
      <c r="AK524" s="9">
        <v>8</v>
      </c>
      <c r="AL524" s="26" t="s">
        <v>76</v>
      </c>
      <c r="AM524" s="14" t="s">
        <v>611</v>
      </c>
      <c r="AN524" s="27" t="str">
        <f t="shared" si="19"/>
        <v>14720057|71614000|372183136|372183136</v>
      </c>
      <c r="AO524" t="s">
        <v>758</v>
      </c>
      <c r="AP524" t="b">
        <v>1</v>
      </c>
      <c r="AQ524" t="s">
        <v>764</v>
      </c>
    </row>
    <row r="525" spans="1:43" x14ac:dyDescent="0.2">
      <c r="A525" s="14" t="s">
        <v>500</v>
      </c>
      <c r="B525" s="17">
        <v>14720057</v>
      </c>
      <c r="C525" s="14" t="s">
        <v>289</v>
      </c>
      <c r="D525" s="9">
        <v>24299651</v>
      </c>
      <c r="E525" s="9" t="s">
        <v>290</v>
      </c>
      <c r="F525" s="7">
        <v>45717</v>
      </c>
      <c r="G525" s="20" t="s">
        <v>46</v>
      </c>
      <c r="H525" s="8">
        <v>372183136</v>
      </c>
      <c r="I525" s="19">
        <v>65384250</v>
      </c>
      <c r="J525" s="10">
        <v>25119</v>
      </c>
      <c r="K525" s="10">
        <v>0</v>
      </c>
      <c r="L525" s="10">
        <v>25119</v>
      </c>
      <c r="M525" s="10">
        <v>0</v>
      </c>
      <c r="N525" s="11">
        <v>25119</v>
      </c>
      <c r="O525" s="12">
        <v>372183136</v>
      </c>
      <c r="P525" s="9">
        <v>285123</v>
      </c>
      <c r="Q525" s="9" t="s">
        <v>37</v>
      </c>
      <c r="R525" s="13">
        <v>45717</v>
      </c>
      <c r="S525" s="22">
        <v>45742</v>
      </c>
      <c r="T525" s="13">
        <v>45716</v>
      </c>
      <c r="U525" s="13">
        <v>45716</v>
      </c>
      <c r="V525" s="9" t="s">
        <v>47</v>
      </c>
      <c r="W525" s="9">
        <v>22770750</v>
      </c>
      <c r="X525" s="9">
        <v>3311105</v>
      </c>
      <c r="Y525" s="9">
        <v>69251123</v>
      </c>
      <c r="Z525" s="9" t="s">
        <v>39</v>
      </c>
      <c r="AA525" s="9">
        <v>1904280</v>
      </c>
      <c r="AB525" s="9">
        <v>78070</v>
      </c>
      <c r="AC525" s="9" t="s">
        <v>41</v>
      </c>
      <c r="AD525" s="9" t="s">
        <v>132</v>
      </c>
      <c r="AE525" s="9" t="s">
        <v>133</v>
      </c>
      <c r="AF525" s="9" t="s">
        <v>133</v>
      </c>
      <c r="AG525" s="14" t="str">
        <f t="shared" si="18"/>
        <v>EXAMENES DE LABORATORIO</v>
      </c>
      <c r="AH525" s="9">
        <v>0</v>
      </c>
      <c r="AI525" s="9">
        <v>0</v>
      </c>
      <c r="AJ525" s="9">
        <v>71614000</v>
      </c>
      <c r="AK525" s="9">
        <v>8</v>
      </c>
      <c r="AL525" s="26" t="s">
        <v>52</v>
      </c>
      <c r="AM525" s="14" t="s">
        <v>611</v>
      </c>
      <c r="AN525" s="27" t="str">
        <f t="shared" si="19"/>
        <v>14720057|71614000|372183136|65384250</v>
      </c>
      <c r="AO525" t="s">
        <v>44</v>
      </c>
      <c r="AP525" t="b">
        <v>0</v>
      </c>
      <c r="AQ525" t="s">
        <v>763</v>
      </c>
    </row>
    <row r="526" spans="1:43" x14ac:dyDescent="0.2">
      <c r="A526" s="14" t="s">
        <v>500</v>
      </c>
      <c r="B526" s="17">
        <v>9583535</v>
      </c>
      <c r="C526" s="14" t="s">
        <v>250</v>
      </c>
      <c r="D526" s="9">
        <v>20818908</v>
      </c>
      <c r="E526" s="9" t="s">
        <v>291</v>
      </c>
      <c r="F526" s="7">
        <v>45717</v>
      </c>
      <c r="G526" s="20" t="s">
        <v>36</v>
      </c>
      <c r="H526" s="8">
        <v>372213608</v>
      </c>
      <c r="I526" s="19">
        <v>372213608</v>
      </c>
      <c r="J526" s="10">
        <v>46052</v>
      </c>
      <c r="K526" s="10">
        <v>23948</v>
      </c>
      <c r="L526" s="10">
        <v>22104</v>
      </c>
      <c r="M526" s="10">
        <v>0</v>
      </c>
      <c r="N526" s="11">
        <v>22104</v>
      </c>
      <c r="O526" s="12">
        <v>372213608</v>
      </c>
      <c r="P526" s="9">
        <v>285123</v>
      </c>
      <c r="Q526" s="9" t="s">
        <v>37</v>
      </c>
      <c r="R526" s="13">
        <v>45717</v>
      </c>
      <c r="S526" s="22">
        <v>45717</v>
      </c>
      <c r="T526" s="13">
        <v>45717</v>
      </c>
      <c r="U526" s="13">
        <v>45717</v>
      </c>
      <c r="V526" s="9" t="s">
        <v>47</v>
      </c>
      <c r="W526" s="9">
        <v>22676561</v>
      </c>
      <c r="X526" s="9">
        <v>3101656</v>
      </c>
      <c r="Y526" s="9">
        <v>68997918</v>
      </c>
      <c r="Z526" s="9" t="s">
        <v>39</v>
      </c>
      <c r="AA526" s="9">
        <v>9032025</v>
      </c>
      <c r="AB526" s="9">
        <v>77868</v>
      </c>
      <c r="AC526" s="9" t="s">
        <v>41</v>
      </c>
      <c r="AD526" s="9" t="s">
        <v>132</v>
      </c>
      <c r="AE526" s="9" t="s">
        <v>133</v>
      </c>
      <c r="AF526" s="9" t="s">
        <v>133</v>
      </c>
      <c r="AG526" s="14" t="str">
        <f t="shared" si="18"/>
        <v>EXAMENES DE LABORATORIO</v>
      </c>
      <c r="AH526" s="9" t="s">
        <v>758</v>
      </c>
      <c r="AI526" s="9">
        <v>0</v>
      </c>
      <c r="AJ526" s="9">
        <v>99573490</v>
      </c>
      <c r="AK526" s="9">
        <v>7</v>
      </c>
      <c r="AL526" s="26" t="s">
        <v>292</v>
      </c>
      <c r="AM526" s="14" t="s">
        <v>586</v>
      </c>
      <c r="AN526" s="27" t="str">
        <f t="shared" si="19"/>
        <v>9583535|99573490|372213608|372213608</v>
      </c>
      <c r="AO526" t="s">
        <v>758</v>
      </c>
      <c r="AP526" t="b">
        <v>1</v>
      </c>
      <c r="AQ526" t="s">
        <v>764</v>
      </c>
    </row>
    <row r="527" spans="1:43" x14ac:dyDescent="0.2">
      <c r="A527" s="14" t="s">
        <v>500</v>
      </c>
      <c r="B527" s="17">
        <v>9583535</v>
      </c>
      <c r="C527" s="14" t="s">
        <v>250</v>
      </c>
      <c r="D527" s="9">
        <v>20818908</v>
      </c>
      <c r="E527" s="9" t="s">
        <v>291</v>
      </c>
      <c r="F527" s="7">
        <v>45717</v>
      </c>
      <c r="G527" s="20" t="s">
        <v>46</v>
      </c>
      <c r="H527" s="8">
        <v>372213608</v>
      </c>
      <c r="I527" s="19">
        <v>65383750</v>
      </c>
      <c r="J527" s="10">
        <v>22035</v>
      </c>
      <c r="K527" s="10">
        <v>0</v>
      </c>
      <c r="L527" s="10">
        <v>22035</v>
      </c>
      <c r="M527" s="10">
        <v>0</v>
      </c>
      <c r="N527" s="11">
        <v>22035</v>
      </c>
      <c r="O527" s="12">
        <v>372213608</v>
      </c>
      <c r="P527" s="9">
        <v>285123</v>
      </c>
      <c r="Q527" s="9" t="s">
        <v>37</v>
      </c>
      <c r="R527" s="13">
        <v>45717</v>
      </c>
      <c r="S527" s="22">
        <v>45742</v>
      </c>
      <c r="T527" s="13">
        <v>45717</v>
      </c>
      <c r="U527" s="13">
        <v>45717</v>
      </c>
      <c r="V527" s="9" t="s">
        <v>47</v>
      </c>
      <c r="W527" s="9">
        <v>22772354</v>
      </c>
      <c r="X527" s="9">
        <v>3311105</v>
      </c>
      <c r="Y527" s="9">
        <v>69250640</v>
      </c>
      <c r="Z527" s="9" t="s">
        <v>39</v>
      </c>
      <c r="AA527" s="9">
        <v>985897999</v>
      </c>
      <c r="AB527" s="9">
        <v>78070</v>
      </c>
      <c r="AC527" s="9" t="s">
        <v>41</v>
      </c>
      <c r="AD527" s="9" t="s">
        <v>132</v>
      </c>
      <c r="AE527" s="9" t="s">
        <v>133</v>
      </c>
      <c r="AF527" s="9" t="s">
        <v>133</v>
      </c>
      <c r="AG527" s="14" t="str">
        <f t="shared" si="18"/>
        <v>EXAMENES DE LABORATORIO</v>
      </c>
      <c r="AH527" s="9">
        <v>0</v>
      </c>
      <c r="AI527" s="9">
        <v>0</v>
      </c>
      <c r="AJ527" s="9">
        <v>99573490</v>
      </c>
      <c r="AK527" s="9">
        <v>7</v>
      </c>
      <c r="AL527" s="26" t="s">
        <v>52</v>
      </c>
      <c r="AM527" s="14" t="s">
        <v>586</v>
      </c>
      <c r="AN527" s="27" t="str">
        <f t="shared" si="19"/>
        <v>9583535|99573490|372213608|65383750</v>
      </c>
      <c r="AO527" t="s">
        <v>44</v>
      </c>
      <c r="AP527" t="b">
        <v>0</v>
      </c>
      <c r="AQ527" t="s">
        <v>763</v>
      </c>
    </row>
    <row r="528" spans="1:43" x14ac:dyDescent="0.2">
      <c r="A528" s="14" t="s">
        <v>500</v>
      </c>
      <c r="B528" s="17">
        <v>9583535</v>
      </c>
      <c r="C528" s="14" t="s">
        <v>250</v>
      </c>
      <c r="D528" s="9">
        <v>20818908</v>
      </c>
      <c r="E528" s="9" t="s">
        <v>291</v>
      </c>
      <c r="F528" s="7">
        <v>45717</v>
      </c>
      <c r="G528" s="20" t="s">
        <v>36</v>
      </c>
      <c r="H528" s="8">
        <v>372213609</v>
      </c>
      <c r="I528" s="19">
        <v>372213609</v>
      </c>
      <c r="J528" s="10">
        <v>43138</v>
      </c>
      <c r="K528" s="10">
        <v>22562</v>
      </c>
      <c r="L528" s="10">
        <v>20576</v>
      </c>
      <c r="M528" s="10">
        <v>0</v>
      </c>
      <c r="N528" s="11">
        <v>20576</v>
      </c>
      <c r="O528" s="12">
        <v>372213609</v>
      </c>
      <c r="P528" s="9">
        <v>285123</v>
      </c>
      <c r="Q528" s="9" t="s">
        <v>37</v>
      </c>
      <c r="R528" s="13">
        <v>45717</v>
      </c>
      <c r="S528" s="22">
        <v>45717</v>
      </c>
      <c r="T528" s="13">
        <v>45717</v>
      </c>
      <c r="U528" s="13">
        <v>45717</v>
      </c>
      <c r="V528" s="9" t="s">
        <v>47</v>
      </c>
      <c r="W528" s="9">
        <v>22676561</v>
      </c>
      <c r="X528" s="9">
        <v>3101656</v>
      </c>
      <c r="Y528" s="9">
        <v>68995408</v>
      </c>
      <c r="Z528" s="9" t="s">
        <v>39</v>
      </c>
      <c r="AA528" s="9">
        <v>9032025</v>
      </c>
      <c r="AB528" s="9">
        <v>77868</v>
      </c>
      <c r="AC528" s="9" t="s">
        <v>41</v>
      </c>
      <c r="AD528" s="9" t="s">
        <v>132</v>
      </c>
      <c r="AE528" s="9" t="s">
        <v>133</v>
      </c>
      <c r="AF528" s="9" t="s">
        <v>133</v>
      </c>
      <c r="AG528" s="14" t="str">
        <f t="shared" si="18"/>
        <v>EXAMENES DE LABORATORIO</v>
      </c>
      <c r="AH528" s="9" t="s">
        <v>758</v>
      </c>
      <c r="AI528" s="9">
        <v>0</v>
      </c>
      <c r="AJ528" s="9">
        <v>99573490</v>
      </c>
      <c r="AK528" s="9">
        <v>7</v>
      </c>
      <c r="AL528" s="26" t="s">
        <v>292</v>
      </c>
      <c r="AM528" s="14" t="s">
        <v>586</v>
      </c>
      <c r="AN528" s="27" t="str">
        <f t="shared" si="19"/>
        <v>9583535|99573490|372213609|372213609</v>
      </c>
      <c r="AO528" t="s">
        <v>758</v>
      </c>
      <c r="AP528" t="b">
        <v>1</v>
      </c>
      <c r="AQ528" t="s">
        <v>764</v>
      </c>
    </row>
    <row r="529" spans="1:43" x14ac:dyDescent="0.2">
      <c r="A529" s="14" t="s">
        <v>500</v>
      </c>
      <c r="B529" s="17">
        <v>9583535</v>
      </c>
      <c r="C529" s="14" t="s">
        <v>250</v>
      </c>
      <c r="D529" s="9">
        <v>20818908</v>
      </c>
      <c r="E529" s="9" t="s">
        <v>291</v>
      </c>
      <c r="F529" s="7">
        <v>45717</v>
      </c>
      <c r="G529" s="20" t="s">
        <v>46</v>
      </c>
      <c r="H529" s="8">
        <v>372213609</v>
      </c>
      <c r="I529" s="19">
        <v>65383751</v>
      </c>
      <c r="J529" s="10">
        <v>19716</v>
      </c>
      <c r="K529" s="10">
        <v>0</v>
      </c>
      <c r="L529" s="10">
        <v>19716</v>
      </c>
      <c r="M529" s="10">
        <v>0</v>
      </c>
      <c r="N529" s="11">
        <v>19716</v>
      </c>
      <c r="O529" s="12">
        <v>372213609</v>
      </c>
      <c r="P529" s="9">
        <v>285123</v>
      </c>
      <c r="Q529" s="9" t="s">
        <v>37</v>
      </c>
      <c r="R529" s="13">
        <v>45717</v>
      </c>
      <c r="S529" s="22">
        <v>45742</v>
      </c>
      <c r="T529" s="13">
        <v>45717</v>
      </c>
      <c r="U529" s="13">
        <v>45717</v>
      </c>
      <c r="V529" s="9" t="s">
        <v>47</v>
      </c>
      <c r="W529" s="9">
        <v>22772354</v>
      </c>
      <c r="X529" s="9">
        <v>3311105</v>
      </c>
      <c r="Y529" s="9">
        <v>69250641</v>
      </c>
      <c r="Z529" s="9" t="s">
        <v>39</v>
      </c>
      <c r="AA529" s="9">
        <v>985897999</v>
      </c>
      <c r="AB529" s="9">
        <v>78070</v>
      </c>
      <c r="AC529" s="9" t="s">
        <v>41</v>
      </c>
      <c r="AD529" s="9" t="s">
        <v>132</v>
      </c>
      <c r="AE529" s="9" t="s">
        <v>133</v>
      </c>
      <c r="AF529" s="9" t="s">
        <v>133</v>
      </c>
      <c r="AG529" s="14" t="str">
        <f t="shared" si="18"/>
        <v>EXAMENES DE LABORATORIO</v>
      </c>
      <c r="AH529" s="9">
        <v>0</v>
      </c>
      <c r="AI529" s="9">
        <v>0</v>
      </c>
      <c r="AJ529" s="9">
        <v>99573490</v>
      </c>
      <c r="AK529" s="9">
        <v>7</v>
      </c>
      <c r="AL529" s="26" t="s">
        <v>52</v>
      </c>
      <c r="AM529" s="14" t="s">
        <v>586</v>
      </c>
      <c r="AN529" s="27" t="str">
        <f t="shared" si="19"/>
        <v>9583535|99573490|372213609|65383751</v>
      </c>
      <c r="AO529" t="s">
        <v>44</v>
      </c>
      <c r="AP529" t="b">
        <v>0</v>
      </c>
      <c r="AQ529" t="s">
        <v>763</v>
      </c>
    </row>
    <row r="530" spans="1:43" x14ac:dyDescent="0.2">
      <c r="A530" s="14" t="s">
        <v>500</v>
      </c>
      <c r="B530" s="17">
        <v>9583535</v>
      </c>
      <c r="C530" s="14" t="s">
        <v>250</v>
      </c>
      <c r="D530" s="9">
        <v>20818908</v>
      </c>
      <c r="E530" s="9" t="s">
        <v>291</v>
      </c>
      <c r="F530" s="7">
        <v>45717</v>
      </c>
      <c r="G530" s="20" t="s">
        <v>36</v>
      </c>
      <c r="H530" s="8">
        <v>372213610</v>
      </c>
      <c r="I530" s="19">
        <v>372213610</v>
      </c>
      <c r="J530" s="10">
        <v>56825</v>
      </c>
      <c r="K530" s="10">
        <v>35862</v>
      </c>
      <c r="L530" s="10">
        <v>20963</v>
      </c>
      <c r="M530" s="10">
        <v>0</v>
      </c>
      <c r="N530" s="11">
        <v>20963</v>
      </c>
      <c r="O530" s="12">
        <v>372213610</v>
      </c>
      <c r="P530" s="9">
        <v>285123</v>
      </c>
      <c r="Q530" s="9" t="s">
        <v>37</v>
      </c>
      <c r="R530" s="13">
        <v>45717</v>
      </c>
      <c r="S530" s="22">
        <v>45717</v>
      </c>
      <c r="T530" s="13">
        <v>45717</v>
      </c>
      <c r="U530" s="13">
        <v>45717</v>
      </c>
      <c r="V530" s="9" t="s">
        <v>47</v>
      </c>
      <c r="W530" s="9">
        <v>22676561</v>
      </c>
      <c r="X530" s="9">
        <v>3101656</v>
      </c>
      <c r="Y530" s="9">
        <v>68993564</v>
      </c>
      <c r="Z530" s="9" t="s">
        <v>39</v>
      </c>
      <c r="AA530" s="9">
        <v>9032025</v>
      </c>
      <c r="AB530" s="9">
        <v>77868</v>
      </c>
      <c r="AC530" s="9" t="s">
        <v>41</v>
      </c>
      <c r="AD530" s="9" t="s">
        <v>132</v>
      </c>
      <c r="AE530" s="9" t="s">
        <v>133</v>
      </c>
      <c r="AF530" s="9" t="s">
        <v>133</v>
      </c>
      <c r="AG530" s="14" t="str">
        <f t="shared" si="18"/>
        <v>EXAMENES DE LABORATORIO</v>
      </c>
      <c r="AH530" s="9" t="s">
        <v>758</v>
      </c>
      <c r="AI530" s="9">
        <v>0</v>
      </c>
      <c r="AJ530" s="9">
        <v>99573490</v>
      </c>
      <c r="AK530" s="9">
        <v>7</v>
      </c>
      <c r="AL530" s="26" t="s">
        <v>292</v>
      </c>
      <c r="AM530" s="14" t="s">
        <v>586</v>
      </c>
      <c r="AN530" s="27" t="str">
        <f t="shared" si="19"/>
        <v>9583535|99573490|372213610|372213610</v>
      </c>
      <c r="AO530" t="s">
        <v>758</v>
      </c>
      <c r="AP530" t="b">
        <v>1</v>
      </c>
      <c r="AQ530" t="s">
        <v>764</v>
      </c>
    </row>
    <row r="531" spans="1:43" x14ac:dyDescent="0.2">
      <c r="A531" s="14" t="s">
        <v>500</v>
      </c>
      <c r="B531" s="17">
        <v>9583535</v>
      </c>
      <c r="C531" s="14" t="s">
        <v>250</v>
      </c>
      <c r="D531" s="9">
        <v>20818908</v>
      </c>
      <c r="E531" s="9" t="s">
        <v>291</v>
      </c>
      <c r="F531" s="7">
        <v>45717</v>
      </c>
      <c r="G531" s="20" t="s">
        <v>46</v>
      </c>
      <c r="H531" s="8">
        <v>372213610</v>
      </c>
      <c r="I531" s="19">
        <v>65383752</v>
      </c>
      <c r="J531" s="10">
        <v>20875</v>
      </c>
      <c r="K531" s="10">
        <v>0</v>
      </c>
      <c r="L531" s="10">
        <v>20875</v>
      </c>
      <c r="M531" s="10">
        <v>0</v>
      </c>
      <c r="N531" s="11">
        <v>20875</v>
      </c>
      <c r="O531" s="12">
        <v>372213610</v>
      </c>
      <c r="P531" s="9">
        <v>285123</v>
      </c>
      <c r="Q531" s="9" t="s">
        <v>37</v>
      </c>
      <c r="R531" s="13">
        <v>45717</v>
      </c>
      <c r="S531" s="22">
        <v>45742</v>
      </c>
      <c r="T531" s="13">
        <v>45717</v>
      </c>
      <c r="U531" s="13">
        <v>45717</v>
      </c>
      <c r="V531" s="9" t="s">
        <v>47</v>
      </c>
      <c r="W531" s="9">
        <v>22772354</v>
      </c>
      <c r="X531" s="9">
        <v>3311105</v>
      </c>
      <c r="Y531" s="9">
        <v>69250642</v>
      </c>
      <c r="Z531" s="9" t="s">
        <v>39</v>
      </c>
      <c r="AA531" s="9">
        <v>985897999</v>
      </c>
      <c r="AB531" s="9">
        <v>78070</v>
      </c>
      <c r="AC531" s="9" t="s">
        <v>41</v>
      </c>
      <c r="AD531" s="9" t="s">
        <v>132</v>
      </c>
      <c r="AE531" s="9" t="s">
        <v>133</v>
      </c>
      <c r="AF531" s="9" t="s">
        <v>133</v>
      </c>
      <c r="AG531" s="14" t="str">
        <f t="shared" si="18"/>
        <v>EXAMENES DE LABORATORIO</v>
      </c>
      <c r="AH531" s="9">
        <v>0</v>
      </c>
      <c r="AI531" s="9">
        <v>0</v>
      </c>
      <c r="AJ531" s="9">
        <v>99573490</v>
      </c>
      <c r="AK531" s="9">
        <v>7</v>
      </c>
      <c r="AL531" s="26" t="s">
        <v>52</v>
      </c>
      <c r="AM531" s="14" t="s">
        <v>586</v>
      </c>
      <c r="AN531" s="27" t="str">
        <f t="shared" si="19"/>
        <v>9583535|99573490|372213610|65383752</v>
      </c>
      <c r="AO531" t="s">
        <v>44</v>
      </c>
      <c r="AP531" t="b">
        <v>0</v>
      </c>
      <c r="AQ531" t="s">
        <v>763</v>
      </c>
    </row>
    <row r="532" spans="1:43" x14ac:dyDescent="0.2">
      <c r="A532" s="14" t="s">
        <v>500</v>
      </c>
      <c r="B532" s="17">
        <v>9583535</v>
      </c>
      <c r="C532" s="14" t="s">
        <v>250</v>
      </c>
      <c r="D532" s="9">
        <v>20818908</v>
      </c>
      <c r="E532" s="9" t="s">
        <v>291</v>
      </c>
      <c r="F532" s="7">
        <v>45717</v>
      </c>
      <c r="G532" s="20" t="s">
        <v>36</v>
      </c>
      <c r="H532" s="8">
        <v>372213611</v>
      </c>
      <c r="I532" s="19">
        <v>372213611</v>
      </c>
      <c r="J532" s="10">
        <v>33904</v>
      </c>
      <c r="K532" s="10">
        <v>13037</v>
      </c>
      <c r="L532" s="10">
        <v>20867</v>
      </c>
      <c r="M532" s="10">
        <v>0</v>
      </c>
      <c r="N532" s="11">
        <v>20867</v>
      </c>
      <c r="O532" s="12">
        <v>372213611</v>
      </c>
      <c r="P532" s="9">
        <v>285123</v>
      </c>
      <c r="Q532" s="9" t="s">
        <v>37</v>
      </c>
      <c r="R532" s="13">
        <v>45717</v>
      </c>
      <c r="S532" s="22">
        <v>45717</v>
      </c>
      <c r="T532" s="13">
        <v>45717</v>
      </c>
      <c r="U532" s="13">
        <v>45717</v>
      </c>
      <c r="V532" s="9" t="s">
        <v>47</v>
      </c>
      <c r="W532" s="9">
        <v>22676561</v>
      </c>
      <c r="X532" s="9">
        <v>3101656</v>
      </c>
      <c r="Y532" s="9">
        <v>68997162</v>
      </c>
      <c r="Z532" s="9" t="s">
        <v>39</v>
      </c>
      <c r="AA532" s="9">
        <v>9032025</v>
      </c>
      <c r="AB532" s="9">
        <v>77868</v>
      </c>
      <c r="AC532" s="9" t="s">
        <v>41</v>
      </c>
      <c r="AD532" s="9" t="s">
        <v>132</v>
      </c>
      <c r="AE532" s="9" t="s">
        <v>133</v>
      </c>
      <c r="AF532" s="9" t="s">
        <v>133</v>
      </c>
      <c r="AG532" s="14" t="str">
        <f t="shared" si="18"/>
        <v>EXAMENES DE LABORATORIO</v>
      </c>
      <c r="AH532" s="9" t="s">
        <v>758</v>
      </c>
      <c r="AI532" s="9">
        <v>0</v>
      </c>
      <c r="AJ532" s="9">
        <v>99573490</v>
      </c>
      <c r="AK532" s="9">
        <v>7</v>
      </c>
      <c r="AL532" s="26" t="s">
        <v>292</v>
      </c>
      <c r="AM532" s="14" t="s">
        <v>586</v>
      </c>
      <c r="AN532" s="27" t="str">
        <f t="shared" si="19"/>
        <v>9583535|99573490|372213611|372213611</v>
      </c>
      <c r="AO532" t="s">
        <v>758</v>
      </c>
      <c r="AP532" t="b">
        <v>1</v>
      </c>
      <c r="AQ532" t="s">
        <v>764</v>
      </c>
    </row>
    <row r="533" spans="1:43" x14ac:dyDescent="0.2">
      <c r="A533" s="14" t="s">
        <v>500</v>
      </c>
      <c r="B533" s="17">
        <v>9583535</v>
      </c>
      <c r="C533" s="14" t="s">
        <v>250</v>
      </c>
      <c r="D533" s="9">
        <v>20818908</v>
      </c>
      <c r="E533" s="9" t="s">
        <v>291</v>
      </c>
      <c r="F533" s="7">
        <v>45717</v>
      </c>
      <c r="G533" s="20" t="s">
        <v>46</v>
      </c>
      <c r="H533" s="8">
        <v>372213611</v>
      </c>
      <c r="I533" s="19">
        <v>65383753</v>
      </c>
      <c r="J533" s="10">
        <v>18944</v>
      </c>
      <c r="K533" s="10">
        <v>0</v>
      </c>
      <c r="L533" s="10">
        <v>18944</v>
      </c>
      <c r="M533" s="10">
        <v>0</v>
      </c>
      <c r="N533" s="11">
        <v>18944</v>
      </c>
      <c r="O533" s="12">
        <v>372213611</v>
      </c>
      <c r="P533" s="9">
        <v>285123</v>
      </c>
      <c r="Q533" s="9" t="s">
        <v>37</v>
      </c>
      <c r="R533" s="13">
        <v>45717</v>
      </c>
      <c r="S533" s="22">
        <v>45742</v>
      </c>
      <c r="T533" s="13">
        <v>45717</v>
      </c>
      <c r="U533" s="13">
        <v>45717</v>
      </c>
      <c r="V533" s="9" t="s">
        <v>47</v>
      </c>
      <c r="W533" s="9">
        <v>22772354</v>
      </c>
      <c r="X533" s="9">
        <v>3311105</v>
      </c>
      <c r="Y533" s="9">
        <v>69250643</v>
      </c>
      <c r="Z533" s="9" t="s">
        <v>39</v>
      </c>
      <c r="AA533" s="9">
        <v>985897999</v>
      </c>
      <c r="AB533" s="9">
        <v>78070</v>
      </c>
      <c r="AC533" s="9" t="s">
        <v>41</v>
      </c>
      <c r="AD533" s="9" t="s">
        <v>132</v>
      </c>
      <c r="AE533" s="9" t="s">
        <v>133</v>
      </c>
      <c r="AF533" s="9" t="s">
        <v>133</v>
      </c>
      <c r="AG533" s="14" t="str">
        <f t="shared" si="18"/>
        <v>EXAMENES DE LABORATORIO</v>
      </c>
      <c r="AH533" s="9">
        <v>0</v>
      </c>
      <c r="AI533" s="9">
        <v>0</v>
      </c>
      <c r="AJ533" s="9">
        <v>99573490</v>
      </c>
      <c r="AK533" s="9">
        <v>7</v>
      </c>
      <c r="AL533" s="26" t="s">
        <v>52</v>
      </c>
      <c r="AM533" s="14" t="s">
        <v>586</v>
      </c>
      <c r="AN533" s="27" t="str">
        <f t="shared" si="19"/>
        <v>9583535|99573490|372213611|65383753</v>
      </c>
      <c r="AO533" t="s">
        <v>44</v>
      </c>
      <c r="AP533" t="b">
        <v>0</v>
      </c>
      <c r="AQ533" t="s">
        <v>763</v>
      </c>
    </row>
    <row r="534" spans="1:43" x14ac:dyDescent="0.2">
      <c r="A534" s="14" t="s">
        <v>500</v>
      </c>
      <c r="B534" s="17">
        <v>15344033</v>
      </c>
      <c r="C534" s="14" t="s">
        <v>236</v>
      </c>
      <c r="D534" s="9">
        <v>15344033</v>
      </c>
      <c r="E534" s="9" t="s">
        <v>236</v>
      </c>
      <c r="F534" s="7">
        <v>45717</v>
      </c>
      <c r="G534" s="20" t="s">
        <v>36</v>
      </c>
      <c r="H534" s="8">
        <v>372239897</v>
      </c>
      <c r="I534" s="19">
        <v>372239897</v>
      </c>
      <c r="J534" s="10">
        <v>4860</v>
      </c>
      <c r="K534" s="10">
        <v>4131</v>
      </c>
      <c r="L534" s="10">
        <v>729</v>
      </c>
      <c r="M534" s="10">
        <v>0</v>
      </c>
      <c r="N534" s="11">
        <v>729</v>
      </c>
      <c r="O534" s="12">
        <v>372239897</v>
      </c>
      <c r="P534" s="9">
        <v>285123</v>
      </c>
      <c r="Q534" s="9" t="s">
        <v>37</v>
      </c>
      <c r="R534" s="13">
        <v>45719</v>
      </c>
      <c r="S534" s="22">
        <v>45719</v>
      </c>
      <c r="T534" s="13">
        <v>45719</v>
      </c>
      <c r="U534" s="13">
        <v>45719</v>
      </c>
      <c r="V534" s="9" t="s">
        <v>47</v>
      </c>
      <c r="W534" s="9">
        <v>22676619</v>
      </c>
      <c r="X534" s="9">
        <v>3101656</v>
      </c>
      <c r="Y534" s="9">
        <v>68996215</v>
      </c>
      <c r="Z534" s="9" t="s">
        <v>39</v>
      </c>
      <c r="AA534" s="9">
        <v>9032025</v>
      </c>
      <c r="AB534" s="9">
        <v>77868</v>
      </c>
      <c r="AC534" s="9" t="s">
        <v>41</v>
      </c>
      <c r="AD534" s="9" t="s">
        <v>132</v>
      </c>
      <c r="AE534" s="9" t="s">
        <v>133</v>
      </c>
      <c r="AF534" s="9" t="s">
        <v>133</v>
      </c>
      <c r="AG534" s="14" t="str">
        <f t="shared" si="18"/>
        <v>EXAMENES DE LABORATORIO</v>
      </c>
      <c r="AH534" s="9" t="s">
        <v>758</v>
      </c>
      <c r="AI534" s="9">
        <v>0</v>
      </c>
      <c r="AJ534" s="9">
        <v>96530470</v>
      </c>
      <c r="AK534" s="9">
        <v>3</v>
      </c>
      <c r="AL534" s="26" t="s">
        <v>292</v>
      </c>
      <c r="AM534" s="14" t="s">
        <v>575</v>
      </c>
      <c r="AN534" s="27" t="str">
        <f t="shared" si="19"/>
        <v>15344033|96530470|372239897|372239897</v>
      </c>
      <c r="AO534" t="s">
        <v>758</v>
      </c>
      <c r="AP534" t="b">
        <v>1</v>
      </c>
      <c r="AQ534" t="s">
        <v>764</v>
      </c>
    </row>
    <row r="535" spans="1:43" x14ac:dyDescent="0.2">
      <c r="A535" s="14" t="s">
        <v>500</v>
      </c>
      <c r="B535" s="17">
        <v>15344033</v>
      </c>
      <c r="C535" s="14" t="s">
        <v>236</v>
      </c>
      <c r="D535" s="9">
        <v>15344033</v>
      </c>
      <c r="E535" s="9" t="s">
        <v>236</v>
      </c>
      <c r="F535" s="7">
        <v>45717</v>
      </c>
      <c r="G535" s="20" t="s">
        <v>46</v>
      </c>
      <c r="H535" s="8">
        <v>372239897</v>
      </c>
      <c r="I535" s="19">
        <v>65384274</v>
      </c>
      <c r="J535" s="10">
        <v>773</v>
      </c>
      <c r="K535" s="10">
        <v>0</v>
      </c>
      <c r="L535" s="10">
        <v>773</v>
      </c>
      <c r="M535" s="10">
        <v>0</v>
      </c>
      <c r="N535" s="11">
        <v>773</v>
      </c>
      <c r="O535" s="12">
        <v>372239897</v>
      </c>
      <c r="P535" s="9">
        <v>285123</v>
      </c>
      <c r="Q535" s="9" t="s">
        <v>37</v>
      </c>
      <c r="R535" s="13">
        <v>45719</v>
      </c>
      <c r="S535" s="22">
        <v>45742</v>
      </c>
      <c r="T535" s="13">
        <v>45719</v>
      </c>
      <c r="U535" s="13">
        <v>45719</v>
      </c>
      <c r="V535" s="9" t="s">
        <v>47</v>
      </c>
      <c r="W535" s="9">
        <v>22772374</v>
      </c>
      <c r="X535" s="9">
        <v>3311105</v>
      </c>
      <c r="Y535" s="9">
        <v>69251157</v>
      </c>
      <c r="Z535" s="9" t="s">
        <v>39</v>
      </c>
      <c r="AA535" s="9">
        <v>37507648</v>
      </c>
      <c r="AB535" s="9">
        <v>78070</v>
      </c>
      <c r="AC535" s="9" t="s">
        <v>41</v>
      </c>
      <c r="AD535" s="9" t="s">
        <v>132</v>
      </c>
      <c r="AE535" s="9" t="s">
        <v>133</v>
      </c>
      <c r="AF535" s="9" t="s">
        <v>133</v>
      </c>
      <c r="AG535" s="14" t="str">
        <f t="shared" si="18"/>
        <v>EXAMENES DE LABORATORIO</v>
      </c>
      <c r="AH535" s="9">
        <v>0</v>
      </c>
      <c r="AI535" s="9">
        <v>0</v>
      </c>
      <c r="AJ535" s="9">
        <v>96530470</v>
      </c>
      <c r="AK535" s="9">
        <v>3</v>
      </c>
      <c r="AL535" s="26" t="s">
        <v>52</v>
      </c>
      <c r="AM535" s="14" t="s">
        <v>575</v>
      </c>
      <c r="AN535" s="27" t="str">
        <f t="shared" si="19"/>
        <v>15344033|96530470|372239897|65384274</v>
      </c>
      <c r="AO535" t="s">
        <v>44</v>
      </c>
      <c r="AP535" t="b">
        <v>0</v>
      </c>
      <c r="AQ535" t="s">
        <v>763</v>
      </c>
    </row>
    <row r="536" spans="1:43" x14ac:dyDescent="0.2">
      <c r="A536" s="14" t="s">
        <v>500</v>
      </c>
      <c r="B536" s="17">
        <v>17024209</v>
      </c>
      <c r="C536" s="14" t="s">
        <v>293</v>
      </c>
      <c r="D536" s="9">
        <v>17024209</v>
      </c>
      <c r="E536" s="9" t="s">
        <v>293</v>
      </c>
      <c r="F536" s="7">
        <v>45717</v>
      </c>
      <c r="G536" s="20" t="s">
        <v>36</v>
      </c>
      <c r="H536" s="8">
        <v>372262291</v>
      </c>
      <c r="I536" s="19">
        <v>372262291</v>
      </c>
      <c r="J536" s="10">
        <v>29168</v>
      </c>
      <c r="K536" s="10">
        <v>27710</v>
      </c>
      <c r="L536" s="10">
        <v>1458</v>
      </c>
      <c r="M536" s="10">
        <v>0</v>
      </c>
      <c r="N536" s="11">
        <v>1458</v>
      </c>
      <c r="O536" s="12">
        <v>372262291</v>
      </c>
      <c r="P536" s="9">
        <v>285123</v>
      </c>
      <c r="Q536" s="9" t="s">
        <v>37</v>
      </c>
      <c r="R536" s="13">
        <v>45719</v>
      </c>
      <c r="S536" s="22">
        <v>45719</v>
      </c>
      <c r="T536" s="13">
        <v>45719</v>
      </c>
      <c r="U536" s="13">
        <v>45719</v>
      </c>
      <c r="V536" s="9" t="s">
        <v>47</v>
      </c>
      <c r="W536" s="9">
        <v>22676628</v>
      </c>
      <c r="X536" s="9">
        <v>3101656</v>
      </c>
      <c r="Y536" s="9">
        <v>68993273</v>
      </c>
      <c r="Z536" s="9" t="s">
        <v>39</v>
      </c>
      <c r="AA536" s="9">
        <v>9032025</v>
      </c>
      <c r="AB536" s="9">
        <v>77868</v>
      </c>
      <c r="AC536" s="9" t="s">
        <v>41</v>
      </c>
      <c r="AD536" s="9" t="s">
        <v>134</v>
      </c>
      <c r="AE536" s="9" t="s">
        <v>135</v>
      </c>
      <c r="AF536" s="9" t="s">
        <v>135</v>
      </c>
      <c r="AG536" s="14" t="str">
        <f t="shared" si="18"/>
        <v>EXAMENES RADIOLOGICOS</v>
      </c>
      <c r="AH536" s="9" t="s">
        <v>758</v>
      </c>
      <c r="AI536" s="9">
        <v>0</v>
      </c>
      <c r="AJ536" s="9">
        <v>76098454</v>
      </c>
      <c r="AK536" s="9" t="s">
        <v>161</v>
      </c>
      <c r="AL536" s="26" t="s">
        <v>292</v>
      </c>
      <c r="AM536" s="14" t="s">
        <v>612</v>
      </c>
      <c r="AN536" s="27" t="str">
        <f t="shared" si="19"/>
        <v>17024209|76098454|372262291|372262291</v>
      </c>
      <c r="AO536" t="s">
        <v>758</v>
      </c>
      <c r="AP536" t="b">
        <v>1</v>
      </c>
      <c r="AQ536" t="s">
        <v>764</v>
      </c>
    </row>
    <row r="537" spans="1:43" x14ac:dyDescent="0.2">
      <c r="A537" s="14" t="s">
        <v>500</v>
      </c>
      <c r="B537" s="17">
        <v>17024209</v>
      </c>
      <c r="C537" s="14" t="s">
        <v>293</v>
      </c>
      <c r="D537" s="9">
        <v>17024209</v>
      </c>
      <c r="E537" s="9" t="s">
        <v>293</v>
      </c>
      <c r="F537" s="7">
        <v>45717</v>
      </c>
      <c r="G537" s="20" t="s">
        <v>46</v>
      </c>
      <c r="H537" s="8">
        <v>372262291</v>
      </c>
      <c r="I537" s="19">
        <v>65384399</v>
      </c>
      <c r="J537" s="10">
        <v>1159</v>
      </c>
      <c r="K537" s="10">
        <v>0</v>
      </c>
      <c r="L537" s="10">
        <v>1159</v>
      </c>
      <c r="M537" s="10">
        <v>0</v>
      </c>
      <c r="N537" s="11">
        <v>1159</v>
      </c>
      <c r="O537" s="12">
        <v>372262291</v>
      </c>
      <c r="P537" s="9">
        <v>285123</v>
      </c>
      <c r="Q537" s="9" t="s">
        <v>37</v>
      </c>
      <c r="R537" s="13">
        <v>45719</v>
      </c>
      <c r="S537" s="22">
        <v>45742</v>
      </c>
      <c r="T537" s="13">
        <v>45719</v>
      </c>
      <c r="U537" s="13">
        <v>45719</v>
      </c>
      <c r="V537" s="9" t="s">
        <v>47</v>
      </c>
      <c r="W537" s="9">
        <v>22772377</v>
      </c>
      <c r="X537" s="9">
        <v>3311105</v>
      </c>
      <c r="Y537" s="9">
        <v>69251277</v>
      </c>
      <c r="Z537" s="9" t="s">
        <v>39</v>
      </c>
      <c r="AA537" s="9">
        <v>16706760</v>
      </c>
      <c r="AB537" s="9">
        <v>78070</v>
      </c>
      <c r="AC537" s="9" t="s">
        <v>41</v>
      </c>
      <c r="AD537" s="9" t="s">
        <v>134</v>
      </c>
      <c r="AE537" s="9" t="s">
        <v>135</v>
      </c>
      <c r="AF537" s="9" t="s">
        <v>135</v>
      </c>
      <c r="AG537" s="14" t="str">
        <f t="shared" si="18"/>
        <v>EXAMENES RADIOLOGICOS</v>
      </c>
      <c r="AH537" s="9">
        <v>0</v>
      </c>
      <c r="AI537" s="9">
        <v>0</v>
      </c>
      <c r="AJ537" s="9">
        <v>76098454</v>
      </c>
      <c r="AK537" s="9" t="s">
        <v>161</v>
      </c>
      <c r="AL537" s="26" t="s">
        <v>52</v>
      </c>
      <c r="AM537" s="14" t="s">
        <v>612</v>
      </c>
      <c r="AN537" s="27" t="str">
        <f t="shared" si="19"/>
        <v>17024209|76098454|372262291|65384399</v>
      </c>
      <c r="AO537" t="s">
        <v>44</v>
      </c>
      <c r="AP537" t="b">
        <v>0</v>
      </c>
      <c r="AQ537" t="s">
        <v>763</v>
      </c>
    </row>
    <row r="538" spans="1:43" x14ac:dyDescent="0.2">
      <c r="A538" s="14" t="s">
        <v>500</v>
      </c>
      <c r="B538" s="17">
        <v>9811159</v>
      </c>
      <c r="C538" s="14" t="s">
        <v>294</v>
      </c>
      <c r="D538" s="9">
        <v>9811159</v>
      </c>
      <c r="E538" s="9" t="s">
        <v>294</v>
      </c>
      <c r="F538" s="7">
        <v>45717</v>
      </c>
      <c r="G538" s="20" t="s">
        <v>36</v>
      </c>
      <c r="H538" s="8">
        <v>372294355</v>
      </c>
      <c r="I538" s="19">
        <v>372294355</v>
      </c>
      <c r="J538" s="10">
        <v>59839</v>
      </c>
      <c r="K538" s="10">
        <v>30430</v>
      </c>
      <c r="L538" s="10">
        <v>29409</v>
      </c>
      <c r="M538" s="10">
        <v>0</v>
      </c>
      <c r="N538" s="11">
        <v>29409</v>
      </c>
      <c r="O538" s="12">
        <v>372294355</v>
      </c>
      <c r="P538" s="9">
        <v>285123</v>
      </c>
      <c r="Q538" s="9" t="s">
        <v>37</v>
      </c>
      <c r="R538" s="13">
        <v>45720</v>
      </c>
      <c r="S538" s="22">
        <v>45720</v>
      </c>
      <c r="T538" s="13">
        <v>45720</v>
      </c>
      <c r="U538" s="13">
        <v>45720</v>
      </c>
      <c r="V538" s="9" t="s">
        <v>47</v>
      </c>
      <c r="W538" s="9">
        <v>22676641</v>
      </c>
      <c r="X538" s="9">
        <v>3101656</v>
      </c>
      <c r="Y538" s="9">
        <v>68996424</v>
      </c>
      <c r="Z538" s="9" t="s">
        <v>39</v>
      </c>
      <c r="AA538" s="9">
        <v>9032025</v>
      </c>
      <c r="AB538" s="9">
        <v>77868</v>
      </c>
      <c r="AC538" s="9" t="s">
        <v>41</v>
      </c>
      <c r="AD538" s="9" t="s">
        <v>132</v>
      </c>
      <c r="AE538" s="9" t="s">
        <v>133</v>
      </c>
      <c r="AF538" s="9" t="s">
        <v>133</v>
      </c>
      <c r="AG538" s="14" t="str">
        <f t="shared" si="18"/>
        <v>EXAMENES DE LABORATORIO</v>
      </c>
      <c r="AH538" s="9" t="s">
        <v>758</v>
      </c>
      <c r="AI538" s="9">
        <v>0</v>
      </c>
      <c r="AJ538" s="9">
        <v>96617350</v>
      </c>
      <c r="AK538" s="9">
        <v>5</v>
      </c>
      <c r="AL538" s="26" t="s">
        <v>292</v>
      </c>
      <c r="AM538" s="14" t="s">
        <v>613</v>
      </c>
      <c r="AN538" s="27" t="str">
        <f t="shared" si="19"/>
        <v>9811159|96617350|372294355|372294355</v>
      </c>
      <c r="AO538" t="s">
        <v>758</v>
      </c>
      <c r="AP538" t="b">
        <v>1</v>
      </c>
      <c r="AQ538" t="s">
        <v>764</v>
      </c>
    </row>
    <row r="539" spans="1:43" x14ac:dyDescent="0.2">
      <c r="A539" s="14" t="s">
        <v>500</v>
      </c>
      <c r="B539" s="17">
        <v>9811159</v>
      </c>
      <c r="C539" s="14" t="s">
        <v>294</v>
      </c>
      <c r="D539" s="9">
        <v>9811159</v>
      </c>
      <c r="E539" s="9" t="s">
        <v>294</v>
      </c>
      <c r="F539" s="7">
        <v>45717</v>
      </c>
      <c r="G539" s="20" t="s">
        <v>46</v>
      </c>
      <c r="H539" s="8">
        <v>372294355</v>
      </c>
      <c r="I539" s="19">
        <v>65383762</v>
      </c>
      <c r="J539" s="10">
        <v>27867</v>
      </c>
      <c r="K539" s="10">
        <v>0</v>
      </c>
      <c r="L539" s="10">
        <v>27867</v>
      </c>
      <c r="M539" s="10">
        <v>0</v>
      </c>
      <c r="N539" s="11">
        <v>27867</v>
      </c>
      <c r="O539" s="12">
        <v>372294355</v>
      </c>
      <c r="P539" s="9">
        <v>285123</v>
      </c>
      <c r="Q539" s="9" t="s">
        <v>37</v>
      </c>
      <c r="R539" s="13">
        <v>45720</v>
      </c>
      <c r="S539" s="22">
        <v>45742</v>
      </c>
      <c r="T539" s="13">
        <v>45720</v>
      </c>
      <c r="U539" s="13">
        <v>45720</v>
      </c>
      <c r="V539" s="9" t="s">
        <v>47</v>
      </c>
      <c r="W539" s="9">
        <v>22772386</v>
      </c>
      <c r="X539" s="9">
        <v>3311105</v>
      </c>
      <c r="Y539" s="9">
        <v>69250652</v>
      </c>
      <c r="Z539" s="9" t="s">
        <v>39</v>
      </c>
      <c r="AA539" s="9">
        <v>14918202</v>
      </c>
      <c r="AB539" s="9">
        <v>78070</v>
      </c>
      <c r="AC539" s="9" t="s">
        <v>41</v>
      </c>
      <c r="AD539" s="9" t="s">
        <v>132</v>
      </c>
      <c r="AE539" s="9" t="s">
        <v>133</v>
      </c>
      <c r="AF539" s="9" t="s">
        <v>133</v>
      </c>
      <c r="AG539" s="14" t="str">
        <f t="shared" si="18"/>
        <v>EXAMENES DE LABORATORIO</v>
      </c>
      <c r="AH539" s="9">
        <v>0</v>
      </c>
      <c r="AI539" s="9">
        <v>0</v>
      </c>
      <c r="AJ539" s="9">
        <v>96617350</v>
      </c>
      <c r="AK539" s="9">
        <v>5</v>
      </c>
      <c r="AL539" s="26" t="s">
        <v>52</v>
      </c>
      <c r="AM539" s="14" t="s">
        <v>613</v>
      </c>
      <c r="AN539" s="27" t="str">
        <f t="shared" si="19"/>
        <v>9811159|96617350|372294355|65383762</v>
      </c>
      <c r="AO539" t="s">
        <v>44</v>
      </c>
      <c r="AP539" t="b">
        <v>0</v>
      </c>
      <c r="AQ539" t="s">
        <v>763</v>
      </c>
    </row>
    <row r="540" spans="1:43" x14ac:dyDescent="0.2">
      <c r="A540" s="14" t="s">
        <v>500</v>
      </c>
      <c r="B540" s="17">
        <v>9811159</v>
      </c>
      <c r="C540" s="14" t="s">
        <v>294</v>
      </c>
      <c r="D540" s="9">
        <v>9811159</v>
      </c>
      <c r="E540" s="9" t="s">
        <v>294</v>
      </c>
      <c r="F540" s="7">
        <v>45717</v>
      </c>
      <c r="G540" s="20" t="s">
        <v>36</v>
      </c>
      <c r="H540" s="8">
        <v>372294356</v>
      </c>
      <c r="I540" s="19">
        <v>372294356</v>
      </c>
      <c r="J540" s="10">
        <v>36990</v>
      </c>
      <c r="K540" s="10">
        <v>19068</v>
      </c>
      <c r="L540" s="10">
        <v>17922</v>
      </c>
      <c r="M540" s="10">
        <v>0</v>
      </c>
      <c r="N540" s="11">
        <v>17922</v>
      </c>
      <c r="O540" s="12">
        <v>372294356</v>
      </c>
      <c r="P540" s="9">
        <v>285123</v>
      </c>
      <c r="Q540" s="9" t="s">
        <v>37</v>
      </c>
      <c r="R540" s="13">
        <v>45720</v>
      </c>
      <c r="S540" s="22">
        <v>45720</v>
      </c>
      <c r="T540" s="13">
        <v>45720</v>
      </c>
      <c r="U540" s="13">
        <v>45720</v>
      </c>
      <c r="V540" s="9" t="s">
        <v>47</v>
      </c>
      <c r="W540" s="9">
        <v>22676641</v>
      </c>
      <c r="X540" s="9">
        <v>3101656</v>
      </c>
      <c r="Y540" s="9">
        <v>68994609</v>
      </c>
      <c r="Z540" s="9" t="s">
        <v>39</v>
      </c>
      <c r="AA540" s="9">
        <v>9032025</v>
      </c>
      <c r="AB540" s="9">
        <v>77868</v>
      </c>
      <c r="AC540" s="9" t="s">
        <v>41</v>
      </c>
      <c r="AD540" s="9" t="s">
        <v>132</v>
      </c>
      <c r="AE540" s="9" t="s">
        <v>133</v>
      </c>
      <c r="AF540" s="9" t="s">
        <v>133</v>
      </c>
      <c r="AG540" s="14" t="str">
        <f t="shared" si="18"/>
        <v>EXAMENES DE LABORATORIO</v>
      </c>
      <c r="AH540" s="9" t="s">
        <v>758</v>
      </c>
      <c r="AI540" s="9">
        <v>0</v>
      </c>
      <c r="AJ540" s="9">
        <v>96617350</v>
      </c>
      <c r="AK540" s="9">
        <v>5</v>
      </c>
      <c r="AL540" s="26" t="s">
        <v>292</v>
      </c>
      <c r="AM540" s="14" t="s">
        <v>613</v>
      </c>
      <c r="AN540" s="27" t="str">
        <f t="shared" si="19"/>
        <v>9811159|96617350|372294356|372294356</v>
      </c>
      <c r="AO540" t="s">
        <v>758</v>
      </c>
      <c r="AP540" t="b">
        <v>1</v>
      </c>
      <c r="AQ540" t="s">
        <v>764</v>
      </c>
    </row>
    <row r="541" spans="1:43" x14ac:dyDescent="0.2">
      <c r="A541" s="14" t="s">
        <v>500</v>
      </c>
      <c r="B541" s="17">
        <v>9811159</v>
      </c>
      <c r="C541" s="14" t="s">
        <v>294</v>
      </c>
      <c r="D541" s="9">
        <v>9811159</v>
      </c>
      <c r="E541" s="9" t="s">
        <v>294</v>
      </c>
      <c r="F541" s="7">
        <v>45717</v>
      </c>
      <c r="G541" s="20" t="s">
        <v>46</v>
      </c>
      <c r="H541" s="8">
        <v>372294356</v>
      </c>
      <c r="I541" s="19">
        <v>65383763</v>
      </c>
      <c r="J541" s="10">
        <v>18190</v>
      </c>
      <c r="K541" s="10">
        <v>0</v>
      </c>
      <c r="L541" s="10">
        <v>18190</v>
      </c>
      <c r="M541" s="10">
        <v>0</v>
      </c>
      <c r="N541" s="11">
        <v>18190</v>
      </c>
      <c r="O541" s="12">
        <v>372294356</v>
      </c>
      <c r="P541" s="9">
        <v>285123</v>
      </c>
      <c r="Q541" s="9" t="s">
        <v>37</v>
      </c>
      <c r="R541" s="13">
        <v>45720</v>
      </c>
      <c r="S541" s="22">
        <v>45742</v>
      </c>
      <c r="T541" s="13">
        <v>45720</v>
      </c>
      <c r="U541" s="13">
        <v>45720</v>
      </c>
      <c r="V541" s="9" t="s">
        <v>47</v>
      </c>
      <c r="W541" s="9">
        <v>22772386</v>
      </c>
      <c r="X541" s="9">
        <v>3311105</v>
      </c>
      <c r="Y541" s="9">
        <v>69250653</v>
      </c>
      <c r="Z541" s="9" t="s">
        <v>39</v>
      </c>
      <c r="AA541" s="9">
        <v>14918202</v>
      </c>
      <c r="AB541" s="9">
        <v>78070</v>
      </c>
      <c r="AC541" s="9" t="s">
        <v>41</v>
      </c>
      <c r="AD541" s="9" t="s">
        <v>132</v>
      </c>
      <c r="AE541" s="9" t="s">
        <v>133</v>
      </c>
      <c r="AF541" s="9" t="s">
        <v>133</v>
      </c>
      <c r="AG541" s="14" t="str">
        <f t="shared" si="18"/>
        <v>EXAMENES DE LABORATORIO</v>
      </c>
      <c r="AH541" s="9">
        <v>0</v>
      </c>
      <c r="AI541" s="9">
        <v>0</v>
      </c>
      <c r="AJ541" s="9">
        <v>96617350</v>
      </c>
      <c r="AK541" s="9">
        <v>5</v>
      </c>
      <c r="AL541" s="26" t="s">
        <v>52</v>
      </c>
      <c r="AM541" s="14" t="s">
        <v>613</v>
      </c>
      <c r="AN541" s="27" t="str">
        <f t="shared" si="19"/>
        <v>9811159|96617350|372294356|65383763</v>
      </c>
      <c r="AO541" t="s">
        <v>44</v>
      </c>
      <c r="AP541" t="b">
        <v>0</v>
      </c>
      <c r="AQ541" t="s">
        <v>763</v>
      </c>
    </row>
    <row r="542" spans="1:43" x14ac:dyDescent="0.2">
      <c r="A542" s="14" t="s">
        <v>500</v>
      </c>
      <c r="B542" s="17">
        <v>9811159</v>
      </c>
      <c r="C542" s="14" t="s">
        <v>294</v>
      </c>
      <c r="D542" s="9">
        <v>9811159</v>
      </c>
      <c r="E542" s="9" t="s">
        <v>294</v>
      </c>
      <c r="F542" s="7">
        <v>45717</v>
      </c>
      <c r="G542" s="20" t="s">
        <v>36</v>
      </c>
      <c r="H542" s="8">
        <v>372294358</v>
      </c>
      <c r="I542" s="19">
        <v>372294358</v>
      </c>
      <c r="J542" s="10">
        <v>8496</v>
      </c>
      <c r="K542" s="10">
        <v>4490</v>
      </c>
      <c r="L542" s="10">
        <v>4006</v>
      </c>
      <c r="M542" s="10">
        <v>0</v>
      </c>
      <c r="N542" s="11">
        <v>4006</v>
      </c>
      <c r="O542" s="12">
        <v>372294358</v>
      </c>
      <c r="P542" s="9">
        <v>285123</v>
      </c>
      <c r="Q542" s="9" t="s">
        <v>37</v>
      </c>
      <c r="R542" s="13">
        <v>45720</v>
      </c>
      <c r="S542" s="22">
        <v>45720</v>
      </c>
      <c r="T542" s="13">
        <v>45720</v>
      </c>
      <c r="U542" s="13">
        <v>45720</v>
      </c>
      <c r="V542" s="9" t="s">
        <v>47</v>
      </c>
      <c r="W542" s="9">
        <v>22676641</v>
      </c>
      <c r="X542" s="9">
        <v>3101656</v>
      </c>
      <c r="Y542" s="9">
        <v>68997924</v>
      </c>
      <c r="Z542" s="9" t="s">
        <v>39</v>
      </c>
      <c r="AA542" s="9">
        <v>9032025</v>
      </c>
      <c r="AB542" s="9">
        <v>77868</v>
      </c>
      <c r="AC542" s="9" t="s">
        <v>41</v>
      </c>
      <c r="AD542" s="9" t="s">
        <v>132</v>
      </c>
      <c r="AE542" s="9" t="s">
        <v>133</v>
      </c>
      <c r="AF542" s="9" t="s">
        <v>133</v>
      </c>
      <c r="AG542" s="14" t="str">
        <f t="shared" si="18"/>
        <v>EXAMENES DE LABORATORIO</v>
      </c>
      <c r="AH542" s="9" t="s">
        <v>758</v>
      </c>
      <c r="AI542" s="9">
        <v>0</v>
      </c>
      <c r="AJ542" s="9">
        <v>96617350</v>
      </c>
      <c r="AK542" s="9">
        <v>5</v>
      </c>
      <c r="AL542" s="26" t="s">
        <v>292</v>
      </c>
      <c r="AM542" s="14" t="s">
        <v>613</v>
      </c>
      <c r="AN542" s="27" t="str">
        <f t="shared" si="19"/>
        <v>9811159|96617350|372294358|372294358</v>
      </c>
      <c r="AO542" t="s">
        <v>758</v>
      </c>
      <c r="AP542" t="b">
        <v>1</v>
      </c>
      <c r="AQ542" t="s">
        <v>764</v>
      </c>
    </row>
    <row r="543" spans="1:43" x14ac:dyDescent="0.2">
      <c r="A543" s="14" t="s">
        <v>500</v>
      </c>
      <c r="B543" s="17">
        <v>9811159</v>
      </c>
      <c r="C543" s="14" t="s">
        <v>294</v>
      </c>
      <c r="D543" s="9">
        <v>9811159</v>
      </c>
      <c r="E543" s="9" t="s">
        <v>294</v>
      </c>
      <c r="F543" s="7">
        <v>45717</v>
      </c>
      <c r="G543" s="20" t="s">
        <v>46</v>
      </c>
      <c r="H543" s="8">
        <v>372294358</v>
      </c>
      <c r="I543" s="19">
        <v>65383764</v>
      </c>
      <c r="J543" s="10">
        <v>3870</v>
      </c>
      <c r="K543" s="10">
        <v>0</v>
      </c>
      <c r="L543" s="10">
        <v>3870</v>
      </c>
      <c r="M543" s="10">
        <v>0</v>
      </c>
      <c r="N543" s="11">
        <v>3870</v>
      </c>
      <c r="O543" s="12">
        <v>372294358</v>
      </c>
      <c r="P543" s="9">
        <v>285123</v>
      </c>
      <c r="Q543" s="9" t="s">
        <v>37</v>
      </c>
      <c r="R543" s="13">
        <v>45720</v>
      </c>
      <c r="S543" s="22">
        <v>45742</v>
      </c>
      <c r="T543" s="13">
        <v>45720</v>
      </c>
      <c r="U543" s="13">
        <v>45720</v>
      </c>
      <c r="V543" s="9" t="s">
        <v>47</v>
      </c>
      <c r="W543" s="9">
        <v>22772386</v>
      </c>
      <c r="X543" s="9">
        <v>3311105</v>
      </c>
      <c r="Y543" s="9">
        <v>69250654</v>
      </c>
      <c r="Z543" s="9" t="s">
        <v>39</v>
      </c>
      <c r="AA543" s="9">
        <v>14918202</v>
      </c>
      <c r="AB543" s="9">
        <v>78070</v>
      </c>
      <c r="AC543" s="9" t="s">
        <v>41</v>
      </c>
      <c r="AD543" s="9" t="s">
        <v>132</v>
      </c>
      <c r="AE543" s="9" t="s">
        <v>133</v>
      </c>
      <c r="AF543" s="9" t="s">
        <v>133</v>
      </c>
      <c r="AG543" s="14" t="str">
        <f t="shared" si="18"/>
        <v>EXAMENES DE LABORATORIO</v>
      </c>
      <c r="AH543" s="9">
        <v>0</v>
      </c>
      <c r="AI543" s="9">
        <v>0</v>
      </c>
      <c r="AJ543" s="9">
        <v>96617350</v>
      </c>
      <c r="AK543" s="9">
        <v>5</v>
      </c>
      <c r="AL543" s="26" t="s">
        <v>52</v>
      </c>
      <c r="AM543" s="14" t="s">
        <v>613</v>
      </c>
      <c r="AN543" s="27" t="str">
        <f t="shared" si="19"/>
        <v>9811159|96617350|372294358|65383764</v>
      </c>
      <c r="AO543" t="s">
        <v>44</v>
      </c>
      <c r="AP543" t="b">
        <v>0</v>
      </c>
      <c r="AQ543" t="s">
        <v>763</v>
      </c>
    </row>
    <row r="544" spans="1:43" x14ac:dyDescent="0.2">
      <c r="A544" s="14" t="s">
        <v>500</v>
      </c>
      <c r="B544" s="17">
        <v>13930390</v>
      </c>
      <c r="C544" s="14" t="s">
        <v>295</v>
      </c>
      <c r="D544" s="9">
        <v>13930390</v>
      </c>
      <c r="E544" s="9" t="s">
        <v>295</v>
      </c>
      <c r="F544" s="7">
        <v>45717</v>
      </c>
      <c r="G544" s="20" t="s">
        <v>36</v>
      </c>
      <c r="H544" s="8">
        <v>372297463</v>
      </c>
      <c r="I544" s="19">
        <v>372297463</v>
      </c>
      <c r="J544" s="10">
        <v>33321</v>
      </c>
      <c r="K544" s="10">
        <v>23324</v>
      </c>
      <c r="L544" s="10">
        <v>9997</v>
      </c>
      <c r="M544" s="10">
        <v>0</v>
      </c>
      <c r="N544" s="11">
        <v>9997</v>
      </c>
      <c r="O544" s="12">
        <v>372297463</v>
      </c>
      <c r="P544" s="9">
        <v>285123</v>
      </c>
      <c r="Q544" s="9" t="s">
        <v>37</v>
      </c>
      <c r="R544" s="13">
        <v>45720</v>
      </c>
      <c r="S544" s="22">
        <v>45720</v>
      </c>
      <c r="T544" s="13">
        <v>45720</v>
      </c>
      <c r="U544" s="13">
        <v>45720</v>
      </c>
      <c r="V544" s="9" t="s">
        <v>47</v>
      </c>
      <c r="W544" s="9">
        <v>22676661</v>
      </c>
      <c r="X544" s="9">
        <v>3101656</v>
      </c>
      <c r="Y544" s="9">
        <v>68993909</v>
      </c>
      <c r="Z544" s="9" t="s">
        <v>39</v>
      </c>
      <c r="AA544" s="9">
        <v>9032025</v>
      </c>
      <c r="AB544" s="9">
        <v>77868</v>
      </c>
      <c r="AC544" s="9" t="s">
        <v>41</v>
      </c>
      <c r="AD544" s="9" t="s">
        <v>132</v>
      </c>
      <c r="AE544" s="9" t="s">
        <v>133</v>
      </c>
      <c r="AF544" s="9" t="s">
        <v>133</v>
      </c>
      <c r="AG544" s="14" t="str">
        <f t="shared" si="18"/>
        <v>EXAMENES DE LABORATORIO</v>
      </c>
      <c r="AH544" s="9" t="s">
        <v>758</v>
      </c>
      <c r="AI544" s="9">
        <v>0</v>
      </c>
      <c r="AJ544" s="9">
        <v>99573490</v>
      </c>
      <c r="AK544" s="9">
        <v>7</v>
      </c>
      <c r="AL544" s="26" t="s">
        <v>292</v>
      </c>
      <c r="AM544" s="14" t="s">
        <v>614</v>
      </c>
      <c r="AN544" s="27" t="str">
        <f t="shared" si="19"/>
        <v>13930390|99573490|372297463|372297463</v>
      </c>
      <c r="AO544" t="s">
        <v>758</v>
      </c>
      <c r="AP544" t="b">
        <v>1</v>
      </c>
      <c r="AQ544" t="s">
        <v>764</v>
      </c>
    </row>
    <row r="545" spans="1:43" x14ac:dyDescent="0.2">
      <c r="A545" s="14" t="s">
        <v>500</v>
      </c>
      <c r="B545" s="17">
        <v>13930390</v>
      </c>
      <c r="C545" s="14" t="s">
        <v>295</v>
      </c>
      <c r="D545" s="9">
        <v>13930390</v>
      </c>
      <c r="E545" s="9" t="s">
        <v>295</v>
      </c>
      <c r="F545" s="7">
        <v>45717</v>
      </c>
      <c r="G545" s="20" t="s">
        <v>46</v>
      </c>
      <c r="H545" s="8">
        <v>372297463</v>
      </c>
      <c r="I545" s="19">
        <v>65384158</v>
      </c>
      <c r="J545" s="10">
        <v>9288</v>
      </c>
      <c r="K545" s="10">
        <v>0</v>
      </c>
      <c r="L545" s="10">
        <v>9288</v>
      </c>
      <c r="M545" s="10">
        <v>0</v>
      </c>
      <c r="N545" s="11">
        <v>9288</v>
      </c>
      <c r="O545" s="12">
        <v>372297463</v>
      </c>
      <c r="P545" s="9">
        <v>285123</v>
      </c>
      <c r="Q545" s="9" t="s">
        <v>37</v>
      </c>
      <c r="R545" s="13">
        <v>45720</v>
      </c>
      <c r="S545" s="22">
        <v>45742</v>
      </c>
      <c r="T545" s="13">
        <v>45720</v>
      </c>
      <c r="U545" s="13">
        <v>45720</v>
      </c>
      <c r="V545" s="9" t="s">
        <v>47</v>
      </c>
      <c r="W545" s="9">
        <v>22772394</v>
      </c>
      <c r="X545" s="9">
        <v>3311105</v>
      </c>
      <c r="Y545" s="9">
        <v>69251038</v>
      </c>
      <c r="Z545" s="9" t="s">
        <v>39</v>
      </c>
      <c r="AA545" s="9">
        <v>13930390</v>
      </c>
      <c r="AB545" s="9">
        <v>78070</v>
      </c>
      <c r="AC545" s="9" t="s">
        <v>41</v>
      </c>
      <c r="AD545" s="9" t="s">
        <v>132</v>
      </c>
      <c r="AE545" s="9" t="s">
        <v>133</v>
      </c>
      <c r="AF545" s="9" t="s">
        <v>133</v>
      </c>
      <c r="AG545" s="14" t="str">
        <f t="shared" si="18"/>
        <v>EXAMENES DE LABORATORIO</v>
      </c>
      <c r="AH545" s="9">
        <v>0</v>
      </c>
      <c r="AI545" s="9">
        <v>0</v>
      </c>
      <c r="AJ545" s="9">
        <v>99573490</v>
      </c>
      <c r="AK545" s="9">
        <v>7</v>
      </c>
      <c r="AL545" s="26" t="s">
        <v>52</v>
      </c>
      <c r="AM545" s="14" t="s">
        <v>614</v>
      </c>
      <c r="AN545" s="27" t="str">
        <f t="shared" si="19"/>
        <v>13930390|99573490|372297463|65384158</v>
      </c>
      <c r="AO545" t="s">
        <v>44</v>
      </c>
      <c r="AP545" t="b">
        <v>0</v>
      </c>
      <c r="AQ545" t="s">
        <v>763</v>
      </c>
    </row>
    <row r="546" spans="1:43" x14ac:dyDescent="0.2">
      <c r="A546" s="14" t="s">
        <v>500</v>
      </c>
      <c r="B546" s="17">
        <v>13930390</v>
      </c>
      <c r="C546" s="14" t="s">
        <v>295</v>
      </c>
      <c r="D546" s="9">
        <v>13930390</v>
      </c>
      <c r="E546" s="9" t="s">
        <v>295</v>
      </c>
      <c r="F546" s="7">
        <v>45717</v>
      </c>
      <c r="G546" s="20" t="s">
        <v>36</v>
      </c>
      <c r="H546" s="8">
        <v>372297464</v>
      </c>
      <c r="I546" s="19">
        <v>372297464</v>
      </c>
      <c r="J546" s="10">
        <v>63830</v>
      </c>
      <c r="K546" s="10">
        <v>44682</v>
      </c>
      <c r="L546" s="10">
        <v>19148</v>
      </c>
      <c r="M546" s="10">
        <v>0</v>
      </c>
      <c r="N546" s="11">
        <v>19148</v>
      </c>
      <c r="O546" s="12">
        <v>372297464</v>
      </c>
      <c r="P546" s="9">
        <v>285123</v>
      </c>
      <c r="Q546" s="9" t="s">
        <v>37</v>
      </c>
      <c r="R546" s="13">
        <v>45720</v>
      </c>
      <c r="S546" s="22">
        <v>45720</v>
      </c>
      <c r="T546" s="13">
        <v>45720</v>
      </c>
      <c r="U546" s="13">
        <v>45720</v>
      </c>
      <c r="V546" s="9" t="s">
        <v>47</v>
      </c>
      <c r="W546" s="9">
        <v>22676661</v>
      </c>
      <c r="X546" s="9">
        <v>3101656</v>
      </c>
      <c r="Y546" s="9">
        <v>68997081</v>
      </c>
      <c r="Z546" s="9" t="s">
        <v>39</v>
      </c>
      <c r="AA546" s="9">
        <v>9032025</v>
      </c>
      <c r="AB546" s="9">
        <v>77868</v>
      </c>
      <c r="AC546" s="9" t="s">
        <v>41</v>
      </c>
      <c r="AD546" s="9" t="s">
        <v>132</v>
      </c>
      <c r="AE546" s="9" t="s">
        <v>133</v>
      </c>
      <c r="AF546" s="9" t="s">
        <v>133</v>
      </c>
      <c r="AG546" s="14" t="str">
        <f t="shared" si="18"/>
        <v>EXAMENES DE LABORATORIO</v>
      </c>
      <c r="AH546" s="9" t="s">
        <v>758</v>
      </c>
      <c r="AI546" s="9">
        <v>0</v>
      </c>
      <c r="AJ546" s="9">
        <v>99573490</v>
      </c>
      <c r="AK546" s="9">
        <v>7</v>
      </c>
      <c r="AL546" s="26" t="s">
        <v>292</v>
      </c>
      <c r="AM546" s="14" t="s">
        <v>614</v>
      </c>
      <c r="AN546" s="27" t="str">
        <f t="shared" si="19"/>
        <v>13930390|99573490|372297464|372297464</v>
      </c>
      <c r="AO546" t="s">
        <v>758</v>
      </c>
      <c r="AP546" t="b">
        <v>1</v>
      </c>
      <c r="AQ546" t="s">
        <v>764</v>
      </c>
    </row>
    <row r="547" spans="1:43" x14ac:dyDescent="0.2">
      <c r="A547" s="14" t="s">
        <v>500</v>
      </c>
      <c r="B547" s="17">
        <v>13930390</v>
      </c>
      <c r="C547" s="14" t="s">
        <v>295</v>
      </c>
      <c r="D547" s="9">
        <v>13930390</v>
      </c>
      <c r="E547" s="9" t="s">
        <v>295</v>
      </c>
      <c r="F547" s="7">
        <v>45717</v>
      </c>
      <c r="G547" s="20" t="s">
        <v>46</v>
      </c>
      <c r="H547" s="8">
        <v>372297464</v>
      </c>
      <c r="I547" s="19">
        <v>65384159</v>
      </c>
      <c r="J547" s="10">
        <v>18965</v>
      </c>
      <c r="K547" s="10">
        <v>0</v>
      </c>
      <c r="L547" s="10">
        <v>18965</v>
      </c>
      <c r="M547" s="10">
        <v>0</v>
      </c>
      <c r="N547" s="11">
        <v>18965</v>
      </c>
      <c r="O547" s="12">
        <v>372297464</v>
      </c>
      <c r="P547" s="9">
        <v>285123</v>
      </c>
      <c r="Q547" s="9" t="s">
        <v>37</v>
      </c>
      <c r="R547" s="13">
        <v>45720</v>
      </c>
      <c r="S547" s="22">
        <v>45742</v>
      </c>
      <c r="T547" s="13">
        <v>45720</v>
      </c>
      <c r="U547" s="13">
        <v>45720</v>
      </c>
      <c r="V547" s="9" t="s">
        <v>47</v>
      </c>
      <c r="W547" s="9">
        <v>22772394</v>
      </c>
      <c r="X547" s="9">
        <v>3311105</v>
      </c>
      <c r="Y547" s="9">
        <v>69251039</v>
      </c>
      <c r="Z547" s="9" t="s">
        <v>39</v>
      </c>
      <c r="AA547" s="9">
        <v>13930390</v>
      </c>
      <c r="AB547" s="9">
        <v>78070</v>
      </c>
      <c r="AC547" s="9" t="s">
        <v>41</v>
      </c>
      <c r="AD547" s="9" t="s">
        <v>132</v>
      </c>
      <c r="AE547" s="9" t="s">
        <v>133</v>
      </c>
      <c r="AF547" s="9" t="s">
        <v>133</v>
      </c>
      <c r="AG547" s="14" t="str">
        <f t="shared" si="18"/>
        <v>EXAMENES DE LABORATORIO</v>
      </c>
      <c r="AH547" s="9">
        <v>0</v>
      </c>
      <c r="AI547" s="9">
        <v>0</v>
      </c>
      <c r="AJ547" s="9">
        <v>99573490</v>
      </c>
      <c r="AK547" s="9">
        <v>7</v>
      </c>
      <c r="AL547" s="26" t="s">
        <v>52</v>
      </c>
      <c r="AM547" s="14" t="s">
        <v>614</v>
      </c>
      <c r="AN547" s="27" t="str">
        <f t="shared" si="19"/>
        <v>13930390|99573490|372297464|65384159</v>
      </c>
      <c r="AO547" t="s">
        <v>44</v>
      </c>
      <c r="AP547" t="b">
        <v>0</v>
      </c>
      <c r="AQ547" t="s">
        <v>763</v>
      </c>
    </row>
    <row r="548" spans="1:43" x14ac:dyDescent="0.2">
      <c r="A548" s="14" t="s">
        <v>500</v>
      </c>
      <c r="B548" s="17">
        <v>14551107</v>
      </c>
      <c r="C548" s="14" t="s">
        <v>266</v>
      </c>
      <c r="D548" s="9">
        <v>14551107</v>
      </c>
      <c r="E548" s="9" t="s">
        <v>266</v>
      </c>
      <c r="F548" s="7">
        <v>45717</v>
      </c>
      <c r="G548" s="20" t="s">
        <v>36</v>
      </c>
      <c r="H548" s="8">
        <v>372345391</v>
      </c>
      <c r="I548" s="19">
        <v>372345391</v>
      </c>
      <c r="J548" s="10">
        <v>41600</v>
      </c>
      <c r="K548" s="10">
        <v>25535</v>
      </c>
      <c r="L548" s="10">
        <v>16065</v>
      </c>
      <c r="M548" s="10">
        <v>0</v>
      </c>
      <c r="N548" s="11">
        <v>16065</v>
      </c>
      <c r="O548" s="12">
        <v>372345391</v>
      </c>
      <c r="P548" s="9">
        <v>285123</v>
      </c>
      <c r="Q548" s="9" t="s">
        <v>37</v>
      </c>
      <c r="R548" s="13">
        <v>45721</v>
      </c>
      <c r="S548" s="22">
        <v>45721</v>
      </c>
      <c r="T548" s="13">
        <v>45721</v>
      </c>
      <c r="U548" s="13">
        <v>45721</v>
      </c>
      <c r="V548" s="9" t="s">
        <v>47</v>
      </c>
      <c r="W548" s="9">
        <v>22676726</v>
      </c>
      <c r="X548" s="9">
        <v>3101656</v>
      </c>
      <c r="Y548" s="9">
        <v>68996271</v>
      </c>
      <c r="Z548" s="9" t="s">
        <v>39</v>
      </c>
      <c r="AA548" s="9">
        <v>9032025</v>
      </c>
      <c r="AB548" s="9">
        <v>77868</v>
      </c>
      <c r="AC548" s="9" t="s">
        <v>41</v>
      </c>
      <c r="AD548" s="9" t="s">
        <v>134</v>
      </c>
      <c r="AE548" s="9" t="s">
        <v>135</v>
      </c>
      <c r="AF548" s="9" t="s">
        <v>135</v>
      </c>
      <c r="AG548" s="14" t="str">
        <f t="shared" si="18"/>
        <v>EXAMENES RADIOLOGICOS</v>
      </c>
      <c r="AH548" s="9" t="s">
        <v>758</v>
      </c>
      <c r="AI548" s="9">
        <v>0</v>
      </c>
      <c r="AJ548" s="9">
        <v>96942400</v>
      </c>
      <c r="AK548" s="9">
        <v>2</v>
      </c>
      <c r="AL548" s="26" t="s">
        <v>292</v>
      </c>
      <c r="AM548" s="14" t="s">
        <v>596</v>
      </c>
      <c r="AN548" s="27" t="str">
        <f t="shared" si="19"/>
        <v>14551107|96942400|372345391|372345391</v>
      </c>
      <c r="AO548" t="s">
        <v>758</v>
      </c>
      <c r="AP548" t="b">
        <v>1</v>
      </c>
      <c r="AQ548" t="s">
        <v>764</v>
      </c>
    </row>
    <row r="549" spans="1:43" x14ac:dyDescent="0.2">
      <c r="A549" s="14" t="s">
        <v>500</v>
      </c>
      <c r="B549" s="17">
        <v>14551107</v>
      </c>
      <c r="C549" s="14" t="s">
        <v>266</v>
      </c>
      <c r="D549" s="9">
        <v>14551107</v>
      </c>
      <c r="E549" s="9" t="s">
        <v>266</v>
      </c>
      <c r="F549" s="7">
        <v>45717</v>
      </c>
      <c r="G549" s="20" t="s">
        <v>46</v>
      </c>
      <c r="H549" s="8">
        <v>372345391</v>
      </c>
      <c r="I549" s="19">
        <v>65384245</v>
      </c>
      <c r="J549" s="10">
        <v>15876</v>
      </c>
      <c r="K549" s="10">
        <v>0</v>
      </c>
      <c r="L549" s="10">
        <v>15876</v>
      </c>
      <c r="M549" s="10">
        <v>0</v>
      </c>
      <c r="N549" s="11">
        <v>15876</v>
      </c>
      <c r="O549" s="12">
        <v>372345391</v>
      </c>
      <c r="P549" s="9">
        <v>285123</v>
      </c>
      <c r="Q549" s="9" t="s">
        <v>37</v>
      </c>
      <c r="R549" s="13">
        <v>45721</v>
      </c>
      <c r="S549" s="22">
        <v>45742</v>
      </c>
      <c r="T549" s="13">
        <v>45721</v>
      </c>
      <c r="U549" s="13">
        <v>45721</v>
      </c>
      <c r="V549" s="9" t="s">
        <v>47</v>
      </c>
      <c r="W549" s="9">
        <v>22772414</v>
      </c>
      <c r="X549" s="9">
        <v>3311105</v>
      </c>
      <c r="Y549" s="9">
        <v>69251118</v>
      </c>
      <c r="Z549" s="9" t="s">
        <v>39</v>
      </c>
      <c r="AA549" s="9">
        <v>984289359</v>
      </c>
      <c r="AB549" s="9">
        <v>78070</v>
      </c>
      <c r="AC549" s="9" t="s">
        <v>41</v>
      </c>
      <c r="AD549" s="9" t="s">
        <v>134</v>
      </c>
      <c r="AE549" s="9" t="s">
        <v>135</v>
      </c>
      <c r="AF549" s="9" t="s">
        <v>135</v>
      </c>
      <c r="AG549" s="14" t="str">
        <f t="shared" si="18"/>
        <v>EXAMENES RADIOLOGICOS</v>
      </c>
      <c r="AH549" s="9">
        <v>0</v>
      </c>
      <c r="AI549" s="9">
        <v>0</v>
      </c>
      <c r="AJ549" s="9">
        <v>96942400</v>
      </c>
      <c r="AK549" s="9">
        <v>2</v>
      </c>
      <c r="AL549" s="26" t="s">
        <v>52</v>
      </c>
      <c r="AM549" s="14" t="s">
        <v>596</v>
      </c>
      <c r="AN549" s="27" t="str">
        <f t="shared" si="19"/>
        <v>14551107|96942400|372345391|65384245</v>
      </c>
      <c r="AO549" t="s">
        <v>44</v>
      </c>
      <c r="AP549" t="b">
        <v>0</v>
      </c>
      <c r="AQ549" t="s">
        <v>763</v>
      </c>
    </row>
    <row r="550" spans="1:43" x14ac:dyDescent="0.2">
      <c r="A550" s="14" t="s">
        <v>500</v>
      </c>
      <c r="B550" s="17">
        <v>11128784</v>
      </c>
      <c r="C550" s="14" t="s">
        <v>271</v>
      </c>
      <c r="D550" s="9">
        <v>11128784</v>
      </c>
      <c r="E550" s="9" t="s">
        <v>271</v>
      </c>
      <c r="F550" s="7">
        <v>45717</v>
      </c>
      <c r="G550" s="20" t="s">
        <v>36</v>
      </c>
      <c r="H550" s="8">
        <v>372354413</v>
      </c>
      <c r="I550" s="19">
        <v>372354413</v>
      </c>
      <c r="J550" s="10">
        <v>30470</v>
      </c>
      <c r="K550" s="10">
        <v>23970</v>
      </c>
      <c r="L550" s="10">
        <v>6500</v>
      </c>
      <c r="M550" s="10">
        <v>0</v>
      </c>
      <c r="N550" s="11">
        <v>6500</v>
      </c>
      <c r="O550" s="12">
        <v>372354413</v>
      </c>
      <c r="P550" s="9">
        <v>285123</v>
      </c>
      <c r="Q550" s="9" t="s">
        <v>37</v>
      </c>
      <c r="R550" s="13">
        <v>45721</v>
      </c>
      <c r="S550" s="22">
        <v>45721</v>
      </c>
      <c r="T550" s="13">
        <v>45721</v>
      </c>
      <c r="U550" s="13">
        <v>45721</v>
      </c>
      <c r="V550" s="9" t="s">
        <v>47</v>
      </c>
      <c r="W550" s="9">
        <v>22676708</v>
      </c>
      <c r="X550" s="9">
        <v>3101656</v>
      </c>
      <c r="Y550" s="9">
        <v>68997340</v>
      </c>
      <c r="Z550" s="9" t="s">
        <v>39</v>
      </c>
      <c r="AA550" s="9">
        <v>9032025</v>
      </c>
      <c r="AB550" s="9">
        <v>77868</v>
      </c>
      <c r="AC550" s="9" t="s">
        <v>41</v>
      </c>
      <c r="AD550" s="9" t="s">
        <v>134</v>
      </c>
      <c r="AE550" s="9" t="s">
        <v>135</v>
      </c>
      <c r="AF550" s="9" t="s">
        <v>135</v>
      </c>
      <c r="AG550" s="14" t="str">
        <f t="shared" si="18"/>
        <v>EXAMENES RADIOLOGICOS</v>
      </c>
      <c r="AH550" s="9" t="s">
        <v>758</v>
      </c>
      <c r="AI550" s="9">
        <v>0</v>
      </c>
      <c r="AJ550" s="9">
        <v>96617350</v>
      </c>
      <c r="AK550" s="9">
        <v>5</v>
      </c>
      <c r="AL550" s="26" t="s">
        <v>292</v>
      </c>
      <c r="AM550" s="14" t="s">
        <v>598</v>
      </c>
      <c r="AN550" s="27" t="str">
        <f t="shared" si="19"/>
        <v>11128784|96617350|372354413|372354413</v>
      </c>
      <c r="AO550" t="s">
        <v>758</v>
      </c>
      <c r="AP550" t="b">
        <v>1</v>
      </c>
      <c r="AQ550" t="s">
        <v>764</v>
      </c>
    </row>
    <row r="551" spans="1:43" x14ac:dyDescent="0.2">
      <c r="A551" s="14" t="s">
        <v>500</v>
      </c>
      <c r="B551" s="17">
        <v>11128784</v>
      </c>
      <c r="C551" s="14" t="s">
        <v>271</v>
      </c>
      <c r="D551" s="9">
        <v>11128784</v>
      </c>
      <c r="E551" s="9" t="s">
        <v>271</v>
      </c>
      <c r="F551" s="7">
        <v>45717</v>
      </c>
      <c r="G551" s="20" t="s">
        <v>46</v>
      </c>
      <c r="H551" s="8">
        <v>372354413</v>
      </c>
      <c r="I551" s="19">
        <v>65383911</v>
      </c>
      <c r="J551" s="10">
        <v>6582</v>
      </c>
      <c r="K551" s="10">
        <v>0</v>
      </c>
      <c r="L551" s="10">
        <v>6582</v>
      </c>
      <c r="M551" s="10">
        <v>0</v>
      </c>
      <c r="N551" s="11">
        <v>6582</v>
      </c>
      <c r="O551" s="12">
        <v>372354413</v>
      </c>
      <c r="P551" s="9">
        <v>285123</v>
      </c>
      <c r="Q551" s="9" t="s">
        <v>37</v>
      </c>
      <c r="R551" s="13">
        <v>45721</v>
      </c>
      <c r="S551" s="22">
        <v>45742</v>
      </c>
      <c r="T551" s="13">
        <v>45721</v>
      </c>
      <c r="U551" s="13">
        <v>45721</v>
      </c>
      <c r="V551" s="9" t="s">
        <v>47</v>
      </c>
      <c r="W551" s="9">
        <v>22772409</v>
      </c>
      <c r="X551" s="9">
        <v>3311105</v>
      </c>
      <c r="Y551" s="9">
        <v>69250800</v>
      </c>
      <c r="Z551" s="9" t="s">
        <v>39</v>
      </c>
      <c r="AA551" s="9">
        <v>1130439</v>
      </c>
      <c r="AB551" s="9">
        <v>78070</v>
      </c>
      <c r="AC551" s="9" t="s">
        <v>41</v>
      </c>
      <c r="AD551" s="9" t="s">
        <v>134</v>
      </c>
      <c r="AE551" s="9" t="s">
        <v>135</v>
      </c>
      <c r="AF551" s="9" t="s">
        <v>135</v>
      </c>
      <c r="AG551" s="14" t="str">
        <f t="shared" si="18"/>
        <v>EXAMENES RADIOLOGICOS</v>
      </c>
      <c r="AH551" s="9">
        <v>0</v>
      </c>
      <c r="AI551" s="9">
        <v>0</v>
      </c>
      <c r="AJ551" s="9">
        <v>96617350</v>
      </c>
      <c r="AK551" s="9">
        <v>5</v>
      </c>
      <c r="AL551" s="26" t="s">
        <v>52</v>
      </c>
      <c r="AM551" s="14" t="s">
        <v>598</v>
      </c>
      <c r="AN551" s="27" t="str">
        <f t="shared" si="19"/>
        <v>11128784|96617350|372354413|65383911</v>
      </c>
      <c r="AO551" t="s">
        <v>44</v>
      </c>
      <c r="AP551" t="b">
        <v>0</v>
      </c>
      <c r="AQ551" t="s">
        <v>763</v>
      </c>
    </row>
    <row r="552" spans="1:43" x14ac:dyDescent="0.2">
      <c r="A552" s="14" t="s">
        <v>500</v>
      </c>
      <c r="B552" s="17">
        <v>8573655</v>
      </c>
      <c r="C552" s="14" t="s">
        <v>223</v>
      </c>
      <c r="D552" s="9">
        <v>8573655</v>
      </c>
      <c r="E552" s="9" t="s">
        <v>223</v>
      </c>
      <c r="F552" s="7">
        <v>45717</v>
      </c>
      <c r="G552" s="20" t="s">
        <v>36</v>
      </c>
      <c r="H552" s="8">
        <v>372373964</v>
      </c>
      <c r="I552" s="19">
        <v>372373964</v>
      </c>
      <c r="J552" s="10">
        <v>27180</v>
      </c>
      <c r="K552" s="10">
        <v>19026</v>
      </c>
      <c r="L552" s="10">
        <v>8154</v>
      </c>
      <c r="M552" s="10">
        <v>0</v>
      </c>
      <c r="N552" s="11">
        <v>8154</v>
      </c>
      <c r="O552" s="12">
        <v>372373964</v>
      </c>
      <c r="P552" s="9">
        <v>285123</v>
      </c>
      <c r="Q552" s="9" t="s">
        <v>37</v>
      </c>
      <c r="R552" s="13">
        <v>45721</v>
      </c>
      <c r="S552" s="22">
        <v>45721</v>
      </c>
      <c r="T552" s="13">
        <v>45721</v>
      </c>
      <c r="U552" s="13">
        <v>45721</v>
      </c>
      <c r="V552" s="9" t="s">
        <v>47</v>
      </c>
      <c r="W552" s="9">
        <v>22676694</v>
      </c>
      <c r="X552" s="9">
        <v>3101656</v>
      </c>
      <c r="Y552" s="9">
        <v>68997678</v>
      </c>
      <c r="Z552" s="9" t="s">
        <v>39</v>
      </c>
      <c r="AA552" s="9">
        <v>9032025</v>
      </c>
      <c r="AB552" s="9">
        <v>77868</v>
      </c>
      <c r="AC552" s="9" t="s">
        <v>41</v>
      </c>
      <c r="AD552" s="9" t="s">
        <v>134</v>
      </c>
      <c r="AE552" s="9" t="s">
        <v>135</v>
      </c>
      <c r="AF552" s="9" t="s">
        <v>135</v>
      </c>
      <c r="AG552" s="14" t="str">
        <f t="shared" si="18"/>
        <v>EXAMENES RADIOLOGICOS</v>
      </c>
      <c r="AH552" s="9" t="s">
        <v>758</v>
      </c>
      <c r="AI552" s="9">
        <v>0</v>
      </c>
      <c r="AJ552" s="9">
        <v>96719690</v>
      </c>
      <c r="AK552" s="9">
        <v>8</v>
      </c>
      <c r="AL552" s="26" t="s">
        <v>238</v>
      </c>
      <c r="AM552" s="14" t="s">
        <v>566</v>
      </c>
      <c r="AN552" s="27" t="str">
        <f t="shared" si="19"/>
        <v>8573655|96719690|372373964|372373964</v>
      </c>
      <c r="AO552" t="s">
        <v>758</v>
      </c>
      <c r="AP552" t="b">
        <v>1</v>
      </c>
      <c r="AQ552" t="s">
        <v>764</v>
      </c>
    </row>
    <row r="553" spans="1:43" x14ac:dyDescent="0.2">
      <c r="A553" s="14" t="s">
        <v>500</v>
      </c>
      <c r="B553" s="17">
        <v>8573655</v>
      </c>
      <c r="C553" s="14" t="s">
        <v>223</v>
      </c>
      <c r="D553" s="9">
        <v>8573655</v>
      </c>
      <c r="E553" s="9" t="s">
        <v>223</v>
      </c>
      <c r="F553" s="7">
        <v>45717</v>
      </c>
      <c r="G553" s="20" t="s">
        <v>46</v>
      </c>
      <c r="H553" s="8">
        <v>372373964</v>
      </c>
      <c r="I553" s="19">
        <v>65383675</v>
      </c>
      <c r="J553" s="10">
        <v>8131</v>
      </c>
      <c r="K553" s="10">
        <v>0</v>
      </c>
      <c r="L553" s="10">
        <v>8131</v>
      </c>
      <c r="M553" s="10">
        <v>0</v>
      </c>
      <c r="N553" s="11">
        <v>8131</v>
      </c>
      <c r="O553" s="12">
        <v>372373964</v>
      </c>
      <c r="P553" s="9">
        <v>285123</v>
      </c>
      <c r="Q553" s="9" t="s">
        <v>37</v>
      </c>
      <c r="R553" s="13">
        <v>45721</v>
      </c>
      <c r="S553" s="22">
        <v>45742</v>
      </c>
      <c r="T553" s="13">
        <v>45721</v>
      </c>
      <c r="U553" s="13">
        <v>45721</v>
      </c>
      <c r="V553" s="9" t="s">
        <v>47</v>
      </c>
      <c r="W553" s="9">
        <v>22772403</v>
      </c>
      <c r="X553" s="9">
        <v>3311105</v>
      </c>
      <c r="Y553" s="9">
        <v>69250566</v>
      </c>
      <c r="Z553" s="9" t="s">
        <v>39</v>
      </c>
      <c r="AA553" s="9">
        <v>213192158</v>
      </c>
      <c r="AB553" s="9">
        <v>78070</v>
      </c>
      <c r="AC553" s="9" t="s">
        <v>41</v>
      </c>
      <c r="AD553" s="9" t="s">
        <v>134</v>
      </c>
      <c r="AE553" s="9" t="s">
        <v>135</v>
      </c>
      <c r="AF553" s="9" t="s">
        <v>135</v>
      </c>
      <c r="AG553" s="14" t="str">
        <f t="shared" si="18"/>
        <v>EXAMENES RADIOLOGICOS</v>
      </c>
      <c r="AH553" s="9">
        <v>0</v>
      </c>
      <c r="AI553" s="9">
        <v>0</v>
      </c>
      <c r="AJ553" s="9">
        <v>96719690</v>
      </c>
      <c r="AK553" s="9">
        <v>8</v>
      </c>
      <c r="AL553" s="26" t="s">
        <v>52</v>
      </c>
      <c r="AM553" s="14" t="s">
        <v>566</v>
      </c>
      <c r="AN553" s="27" t="str">
        <f t="shared" si="19"/>
        <v>8573655|96719690|372373964|65383675</v>
      </c>
      <c r="AO553" t="s">
        <v>44</v>
      </c>
      <c r="AP553" t="b">
        <v>0</v>
      </c>
      <c r="AQ553" t="s">
        <v>763</v>
      </c>
    </row>
    <row r="554" spans="1:43" x14ac:dyDescent="0.2">
      <c r="A554" s="14" t="s">
        <v>500</v>
      </c>
      <c r="B554" s="17">
        <v>7624195</v>
      </c>
      <c r="C554" s="14" t="s">
        <v>296</v>
      </c>
      <c r="D554" s="9">
        <v>7624195</v>
      </c>
      <c r="E554" s="9" t="s">
        <v>296</v>
      </c>
      <c r="F554" s="7">
        <v>45717</v>
      </c>
      <c r="G554" s="20" t="s">
        <v>36</v>
      </c>
      <c r="H554" s="8">
        <v>372394538</v>
      </c>
      <c r="I554" s="19">
        <v>372394538</v>
      </c>
      <c r="J554" s="10">
        <v>141248</v>
      </c>
      <c r="K554" s="10">
        <v>98874</v>
      </c>
      <c r="L554" s="10">
        <v>42374</v>
      </c>
      <c r="M554" s="10">
        <v>0</v>
      </c>
      <c r="N554" s="11">
        <v>42374</v>
      </c>
      <c r="O554" s="12">
        <v>372394538</v>
      </c>
      <c r="P554" s="9">
        <v>285123</v>
      </c>
      <c r="Q554" s="9" t="s">
        <v>37</v>
      </c>
      <c r="R554" s="13">
        <v>45722</v>
      </c>
      <c r="S554" s="22">
        <v>45722</v>
      </c>
      <c r="T554" s="13">
        <v>45722</v>
      </c>
      <c r="U554" s="13">
        <v>45722</v>
      </c>
      <c r="V554" s="9" t="s">
        <v>47</v>
      </c>
      <c r="W554" s="9">
        <v>22676752</v>
      </c>
      <c r="X554" s="9">
        <v>3101656</v>
      </c>
      <c r="Y554" s="9">
        <v>68995365</v>
      </c>
      <c r="Z554" s="9" t="s">
        <v>39</v>
      </c>
      <c r="AA554" s="9">
        <v>9032025</v>
      </c>
      <c r="AB554" s="9">
        <v>77868</v>
      </c>
      <c r="AC554" s="9" t="s">
        <v>41</v>
      </c>
      <c r="AD554" s="9" t="s">
        <v>65</v>
      </c>
      <c r="AE554" s="9" t="s">
        <v>66</v>
      </c>
      <c r="AF554" s="9" t="s">
        <v>66</v>
      </c>
      <c r="AG554" s="14" t="str">
        <f t="shared" si="18"/>
        <v>PROCEDIMIENTOS TERAPEUTICOS</v>
      </c>
      <c r="AH554" s="9" t="s">
        <v>758</v>
      </c>
      <c r="AI554" s="9">
        <v>0</v>
      </c>
      <c r="AJ554" s="9">
        <v>77774340</v>
      </c>
      <c r="AK554" s="9">
        <v>6</v>
      </c>
      <c r="AL554" s="26" t="s">
        <v>238</v>
      </c>
      <c r="AM554" s="14" t="s">
        <v>615</v>
      </c>
      <c r="AN554" s="27" t="str">
        <f t="shared" si="19"/>
        <v>7624195|77774340|372394538|372394538</v>
      </c>
      <c r="AO554" t="s">
        <v>758</v>
      </c>
      <c r="AP554" t="b">
        <v>1</v>
      </c>
      <c r="AQ554" t="s">
        <v>764</v>
      </c>
    </row>
    <row r="555" spans="1:43" x14ac:dyDescent="0.2">
      <c r="A555" s="14" t="s">
        <v>500</v>
      </c>
      <c r="B555" s="17">
        <v>7624195</v>
      </c>
      <c r="C555" s="14" t="s">
        <v>296</v>
      </c>
      <c r="D555" s="9">
        <v>7624195</v>
      </c>
      <c r="E555" s="9" t="s">
        <v>296</v>
      </c>
      <c r="F555" s="7">
        <v>45717</v>
      </c>
      <c r="G555" s="20" t="s">
        <v>46</v>
      </c>
      <c r="H555" s="8">
        <v>372394538</v>
      </c>
      <c r="I555" s="19">
        <v>65383618</v>
      </c>
      <c r="J555" s="10">
        <v>42224</v>
      </c>
      <c r="K555" s="10">
        <v>0</v>
      </c>
      <c r="L555" s="10">
        <v>42224</v>
      </c>
      <c r="M555" s="10">
        <v>0</v>
      </c>
      <c r="N555" s="11">
        <v>42224</v>
      </c>
      <c r="O555" s="12">
        <v>372394538</v>
      </c>
      <c r="P555" s="9">
        <v>285123</v>
      </c>
      <c r="Q555" s="9" t="s">
        <v>37</v>
      </c>
      <c r="R555" s="13">
        <v>45722</v>
      </c>
      <c r="S555" s="22">
        <v>45742</v>
      </c>
      <c r="T555" s="13">
        <v>45722</v>
      </c>
      <c r="U555" s="13">
        <v>45722</v>
      </c>
      <c r="V555" s="9" t="s">
        <v>47</v>
      </c>
      <c r="W555" s="9">
        <v>22772419</v>
      </c>
      <c r="X555" s="9">
        <v>3311105</v>
      </c>
      <c r="Y555" s="9">
        <v>69250509</v>
      </c>
      <c r="Z555" s="9" t="s">
        <v>39</v>
      </c>
      <c r="AA555" s="9">
        <v>5187710</v>
      </c>
      <c r="AB555" s="9">
        <v>78070</v>
      </c>
      <c r="AC555" s="9" t="s">
        <v>41</v>
      </c>
      <c r="AD555" s="9" t="s">
        <v>65</v>
      </c>
      <c r="AE555" s="9" t="s">
        <v>66</v>
      </c>
      <c r="AF555" s="9" t="s">
        <v>66</v>
      </c>
      <c r="AG555" s="14" t="str">
        <f t="shared" si="18"/>
        <v>PROCEDIMIENTOS TERAPEUTICOS</v>
      </c>
      <c r="AH555" s="9">
        <v>0</v>
      </c>
      <c r="AI555" s="9">
        <v>0</v>
      </c>
      <c r="AJ555" s="9">
        <v>77774340</v>
      </c>
      <c r="AK555" s="9">
        <v>6</v>
      </c>
      <c r="AL555" s="26" t="s">
        <v>52</v>
      </c>
      <c r="AM555" s="14" t="s">
        <v>615</v>
      </c>
      <c r="AN555" s="27" t="str">
        <f t="shared" si="19"/>
        <v>7624195|77774340|372394538|65383618</v>
      </c>
      <c r="AO555" t="s">
        <v>44</v>
      </c>
      <c r="AP555" t="b">
        <v>0</v>
      </c>
      <c r="AQ555" t="s">
        <v>763</v>
      </c>
    </row>
    <row r="556" spans="1:43" x14ac:dyDescent="0.2">
      <c r="A556" s="14" t="s">
        <v>500</v>
      </c>
      <c r="B556" s="17">
        <v>12488563</v>
      </c>
      <c r="C556" s="14" t="s">
        <v>241</v>
      </c>
      <c r="D556" s="9">
        <v>12488563</v>
      </c>
      <c r="E556" s="9" t="s">
        <v>241</v>
      </c>
      <c r="F556" s="7">
        <v>45717</v>
      </c>
      <c r="G556" s="20" t="s">
        <v>36</v>
      </c>
      <c r="H556" s="8">
        <v>372400577</v>
      </c>
      <c r="I556" s="19">
        <v>372400577</v>
      </c>
      <c r="J556" s="10">
        <v>224636</v>
      </c>
      <c r="K556" s="10">
        <v>202173</v>
      </c>
      <c r="L556" s="10">
        <v>22463</v>
      </c>
      <c r="M556" s="10">
        <v>0</v>
      </c>
      <c r="N556" s="11">
        <v>22463</v>
      </c>
      <c r="O556" s="12">
        <v>372400577</v>
      </c>
      <c r="P556" s="9">
        <v>285123</v>
      </c>
      <c r="Q556" s="9" t="s">
        <v>37</v>
      </c>
      <c r="R556" s="13">
        <v>45722</v>
      </c>
      <c r="S556" s="22">
        <v>45722</v>
      </c>
      <c r="T556" s="13">
        <v>45722</v>
      </c>
      <c r="U556" s="13">
        <v>45722</v>
      </c>
      <c r="V556" s="9" t="s">
        <v>47</v>
      </c>
      <c r="W556" s="9">
        <v>22676774</v>
      </c>
      <c r="X556" s="9">
        <v>3101656</v>
      </c>
      <c r="Y556" s="9">
        <v>68993326</v>
      </c>
      <c r="Z556" s="9" t="s">
        <v>39</v>
      </c>
      <c r="AA556" s="9">
        <v>9032025</v>
      </c>
      <c r="AB556" s="9">
        <v>77868</v>
      </c>
      <c r="AC556" s="9" t="s">
        <v>41</v>
      </c>
      <c r="AD556" s="9" t="s">
        <v>134</v>
      </c>
      <c r="AE556" s="9" t="s">
        <v>135</v>
      </c>
      <c r="AF556" s="9" t="s">
        <v>135</v>
      </c>
      <c r="AG556" s="14" t="str">
        <f t="shared" si="18"/>
        <v>EXAMENES RADIOLOGICOS</v>
      </c>
      <c r="AH556" s="9" t="s">
        <v>758</v>
      </c>
      <c r="AI556" s="9">
        <v>0</v>
      </c>
      <c r="AJ556" s="9">
        <v>96617350</v>
      </c>
      <c r="AK556" s="9">
        <v>5</v>
      </c>
      <c r="AL556" s="26" t="s">
        <v>292</v>
      </c>
      <c r="AM556" s="14" t="s">
        <v>579</v>
      </c>
      <c r="AN556" s="27" t="str">
        <f t="shared" si="19"/>
        <v>12488563|96617350|372400577|372400577</v>
      </c>
      <c r="AO556" t="s">
        <v>758</v>
      </c>
      <c r="AP556" t="b">
        <v>1</v>
      </c>
      <c r="AQ556" t="s">
        <v>764</v>
      </c>
    </row>
    <row r="557" spans="1:43" x14ac:dyDescent="0.2">
      <c r="A557" s="14" t="s">
        <v>500</v>
      </c>
      <c r="B557" s="17">
        <v>12488563</v>
      </c>
      <c r="C557" s="14" t="s">
        <v>241</v>
      </c>
      <c r="D557" s="9">
        <v>12488563</v>
      </c>
      <c r="E557" s="9" t="s">
        <v>241</v>
      </c>
      <c r="F557" s="7">
        <v>45717</v>
      </c>
      <c r="G557" s="20" t="s">
        <v>46</v>
      </c>
      <c r="H557" s="8">
        <v>372400577</v>
      </c>
      <c r="I557" s="19">
        <v>65384028</v>
      </c>
      <c r="J557" s="10">
        <v>22468</v>
      </c>
      <c r="K557" s="10">
        <v>0</v>
      </c>
      <c r="L557" s="10">
        <v>22468</v>
      </c>
      <c r="M557" s="10">
        <v>0</v>
      </c>
      <c r="N557" s="11">
        <v>22468</v>
      </c>
      <c r="O557" s="12">
        <v>372400577</v>
      </c>
      <c r="P557" s="9">
        <v>285123</v>
      </c>
      <c r="Q557" s="9" t="s">
        <v>37</v>
      </c>
      <c r="R557" s="13">
        <v>45722</v>
      </c>
      <c r="S557" s="22">
        <v>45742</v>
      </c>
      <c r="T557" s="13">
        <v>45722</v>
      </c>
      <c r="U557" s="13">
        <v>45722</v>
      </c>
      <c r="V557" s="9" t="s">
        <v>47</v>
      </c>
      <c r="W557" s="9">
        <v>22772429</v>
      </c>
      <c r="X557" s="9">
        <v>3311105</v>
      </c>
      <c r="Y557" s="9">
        <v>69250916</v>
      </c>
      <c r="Z557" s="9" t="s">
        <v>39</v>
      </c>
      <c r="AA557" s="9">
        <v>12488563</v>
      </c>
      <c r="AB557" s="9">
        <v>78070</v>
      </c>
      <c r="AC557" s="9" t="s">
        <v>41</v>
      </c>
      <c r="AD557" s="9" t="s">
        <v>134</v>
      </c>
      <c r="AE557" s="9" t="s">
        <v>135</v>
      </c>
      <c r="AF557" s="9" t="s">
        <v>135</v>
      </c>
      <c r="AG557" s="14" t="str">
        <f t="shared" si="18"/>
        <v>EXAMENES RADIOLOGICOS</v>
      </c>
      <c r="AH557" s="9">
        <v>0</v>
      </c>
      <c r="AI557" s="9">
        <v>0</v>
      </c>
      <c r="AJ557" s="9">
        <v>96617350</v>
      </c>
      <c r="AK557" s="9">
        <v>5</v>
      </c>
      <c r="AL557" s="26" t="s">
        <v>52</v>
      </c>
      <c r="AM557" s="14" t="s">
        <v>579</v>
      </c>
      <c r="AN557" s="27" t="str">
        <f t="shared" si="19"/>
        <v>12488563|96617350|372400577|65384028</v>
      </c>
      <c r="AO557" t="s">
        <v>44</v>
      </c>
      <c r="AP557" t="b">
        <v>0</v>
      </c>
      <c r="AQ557" t="s">
        <v>763</v>
      </c>
    </row>
    <row r="558" spans="1:43" x14ac:dyDescent="0.2">
      <c r="A558" s="14" t="s">
        <v>500</v>
      </c>
      <c r="B558" s="17">
        <v>9905386</v>
      </c>
      <c r="C558" s="14" t="s">
        <v>297</v>
      </c>
      <c r="D558" s="9">
        <v>9905386</v>
      </c>
      <c r="E558" s="9" t="s">
        <v>297</v>
      </c>
      <c r="F558" s="7">
        <v>45717</v>
      </c>
      <c r="G558" s="20" t="s">
        <v>36</v>
      </c>
      <c r="H558" s="8">
        <v>372438326</v>
      </c>
      <c r="I558" s="19">
        <v>372438326</v>
      </c>
      <c r="J558" s="10">
        <v>139240</v>
      </c>
      <c r="K558" s="10">
        <v>132279</v>
      </c>
      <c r="L558" s="10">
        <v>6961</v>
      </c>
      <c r="M558" s="10">
        <v>0</v>
      </c>
      <c r="N558" s="11">
        <v>6961</v>
      </c>
      <c r="O558" s="12">
        <v>372438326</v>
      </c>
      <c r="P558" s="9">
        <v>285123</v>
      </c>
      <c r="Q558" s="9" t="s">
        <v>37</v>
      </c>
      <c r="R558" s="13">
        <v>45723</v>
      </c>
      <c r="S558" s="22">
        <v>45723</v>
      </c>
      <c r="T558" s="13">
        <v>45723</v>
      </c>
      <c r="U558" s="13">
        <v>45723</v>
      </c>
      <c r="V558" s="9" t="s">
        <v>47</v>
      </c>
      <c r="W558" s="9">
        <v>22676809</v>
      </c>
      <c r="X558" s="9">
        <v>3101656</v>
      </c>
      <c r="Y558" s="9">
        <v>68996016</v>
      </c>
      <c r="Z558" s="9" t="s">
        <v>39</v>
      </c>
      <c r="AA558" s="9">
        <v>9032025</v>
      </c>
      <c r="AB558" s="9">
        <v>77868</v>
      </c>
      <c r="AC558" s="9" t="s">
        <v>41</v>
      </c>
      <c r="AD558" s="9" t="s">
        <v>134</v>
      </c>
      <c r="AE558" s="9" t="s">
        <v>135</v>
      </c>
      <c r="AF558" s="9" t="s">
        <v>135</v>
      </c>
      <c r="AG558" s="14" t="str">
        <f t="shared" si="18"/>
        <v>EXAMENES RADIOLOGICOS</v>
      </c>
      <c r="AH558" s="9" t="s">
        <v>758</v>
      </c>
      <c r="AI558" s="9">
        <v>0</v>
      </c>
      <c r="AJ558" s="9">
        <v>77200240</v>
      </c>
      <c r="AK558" s="9">
        <v>8</v>
      </c>
      <c r="AL558" s="26" t="s">
        <v>292</v>
      </c>
      <c r="AM558" s="14" t="s">
        <v>616</v>
      </c>
      <c r="AN558" s="27" t="str">
        <f t="shared" si="19"/>
        <v>9905386|77200240|372438326|372438326</v>
      </c>
      <c r="AO558" t="s">
        <v>758</v>
      </c>
      <c r="AP558" t="b">
        <v>1</v>
      </c>
      <c r="AQ558" t="s">
        <v>764</v>
      </c>
    </row>
    <row r="559" spans="1:43" x14ac:dyDescent="0.2">
      <c r="A559" s="14" t="s">
        <v>500</v>
      </c>
      <c r="B559" s="17">
        <v>9905386</v>
      </c>
      <c r="C559" s="14" t="s">
        <v>297</v>
      </c>
      <c r="D559" s="9">
        <v>9905386</v>
      </c>
      <c r="E559" s="9" t="s">
        <v>297</v>
      </c>
      <c r="F559" s="7">
        <v>45717</v>
      </c>
      <c r="G559" s="20" t="s">
        <v>46</v>
      </c>
      <c r="H559" s="8">
        <v>372438326</v>
      </c>
      <c r="I559" s="19">
        <v>65383769</v>
      </c>
      <c r="J559" s="10">
        <v>6974</v>
      </c>
      <c r="K559" s="10">
        <v>0</v>
      </c>
      <c r="L559" s="10">
        <v>6974</v>
      </c>
      <c r="M559" s="10">
        <v>0</v>
      </c>
      <c r="N559" s="11">
        <v>6974</v>
      </c>
      <c r="O559" s="12">
        <v>372438326</v>
      </c>
      <c r="P559" s="9">
        <v>285123</v>
      </c>
      <c r="Q559" s="9" t="s">
        <v>37</v>
      </c>
      <c r="R559" s="13">
        <v>45723</v>
      </c>
      <c r="S559" s="22">
        <v>45742</v>
      </c>
      <c r="T559" s="13">
        <v>45723</v>
      </c>
      <c r="U559" s="13">
        <v>45723</v>
      </c>
      <c r="V559" s="9" t="s">
        <v>47</v>
      </c>
      <c r="W559" s="9">
        <v>22772443</v>
      </c>
      <c r="X559" s="9">
        <v>3311105</v>
      </c>
      <c r="Y559" s="9">
        <v>69250659</v>
      </c>
      <c r="Z559" s="9" t="s">
        <v>39</v>
      </c>
      <c r="AA559" s="9">
        <v>71431444</v>
      </c>
      <c r="AB559" s="9">
        <v>78070</v>
      </c>
      <c r="AC559" s="9" t="s">
        <v>41</v>
      </c>
      <c r="AD559" s="9" t="s">
        <v>134</v>
      </c>
      <c r="AE559" s="9" t="s">
        <v>135</v>
      </c>
      <c r="AF559" s="9" t="s">
        <v>135</v>
      </c>
      <c r="AG559" s="14" t="str">
        <f t="shared" si="18"/>
        <v>EXAMENES RADIOLOGICOS</v>
      </c>
      <c r="AH559" s="9">
        <v>0</v>
      </c>
      <c r="AI559" s="9">
        <v>0</v>
      </c>
      <c r="AJ559" s="9">
        <v>77200240</v>
      </c>
      <c r="AK559" s="9">
        <v>8</v>
      </c>
      <c r="AL559" s="26" t="s">
        <v>52</v>
      </c>
      <c r="AM559" s="14" t="s">
        <v>616</v>
      </c>
      <c r="AN559" s="27" t="str">
        <f t="shared" si="19"/>
        <v>9905386|77200240|372438326|65383769</v>
      </c>
      <c r="AO559" t="s">
        <v>44</v>
      </c>
      <c r="AP559" t="b">
        <v>0</v>
      </c>
      <c r="AQ559" t="s">
        <v>763</v>
      </c>
    </row>
    <row r="560" spans="1:43" x14ac:dyDescent="0.2">
      <c r="A560" s="14" t="s">
        <v>500</v>
      </c>
      <c r="B560" s="17">
        <v>9905386</v>
      </c>
      <c r="C560" s="14" t="s">
        <v>297</v>
      </c>
      <c r="D560" s="9">
        <v>9905386</v>
      </c>
      <c r="E560" s="9" t="s">
        <v>297</v>
      </c>
      <c r="F560" s="7">
        <v>45717</v>
      </c>
      <c r="G560" s="20" t="s">
        <v>36</v>
      </c>
      <c r="H560" s="8">
        <v>372442165</v>
      </c>
      <c r="I560" s="19">
        <v>372442165</v>
      </c>
      <c r="J560" s="10">
        <v>40546</v>
      </c>
      <c r="K560" s="10">
        <v>38519</v>
      </c>
      <c r="L560" s="10">
        <v>2027</v>
      </c>
      <c r="M560" s="10">
        <v>0</v>
      </c>
      <c r="N560" s="11">
        <v>2027</v>
      </c>
      <c r="O560" s="12">
        <v>372442165</v>
      </c>
      <c r="P560" s="9">
        <v>285123</v>
      </c>
      <c r="Q560" s="9" t="s">
        <v>37</v>
      </c>
      <c r="R560" s="13">
        <v>45723</v>
      </c>
      <c r="S560" s="22">
        <v>45723</v>
      </c>
      <c r="T560" s="13">
        <v>45723</v>
      </c>
      <c r="U560" s="13">
        <v>45723</v>
      </c>
      <c r="V560" s="9" t="s">
        <v>47</v>
      </c>
      <c r="W560" s="9">
        <v>22676809</v>
      </c>
      <c r="X560" s="9">
        <v>3101656</v>
      </c>
      <c r="Y560" s="9">
        <v>68996779</v>
      </c>
      <c r="Z560" s="9" t="s">
        <v>39</v>
      </c>
      <c r="AA560" s="9">
        <v>9032025</v>
      </c>
      <c r="AB560" s="9">
        <v>77868</v>
      </c>
      <c r="AC560" s="9" t="s">
        <v>41</v>
      </c>
      <c r="AD560" s="9" t="s">
        <v>134</v>
      </c>
      <c r="AE560" s="9" t="s">
        <v>135</v>
      </c>
      <c r="AF560" s="9" t="s">
        <v>135</v>
      </c>
      <c r="AG560" s="14" t="str">
        <f t="shared" si="18"/>
        <v>EXAMENES RADIOLOGICOS</v>
      </c>
      <c r="AH560" s="9" t="s">
        <v>758</v>
      </c>
      <c r="AI560" s="9">
        <v>0</v>
      </c>
      <c r="AJ560" s="9">
        <v>77200240</v>
      </c>
      <c r="AK560" s="9">
        <v>8</v>
      </c>
      <c r="AL560" s="26" t="s">
        <v>292</v>
      </c>
      <c r="AM560" s="14" t="s">
        <v>616</v>
      </c>
      <c r="AN560" s="27" t="str">
        <f t="shared" si="19"/>
        <v>9905386|77200240|372442165|372442165</v>
      </c>
      <c r="AO560" t="s">
        <v>758</v>
      </c>
      <c r="AP560" t="b">
        <v>1</v>
      </c>
      <c r="AQ560" t="s">
        <v>764</v>
      </c>
    </row>
    <row r="561" spans="1:43" x14ac:dyDescent="0.2">
      <c r="A561" s="14" t="s">
        <v>500</v>
      </c>
      <c r="B561" s="17">
        <v>9905386</v>
      </c>
      <c r="C561" s="14" t="s">
        <v>297</v>
      </c>
      <c r="D561" s="9">
        <v>9905386</v>
      </c>
      <c r="E561" s="9" t="s">
        <v>297</v>
      </c>
      <c r="F561" s="7">
        <v>45717</v>
      </c>
      <c r="G561" s="20" t="s">
        <v>46</v>
      </c>
      <c r="H561" s="8">
        <v>372442165</v>
      </c>
      <c r="I561" s="19">
        <v>65383770</v>
      </c>
      <c r="J561" s="10">
        <v>1937</v>
      </c>
      <c r="K561" s="10">
        <v>0</v>
      </c>
      <c r="L561" s="10">
        <v>1937</v>
      </c>
      <c r="M561" s="10">
        <v>0</v>
      </c>
      <c r="N561" s="11">
        <v>1937</v>
      </c>
      <c r="O561" s="12">
        <v>372442165</v>
      </c>
      <c r="P561" s="9">
        <v>285123</v>
      </c>
      <c r="Q561" s="9" t="s">
        <v>37</v>
      </c>
      <c r="R561" s="13">
        <v>45723</v>
      </c>
      <c r="S561" s="22">
        <v>45742</v>
      </c>
      <c r="T561" s="13">
        <v>45723</v>
      </c>
      <c r="U561" s="13">
        <v>45723</v>
      </c>
      <c r="V561" s="9" t="s">
        <v>47</v>
      </c>
      <c r="W561" s="9">
        <v>22772443</v>
      </c>
      <c r="X561" s="9">
        <v>3311105</v>
      </c>
      <c r="Y561" s="9">
        <v>69250660</v>
      </c>
      <c r="Z561" s="9" t="s">
        <v>39</v>
      </c>
      <c r="AA561" s="9">
        <v>71431444</v>
      </c>
      <c r="AB561" s="9">
        <v>78070</v>
      </c>
      <c r="AC561" s="9" t="s">
        <v>41</v>
      </c>
      <c r="AD561" s="9" t="s">
        <v>134</v>
      </c>
      <c r="AE561" s="9" t="s">
        <v>135</v>
      </c>
      <c r="AF561" s="9" t="s">
        <v>135</v>
      </c>
      <c r="AG561" s="14" t="str">
        <f t="shared" si="18"/>
        <v>EXAMENES RADIOLOGICOS</v>
      </c>
      <c r="AH561" s="9">
        <v>0</v>
      </c>
      <c r="AI561" s="9">
        <v>0</v>
      </c>
      <c r="AJ561" s="9">
        <v>77200240</v>
      </c>
      <c r="AK561" s="9">
        <v>8</v>
      </c>
      <c r="AL561" s="26" t="s">
        <v>52</v>
      </c>
      <c r="AM561" s="14" t="s">
        <v>616</v>
      </c>
      <c r="AN561" s="27" t="str">
        <f t="shared" si="19"/>
        <v>9905386|77200240|372442165|65383770</v>
      </c>
      <c r="AO561" t="s">
        <v>44</v>
      </c>
      <c r="AP561" t="b">
        <v>0</v>
      </c>
      <c r="AQ561" t="s">
        <v>763</v>
      </c>
    </row>
    <row r="562" spans="1:43" x14ac:dyDescent="0.2">
      <c r="A562" s="14" t="s">
        <v>500</v>
      </c>
      <c r="B562" s="17">
        <v>9905386</v>
      </c>
      <c r="C562" s="14" t="s">
        <v>297</v>
      </c>
      <c r="D562" s="9">
        <v>9905386</v>
      </c>
      <c r="E562" s="9" t="s">
        <v>297</v>
      </c>
      <c r="F562" s="7">
        <v>45717</v>
      </c>
      <c r="G562" s="20" t="s">
        <v>36</v>
      </c>
      <c r="H562" s="8">
        <v>372444005</v>
      </c>
      <c r="I562" s="19">
        <v>372444005</v>
      </c>
      <c r="J562" s="10">
        <v>88515</v>
      </c>
      <c r="K562" s="10">
        <v>84091</v>
      </c>
      <c r="L562" s="10">
        <v>4424</v>
      </c>
      <c r="M562" s="10">
        <v>0</v>
      </c>
      <c r="N562" s="11">
        <v>4424</v>
      </c>
      <c r="O562" s="12">
        <v>372444005</v>
      </c>
      <c r="P562" s="9">
        <v>285123</v>
      </c>
      <c r="Q562" s="9" t="s">
        <v>37</v>
      </c>
      <c r="R562" s="13">
        <v>45723</v>
      </c>
      <c r="S562" s="22">
        <v>45723</v>
      </c>
      <c r="T562" s="13">
        <v>45723</v>
      </c>
      <c r="U562" s="13">
        <v>45723</v>
      </c>
      <c r="V562" s="9" t="s">
        <v>47</v>
      </c>
      <c r="W562" s="9">
        <v>22676809</v>
      </c>
      <c r="X562" s="9">
        <v>3101656</v>
      </c>
      <c r="Y562" s="9">
        <v>68994750</v>
      </c>
      <c r="Z562" s="9" t="s">
        <v>39</v>
      </c>
      <c r="AA562" s="9">
        <v>9032025</v>
      </c>
      <c r="AB562" s="9">
        <v>77868</v>
      </c>
      <c r="AC562" s="9" t="s">
        <v>41</v>
      </c>
      <c r="AD562" s="9" t="s">
        <v>132</v>
      </c>
      <c r="AE562" s="9" t="s">
        <v>133</v>
      </c>
      <c r="AF562" s="9" t="s">
        <v>133</v>
      </c>
      <c r="AG562" s="14" t="str">
        <f t="shared" si="18"/>
        <v>EXAMENES DE LABORATORIO</v>
      </c>
      <c r="AH562" s="9" t="s">
        <v>758</v>
      </c>
      <c r="AI562" s="9">
        <v>0</v>
      </c>
      <c r="AJ562" s="9">
        <v>90753000</v>
      </c>
      <c r="AK562" s="9">
        <v>0</v>
      </c>
      <c r="AL562" s="26" t="s">
        <v>292</v>
      </c>
      <c r="AM562" s="14" t="s">
        <v>616</v>
      </c>
      <c r="AN562" s="27" t="str">
        <f t="shared" si="19"/>
        <v>9905386|90753000|372444005|372444005</v>
      </c>
      <c r="AO562" t="s">
        <v>758</v>
      </c>
      <c r="AP562" t="b">
        <v>1</v>
      </c>
      <c r="AQ562" t="s">
        <v>764</v>
      </c>
    </row>
    <row r="563" spans="1:43" x14ac:dyDescent="0.2">
      <c r="A563" s="14" t="s">
        <v>500</v>
      </c>
      <c r="B563" s="17">
        <v>9905386</v>
      </c>
      <c r="C563" s="14" t="s">
        <v>297</v>
      </c>
      <c r="D563" s="9">
        <v>9905386</v>
      </c>
      <c r="E563" s="9" t="s">
        <v>297</v>
      </c>
      <c r="F563" s="7">
        <v>45717</v>
      </c>
      <c r="G563" s="20" t="s">
        <v>46</v>
      </c>
      <c r="H563" s="8">
        <v>372444005</v>
      </c>
      <c r="I563" s="19">
        <v>65383771</v>
      </c>
      <c r="J563" s="10">
        <v>4649</v>
      </c>
      <c r="K563" s="10">
        <v>0</v>
      </c>
      <c r="L563" s="10">
        <v>4649</v>
      </c>
      <c r="M563" s="10">
        <v>0</v>
      </c>
      <c r="N563" s="11">
        <v>4649</v>
      </c>
      <c r="O563" s="12">
        <v>372444005</v>
      </c>
      <c r="P563" s="9">
        <v>285123</v>
      </c>
      <c r="Q563" s="9" t="s">
        <v>37</v>
      </c>
      <c r="R563" s="13">
        <v>45723</v>
      </c>
      <c r="S563" s="22">
        <v>45742</v>
      </c>
      <c r="T563" s="13">
        <v>45723</v>
      </c>
      <c r="U563" s="13">
        <v>45723</v>
      </c>
      <c r="V563" s="9" t="s">
        <v>47</v>
      </c>
      <c r="W563" s="9">
        <v>22772443</v>
      </c>
      <c r="X563" s="9">
        <v>3311105</v>
      </c>
      <c r="Y563" s="9">
        <v>69250661</v>
      </c>
      <c r="Z563" s="9" t="s">
        <v>39</v>
      </c>
      <c r="AA563" s="9">
        <v>71431444</v>
      </c>
      <c r="AB563" s="9">
        <v>78070</v>
      </c>
      <c r="AC563" s="9" t="s">
        <v>41</v>
      </c>
      <c r="AD563" s="9" t="s">
        <v>132</v>
      </c>
      <c r="AE563" s="9" t="s">
        <v>133</v>
      </c>
      <c r="AF563" s="9" t="s">
        <v>133</v>
      </c>
      <c r="AG563" s="14" t="str">
        <f t="shared" si="18"/>
        <v>EXAMENES DE LABORATORIO</v>
      </c>
      <c r="AH563" s="9">
        <v>0</v>
      </c>
      <c r="AI563" s="9">
        <v>0</v>
      </c>
      <c r="AJ563" s="9">
        <v>90753000</v>
      </c>
      <c r="AK563" s="9">
        <v>0</v>
      </c>
      <c r="AL563" s="26" t="s">
        <v>52</v>
      </c>
      <c r="AM563" s="14" t="s">
        <v>616</v>
      </c>
      <c r="AN563" s="27" t="str">
        <f t="shared" si="19"/>
        <v>9905386|90753000|372444005|65383771</v>
      </c>
      <c r="AO563" t="s">
        <v>44</v>
      </c>
      <c r="AP563" t="b">
        <v>0</v>
      </c>
      <c r="AQ563" t="s">
        <v>763</v>
      </c>
    </row>
    <row r="564" spans="1:43" x14ac:dyDescent="0.2">
      <c r="A564" s="14" t="s">
        <v>500</v>
      </c>
      <c r="B564" s="17">
        <v>9905386</v>
      </c>
      <c r="C564" s="14" t="s">
        <v>297</v>
      </c>
      <c r="D564" s="9">
        <v>9905386</v>
      </c>
      <c r="E564" s="9" t="s">
        <v>297</v>
      </c>
      <c r="F564" s="7">
        <v>45717</v>
      </c>
      <c r="G564" s="20" t="s">
        <v>36</v>
      </c>
      <c r="H564" s="8">
        <v>372444006</v>
      </c>
      <c r="I564" s="19">
        <v>372444006</v>
      </c>
      <c r="J564" s="10">
        <v>39831</v>
      </c>
      <c r="K564" s="10">
        <v>37840</v>
      </c>
      <c r="L564" s="10">
        <v>1991</v>
      </c>
      <c r="M564" s="10">
        <v>0</v>
      </c>
      <c r="N564" s="11">
        <v>1991</v>
      </c>
      <c r="O564" s="12">
        <v>372444006</v>
      </c>
      <c r="P564" s="9">
        <v>285123</v>
      </c>
      <c r="Q564" s="9" t="s">
        <v>37</v>
      </c>
      <c r="R564" s="13">
        <v>45723</v>
      </c>
      <c r="S564" s="22">
        <v>45723</v>
      </c>
      <c r="T564" s="13">
        <v>45723</v>
      </c>
      <c r="U564" s="13">
        <v>45723</v>
      </c>
      <c r="V564" s="9" t="s">
        <v>47</v>
      </c>
      <c r="W564" s="9">
        <v>22676809</v>
      </c>
      <c r="X564" s="9">
        <v>3101656</v>
      </c>
      <c r="Y564" s="9">
        <v>68993236</v>
      </c>
      <c r="Z564" s="9" t="s">
        <v>39</v>
      </c>
      <c r="AA564" s="9">
        <v>9032025</v>
      </c>
      <c r="AB564" s="9">
        <v>77868</v>
      </c>
      <c r="AC564" s="9" t="s">
        <v>41</v>
      </c>
      <c r="AD564" s="9" t="s">
        <v>132</v>
      </c>
      <c r="AE564" s="9" t="s">
        <v>133</v>
      </c>
      <c r="AF564" s="9" t="s">
        <v>133</v>
      </c>
      <c r="AG564" s="14" t="str">
        <f t="shared" ref="AG564:AG571" si="20">+AF564</f>
        <v>EXAMENES DE LABORATORIO</v>
      </c>
      <c r="AH564" s="9" t="s">
        <v>758</v>
      </c>
      <c r="AI564" s="9">
        <v>0</v>
      </c>
      <c r="AJ564" s="9">
        <v>90753000</v>
      </c>
      <c r="AK564" s="9">
        <v>0</v>
      </c>
      <c r="AL564" s="26" t="s">
        <v>292</v>
      </c>
      <c r="AM564" s="14" t="s">
        <v>616</v>
      </c>
      <c r="AN564" s="27" t="str">
        <f t="shared" si="19"/>
        <v>9905386|90753000|372444006|372444006</v>
      </c>
      <c r="AO564" t="s">
        <v>758</v>
      </c>
      <c r="AP564" t="b">
        <v>1</v>
      </c>
      <c r="AQ564" t="s">
        <v>764</v>
      </c>
    </row>
    <row r="565" spans="1:43" x14ac:dyDescent="0.2">
      <c r="A565" s="14" t="s">
        <v>500</v>
      </c>
      <c r="B565" s="17">
        <v>9905386</v>
      </c>
      <c r="C565" s="14" t="s">
        <v>297</v>
      </c>
      <c r="D565" s="9">
        <v>9905386</v>
      </c>
      <c r="E565" s="9" t="s">
        <v>297</v>
      </c>
      <c r="F565" s="7">
        <v>45717</v>
      </c>
      <c r="G565" s="20" t="s">
        <v>46</v>
      </c>
      <c r="H565" s="8">
        <v>372444006</v>
      </c>
      <c r="I565" s="19">
        <v>65383772</v>
      </c>
      <c r="J565" s="10">
        <v>1937</v>
      </c>
      <c r="K565" s="10">
        <v>0</v>
      </c>
      <c r="L565" s="10">
        <v>1937</v>
      </c>
      <c r="M565" s="10">
        <v>0</v>
      </c>
      <c r="N565" s="11">
        <v>1937</v>
      </c>
      <c r="O565" s="12">
        <v>372444006</v>
      </c>
      <c r="P565" s="9">
        <v>285123</v>
      </c>
      <c r="Q565" s="9" t="s">
        <v>37</v>
      </c>
      <c r="R565" s="13">
        <v>45723</v>
      </c>
      <c r="S565" s="22">
        <v>45742</v>
      </c>
      <c r="T565" s="13">
        <v>45723</v>
      </c>
      <c r="U565" s="13">
        <v>45723</v>
      </c>
      <c r="V565" s="9" t="s">
        <v>47</v>
      </c>
      <c r="W565" s="9">
        <v>22772443</v>
      </c>
      <c r="X565" s="9">
        <v>3311105</v>
      </c>
      <c r="Y565" s="9">
        <v>69250662</v>
      </c>
      <c r="Z565" s="9" t="s">
        <v>39</v>
      </c>
      <c r="AA565" s="9">
        <v>71431444</v>
      </c>
      <c r="AB565" s="9">
        <v>78070</v>
      </c>
      <c r="AC565" s="9" t="s">
        <v>41</v>
      </c>
      <c r="AD565" s="9" t="s">
        <v>132</v>
      </c>
      <c r="AE565" s="9" t="s">
        <v>133</v>
      </c>
      <c r="AF565" s="9" t="s">
        <v>133</v>
      </c>
      <c r="AG565" s="14" t="str">
        <f t="shared" si="20"/>
        <v>EXAMENES DE LABORATORIO</v>
      </c>
      <c r="AH565" s="9">
        <v>0</v>
      </c>
      <c r="AI565" s="9">
        <v>0</v>
      </c>
      <c r="AJ565" s="9">
        <v>90753000</v>
      </c>
      <c r="AK565" s="9">
        <v>0</v>
      </c>
      <c r="AL565" s="26" t="s">
        <v>52</v>
      </c>
      <c r="AM565" s="14" t="s">
        <v>616</v>
      </c>
      <c r="AN565" s="27" t="str">
        <f t="shared" si="19"/>
        <v>9905386|90753000|372444006|65383772</v>
      </c>
      <c r="AO565" t="s">
        <v>44</v>
      </c>
      <c r="AP565" t="b">
        <v>0</v>
      </c>
      <c r="AQ565" t="s">
        <v>763</v>
      </c>
    </row>
    <row r="566" spans="1:43" x14ac:dyDescent="0.2">
      <c r="A566" s="14" t="s">
        <v>500</v>
      </c>
      <c r="B566" s="17">
        <v>6193637</v>
      </c>
      <c r="C566" s="14" t="s">
        <v>298</v>
      </c>
      <c r="D566" s="9">
        <v>6193637</v>
      </c>
      <c r="E566" s="9" t="s">
        <v>298</v>
      </c>
      <c r="F566" s="7">
        <v>45717</v>
      </c>
      <c r="G566" s="20" t="s">
        <v>36</v>
      </c>
      <c r="H566" s="8">
        <v>372446072</v>
      </c>
      <c r="I566" s="19">
        <v>372446072</v>
      </c>
      <c r="J566" s="10">
        <v>23971</v>
      </c>
      <c r="K566" s="10">
        <v>20377</v>
      </c>
      <c r="L566" s="10">
        <v>3594</v>
      </c>
      <c r="M566" s="10">
        <v>0</v>
      </c>
      <c r="N566" s="11">
        <v>3594</v>
      </c>
      <c r="O566" s="12">
        <v>372446072</v>
      </c>
      <c r="P566" s="9">
        <v>285123</v>
      </c>
      <c r="Q566" s="9" t="s">
        <v>37</v>
      </c>
      <c r="R566" s="13">
        <v>45723</v>
      </c>
      <c r="S566" s="22">
        <v>45723</v>
      </c>
      <c r="T566" s="13">
        <v>45723</v>
      </c>
      <c r="U566" s="13">
        <v>45723</v>
      </c>
      <c r="V566" s="9" t="s">
        <v>47</v>
      </c>
      <c r="W566" s="9">
        <v>22676805</v>
      </c>
      <c r="X566" s="9">
        <v>3101656</v>
      </c>
      <c r="Y566" s="9">
        <v>68992926</v>
      </c>
      <c r="Z566" s="9" t="s">
        <v>39</v>
      </c>
      <c r="AA566" s="9">
        <v>9032025</v>
      </c>
      <c r="AB566" s="9">
        <v>77868</v>
      </c>
      <c r="AC566" s="9" t="s">
        <v>41</v>
      </c>
      <c r="AD566" s="9" t="s">
        <v>132</v>
      </c>
      <c r="AE566" s="9" t="s">
        <v>133</v>
      </c>
      <c r="AF566" s="9" t="s">
        <v>133</v>
      </c>
      <c r="AG566" s="14" t="str">
        <f t="shared" si="20"/>
        <v>EXAMENES DE LABORATORIO</v>
      </c>
      <c r="AH566" s="9" t="s">
        <v>758</v>
      </c>
      <c r="AI566" s="9">
        <v>0</v>
      </c>
      <c r="AJ566" s="9">
        <v>96617350</v>
      </c>
      <c r="AK566" s="9">
        <v>5</v>
      </c>
      <c r="AL566" s="26" t="s">
        <v>292</v>
      </c>
      <c r="AM566" s="14" t="s">
        <v>617</v>
      </c>
      <c r="AN566" s="27" t="str">
        <f t="shared" si="19"/>
        <v>6193637|96617350|372446072|372446072</v>
      </c>
      <c r="AO566" t="s">
        <v>758</v>
      </c>
      <c r="AP566" t="b">
        <v>1</v>
      </c>
      <c r="AQ566" t="s">
        <v>764</v>
      </c>
    </row>
    <row r="567" spans="1:43" x14ac:dyDescent="0.2">
      <c r="A567" s="14" t="s">
        <v>500</v>
      </c>
      <c r="B567" s="17">
        <v>6193637</v>
      </c>
      <c r="C567" s="14" t="s">
        <v>298</v>
      </c>
      <c r="D567" s="9">
        <v>6193637</v>
      </c>
      <c r="E567" s="9" t="s">
        <v>298</v>
      </c>
      <c r="F567" s="7">
        <v>45717</v>
      </c>
      <c r="G567" s="20" t="s">
        <v>46</v>
      </c>
      <c r="H567" s="8">
        <v>372446072</v>
      </c>
      <c r="I567" s="19">
        <v>65383582</v>
      </c>
      <c r="J567" s="10">
        <v>3100</v>
      </c>
      <c r="K567" s="10">
        <v>0</v>
      </c>
      <c r="L567" s="10">
        <v>3100</v>
      </c>
      <c r="M567" s="10">
        <v>0</v>
      </c>
      <c r="N567" s="11">
        <v>3100</v>
      </c>
      <c r="O567" s="12">
        <v>372446072</v>
      </c>
      <c r="P567" s="9">
        <v>285123</v>
      </c>
      <c r="Q567" s="9" t="s">
        <v>37</v>
      </c>
      <c r="R567" s="13">
        <v>45723</v>
      </c>
      <c r="S567" s="22">
        <v>45742</v>
      </c>
      <c r="T567" s="13">
        <v>45723</v>
      </c>
      <c r="U567" s="13">
        <v>45723</v>
      </c>
      <c r="V567" s="9" t="s">
        <v>47</v>
      </c>
      <c r="W567" s="9">
        <v>22772441</v>
      </c>
      <c r="X567" s="9">
        <v>3311105</v>
      </c>
      <c r="Y567" s="9">
        <v>69250473</v>
      </c>
      <c r="Z567" s="9" t="s">
        <v>39</v>
      </c>
      <c r="AA567" s="9">
        <v>15790026876</v>
      </c>
      <c r="AB567" s="9">
        <v>78070</v>
      </c>
      <c r="AC567" s="9" t="s">
        <v>41</v>
      </c>
      <c r="AD567" s="9" t="s">
        <v>132</v>
      </c>
      <c r="AE567" s="9" t="s">
        <v>133</v>
      </c>
      <c r="AF567" s="9" t="s">
        <v>133</v>
      </c>
      <c r="AG567" s="14" t="str">
        <f t="shared" si="20"/>
        <v>EXAMENES DE LABORATORIO</v>
      </c>
      <c r="AH567" s="9">
        <v>0</v>
      </c>
      <c r="AI567" s="9">
        <v>0</v>
      </c>
      <c r="AJ567" s="9">
        <v>96617350</v>
      </c>
      <c r="AK567" s="9">
        <v>5</v>
      </c>
      <c r="AL567" s="26" t="s">
        <v>52</v>
      </c>
      <c r="AM567" s="14" t="s">
        <v>617</v>
      </c>
      <c r="AN567" s="27" t="str">
        <f t="shared" si="19"/>
        <v>6193637|96617350|372446072|65383582</v>
      </c>
      <c r="AO567" t="s">
        <v>44</v>
      </c>
      <c r="AP567" t="b">
        <v>0</v>
      </c>
      <c r="AQ567" t="s">
        <v>763</v>
      </c>
    </row>
    <row r="568" spans="1:43" x14ac:dyDescent="0.2">
      <c r="A568" s="14" t="s">
        <v>500</v>
      </c>
      <c r="B568" s="17">
        <v>17764749</v>
      </c>
      <c r="C568" s="14" t="s">
        <v>249</v>
      </c>
      <c r="D568" s="9">
        <v>17764749</v>
      </c>
      <c r="E568" s="9" t="s">
        <v>249</v>
      </c>
      <c r="F568" s="7">
        <v>45717</v>
      </c>
      <c r="G568" s="20" t="s">
        <v>36</v>
      </c>
      <c r="H568" s="8">
        <v>372472554</v>
      </c>
      <c r="I568" s="19">
        <v>372472554</v>
      </c>
      <c r="J568" s="10">
        <v>223367</v>
      </c>
      <c r="K568" s="10">
        <v>201031</v>
      </c>
      <c r="L568" s="10">
        <v>22336</v>
      </c>
      <c r="M568" s="10">
        <v>0</v>
      </c>
      <c r="N568" s="11">
        <v>22336</v>
      </c>
      <c r="O568" s="12">
        <v>372472554</v>
      </c>
      <c r="P568" s="9">
        <v>285123</v>
      </c>
      <c r="Q568" s="9" t="s">
        <v>37</v>
      </c>
      <c r="R568" s="13">
        <v>45723</v>
      </c>
      <c r="S568" s="22">
        <v>45723</v>
      </c>
      <c r="T568" s="13">
        <v>45723</v>
      </c>
      <c r="U568" s="13">
        <v>45723</v>
      </c>
      <c r="V568" s="9" t="s">
        <v>47</v>
      </c>
      <c r="W568" s="9">
        <v>22676852</v>
      </c>
      <c r="X568" s="9">
        <v>3101656</v>
      </c>
      <c r="Y568" s="9">
        <v>68996964</v>
      </c>
      <c r="Z568" s="9" t="s">
        <v>39</v>
      </c>
      <c r="AA568" s="9">
        <v>9032025</v>
      </c>
      <c r="AB568" s="9">
        <v>77868</v>
      </c>
      <c r="AC568" s="9" t="s">
        <v>41</v>
      </c>
      <c r="AD568" s="9" t="s">
        <v>134</v>
      </c>
      <c r="AE568" s="9" t="s">
        <v>135</v>
      </c>
      <c r="AF568" s="9" t="s">
        <v>135</v>
      </c>
      <c r="AG568" s="14" t="str">
        <f t="shared" si="20"/>
        <v>EXAMENES RADIOLOGICOS</v>
      </c>
      <c r="AH568" s="9" t="s">
        <v>758</v>
      </c>
      <c r="AI568" s="9">
        <v>0</v>
      </c>
      <c r="AJ568" s="9">
        <v>77200240</v>
      </c>
      <c r="AK568" s="9">
        <v>8</v>
      </c>
      <c r="AL568" s="26" t="s">
        <v>292</v>
      </c>
      <c r="AM568" s="14" t="s">
        <v>585</v>
      </c>
      <c r="AN568" s="27" t="str">
        <f t="shared" si="19"/>
        <v>17764749|77200240|372472554|372472554</v>
      </c>
      <c r="AO568" t="s">
        <v>758</v>
      </c>
      <c r="AP568" t="b">
        <v>1</v>
      </c>
      <c r="AQ568" t="s">
        <v>764</v>
      </c>
    </row>
    <row r="569" spans="1:43" x14ac:dyDescent="0.2">
      <c r="A569" s="14" t="s">
        <v>500</v>
      </c>
      <c r="B569" s="17">
        <v>17764749</v>
      </c>
      <c r="C569" s="14" t="s">
        <v>249</v>
      </c>
      <c r="D569" s="9">
        <v>17764749</v>
      </c>
      <c r="E569" s="9" t="s">
        <v>249</v>
      </c>
      <c r="F569" s="7">
        <v>45717</v>
      </c>
      <c r="G569" s="20" t="s">
        <v>46</v>
      </c>
      <c r="H569" s="8">
        <v>372472554</v>
      </c>
      <c r="I569" s="19">
        <v>65384434</v>
      </c>
      <c r="J569" s="10">
        <v>22476</v>
      </c>
      <c r="K569" s="10">
        <v>0</v>
      </c>
      <c r="L569" s="10">
        <v>22476</v>
      </c>
      <c r="M569" s="10">
        <v>0</v>
      </c>
      <c r="N569" s="11">
        <v>22476</v>
      </c>
      <c r="O569" s="12">
        <v>372472554</v>
      </c>
      <c r="P569" s="9">
        <v>285123</v>
      </c>
      <c r="Q569" s="9" t="s">
        <v>37</v>
      </c>
      <c r="R569" s="13">
        <v>45723</v>
      </c>
      <c r="S569" s="22">
        <v>45742</v>
      </c>
      <c r="T569" s="13">
        <v>45723</v>
      </c>
      <c r="U569" s="13">
        <v>45723</v>
      </c>
      <c r="V569" s="9" t="s">
        <v>47</v>
      </c>
      <c r="W569" s="9">
        <v>22772456</v>
      </c>
      <c r="X569" s="9">
        <v>3311105</v>
      </c>
      <c r="Y569" s="9">
        <v>69251302</v>
      </c>
      <c r="Z569" s="9" t="s">
        <v>39</v>
      </c>
      <c r="AA569" s="9">
        <v>17764749</v>
      </c>
      <c r="AB569" s="9">
        <v>78070</v>
      </c>
      <c r="AC569" s="9" t="s">
        <v>41</v>
      </c>
      <c r="AD569" s="9" t="s">
        <v>134</v>
      </c>
      <c r="AE569" s="9" t="s">
        <v>135</v>
      </c>
      <c r="AF569" s="9" t="s">
        <v>135</v>
      </c>
      <c r="AG569" s="14" t="str">
        <f t="shared" si="20"/>
        <v>EXAMENES RADIOLOGICOS</v>
      </c>
      <c r="AH569" s="9">
        <v>0</v>
      </c>
      <c r="AI569" s="9">
        <v>0</v>
      </c>
      <c r="AJ569" s="9">
        <v>77200240</v>
      </c>
      <c r="AK569" s="9">
        <v>8</v>
      </c>
      <c r="AL569" s="26" t="s">
        <v>52</v>
      </c>
      <c r="AM569" s="14" t="s">
        <v>585</v>
      </c>
      <c r="AN569" s="27" t="str">
        <f t="shared" si="19"/>
        <v>17764749|77200240|372472554|65384434</v>
      </c>
      <c r="AO569" t="s">
        <v>44</v>
      </c>
      <c r="AP569" t="b">
        <v>0</v>
      </c>
      <c r="AQ569" t="s">
        <v>763</v>
      </c>
    </row>
    <row r="570" spans="1:43" x14ac:dyDescent="0.2">
      <c r="A570" s="14" t="s">
        <v>500</v>
      </c>
      <c r="B570" s="17">
        <v>18730398</v>
      </c>
      <c r="C570" s="14" t="s">
        <v>299</v>
      </c>
      <c r="D570" s="9">
        <v>24641560</v>
      </c>
      <c r="E570" s="9" t="s">
        <v>300</v>
      </c>
      <c r="F570" s="7">
        <v>45717</v>
      </c>
      <c r="G570" s="20" t="s">
        <v>36</v>
      </c>
      <c r="H570" s="8">
        <v>372503340</v>
      </c>
      <c r="I570" s="19">
        <v>372503340</v>
      </c>
      <c r="J570" s="10">
        <v>77382</v>
      </c>
      <c r="K570" s="10">
        <v>54167</v>
      </c>
      <c r="L570" s="10">
        <v>23215</v>
      </c>
      <c r="M570" s="10">
        <v>0</v>
      </c>
      <c r="N570" s="11">
        <v>23215</v>
      </c>
      <c r="O570" s="12">
        <v>372503340</v>
      </c>
      <c r="P570" s="9">
        <v>285123</v>
      </c>
      <c r="Q570" s="9" t="s">
        <v>37</v>
      </c>
      <c r="R570" s="13">
        <v>45725</v>
      </c>
      <c r="S570" s="22">
        <v>45725</v>
      </c>
      <c r="T570" s="13">
        <v>45725</v>
      </c>
      <c r="U570" s="13">
        <v>45725</v>
      </c>
      <c r="V570" s="9" t="s">
        <v>47</v>
      </c>
      <c r="W570" s="9">
        <v>22703057</v>
      </c>
      <c r="X570" s="9">
        <v>3181006</v>
      </c>
      <c r="Y570" s="9">
        <v>69051535</v>
      </c>
      <c r="Z570" s="9" t="s">
        <v>39</v>
      </c>
      <c r="AA570" s="9">
        <v>16032025</v>
      </c>
      <c r="AB570" s="9">
        <v>77922</v>
      </c>
      <c r="AC570" s="9" t="s">
        <v>41</v>
      </c>
      <c r="AD570" s="9" t="s">
        <v>134</v>
      </c>
      <c r="AE570" s="9" t="s">
        <v>135</v>
      </c>
      <c r="AF570" s="9" t="s">
        <v>135</v>
      </c>
      <c r="AG570" s="14" t="str">
        <f t="shared" si="20"/>
        <v>EXAMENES RADIOLOGICOS</v>
      </c>
      <c r="AH570" s="9" t="s">
        <v>758</v>
      </c>
      <c r="AI570" s="9">
        <v>0</v>
      </c>
      <c r="AJ570" s="9">
        <v>77200240</v>
      </c>
      <c r="AK570" s="9">
        <v>8</v>
      </c>
      <c r="AL570" s="26" t="s">
        <v>292</v>
      </c>
      <c r="AM570" s="14" t="s">
        <v>618</v>
      </c>
      <c r="AN570" s="27" t="str">
        <f t="shared" si="19"/>
        <v>18730398|77200240|372503340|372503340</v>
      </c>
      <c r="AO570" t="s">
        <v>758</v>
      </c>
      <c r="AP570" t="b">
        <v>1</v>
      </c>
      <c r="AQ570" t="s">
        <v>764</v>
      </c>
    </row>
    <row r="571" spans="1:43" x14ac:dyDescent="0.2">
      <c r="A571" s="14" t="s">
        <v>500</v>
      </c>
      <c r="B571" s="17">
        <v>18730398</v>
      </c>
      <c r="C571" s="14" t="s">
        <v>299</v>
      </c>
      <c r="D571" s="9">
        <v>24641560</v>
      </c>
      <c r="E571" s="9" t="s">
        <v>300</v>
      </c>
      <c r="F571" s="7">
        <v>45717</v>
      </c>
      <c r="G571" s="20" t="s">
        <v>46</v>
      </c>
      <c r="H571" s="8">
        <v>372503340</v>
      </c>
      <c r="I571" s="19">
        <v>65384471</v>
      </c>
      <c r="J571" s="10">
        <v>22882</v>
      </c>
      <c r="K571" s="10">
        <v>0</v>
      </c>
      <c r="L571" s="10">
        <v>22882</v>
      </c>
      <c r="M571" s="10">
        <v>0</v>
      </c>
      <c r="N571" s="11">
        <v>22882</v>
      </c>
      <c r="O571" s="12">
        <v>372503340</v>
      </c>
      <c r="P571" s="9">
        <v>285123</v>
      </c>
      <c r="Q571" s="9" t="s">
        <v>37</v>
      </c>
      <c r="R571" s="13">
        <v>45725</v>
      </c>
      <c r="S571" s="22">
        <v>45742</v>
      </c>
      <c r="T571" s="13">
        <v>45725</v>
      </c>
      <c r="U571" s="13">
        <v>45725</v>
      </c>
      <c r="V571" s="9" t="s">
        <v>47</v>
      </c>
      <c r="W571" s="9">
        <v>22772469</v>
      </c>
      <c r="X571" s="9">
        <v>3311105</v>
      </c>
      <c r="Y571" s="9">
        <v>69251337</v>
      </c>
      <c r="Z571" s="9" t="s">
        <v>39</v>
      </c>
      <c r="AA571" s="9">
        <v>222933594</v>
      </c>
      <c r="AB571" s="9">
        <v>78070</v>
      </c>
      <c r="AC571" s="9" t="s">
        <v>41</v>
      </c>
      <c r="AD571" s="9" t="s">
        <v>134</v>
      </c>
      <c r="AE571" s="9" t="s">
        <v>135</v>
      </c>
      <c r="AF571" s="9" t="s">
        <v>135</v>
      </c>
      <c r="AG571" s="14" t="str">
        <f t="shared" si="20"/>
        <v>EXAMENES RADIOLOGICOS</v>
      </c>
      <c r="AH571" s="9">
        <v>0</v>
      </c>
      <c r="AI571" s="9">
        <v>0</v>
      </c>
      <c r="AJ571" s="9">
        <v>77200240</v>
      </c>
      <c r="AK571" s="9">
        <v>8</v>
      </c>
      <c r="AL571" s="26" t="s">
        <v>52</v>
      </c>
      <c r="AM571" s="14" t="s">
        <v>618</v>
      </c>
      <c r="AN571" s="27" t="str">
        <f t="shared" si="19"/>
        <v>18730398|77200240|372503340|65384471</v>
      </c>
      <c r="AO571" t="s">
        <v>44</v>
      </c>
      <c r="AP571" t="b">
        <v>0</v>
      </c>
      <c r="AQ571" t="s">
        <v>763</v>
      </c>
    </row>
    <row r="572" spans="1:43" x14ac:dyDescent="0.2">
      <c r="A572" s="14" t="s">
        <v>500</v>
      </c>
      <c r="B572" s="17">
        <v>8956787</v>
      </c>
      <c r="C572" s="14" t="s">
        <v>301</v>
      </c>
      <c r="D572" s="9">
        <v>10583396</v>
      </c>
      <c r="E572" s="9" t="s">
        <v>302</v>
      </c>
      <c r="F572" s="7">
        <v>45689</v>
      </c>
      <c r="G572" s="20" t="s">
        <v>36</v>
      </c>
      <c r="H572" s="8">
        <v>643188985</v>
      </c>
      <c r="I572" s="19">
        <v>984555</v>
      </c>
      <c r="J572" s="10">
        <v>1968</v>
      </c>
      <c r="K572" s="10">
        <v>0</v>
      </c>
      <c r="L572" s="10">
        <v>1968</v>
      </c>
      <c r="M572" s="10">
        <v>0</v>
      </c>
      <c r="N572" s="11">
        <v>1968</v>
      </c>
      <c r="O572" s="12">
        <v>643188985</v>
      </c>
      <c r="P572" s="9">
        <v>285123</v>
      </c>
      <c r="Q572" s="9" t="s">
        <v>37</v>
      </c>
      <c r="R572" s="13">
        <v>45701</v>
      </c>
      <c r="S572" s="22">
        <v>45702</v>
      </c>
      <c r="T572" s="13">
        <v>45673</v>
      </c>
      <c r="U572" s="13">
        <v>45673</v>
      </c>
      <c r="V572" s="9" t="s">
        <v>47</v>
      </c>
      <c r="W572" s="9">
        <v>22590883</v>
      </c>
      <c r="X572" s="9">
        <v>2171726</v>
      </c>
      <c r="Y572" s="9">
        <v>68885279</v>
      </c>
      <c r="Z572" s="9" t="s">
        <v>39</v>
      </c>
      <c r="AA572" s="9">
        <v>63512556</v>
      </c>
      <c r="AB572" s="9">
        <v>77628</v>
      </c>
      <c r="AC572" s="9" t="s">
        <v>41</v>
      </c>
      <c r="AD572" s="9" t="s">
        <v>128</v>
      </c>
      <c r="AE572" s="9" t="s">
        <v>129</v>
      </c>
      <c r="AF572" s="9" t="s">
        <v>124</v>
      </c>
      <c r="AG572" s="14" t="s">
        <v>125</v>
      </c>
      <c r="AH572" s="9">
        <v>0</v>
      </c>
      <c r="AI572" s="9">
        <v>0</v>
      </c>
      <c r="AJ572" s="9">
        <v>76031071</v>
      </c>
      <c r="AK572" s="9">
        <v>9</v>
      </c>
      <c r="AL572" s="26" t="s">
        <v>52</v>
      </c>
      <c r="AM572" s="14" t="s">
        <v>619</v>
      </c>
      <c r="AN572" s="27" t="str">
        <f t="shared" si="19"/>
        <v>8956787|76031071|643188985|984555</v>
      </c>
      <c r="AO572" t="s">
        <v>44</v>
      </c>
      <c r="AP572" t="b">
        <v>0</v>
      </c>
      <c r="AQ572" t="s">
        <v>763</v>
      </c>
    </row>
    <row r="573" spans="1:43" x14ac:dyDescent="0.2">
      <c r="A573" s="14" t="s">
        <v>500</v>
      </c>
      <c r="B573" s="17">
        <v>8956787</v>
      </c>
      <c r="C573" s="14" t="s">
        <v>301</v>
      </c>
      <c r="D573" s="9">
        <v>10583396</v>
      </c>
      <c r="E573" s="9" t="s">
        <v>302</v>
      </c>
      <c r="F573" s="7">
        <v>45717</v>
      </c>
      <c r="G573" s="20" t="s">
        <v>46</v>
      </c>
      <c r="H573" s="8">
        <v>643188985</v>
      </c>
      <c r="I573" s="19">
        <v>65212933</v>
      </c>
      <c r="J573" s="10">
        <v>29958</v>
      </c>
      <c r="K573" s="10">
        <v>0</v>
      </c>
      <c r="L573" s="10">
        <v>29958</v>
      </c>
      <c r="M573" s="10">
        <v>0</v>
      </c>
      <c r="N573" s="11">
        <v>29958</v>
      </c>
      <c r="O573" s="12">
        <v>643188985</v>
      </c>
      <c r="P573" s="9">
        <v>285123</v>
      </c>
      <c r="Q573" s="9" t="s">
        <v>37</v>
      </c>
      <c r="R573" s="13">
        <v>45717</v>
      </c>
      <c r="S573" s="22">
        <v>45733</v>
      </c>
      <c r="T573" s="13">
        <v>45673</v>
      </c>
      <c r="U573" s="13">
        <v>45673</v>
      </c>
      <c r="V573" s="9" t="s">
        <v>47</v>
      </c>
      <c r="W573" s="9">
        <v>22753754</v>
      </c>
      <c r="X573" s="9">
        <v>3251558</v>
      </c>
      <c r="Y573" s="9">
        <v>69156343</v>
      </c>
      <c r="Z573" s="9" t="s">
        <v>39</v>
      </c>
      <c r="AA573" s="9">
        <v>63512556</v>
      </c>
      <c r="AB573" s="9">
        <v>78017</v>
      </c>
      <c r="AC573" s="9" t="s">
        <v>41</v>
      </c>
      <c r="AD573" s="9" t="s">
        <v>128</v>
      </c>
      <c r="AE573" s="9" t="s">
        <v>129</v>
      </c>
      <c r="AF573" s="9" t="s">
        <v>124</v>
      </c>
      <c r="AG573" s="14" t="s">
        <v>125</v>
      </c>
      <c r="AH573" s="9">
        <v>0</v>
      </c>
      <c r="AI573" s="9">
        <v>0</v>
      </c>
      <c r="AJ573" s="9">
        <v>76031071</v>
      </c>
      <c r="AK573" s="9">
        <v>9</v>
      </c>
      <c r="AL573" s="26" t="s">
        <v>52</v>
      </c>
      <c r="AM573" s="14" t="s">
        <v>619</v>
      </c>
      <c r="AN573" s="27" t="str">
        <f t="shared" si="19"/>
        <v>8956787|76031071|643188985|65212933</v>
      </c>
      <c r="AO573" t="s">
        <v>44</v>
      </c>
      <c r="AP573" t="b">
        <v>0</v>
      </c>
      <c r="AQ573" t="s">
        <v>763</v>
      </c>
    </row>
    <row r="574" spans="1:43" x14ac:dyDescent="0.2">
      <c r="A574" s="14" t="s">
        <v>500</v>
      </c>
      <c r="B574" s="17">
        <v>15510748</v>
      </c>
      <c r="C574" s="14" t="s">
        <v>256</v>
      </c>
      <c r="D574" s="9">
        <v>15510748</v>
      </c>
      <c r="E574" s="9" t="s">
        <v>256</v>
      </c>
      <c r="F574" s="7">
        <v>45717</v>
      </c>
      <c r="G574" s="20" t="s">
        <v>36</v>
      </c>
      <c r="H574" s="8">
        <v>644990610</v>
      </c>
      <c r="I574" s="19">
        <v>993289</v>
      </c>
      <c r="J574" s="10">
        <v>3519</v>
      </c>
      <c r="K574" s="10">
        <v>0</v>
      </c>
      <c r="L574" s="10">
        <v>3519</v>
      </c>
      <c r="M574" s="10">
        <v>0</v>
      </c>
      <c r="N574" s="11">
        <v>3519</v>
      </c>
      <c r="O574" s="12">
        <v>644990610</v>
      </c>
      <c r="P574" s="9">
        <v>285123</v>
      </c>
      <c r="Q574" s="9" t="s">
        <v>37</v>
      </c>
      <c r="R574" s="13">
        <v>45726</v>
      </c>
      <c r="S574" s="22">
        <v>45728</v>
      </c>
      <c r="T574" s="13">
        <v>45666</v>
      </c>
      <c r="U574" s="13">
        <v>45666</v>
      </c>
      <c r="V574" s="9" t="s">
        <v>47</v>
      </c>
      <c r="W574" s="9">
        <v>22705311</v>
      </c>
      <c r="X574" s="9">
        <v>3171658</v>
      </c>
      <c r="Y574" s="9">
        <v>69027840</v>
      </c>
      <c r="Z574" s="9" t="s">
        <v>39</v>
      </c>
      <c r="AA574" s="9">
        <v>104294701</v>
      </c>
      <c r="AB574" s="9">
        <v>77929</v>
      </c>
      <c r="AC574" s="9" t="s">
        <v>41</v>
      </c>
      <c r="AD574" s="9" t="s">
        <v>142</v>
      </c>
      <c r="AE574" s="9" t="s">
        <v>143</v>
      </c>
      <c r="AF574" s="9" t="s">
        <v>144</v>
      </c>
      <c r="AG574" s="14" t="s">
        <v>125</v>
      </c>
      <c r="AH574" s="9">
        <v>0</v>
      </c>
      <c r="AI574" s="9">
        <v>0</v>
      </c>
      <c r="AJ574" s="9">
        <v>76031071</v>
      </c>
      <c r="AK574" s="9">
        <v>9</v>
      </c>
      <c r="AL574" s="26" t="s">
        <v>292</v>
      </c>
      <c r="AM574" s="14" t="s">
        <v>591</v>
      </c>
      <c r="AN574" s="27" t="str">
        <f t="shared" si="19"/>
        <v>15510748|76031071|644990610|993289</v>
      </c>
      <c r="AO574" t="s">
        <v>44</v>
      </c>
      <c r="AP574" t="b">
        <v>0</v>
      </c>
      <c r="AQ574" t="s">
        <v>763</v>
      </c>
    </row>
    <row r="575" spans="1:43" x14ac:dyDescent="0.2">
      <c r="A575" s="14" t="s">
        <v>500</v>
      </c>
      <c r="B575" s="17">
        <v>15510748</v>
      </c>
      <c r="C575" s="14" t="s">
        <v>256</v>
      </c>
      <c r="D575" s="9">
        <v>15510748</v>
      </c>
      <c r="E575" s="9" t="s">
        <v>256</v>
      </c>
      <c r="F575" s="7">
        <v>45717</v>
      </c>
      <c r="G575" s="20" t="s">
        <v>36</v>
      </c>
      <c r="H575" s="8">
        <v>644990610</v>
      </c>
      <c r="I575" s="19">
        <v>993289</v>
      </c>
      <c r="J575" s="10">
        <v>38014</v>
      </c>
      <c r="K575" s="10">
        <v>0</v>
      </c>
      <c r="L575" s="10">
        <v>38014</v>
      </c>
      <c r="M575" s="10">
        <v>0</v>
      </c>
      <c r="N575" s="11">
        <v>38014</v>
      </c>
      <c r="O575" s="12">
        <v>644990610</v>
      </c>
      <c r="P575" s="9">
        <v>285123</v>
      </c>
      <c r="Q575" s="9" t="s">
        <v>37</v>
      </c>
      <c r="R575" s="13">
        <v>45726</v>
      </c>
      <c r="S575" s="22">
        <v>45728</v>
      </c>
      <c r="T575" s="13">
        <v>45666</v>
      </c>
      <c r="U575" s="13">
        <v>45666</v>
      </c>
      <c r="V575" s="9" t="s">
        <v>47</v>
      </c>
      <c r="W575" s="9">
        <v>22705311</v>
      </c>
      <c r="X575" s="9">
        <v>3171658</v>
      </c>
      <c r="Y575" s="9">
        <v>69027840</v>
      </c>
      <c r="Z575" s="9" t="s">
        <v>39</v>
      </c>
      <c r="AA575" s="9">
        <v>104294701</v>
      </c>
      <c r="AB575" s="9">
        <v>77929</v>
      </c>
      <c r="AC575" s="9" t="s">
        <v>41</v>
      </c>
      <c r="AD575" s="9" t="s">
        <v>128</v>
      </c>
      <c r="AE575" s="9" t="s">
        <v>129</v>
      </c>
      <c r="AF575" s="9" t="s">
        <v>124</v>
      </c>
      <c r="AG575" s="14" t="s">
        <v>125</v>
      </c>
      <c r="AH575" s="9">
        <v>0</v>
      </c>
      <c r="AI575" s="9">
        <v>0</v>
      </c>
      <c r="AJ575" s="9">
        <v>76031071</v>
      </c>
      <c r="AK575" s="9">
        <v>9</v>
      </c>
      <c r="AL575" s="26" t="s">
        <v>292</v>
      </c>
      <c r="AM575" s="14" t="s">
        <v>591</v>
      </c>
      <c r="AN575" s="27" t="str">
        <f t="shared" si="19"/>
        <v>15510748|76031071|644990610|993289</v>
      </c>
      <c r="AO575" t="s">
        <v>44</v>
      </c>
      <c r="AP575" t="b">
        <v>0</v>
      </c>
      <c r="AQ575" t="s">
        <v>763</v>
      </c>
    </row>
    <row r="576" spans="1:43" x14ac:dyDescent="0.2">
      <c r="A576" s="14" t="s">
        <v>500</v>
      </c>
      <c r="B576" s="17">
        <v>15510748</v>
      </c>
      <c r="C576" s="14" t="s">
        <v>256</v>
      </c>
      <c r="D576" s="9">
        <v>15510748</v>
      </c>
      <c r="E576" s="9" t="s">
        <v>256</v>
      </c>
      <c r="F576" s="7">
        <v>45717</v>
      </c>
      <c r="G576" s="20" t="s">
        <v>46</v>
      </c>
      <c r="H576" s="8">
        <v>644990610</v>
      </c>
      <c r="I576" s="19">
        <v>65213177</v>
      </c>
      <c r="J576" s="10">
        <v>3844</v>
      </c>
      <c r="K576" s="10">
        <v>0</v>
      </c>
      <c r="L576" s="10">
        <v>3844</v>
      </c>
      <c r="M576" s="10">
        <v>0</v>
      </c>
      <c r="N576" s="11">
        <v>3844</v>
      </c>
      <c r="O576" s="12">
        <v>644990610</v>
      </c>
      <c r="P576" s="9">
        <v>285123</v>
      </c>
      <c r="Q576" s="9" t="s">
        <v>37</v>
      </c>
      <c r="R576" s="13">
        <v>45717</v>
      </c>
      <c r="S576" s="22">
        <v>45733</v>
      </c>
      <c r="T576" s="13">
        <v>45666</v>
      </c>
      <c r="U576" s="13">
        <v>45666</v>
      </c>
      <c r="V576" s="9" t="s">
        <v>47</v>
      </c>
      <c r="W576" s="9">
        <v>22753546</v>
      </c>
      <c r="X576" s="9">
        <v>3251558</v>
      </c>
      <c r="Y576" s="9">
        <v>69156561</v>
      </c>
      <c r="Z576" s="9" t="s">
        <v>39</v>
      </c>
      <c r="AA576" s="9">
        <v>104294701</v>
      </c>
      <c r="AB576" s="9">
        <v>78017</v>
      </c>
      <c r="AC576" s="9" t="s">
        <v>41</v>
      </c>
      <c r="AD576" s="9" t="s">
        <v>163</v>
      </c>
      <c r="AE576" s="9" t="s">
        <v>164</v>
      </c>
      <c r="AF576" s="9" t="s">
        <v>124</v>
      </c>
      <c r="AG576" s="14" t="s">
        <v>125</v>
      </c>
      <c r="AH576" s="9">
        <v>0</v>
      </c>
      <c r="AI576" s="9">
        <v>0</v>
      </c>
      <c r="AJ576" s="9">
        <v>76031071</v>
      </c>
      <c r="AK576" s="9">
        <v>9</v>
      </c>
      <c r="AL576" s="26" t="s">
        <v>52</v>
      </c>
      <c r="AM576" s="14" t="s">
        <v>591</v>
      </c>
      <c r="AN576" s="27" t="str">
        <f t="shared" si="19"/>
        <v>15510748|76031071|644990610|65213177</v>
      </c>
      <c r="AO576" t="s">
        <v>44</v>
      </c>
      <c r="AP576" t="b">
        <v>0</v>
      </c>
      <c r="AQ576" t="s">
        <v>763</v>
      </c>
    </row>
    <row r="577" spans="1:43" x14ac:dyDescent="0.2">
      <c r="A577" s="14" t="s">
        <v>500</v>
      </c>
      <c r="B577" s="17">
        <v>15510748</v>
      </c>
      <c r="C577" s="14" t="s">
        <v>256</v>
      </c>
      <c r="D577" s="9">
        <v>15510748</v>
      </c>
      <c r="E577" s="9" t="s">
        <v>256</v>
      </c>
      <c r="F577" s="7">
        <v>45717</v>
      </c>
      <c r="G577" s="20" t="s">
        <v>46</v>
      </c>
      <c r="H577" s="8">
        <v>644990610</v>
      </c>
      <c r="I577" s="19">
        <v>65213177</v>
      </c>
      <c r="J577" s="10">
        <v>38055</v>
      </c>
      <c r="K577" s="10">
        <v>0</v>
      </c>
      <c r="L577" s="10">
        <v>38055</v>
      </c>
      <c r="M577" s="10">
        <v>0</v>
      </c>
      <c r="N577" s="11">
        <v>38055</v>
      </c>
      <c r="O577" s="12">
        <v>644990610</v>
      </c>
      <c r="P577" s="9">
        <v>285123</v>
      </c>
      <c r="Q577" s="9" t="s">
        <v>37</v>
      </c>
      <c r="R577" s="13">
        <v>45717</v>
      </c>
      <c r="S577" s="22">
        <v>45733</v>
      </c>
      <c r="T577" s="13">
        <v>45666</v>
      </c>
      <c r="U577" s="13">
        <v>45666</v>
      </c>
      <c r="V577" s="9" t="s">
        <v>47</v>
      </c>
      <c r="W577" s="9">
        <v>22753546</v>
      </c>
      <c r="X577" s="9">
        <v>3251558</v>
      </c>
      <c r="Y577" s="9">
        <v>69156561</v>
      </c>
      <c r="Z577" s="9" t="s">
        <v>39</v>
      </c>
      <c r="AA577" s="9">
        <v>104294701</v>
      </c>
      <c r="AB577" s="9">
        <v>78017</v>
      </c>
      <c r="AC577" s="9" t="s">
        <v>41</v>
      </c>
      <c r="AD577" s="9" t="s">
        <v>128</v>
      </c>
      <c r="AE577" s="9" t="s">
        <v>129</v>
      </c>
      <c r="AF577" s="9" t="s">
        <v>124</v>
      </c>
      <c r="AG577" s="14" t="s">
        <v>125</v>
      </c>
      <c r="AH577" s="9">
        <v>0</v>
      </c>
      <c r="AI577" s="9">
        <v>0</v>
      </c>
      <c r="AJ577" s="9">
        <v>76031071</v>
      </c>
      <c r="AK577" s="9">
        <v>9</v>
      </c>
      <c r="AL577" s="26" t="s">
        <v>52</v>
      </c>
      <c r="AM577" s="14" t="s">
        <v>591</v>
      </c>
      <c r="AN577" s="27" t="str">
        <f t="shared" si="19"/>
        <v>15510748|76031071|644990610|65213177</v>
      </c>
      <c r="AO577" t="s">
        <v>44</v>
      </c>
      <c r="AP577" t="b">
        <v>0</v>
      </c>
      <c r="AQ577" t="s">
        <v>763</v>
      </c>
    </row>
    <row r="578" spans="1:43" x14ac:dyDescent="0.2">
      <c r="A578" s="14" t="s">
        <v>500</v>
      </c>
      <c r="B578" s="17">
        <v>10151614</v>
      </c>
      <c r="C578" s="14" t="s">
        <v>214</v>
      </c>
      <c r="D578" s="9">
        <v>10151614</v>
      </c>
      <c r="E578" s="9" t="s">
        <v>214</v>
      </c>
      <c r="F578" s="7">
        <v>45689</v>
      </c>
      <c r="G578" s="20" t="s">
        <v>36</v>
      </c>
      <c r="H578" s="8">
        <v>646193951</v>
      </c>
      <c r="I578" s="19">
        <v>985668</v>
      </c>
      <c r="J578" s="10">
        <v>9719</v>
      </c>
      <c r="K578" s="10">
        <v>0</v>
      </c>
      <c r="L578" s="10">
        <v>9719</v>
      </c>
      <c r="M578" s="10">
        <v>0</v>
      </c>
      <c r="N578" s="11">
        <v>9719</v>
      </c>
      <c r="O578" s="12">
        <v>646193951</v>
      </c>
      <c r="P578" s="9">
        <v>285123</v>
      </c>
      <c r="Q578" s="9" t="s">
        <v>37</v>
      </c>
      <c r="R578" s="13">
        <v>45705</v>
      </c>
      <c r="S578" s="22">
        <v>45705</v>
      </c>
      <c r="T578" s="13">
        <v>45688</v>
      </c>
      <c r="U578" s="13">
        <v>45688</v>
      </c>
      <c r="V578" s="9" t="s">
        <v>47</v>
      </c>
      <c r="W578" s="9">
        <v>22616377</v>
      </c>
      <c r="X578" s="9">
        <v>2251257</v>
      </c>
      <c r="Y578" s="9">
        <v>68922831</v>
      </c>
      <c r="Z578" s="9" t="s">
        <v>39</v>
      </c>
      <c r="AA578" s="9">
        <v>210689048</v>
      </c>
      <c r="AB578" s="9">
        <v>77692</v>
      </c>
      <c r="AC578" s="9" t="s">
        <v>41</v>
      </c>
      <c r="AD578" s="9" t="s">
        <v>128</v>
      </c>
      <c r="AE578" s="9" t="s">
        <v>129</v>
      </c>
      <c r="AF578" s="9" t="s">
        <v>124</v>
      </c>
      <c r="AG578" s="14" t="s">
        <v>125</v>
      </c>
      <c r="AH578" s="9">
        <v>0</v>
      </c>
      <c r="AI578" s="9">
        <v>0</v>
      </c>
      <c r="AJ578" s="9">
        <v>76031071</v>
      </c>
      <c r="AK578" s="9">
        <v>9</v>
      </c>
      <c r="AL578" s="26" t="s">
        <v>52</v>
      </c>
      <c r="AM578" s="14" t="s">
        <v>560</v>
      </c>
      <c r="AN578" s="27" t="str">
        <f t="shared" si="19"/>
        <v>10151614|76031071|646193951|985668</v>
      </c>
      <c r="AO578" t="s">
        <v>44</v>
      </c>
      <c r="AP578" t="b">
        <v>0</v>
      </c>
      <c r="AQ578" t="s">
        <v>763</v>
      </c>
    </row>
    <row r="579" spans="1:43" x14ac:dyDescent="0.2">
      <c r="A579" s="14" t="s">
        <v>500</v>
      </c>
      <c r="B579" s="17">
        <v>10151614</v>
      </c>
      <c r="C579" s="14" t="s">
        <v>214</v>
      </c>
      <c r="D579" s="9">
        <v>10151614</v>
      </c>
      <c r="E579" s="9" t="s">
        <v>214</v>
      </c>
      <c r="F579" s="7">
        <v>45717</v>
      </c>
      <c r="G579" s="20" t="s">
        <v>46</v>
      </c>
      <c r="H579" s="8">
        <v>646193951</v>
      </c>
      <c r="I579" s="19">
        <v>65212983</v>
      </c>
      <c r="J579" s="10">
        <v>9594</v>
      </c>
      <c r="K579" s="10">
        <v>0</v>
      </c>
      <c r="L579" s="10">
        <v>9594</v>
      </c>
      <c r="M579" s="10">
        <v>0</v>
      </c>
      <c r="N579" s="11">
        <v>9594</v>
      </c>
      <c r="O579" s="12">
        <v>646193951</v>
      </c>
      <c r="P579" s="9">
        <v>285123</v>
      </c>
      <c r="Q579" s="9" t="s">
        <v>37</v>
      </c>
      <c r="R579" s="13">
        <v>45717</v>
      </c>
      <c r="S579" s="22">
        <v>45733</v>
      </c>
      <c r="T579" s="13">
        <v>45688</v>
      </c>
      <c r="U579" s="13">
        <v>45688</v>
      </c>
      <c r="V579" s="9" t="s">
        <v>47</v>
      </c>
      <c r="W579" s="9">
        <v>22753733</v>
      </c>
      <c r="X579" s="9">
        <v>3251558</v>
      </c>
      <c r="Y579" s="9">
        <v>69156389</v>
      </c>
      <c r="Z579" s="9" t="s">
        <v>39</v>
      </c>
      <c r="AA579" s="9">
        <v>210689048</v>
      </c>
      <c r="AB579" s="9">
        <v>78017</v>
      </c>
      <c r="AC579" s="9" t="s">
        <v>41</v>
      </c>
      <c r="AD579" s="9" t="s">
        <v>128</v>
      </c>
      <c r="AE579" s="9" t="s">
        <v>129</v>
      </c>
      <c r="AF579" s="9" t="s">
        <v>124</v>
      </c>
      <c r="AG579" s="14" t="s">
        <v>125</v>
      </c>
      <c r="AH579" s="9">
        <v>0</v>
      </c>
      <c r="AI579" s="9">
        <v>0</v>
      </c>
      <c r="AJ579" s="9">
        <v>76031071</v>
      </c>
      <c r="AK579" s="9">
        <v>9</v>
      </c>
      <c r="AL579" s="26" t="s">
        <v>52</v>
      </c>
      <c r="AM579" s="14" t="s">
        <v>560</v>
      </c>
      <c r="AN579" s="27" t="str">
        <f t="shared" ref="AN579:AN642" si="21">B579&amp;"|"&amp;AJ579&amp;"|"&amp;H579&amp;"|"&amp;I579</f>
        <v>10151614|76031071|646193951|65212983</v>
      </c>
      <c r="AO579" t="s">
        <v>44</v>
      </c>
      <c r="AP579" t="b">
        <v>0</v>
      </c>
      <c r="AQ579" t="s">
        <v>763</v>
      </c>
    </row>
    <row r="580" spans="1:43" x14ac:dyDescent="0.2">
      <c r="A580" s="14" t="s">
        <v>500</v>
      </c>
      <c r="B580" s="17">
        <v>13470864</v>
      </c>
      <c r="C580" s="14" t="s">
        <v>303</v>
      </c>
      <c r="D580" s="9">
        <v>22379497</v>
      </c>
      <c r="E580" s="9" t="s">
        <v>304</v>
      </c>
      <c r="F580" s="7">
        <v>45717</v>
      </c>
      <c r="G580" s="20" t="s">
        <v>36</v>
      </c>
      <c r="H580" s="8">
        <v>646386485</v>
      </c>
      <c r="I580" s="19">
        <v>996851</v>
      </c>
      <c r="J580" s="10">
        <v>5998</v>
      </c>
      <c r="K580" s="10">
        <v>0</v>
      </c>
      <c r="L580" s="10">
        <v>5998</v>
      </c>
      <c r="M580" s="10">
        <v>0</v>
      </c>
      <c r="N580" s="11">
        <v>5998</v>
      </c>
      <c r="O580" s="12">
        <v>646386485</v>
      </c>
      <c r="P580" s="9">
        <v>285123</v>
      </c>
      <c r="Q580" s="9" t="s">
        <v>37</v>
      </c>
      <c r="R580" s="13">
        <v>45735</v>
      </c>
      <c r="S580" s="22">
        <v>45735</v>
      </c>
      <c r="T580" s="13">
        <v>45685</v>
      </c>
      <c r="U580" s="13">
        <v>45685</v>
      </c>
      <c r="V580" s="9" t="s">
        <v>47</v>
      </c>
      <c r="W580" s="9">
        <v>22755426</v>
      </c>
      <c r="X580" s="9">
        <v>3251558</v>
      </c>
      <c r="Y580" s="9">
        <v>69156997</v>
      </c>
      <c r="Z580" s="9" t="s">
        <v>39</v>
      </c>
      <c r="AA580" s="9">
        <v>2516410</v>
      </c>
      <c r="AB580" s="9">
        <v>78017</v>
      </c>
      <c r="AC580" s="9" t="s">
        <v>41</v>
      </c>
      <c r="AD580" s="9" t="s">
        <v>165</v>
      </c>
      <c r="AE580" s="9" t="s">
        <v>166</v>
      </c>
      <c r="AF580" s="9" t="s">
        <v>124</v>
      </c>
      <c r="AG580" s="14" t="s">
        <v>125</v>
      </c>
      <c r="AH580" s="9">
        <v>0</v>
      </c>
      <c r="AI580" s="9">
        <v>0</v>
      </c>
      <c r="AJ580" s="9">
        <v>76031071</v>
      </c>
      <c r="AK580" s="9">
        <v>9</v>
      </c>
      <c r="AL580" s="26" t="s">
        <v>52</v>
      </c>
      <c r="AM580" s="14" t="s">
        <v>620</v>
      </c>
      <c r="AN580" s="27" t="str">
        <f t="shared" si="21"/>
        <v>13470864|76031071|646386485|996851</v>
      </c>
      <c r="AO580" t="s">
        <v>44</v>
      </c>
      <c r="AP580" t="b">
        <v>0</v>
      </c>
      <c r="AQ580" t="s">
        <v>763</v>
      </c>
    </row>
    <row r="581" spans="1:43" x14ac:dyDescent="0.2">
      <c r="A581" s="14" t="s">
        <v>500</v>
      </c>
      <c r="B581" s="17">
        <v>13470864</v>
      </c>
      <c r="C581" s="14" t="s">
        <v>303</v>
      </c>
      <c r="D581" s="9">
        <v>22379497</v>
      </c>
      <c r="E581" s="9" t="s">
        <v>304</v>
      </c>
      <c r="F581" s="7">
        <v>45717</v>
      </c>
      <c r="G581" s="20" t="s">
        <v>36</v>
      </c>
      <c r="H581" s="8">
        <v>646386485</v>
      </c>
      <c r="I581" s="19">
        <v>996851</v>
      </c>
      <c r="J581" s="10">
        <v>22699</v>
      </c>
      <c r="K581" s="10">
        <v>0</v>
      </c>
      <c r="L581" s="10">
        <v>22699</v>
      </c>
      <c r="M581" s="10">
        <v>0</v>
      </c>
      <c r="N581" s="11">
        <v>22699</v>
      </c>
      <c r="O581" s="12">
        <v>646386485</v>
      </c>
      <c r="P581" s="9">
        <v>285123</v>
      </c>
      <c r="Q581" s="9" t="s">
        <v>37</v>
      </c>
      <c r="R581" s="13">
        <v>45735</v>
      </c>
      <c r="S581" s="22">
        <v>45735</v>
      </c>
      <c r="T581" s="13">
        <v>45685</v>
      </c>
      <c r="U581" s="13">
        <v>45685</v>
      </c>
      <c r="V581" s="9" t="s">
        <v>47</v>
      </c>
      <c r="W581" s="9">
        <v>22755426</v>
      </c>
      <c r="X581" s="9">
        <v>3251558</v>
      </c>
      <c r="Y581" s="9">
        <v>69156997</v>
      </c>
      <c r="Z581" s="9" t="s">
        <v>39</v>
      </c>
      <c r="AA581" s="9">
        <v>2516410</v>
      </c>
      <c r="AB581" s="9">
        <v>78017</v>
      </c>
      <c r="AC581" s="9" t="s">
        <v>41</v>
      </c>
      <c r="AD581" s="9" t="s">
        <v>128</v>
      </c>
      <c r="AE581" s="9" t="s">
        <v>129</v>
      </c>
      <c r="AF581" s="9" t="s">
        <v>124</v>
      </c>
      <c r="AG581" s="14" t="s">
        <v>125</v>
      </c>
      <c r="AH581" s="9">
        <v>0</v>
      </c>
      <c r="AI581" s="9">
        <v>0</v>
      </c>
      <c r="AJ581" s="9">
        <v>76031071</v>
      </c>
      <c r="AK581" s="9">
        <v>9</v>
      </c>
      <c r="AL581" s="26" t="s">
        <v>52</v>
      </c>
      <c r="AM581" s="14" t="s">
        <v>620</v>
      </c>
      <c r="AN581" s="27" t="str">
        <f t="shared" si="21"/>
        <v>13470864|76031071|646386485|996851</v>
      </c>
      <c r="AO581" t="s">
        <v>44</v>
      </c>
      <c r="AP581" t="b">
        <v>0</v>
      </c>
      <c r="AQ581" t="s">
        <v>763</v>
      </c>
    </row>
    <row r="582" spans="1:43" x14ac:dyDescent="0.2">
      <c r="A582" s="14" t="s">
        <v>500</v>
      </c>
      <c r="B582" s="17">
        <v>13470864</v>
      </c>
      <c r="C582" s="14" t="s">
        <v>303</v>
      </c>
      <c r="D582" s="9">
        <v>22379497</v>
      </c>
      <c r="E582" s="9" t="s">
        <v>304</v>
      </c>
      <c r="F582" s="7">
        <v>45717</v>
      </c>
      <c r="G582" s="20" t="s">
        <v>46</v>
      </c>
      <c r="H582" s="8">
        <v>646386485</v>
      </c>
      <c r="I582" s="19">
        <v>65384118</v>
      </c>
      <c r="J582" s="10">
        <v>6190</v>
      </c>
      <c r="K582" s="10">
        <v>0</v>
      </c>
      <c r="L582" s="10">
        <v>6190</v>
      </c>
      <c r="M582" s="10">
        <v>0</v>
      </c>
      <c r="N582" s="11">
        <v>6190</v>
      </c>
      <c r="O582" s="12">
        <v>646386485</v>
      </c>
      <c r="P582" s="9">
        <v>285123</v>
      </c>
      <c r="Q582" s="9" t="s">
        <v>37</v>
      </c>
      <c r="R582" s="13">
        <v>45719</v>
      </c>
      <c r="S582" s="22">
        <v>45742</v>
      </c>
      <c r="T582" s="13">
        <v>45685</v>
      </c>
      <c r="U582" s="13">
        <v>45685</v>
      </c>
      <c r="V582" s="9" t="s">
        <v>47</v>
      </c>
      <c r="W582" s="9">
        <v>22772369</v>
      </c>
      <c r="X582" s="9">
        <v>3311105</v>
      </c>
      <c r="Y582" s="9">
        <v>69251001</v>
      </c>
      <c r="Z582" s="9" t="s">
        <v>39</v>
      </c>
      <c r="AA582" s="9">
        <v>2516410</v>
      </c>
      <c r="AB582" s="9">
        <v>78070</v>
      </c>
      <c r="AC582" s="9" t="s">
        <v>41</v>
      </c>
      <c r="AD582" s="9" t="s">
        <v>165</v>
      </c>
      <c r="AE582" s="9" t="s">
        <v>166</v>
      </c>
      <c r="AF582" s="9" t="s">
        <v>124</v>
      </c>
      <c r="AG582" s="14" t="s">
        <v>125</v>
      </c>
      <c r="AH582" s="9">
        <v>0</v>
      </c>
      <c r="AI582" s="9">
        <v>0</v>
      </c>
      <c r="AJ582" s="9">
        <v>76031071</v>
      </c>
      <c r="AK582" s="9">
        <v>9</v>
      </c>
      <c r="AL582" s="26" t="s">
        <v>52</v>
      </c>
      <c r="AM582" s="14" t="s">
        <v>620</v>
      </c>
      <c r="AN582" s="27" t="str">
        <f t="shared" si="21"/>
        <v>13470864|76031071|646386485|65384118</v>
      </c>
      <c r="AO582" t="s">
        <v>44</v>
      </c>
      <c r="AP582" t="b">
        <v>0</v>
      </c>
      <c r="AQ582" t="s">
        <v>763</v>
      </c>
    </row>
    <row r="583" spans="1:43" x14ac:dyDescent="0.2">
      <c r="A583" s="14" t="s">
        <v>500</v>
      </c>
      <c r="B583" s="17">
        <v>13470864</v>
      </c>
      <c r="C583" s="14" t="s">
        <v>303</v>
      </c>
      <c r="D583" s="9">
        <v>22379497</v>
      </c>
      <c r="E583" s="9" t="s">
        <v>304</v>
      </c>
      <c r="F583" s="7">
        <v>45717</v>
      </c>
      <c r="G583" s="20" t="s">
        <v>46</v>
      </c>
      <c r="H583" s="8">
        <v>646386485</v>
      </c>
      <c r="I583" s="19">
        <v>65384118</v>
      </c>
      <c r="J583" s="10">
        <v>22829</v>
      </c>
      <c r="K583" s="10">
        <v>0</v>
      </c>
      <c r="L583" s="10">
        <v>22829</v>
      </c>
      <c r="M583" s="10">
        <v>0</v>
      </c>
      <c r="N583" s="11">
        <v>22829</v>
      </c>
      <c r="O583" s="12">
        <v>646386485</v>
      </c>
      <c r="P583" s="9">
        <v>285123</v>
      </c>
      <c r="Q583" s="9" t="s">
        <v>37</v>
      </c>
      <c r="R583" s="13">
        <v>45719</v>
      </c>
      <c r="S583" s="22">
        <v>45742</v>
      </c>
      <c r="T583" s="13">
        <v>45685</v>
      </c>
      <c r="U583" s="13">
        <v>45685</v>
      </c>
      <c r="V583" s="9" t="s">
        <v>47</v>
      </c>
      <c r="W583" s="9">
        <v>22772369</v>
      </c>
      <c r="X583" s="9">
        <v>3311105</v>
      </c>
      <c r="Y583" s="9">
        <v>69251001</v>
      </c>
      <c r="Z583" s="9" t="s">
        <v>39</v>
      </c>
      <c r="AA583" s="9">
        <v>2516410</v>
      </c>
      <c r="AB583" s="9">
        <v>78070</v>
      </c>
      <c r="AC583" s="9" t="s">
        <v>41</v>
      </c>
      <c r="AD583" s="9" t="s">
        <v>128</v>
      </c>
      <c r="AE583" s="9" t="s">
        <v>129</v>
      </c>
      <c r="AF583" s="9" t="s">
        <v>124</v>
      </c>
      <c r="AG583" s="14" t="s">
        <v>125</v>
      </c>
      <c r="AH583" s="9">
        <v>0</v>
      </c>
      <c r="AI583" s="9">
        <v>0</v>
      </c>
      <c r="AJ583" s="9">
        <v>76031071</v>
      </c>
      <c r="AK583" s="9">
        <v>9</v>
      </c>
      <c r="AL583" s="26" t="s">
        <v>52</v>
      </c>
      <c r="AM583" s="14" t="s">
        <v>620</v>
      </c>
      <c r="AN583" s="27" t="str">
        <f t="shared" si="21"/>
        <v>13470864|76031071|646386485|65384118</v>
      </c>
      <c r="AO583" t="s">
        <v>44</v>
      </c>
      <c r="AP583" t="b">
        <v>0</v>
      </c>
      <c r="AQ583" t="s">
        <v>763</v>
      </c>
    </row>
    <row r="584" spans="1:43" x14ac:dyDescent="0.2">
      <c r="A584" s="14" t="s">
        <v>500</v>
      </c>
      <c r="B584" s="17">
        <v>16771325</v>
      </c>
      <c r="C584" s="14" t="s">
        <v>213</v>
      </c>
      <c r="D584" s="9">
        <v>16771325</v>
      </c>
      <c r="E584" s="9" t="s">
        <v>213</v>
      </c>
      <c r="F584" s="7">
        <v>45689</v>
      </c>
      <c r="G584" s="20" t="s">
        <v>36</v>
      </c>
      <c r="H584" s="8">
        <v>647916259</v>
      </c>
      <c r="I584" s="19">
        <v>983756</v>
      </c>
      <c r="J584" s="10">
        <v>25212</v>
      </c>
      <c r="K584" s="10">
        <v>0</v>
      </c>
      <c r="L584" s="10">
        <v>25212</v>
      </c>
      <c r="M584" s="10">
        <v>0</v>
      </c>
      <c r="N584" s="11">
        <v>25212</v>
      </c>
      <c r="O584" s="12">
        <v>647916259</v>
      </c>
      <c r="P584" s="9">
        <v>285123</v>
      </c>
      <c r="Q584" s="9" t="s">
        <v>37</v>
      </c>
      <c r="R584" s="13">
        <v>45699</v>
      </c>
      <c r="S584" s="22">
        <v>45700</v>
      </c>
      <c r="T584" s="13">
        <v>45687</v>
      </c>
      <c r="U584" s="13">
        <v>45687</v>
      </c>
      <c r="V584" s="9" t="s">
        <v>47</v>
      </c>
      <c r="W584" s="9">
        <v>22590870</v>
      </c>
      <c r="X584" s="9">
        <v>2171726</v>
      </c>
      <c r="Y584" s="9">
        <v>68885028</v>
      </c>
      <c r="Z584" s="9" t="s">
        <v>39</v>
      </c>
      <c r="AA584" s="9">
        <v>17240018327</v>
      </c>
      <c r="AB584" s="9">
        <v>77628</v>
      </c>
      <c r="AC584" s="9" t="s">
        <v>41</v>
      </c>
      <c r="AD584" s="9" t="s">
        <v>165</v>
      </c>
      <c r="AE584" s="9" t="s">
        <v>166</v>
      </c>
      <c r="AF584" s="9" t="s">
        <v>124</v>
      </c>
      <c r="AG584" s="14" t="s">
        <v>125</v>
      </c>
      <c r="AH584" s="9">
        <v>0</v>
      </c>
      <c r="AI584" s="9">
        <v>0</v>
      </c>
      <c r="AJ584" s="9">
        <v>76031071</v>
      </c>
      <c r="AK584" s="9">
        <v>9</v>
      </c>
      <c r="AL584" s="26" t="s">
        <v>52</v>
      </c>
      <c r="AM584" s="14" t="s">
        <v>559</v>
      </c>
      <c r="AN584" s="27" t="str">
        <f t="shared" si="21"/>
        <v>16771325|76031071|647916259|983756</v>
      </c>
      <c r="AO584" t="s">
        <v>44</v>
      </c>
      <c r="AP584" t="b">
        <v>0</v>
      </c>
      <c r="AQ584" t="s">
        <v>763</v>
      </c>
    </row>
    <row r="585" spans="1:43" x14ac:dyDescent="0.2">
      <c r="A585" s="14" t="s">
        <v>500</v>
      </c>
      <c r="B585" s="17">
        <v>16771325</v>
      </c>
      <c r="C585" s="14" t="s">
        <v>213</v>
      </c>
      <c r="D585" s="9">
        <v>16771325</v>
      </c>
      <c r="E585" s="9" t="s">
        <v>213</v>
      </c>
      <c r="F585" s="7">
        <v>45717</v>
      </c>
      <c r="G585" s="20" t="s">
        <v>46</v>
      </c>
      <c r="H585" s="8">
        <v>647916259</v>
      </c>
      <c r="I585" s="19">
        <v>65213225</v>
      </c>
      <c r="J585" s="10">
        <v>25333</v>
      </c>
      <c r="K585" s="10">
        <v>0</v>
      </c>
      <c r="L585" s="10">
        <v>25333</v>
      </c>
      <c r="M585" s="10">
        <v>0</v>
      </c>
      <c r="N585" s="11">
        <v>25333</v>
      </c>
      <c r="O585" s="12">
        <v>647916259</v>
      </c>
      <c r="P585" s="9">
        <v>285123</v>
      </c>
      <c r="Q585" s="9" t="s">
        <v>37</v>
      </c>
      <c r="R585" s="13">
        <v>45717</v>
      </c>
      <c r="S585" s="22">
        <v>45733</v>
      </c>
      <c r="T585" s="13">
        <v>45687</v>
      </c>
      <c r="U585" s="13">
        <v>45687</v>
      </c>
      <c r="V585" s="9" t="s">
        <v>47</v>
      </c>
      <c r="W585" s="9">
        <v>22753678</v>
      </c>
      <c r="X585" s="9">
        <v>3251558</v>
      </c>
      <c r="Y585" s="9">
        <v>69156604</v>
      </c>
      <c r="Z585" s="9" t="s">
        <v>39</v>
      </c>
      <c r="AA585" s="9">
        <v>17240018327</v>
      </c>
      <c r="AB585" s="9">
        <v>78017</v>
      </c>
      <c r="AC585" s="9" t="s">
        <v>41</v>
      </c>
      <c r="AD585" s="9" t="s">
        <v>165</v>
      </c>
      <c r="AE585" s="9" t="s">
        <v>166</v>
      </c>
      <c r="AF585" s="9" t="s">
        <v>124</v>
      </c>
      <c r="AG585" s="14" t="s">
        <v>125</v>
      </c>
      <c r="AH585" s="9">
        <v>0</v>
      </c>
      <c r="AI585" s="9">
        <v>0</v>
      </c>
      <c r="AJ585" s="9">
        <v>76031071</v>
      </c>
      <c r="AK585" s="9">
        <v>9</v>
      </c>
      <c r="AL585" s="26" t="s">
        <v>52</v>
      </c>
      <c r="AM585" s="14" t="s">
        <v>559</v>
      </c>
      <c r="AN585" s="27" t="str">
        <f t="shared" si="21"/>
        <v>16771325|76031071|647916259|65213225</v>
      </c>
      <c r="AO585" t="s">
        <v>44</v>
      </c>
      <c r="AP585" t="b">
        <v>0</v>
      </c>
      <c r="AQ585" t="s">
        <v>763</v>
      </c>
    </row>
    <row r="586" spans="1:43" x14ac:dyDescent="0.2">
      <c r="A586" s="14" t="s">
        <v>500</v>
      </c>
      <c r="B586" s="17">
        <v>15348500</v>
      </c>
      <c r="C586" s="14" t="s">
        <v>80</v>
      </c>
      <c r="D586" s="9">
        <v>15348500</v>
      </c>
      <c r="E586" s="9" t="s">
        <v>80</v>
      </c>
      <c r="F586" s="7">
        <v>45717</v>
      </c>
      <c r="G586" s="20" t="s">
        <v>36</v>
      </c>
      <c r="H586" s="8">
        <v>652723725</v>
      </c>
      <c r="I586" s="19">
        <v>991993</v>
      </c>
      <c r="J586" s="10">
        <v>29099</v>
      </c>
      <c r="K586" s="10">
        <v>0</v>
      </c>
      <c r="L586" s="10">
        <v>29099</v>
      </c>
      <c r="M586" s="10">
        <v>0</v>
      </c>
      <c r="N586" s="11">
        <v>29099</v>
      </c>
      <c r="O586" s="12">
        <v>652723725</v>
      </c>
      <c r="P586" s="9">
        <v>285123</v>
      </c>
      <c r="Q586" s="9" t="s">
        <v>37</v>
      </c>
      <c r="R586" s="13">
        <v>45722</v>
      </c>
      <c r="S586" s="22">
        <v>45730</v>
      </c>
      <c r="T586" s="13">
        <v>45691</v>
      </c>
      <c r="U586" s="13">
        <v>45691</v>
      </c>
      <c r="V586" s="9" t="s">
        <v>47</v>
      </c>
      <c r="W586" s="9">
        <v>22705266</v>
      </c>
      <c r="X586" s="9">
        <v>3171658</v>
      </c>
      <c r="Y586" s="9">
        <v>69027003</v>
      </c>
      <c r="Z586" s="9" t="s">
        <v>39</v>
      </c>
      <c r="AA586" s="9">
        <v>5400013332</v>
      </c>
      <c r="AB586" s="9">
        <v>77929</v>
      </c>
      <c r="AC586" s="9" t="s">
        <v>41</v>
      </c>
      <c r="AD586" s="9" t="s">
        <v>128</v>
      </c>
      <c r="AE586" s="9" t="s">
        <v>129</v>
      </c>
      <c r="AF586" s="9" t="s">
        <v>124</v>
      </c>
      <c r="AG586" s="14" t="s">
        <v>125</v>
      </c>
      <c r="AH586" s="9">
        <v>0</v>
      </c>
      <c r="AI586" s="9">
        <v>0</v>
      </c>
      <c r="AJ586" s="9">
        <v>76031071</v>
      </c>
      <c r="AK586" s="9">
        <v>9</v>
      </c>
      <c r="AL586" s="26" t="s">
        <v>52</v>
      </c>
      <c r="AM586" s="14" t="s">
        <v>512</v>
      </c>
      <c r="AN586" s="27" t="str">
        <f t="shared" si="21"/>
        <v>15348500|76031071|652723725|991993</v>
      </c>
      <c r="AO586" t="s">
        <v>44</v>
      </c>
      <c r="AP586" t="b">
        <v>0</v>
      </c>
      <c r="AQ586" t="s">
        <v>763</v>
      </c>
    </row>
    <row r="587" spans="1:43" x14ac:dyDescent="0.2">
      <c r="A587" s="14" t="s">
        <v>500</v>
      </c>
      <c r="B587" s="17">
        <v>15348500</v>
      </c>
      <c r="C587" s="14" t="s">
        <v>80</v>
      </c>
      <c r="D587" s="9">
        <v>15348500</v>
      </c>
      <c r="E587" s="9" t="s">
        <v>80</v>
      </c>
      <c r="F587" s="7">
        <v>45717</v>
      </c>
      <c r="G587" s="20" t="s">
        <v>46</v>
      </c>
      <c r="H587" s="8">
        <v>652723725</v>
      </c>
      <c r="I587" s="19">
        <v>65213168</v>
      </c>
      <c r="J587" s="10">
        <v>29165</v>
      </c>
      <c r="K587" s="10">
        <v>0</v>
      </c>
      <c r="L587" s="10">
        <v>29165</v>
      </c>
      <c r="M587" s="10">
        <v>0</v>
      </c>
      <c r="N587" s="11">
        <v>29165</v>
      </c>
      <c r="O587" s="12">
        <v>652723725</v>
      </c>
      <c r="P587" s="9">
        <v>285123</v>
      </c>
      <c r="Q587" s="9" t="s">
        <v>37</v>
      </c>
      <c r="R587" s="13">
        <v>45717</v>
      </c>
      <c r="S587" s="22">
        <v>45733</v>
      </c>
      <c r="T587" s="13">
        <v>45691</v>
      </c>
      <c r="U587" s="13">
        <v>45691</v>
      </c>
      <c r="V587" s="9" t="s">
        <v>47</v>
      </c>
      <c r="W587" s="9">
        <v>22753706</v>
      </c>
      <c r="X587" s="9">
        <v>3251558</v>
      </c>
      <c r="Y587" s="9">
        <v>69156553</v>
      </c>
      <c r="Z587" s="9" t="s">
        <v>39</v>
      </c>
      <c r="AA587" s="9">
        <v>5400013332</v>
      </c>
      <c r="AB587" s="9">
        <v>78017</v>
      </c>
      <c r="AC587" s="9" t="s">
        <v>41</v>
      </c>
      <c r="AD587" s="9" t="s">
        <v>128</v>
      </c>
      <c r="AE587" s="9" t="s">
        <v>129</v>
      </c>
      <c r="AF587" s="9" t="s">
        <v>124</v>
      </c>
      <c r="AG587" s="14" t="s">
        <v>125</v>
      </c>
      <c r="AH587" s="9">
        <v>0</v>
      </c>
      <c r="AI587" s="9">
        <v>0</v>
      </c>
      <c r="AJ587" s="9">
        <v>76031071</v>
      </c>
      <c r="AK587" s="9">
        <v>9</v>
      </c>
      <c r="AL587" s="26" t="s">
        <v>52</v>
      </c>
      <c r="AM587" s="14" t="s">
        <v>512</v>
      </c>
      <c r="AN587" s="27" t="str">
        <f t="shared" si="21"/>
        <v>15348500|76031071|652723725|65213168</v>
      </c>
      <c r="AO587" t="s">
        <v>44</v>
      </c>
      <c r="AP587" t="b">
        <v>0</v>
      </c>
      <c r="AQ587" t="s">
        <v>763</v>
      </c>
    </row>
    <row r="588" spans="1:43" x14ac:dyDescent="0.2">
      <c r="A588" s="14" t="s">
        <v>500</v>
      </c>
      <c r="B588" s="17">
        <v>17780739</v>
      </c>
      <c r="C588" s="14" t="s">
        <v>305</v>
      </c>
      <c r="D588" s="9">
        <v>17780739</v>
      </c>
      <c r="E588" s="9" t="s">
        <v>305</v>
      </c>
      <c r="F588" s="7">
        <v>45809</v>
      </c>
      <c r="G588" s="20" t="s">
        <v>36</v>
      </c>
      <c r="H588" s="8">
        <v>658150350</v>
      </c>
      <c r="I588" s="19">
        <v>1038699</v>
      </c>
      <c r="J588" s="10">
        <v>10095</v>
      </c>
      <c r="K588" s="10">
        <v>0</v>
      </c>
      <c r="L588" s="10">
        <v>10095</v>
      </c>
      <c r="M588" s="10">
        <v>0</v>
      </c>
      <c r="N588" s="11">
        <v>6057</v>
      </c>
      <c r="O588" s="12">
        <v>658150350</v>
      </c>
      <c r="P588" s="9">
        <v>285123</v>
      </c>
      <c r="Q588" s="9" t="s">
        <v>37</v>
      </c>
      <c r="R588" s="13">
        <v>45827</v>
      </c>
      <c r="S588" s="22">
        <v>45827.983969907407</v>
      </c>
      <c r="T588" s="13">
        <v>45805</v>
      </c>
      <c r="U588" s="13">
        <v>45805</v>
      </c>
      <c r="V588" s="9"/>
      <c r="W588" s="9" t="s">
        <v>38</v>
      </c>
      <c r="X588" s="9" t="s">
        <v>38</v>
      </c>
      <c r="Y588" s="9" t="s">
        <v>38</v>
      </c>
      <c r="Z588" s="9" t="s">
        <v>39</v>
      </c>
      <c r="AA588" s="9" t="s">
        <v>38</v>
      </c>
      <c r="AB588" s="9" t="s">
        <v>38</v>
      </c>
      <c r="AC588" s="9" t="s">
        <v>41</v>
      </c>
      <c r="AD588" s="9" t="s">
        <v>123</v>
      </c>
      <c r="AE588" s="9" t="s">
        <v>124</v>
      </c>
      <c r="AF588" s="9" t="s">
        <v>306</v>
      </c>
      <c r="AG588" s="14" t="s">
        <v>125</v>
      </c>
      <c r="AH588" s="9" t="s">
        <v>44</v>
      </c>
      <c r="AI588" s="9" t="s">
        <v>307</v>
      </c>
      <c r="AJ588" s="9">
        <v>76031071</v>
      </c>
      <c r="AK588" s="9" t="s">
        <v>38</v>
      </c>
      <c r="AL588" s="26" t="s">
        <v>38</v>
      </c>
      <c r="AM588" s="14" t="s">
        <v>621</v>
      </c>
      <c r="AN588" s="27" t="str">
        <f t="shared" si="21"/>
        <v>17780739|76031071|658150350|1038699</v>
      </c>
      <c r="AO588" t="s">
        <v>44</v>
      </c>
      <c r="AP588" t="b">
        <v>1</v>
      </c>
      <c r="AQ588" t="s">
        <v>763</v>
      </c>
    </row>
    <row r="589" spans="1:43" x14ac:dyDescent="0.2">
      <c r="A589" s="14" t="s">
        <v>500</v>
      </c>
      <c r="B589" s="17">
        <v>17780739</v>
      </c>
      <c r="C589" s="14" t="s">
        <v>305</v>
      </c>
      <c r="D589" s="9">
        <v>17780739</v>
      </c>
      <c r="E589" s="9" t="s">
        <v>305</v>
      </c>
      <c r="F589" s="7">
        <v>45809</v>
      </c>
      <c r="G589" s="20" t="s">
        <v>36</v>
      </c>
      <c r="H589" s="8">
        <v>658150350</v>
      </c>
      <c r="I589" s="19">
        <v>1038699</v>
      </c>
      <c r="J589" s="10">
        <v>5357</v>
      </c>
      <c r="K589" s="10">
        <v>0</v>
      </c>
      <c r="L589" s="10">
        <v>5357</v>
      </c>
      <c r="M589" s="10">
        <v>0</v>
      </c>
      <c r="N589" s="11">
        <v>3214</v>
      </c>
      <c r="O589" s="12">
        <v>658150350</v>
      </c>
      <c r="P589" s="9">
        <v>285123</v>
      </c>
      <c r="Q589" s="9" t="s">
        <v>37</v>
      </c>
      <c r="R589" s="13">
        <v>45827</v>
      </c>
      <c r="S589" s="22">
        <v>45827.983969907407</v>
      </c>
      <c r="T589" s="13">
        <v>45805</v>
      </c>
      <c r="U589" s="13">
        <v>45805</v>
      </c>
      <c r="V589" s="9"/>
      <c r="W589" s="9" t="s">
        <v>38</v>
      </c>
      <c r="X589" s="9" t="s">
        <v>38</v>
      </c>
      <c r="Y589" s="9" t="s">
        <v>38</v>
      </c>
      <c r="Z589" s="9" t="s">
        <v>39</v>
      </c>
      <c r="AA589" s="9" t="s">
        <v>38</v>
      </c>
      <c r="AB589" s="9" t="s">
        <v>38</v>
      </c>
      <c r="AC589" s="9" t="s">
        <v>41</v>
      </c>
      <c r="AD589" s="9" t="s">
        <v>140</v>
      </c>
      <c r="AE589" s="9" t="s">
        <v>306</v>
      </c>
      <c r="AF589" s="9" t="s">
        <v>124</v>
      </c>
      <c r="AG589" s="14" t="s">
        <v>125</v>
      </c>
      <c r="AH589" s="9" t="s">
        <v>44</v>
      </c>
      <c r="AI589" s="9" t="s">
        <v>307</v>
      </c>
      <c r="AJ589" s="9">
        <v>76031071</v>
      </c>
      <c r="AK589" s="9" t="s">
        <v>38</v>
      </c>
      <c r="AL589" s="26" t="s">
        <v>38</v>
      </c>
      <c r="AM589" s="14" t="s">
        <v>621</v>
      </c>
      <c r="AN589" s="27" t="str">
        <f t="shared" si="21"/>
        <v>17780739|76031071|658150350|1038699</v>
      </c>
      <c r="AO589" t="s">
        <v>44</v>
      </c>
      <c r="AP589" t="b">
        <v>1</v>
      </c>
      <c r="AQ589" t="s">
        <v>763</v>
      </c>
    </row>
    <row r="590" spans="1:43" x14ac:dyDescent="0.2">
      <c r="A590" s="14" t="s">
        <v>500</v>
      </c>
      <c r="B590" s="17">
        <v>17780739</v>
      </c>
      <c r="C590" s="14" t="s">
        <v>308</v>
      </c>
      <c r="D590" s="9">
        <v>17780739</v>
      </c>
      <c r="E590" s="9" t="s">
        <v>308</v>
      </c>
      <c r="F590" s="7">
        <v>45839</v>
      </c>
      <c r="G590" s="20" t="s">
        <v>46</v>
      </c>
      <c r="H590" s="8">
        <v>658150350</v>
      </c>
      <c r="I590" s="19">
        <v>66380275</v>
      </c>
      <c r="J590" s="10">
        <v>10095</v>
      </c>
      <c r="K590" s="10">
        <v>0</v>
      </c>
      <c r="L590" s="10">
        <v>10095</v>
      </c>
      <c r="M590" s="10">
        <v>0</v>
      </c>
      <c r="N590" s="11">
        <v>10095</v>
      </c>
      <c r="O590" s="12">
        <v>658150350</v>
      </c>
      <c r="P590" s="9">
        <v>285123</v>
      </c>
      <c r="Q590" s="9" t="s">
        <v>37</v>
      </c>
      <c r="R590" s="13">
        <v>45839</v>
      </c>
      <c r="S590" s="22">
        <v>45839</v>
      </c>
      <c r="T590" s="13">
        <v>45805</v>
      </c>
      <c r="U590" s="13">
        <v>45805</v>
      </c>
      <c r="V590" s="9" t="s">
        <v>47</v>
      </c>
      <c r="W590" s="9">
        <v>23307191</v>
      </c>
      <c r="X590" s="9">
        <v>7241739</v>
      </c>
      <c r="Y590" s="9">
        <v>70359590</v>
      </c>
      <c r="Z590" s="9" t="s">
        <v>39</v>
      </c>
      <c r="AA590" s="9">
        <v>10012905621</v>
      </c>
      <c r="AB590" s="9">
        <v>79359</v>
      </c>
      <c r="AC590" s="9" t="s">
        <v>41</v>
      </c>
      <c r="AD590" s="9" t="s">
        <v>128</v>
      </c>
      <c r="AE590" s="9" t="s">
        <v>129</v>
      </c>
      <c r="AF590" s="9" t="s">
        <v>124</v>
      </c>
      <c r="AG590" s="14" t="s">
        <v>125</v>
      </c>
      <c r="AH590" s="9">
        <v>0</v>
      </c>
      <c r="AI590" s="9">
        <v>0</v>
      </c>
      <c r="AJ590" s="9">
        <v>76031071</v>
      </c>
      <c r="AK590" s="9">
        <v>9</v>
      </c>
      <c r="AL590" s="26" t="s">
        <v>52</v>
      </c>
      <c r="AM590" s="14" t="s">
        <v>621</v>
      </c>
      <c r="AN590" s="27" t="str">
        <f t="shared" si="21"/>
        <v>17780739|76031071|658150350|66380275</v>
      </c>
      <c r="AO590" t="s">
        <v>44</v>
      </c>
      <c r="AP590" t="b">
        <v>0</v>
      </c>
      <c r="AQ590" t="s">
        <v>763</v>
      </c>
    </row>
    <row r="591" spans="1:43" x14ac:dyDescent="0.2">
      <c r="A591" s="14" t="s">
        <v>500</v>
      </c>
      <c r="B591" s="17">
        <v>17780739</v>
      </c>
      <c r="C591" s="14" t="s">
        <v>308</v>
      </c>
      <c r="D591" s="9">
        <v>17780739</v>
      </c>
      <c r="E591" s="9" t="s">
        <v>308</v>
      </c>
      <c r="F591" s="7">
        <v>45839</v>
      </c>
      <c r="G591" s="20" t="s">
        <v>46</v>
      </c>
      <c r="H591" s="8">
        <v>658150350</v>
      </c>
      <c r="I591" s="19">
        <v>66380276</v>
      </c>
      <c r="J591" s="10">
        <v>5357</v>
      </c>
      <c r="K591" s="10">
        <v>0</v>
      </c>
      <c r="L591" s="10">
        <v>5357</v>
      </c>
      <c r="M591" s="10">
        <v>0</v>
      </c>
      <c r="N591" s="11">
        <v>5357</v>
      </c>
      <c r="O591" s="12">
        <v>658150350</v>
      </c>
      <c r="P591" s="9">
        <v>285123</v>
      </c>
      <c r="Q591" s="9" t="s">
        <v>37</v>
      </c>
      <c r="R591" s="13">
        <v>45839</v>
      </c>
      <c r="S591" s="22">
        <v>45839</v>
      </c>
      <c r="T591" s="13">
        <v>45805</v>
      </c>
      <c r="U591" s="13">
        <v>45805</v>
      </c>
      <c r="V591" s="9" t="s">
        <v>47</v>
      </c>
      <c r="W591" s="9">
        <v>23307191</v>
      </c>
      <c r="X591" s="9">
        <v>7241739</v>
      </c>
      <c r="Y591" s="9">
        <v>70359591</v>
      </c>
      <c r="Z591" s="9" t="s">
        <v>39</v>
      </c>
      <c r="AA591" s="9">
        <v>10012905621</v>
      </c>
      <c r="AB591" s="9">
        <v>79359</v>
      </c>
      <c r="AC591" s="9" t="s">
        <v>41</v>
      </c>
      <c r="AD591" s="9" t="s">
        <v>128</v>
      </c>
      <c r="AE591" s="9" t="s">
        <v>129</v>
      </c>
      <c r="AF591" s="9" t="s">
        <v>124</v>
      </c>
      <c r="AG591" s="14" t="s">
        <v>125</v>
      </c>
      <c r="AH591" s="9">
        <v>0</v>
      </c>
      <c r="AI591" s="9">
        <v>0</v>
      </c>
      <c r="AJ591" s="9">
        <v>76031071</v>
      </c>
      <c r="AK591" s="9">
        <v>9</v>
      </c>
      <c r="AL591" s="26" t="s">
        <v>52</v>
      </c>
      <c r="AM591" s="14" t="s">
        <v>621</v>
      </c>
      <c r="AN591" s="27" t="str">
        <f t="shared" si="21"/>
        <v>17780739|76031071|658150350|66380276</v>
      </c>
      <c r="AO591" t="s">
        <v>44</v>
      </c>
      <c r="AP591" t="b">
        <v>0</v>
      </c>
      <c r="AQ591" t="s">
        <v>763</v>
      </c>
    </row>
    <row r="592" spans="1:43" x14ac:dyDescent="0.2">
      <c r="A592" s="14" t="s">
        <v>500</v>
      </c>
      <c r="B592" s="17">
        <v>17780739</v>
      </c>
      <c r="C592" s="14" t="s">
        <v>308</v>
      </c>
      <c r="D592" s="9">
        <v>17780739</v>
      </c>
      <c r="E592" s="9" t="s">
        <v>308</v>
      </c>
      <c r="F592" s="7">
        <v>45839</v>
      </c>
      <c r="G592" s="20" t="s">
        <v>46</v>
      </c>
      <c r="H592" s="8">
        <v>658150350</v>
      </c>
      <c r="I592" s="19">
        <v>66381048</v>
      </c>
      <c r="J592" s="10">
        <v>9271</v>
      </c>
      <c r="K592" s="10">
        <v>0</v>
      </c>
      <c r="L592" s="10">
        <v>9271</v>
      </c>
      <c r="M592" s="10">
        <v>0</v>
      </c>
      <c r="N592" s="11">
        <v>9271</v>
      </c>
      <c r="O592" s="12">
        <v>658150350</v>
      </c>
      <c r="P592" s="9">
        <v>285123</v>
      </c>
      <c r="Q592" s="9" t="s">
        <v>37</v>
      </c>
      <c r="R592" s="13">
        <v>45839</v>
      </c>
      <c r="S592" s="22">
        <v>45839</v>
      </c>
      <c r="T592" s="13">
        <v>45805</v>
      </c>
      <c r="U592" s="13">
        <v>45805</v>
      </c>
      <c r="V592" s="9" t="s">
        <v>47</v>
      </c>
      <c r="W592" s="9">
        <v>23307191</v>
      </c>
      <c r="X592" s="9">
        <v>7241739</v>
      </c>
      <c r="Y592" s="9">
        <v>70359759</v>
      </c>
      <c r="Z592" s="9" t="s">
        <v>39</v>
      </c>
      <c r="AA592" s="9">
        <v>10012905621</v>
      </c>
      <c r="AB592" s="9">
        <v>79359</v>
      </c>
      <c r="AC592" s="9" t="s">
        <v>41</v>
      </c>
      <c r="AD592" s="9" t="s">
        <v>128</v>
      </c>
      <c r="AE592" s="9" t="s">
        <v>129</v>
      </c>
      <c r="AF592" s="9" t="s">
        <v>124</v>
      </c>
      <c r="AG592" s="14" t="s">
        <v>125</v>
      </c>
      <c r="AH592" s="9">
        <v>0</v>
      </c>
      <c r="AI592" s="9">
        <v>0</v>
      </c>
      <c r="AJ592" s="9">
        <v>76031071</v>
      </c>
      <c r="AK592" s="9">
        <v>9</v>
      </c>
      <c r="AL592" s="26" t="s">
        <v>52</v>
      </c>
      <c r="AM592" s="14" t="s">
        <v>621</v>
      </c>
      <c r="AN592" s="27" t="str">
        <f t="shared" si="21"/>
        <v>17780739|76031071|658150350|66381048</v>
      </c>
      <c r="AO592" t="s">
        <v>44</v>
      </c>
      <c r="AP592" t="b">
        <v>0</v>
      </c>
      <c r="AQ592" t="s">
        <v>763</v>
      </c>
    </row>
    <row r="593" spans="1:43" x14ac:dyDescent="0.2">
      <c r="A593" s="14" t="s">
        <v>500</v>
      </c>
      <c r="B593" s="17">
        <v>9999030</v>
      </c>
      <c r="C593" s="14" t="s">
        <v>309</v>
      </c>
      <c r="D593" s="9">
        <v>9999030</v>
      </c>
      <c r="E593" s="9" t="s">
        <v>309</v>
      </c>
      <c r="F593" s="7">
        <v>45809</v>
      </c>
      <c r="G593" s="20" t="s">
        <v>36</v>
      </c>
      <c r="H593" s="8">
        <v>658150560</v>
      </c>
      <c r="I593" s="19">
        <v>1039478</v>
      </c>
      <c r="J593" s="10">
        <v>7999</v>
      </c>
      <c r="K593" s="10">
        <v>0</v>
      </c>
      <c r="L593" s="10">
        <v>7999</v>
      </c>
      <c r="M593" s="10">
        <v>0</v>
      </c>
      <c r="N593" s="11">
        <v>7999</v>
      </c>
      <c r="O593" s="12">
        <v>658150560</v>
      </c>
      <c r="P593" s="9">
        <v>285123</v>
      </c>
      <c r="Q593" s="9" t="s">
        <v>37</v>
      </c>
      <c r="R593" s="13">
        <v>45831</v>
      </c>
      <c r="S593" s="22">
        <v>45831.645324074074</v>
      </c>
      <c r="T593" s="13">
        <v>45805</v>
      </c>
      <c r="U593" s="13">
        <v>45805</v>
      </c>
      <c r="V593" s="9"/>
      <c r="W593" s="9" t="s">
        <v>38</v>
      </c>
      <c r="X593" s="9" t="s">
        <v>38</v>
      </c>
      <c r="Y593" s="9" t="s">
        <v>38</v>
      </c>
      <c r="Z593" s="9" t="s">
        <v>39</v>
      </c>
      <c r="AA593" s="9" t="s">
        <v>38</v>
      </c>
      <c r="AB593" s="9" t="s">
        <v>38</v>
      </c>
      <c r="AC593" s="9" t="s">
        <v>41</v>
      </c>
      <c r="AD593" s="9" t="s">
        <v>165</v>
      </c>
      <c r="AE593" s="9" t="s">
        <v>310</v>
      </c>
      <c r="AF593" s="9" t="s">
        <v>124</v>
      </c>
      <c r="AG593" s="14" t="s">
        <v>125</v>
      </c>
      <c r="AH593" s="9" t="s">
        <v>44</v>
      </c>
      <c r="AI593" s="9" t="s">
        <v>311</v>
      </c>
      <c r="AJ593" s="9">
        <v>76031071</v>
      </c>
      <c r="AK593" s="9" t="s">
        <v>38</v>
      </c>
      <c r="AL593" s="26" t="s">
        <v>38</v>
      </c>
      <c r="AM593" s="14" t="s">
        <v>622</v>
      </c>
      <c r="AN593" s="27" t="str">
        <f t="shared" si="21"/>
        <v>9999030|76031071|658150560|1039478</v>
      </c>
      <c r="AO593" t="s">
        <v>44</v>
      </c>
      <c r="AP593" t="b">
        <v>1</v>
      </c>
      <c r="AQ593" t="s">
        <v>763</v>
      </c>
    </row>
    <row r="594" spans="1:43" x14ac:dyDescent="0.2">
      <c r="A594" s="14" t="s">
        <v>500</v>
      </c>
      <c r="B594" s="17">
        <v>9999030</v>
      </c>
      <c r="C594" s="14" t="s">
        <v>309</v>
      </c>
      <c r="D594" s="9">
        <v>9999030</v>
      </c>
      <c r="E594" s="9" t="s">
        <v>309</v>
      </c>
      <c r="F594" s="7">
        <v>45809</v>
      </c>
      <c r="G594" s="20" t="s">
        <v>36</v>
      </c>
      <c r="H594" s="8">
        <v>658150560</v>
      </c>
      <c r="I594" s="19">
        <v>1039478</v>
      </c>
      <c r="J594" s="10">
        <v>34246</v>
      </c>
      <c r="K594" s="10">
        <v>0</v>
      </c>
      <c r="L594" s="10">
        <v>34246</v>
      </c>
      <c r="M594" s="10">
        <v>0</v>
      </c>
      <c r="N594" s="11">
        <v>20548</v>
      </c>
      <c r="O594" s="12">
        <v>658150560</v>
      </c>
      <c r="P594" s="9">
        <v>285123</v>
      </c>
      <c r="Q594" s="9" t="s">
        <v>37</v>
      </c>
      <c r="R594" s="13">
        <v>45831</v>
      </c>
      <c r="S594" s="22">
        <v>45831.645324074074</v>
      </c>
      <c r="T594" s="13">
        <v>45805</v>
      </c>
      <c r="U594" s="13">
        <v>45805</v>
      </c>
      <c r="V594" s="9"/>
      <c r="W594" s="9" t="s">
        <v>38</v>
      </c>
      <c r="X594" s="9" t="s">
        <v>38</v>
      </c>
      <c r="Y594" s="9" t="s">
        <v>38</v>
      </c>
      <c r="Z594" s="9" t="s">
        <v>39</v>
      </c>
      <c r="AA594" s="9" t="s">
        <v>38</v>
      </c>
      <c r="AB594" s="9" t="s">
        <v>38</v>
      </c>
      <c r="AC594" s="9" t="s">
        <v>41</v>
      </c>
      <c r="AD594" s="9" t="s">
        <v>123</v>
      </c>
      <c r="AE594" s="9" t="s">
        <v>124</v>
      </c>
      <c r="AF594" s="9" t="s">
        <v>310</v>
      </c>
      <c r="AG594" s="14" t="s">
        <v>125</v>
      </c>
      <c r="AH594" s="9" t="s">
        <v>44</v>
      </c>
      <c r="AI594" s="9" t="s">
        <v>311</v>
      </c>
      <c r="AJ594" s="9">
        <v>76031071</v>
      </c>
      <c r="AK594" s="9" t="s">
        <v>38</v>
      </c>
      <c r="AL594" s="26" t="s">
        <v>38</v>
      </c>
      <c r="AM594" s="14" t="s">
        <v>622</v>
      </c>
      <c r="AN594" s="27" t="str">
        <f t="shared" si="21"/>
        <v>9999030|76031071|658150560|1039478</v>
      </c>
      <c r="AO594" t="s">
        <v>44</v>
      </c>
      <c r="AP594" t="b">
        <v>1</v>
      </c>
      <c r="AQ594" t="s">
        <v>763</v>
      </c>
    </row>
    <row r="595" spans="1:43" x14ac:dyDescent="0.2">
      <c r="A595" s="14" t="s">
        <v>500</v>
      </c>
      <c r="B595" s="17">
        <v>9999030</v>
      </c>
      <c r="C595" s="14" t="s">
        <v>309</v>
      </c>
      <c r="D595" s="9">
        <v>9999030</v>
      </c>
      <c r="E595" s="9" t="s">
        <v>309</v>
      </c>
      <c r="F595" s="7">
        <v>45809</v>
      </c>
      <c r="G595" s="20" t="s">
        <v>36</v>
      </c>
      <c r="H595" s="8">
        <v>658150560</v>
      </c>
      <c r="I595" s="19">
        <v>1039478</v>
      </c>
      <c r="J595" s="10">
        <v>35360</v>
      </c>
      <c r="K595" s="10">
        <v>0</v>
      </c>
      <c r="L595" s="10">
        <v>35360</v>
      </c>
      <c r="M595" s="10">
        <v>0</v>
      </c>
      <c r="N595" s="11">
        <v>21216</v>
      </c>
      <c r="O595" s="12">
        <v>658150560</v>
      </c>
      <c r="P595" s="9">
        <v>285123</v>
      </c>
      <c r="Q595" s="9" t="s">
        <v>37</v>
      </c>
      <c r="R595" s="13">
        <v>45831</v>
      </c>
      <c r="S595" s="22">
        <v>45831.645324074074</v>
      </c>
      <c r="T595" s="13">
        <v>45805</v>
      </c>
      <c r="U595" s="13">
        <v>45805</v>
      </c>
      <c r="V595" s="9"/>
      <c r="W595" s="9" t="s">
        <v>38</v>
      </c>
      <c r="X595" s="9" t="s">
        <v>38</v>
      </c>
      <c r="Y595" s="9" t="s">
        <v>38</v>
      </c>
      <c r="Z595" s="9" t="s">
        <v>39</v>
      </c>
      <c r="AA595" s="9" t="s">
        <v>38</v>
      </c>
      <c r="AB595" s="9" t="s">
        <v>38</v>
      </c>
      <c r="AC595" s="9" t="s">
        <v>41</v>
      </c>
      <c r="AD595" s="9" t="s">
        <v>123</v>
      </c>
      <c r="AE595" s="9" t="s">
        <v>124</v>
      </c>
      <c r="AF595" s="9" t="s">
        <v>310</v>
      </c>
      <c r="AG595" s="14" t="s">
        <v>125</v>
      </c>
      <c r="AH595" s="9" t="s">
        <v>44</v>
      </c>
      <c r="AI595" s="9" t="s">
        <v>311</v>
      </c>
      <c r="AJ595" s="9">
        <v>76031071</v>
      </c>
      <c r="AK595" s="9" t="s">
        <v>38</v>
      </c>
      <c r="AL595" s="26" t="s">
        <v>38</v>
      </c>
      <c r="AM595" s="14" t="s">
        <v>622</v>
      </c>
      <c r="AN595" s="27" t="str">
        <f t="shared" si="21"/>
        <v>9999030|76031071|658150560|1039478</v>
      </c>
      <c r="AO595" t="s">
        <v>44</v>
      </c>
      <c r="AP595" t="b">
        <v>1</v>
      </c>
      <c r="AQ595" t="s">
        <v>763</v>
      </c>
    </row>
    <row r="596" spans="1:43" x14ac:dyDescent="0.2">
      <c r="A596" s="14" t="s">
        <v>500</v>
      </c>
      <c r="B596" s="17">
        <v>9999030</v>
      </c>
      <c r="C596" s="14" t="s">
        <v>312</v>
      </c>
      <c r="D596" s="9">
        <v>9999030</v>
      </c>
      <c r="E596" s="9" t="s">
        <v>312</v>
      </c>
      <c r="F596" s="7">
        <v>45839</v>
      </c>
      <c r="G596" s="20" t="s">
        <v>46</v>
      </c>
      <c r="H596" s="8">
        <v>658150560</v>
      </c>
      <c r="I596" s="19">
        <v>66380399</v>
      </c>
      <c r="J596" s="10">
        <v>49763</v>
      </c>
      <c r="K596" s="10">
        <v>0</v>
      </c>
      <c r="L596" s="10">
        <v>49763</v>
      </c>
      <c r="M596" s="10">
        <v>0</v>
      </c>
      <c r="N596" s="11">
        <v>49763</v>
      </c>
      <c r="O596" s="12">
        <v>658150560</v>
      </c>
      <c r="P596" s="9">
        <v>285123</v>
      </c>
      <c r="Q596" s="9" t="s">
        <v>37</v>
      </c>
      <c r="R596" s="13">
        <v>45839</v>
      </c>
      <c r="S596" s="22">
        <v>45839</v>
      </c>
      <c r="T596" s="13">
        <v>45805</v>
      </c>
      <c r="U596" s="13">
        <v>45805</v>
      </c>
      <c r="V596" s="9" t="s">
        <v>47</v>
      </c>
      <c r="W596" s="9">
        <v>23307090</v>
      </c>
      <c r="X596" s="9">
        <v>7241739</v>
      </c>
      <c r="Y596" s="9">
        <v>70359607</v>
      </c>
      <c r="Z596" s="9" t="s">
        <v>39</v>
      </c>
      <c r="AA596" s="9">
        <v>70843210</v>
      </c>
      <c r="AB596" s="9">
        <v>79359</v>
      </c>
      <c r="AC596" s="9" t="s">
        <v>41</v>
      </c>
      <c r="AD596" s="9" t="s">
        <v>128</v>
      </c>
      <c r="AE596" s="9" t="s">
        <v>129</v>
      </c>
      <c r="AF596" s="9" t="s">
        <v>124</v>
      </c>
      <c r="AG596" s="14" t="s">
        <v>125</v>
      </c>
      <c r="AH596" s="9">
        <v>0</v>
      </c>
      <c r="AI596" s="9">
        <v>0</v>
      </c>
      <c r="AJ596" s="9">
        <v>76031071</v>
      </c>
      <c r="AK596" s="9">
        <v>9</v>
      </c>
      <c r="AL596" s="26" t="s">
        <v>52</v>
      </c>
      <c r="AM596" s="14" t="s">
        <v>622</v>
      </c>
      <c r="AN596" s="27" t="str">
        <f t="shared" si="21"/>
        <v>9999030|76031071|658150560|66380399</v>
      </c>
      <c r="AO596" t="s">
        <v>44</v>
      </c>
      <c r="AP596" t="b">
        <v>0</v>
      </c>
      <c r="AQ596" t="s">
        <v>763</v>
      </c>
    </row>
    <row r="597" spans="1:43" x14ac:dyDescent="0.2">
      <c r="A597" s="14" t="s">
        <v>500</v>
      </c>
      <c r="B597" s="17">
        <v>15889855</v>
      </c>
      <c r="C597" s="14" t="s">
        <v>313</v>
      </c>
      <c r="D597" s="9">
        <v>23917658</v>
      </c>
      <c r="E597" s="9" t="s">
        <v>314</v>
      </c>
      <c r="F597" s="7">
        <v>45658</v>
      </c>
      <c r="G597" s="20" t="s">
        <v>36</v>
      </c>
      <c r="H597" s="8">
        <v>764992340</v>
      </c>
      <c r="I597" s="19">
        <v>764992340</v>
      </c>
      <c r="J597" s="10">
        <v>24427</v>
      </c>
      <c r="K597" s="10">
        <v>19542</v>
      </c>
      <c r="L597" s="10">
        <v>4885</v>
      </c>
      <c r="M597" s="10">
        <v>0</v>
      </c>
      <c r="N597" s="11">
        <v>4885</v>
      </c>
      <c r="O597" s="12">
        <v>764992340</v>
      </c>
      <c r="P597" s="9">
        <v>285123</v>
      </c>
      <c r="Q597" s="9" t="s">
        <v>37</v>
      </c>
      <c r="R597" s="13">
        <v>45660</v>
      </c>
      <c r="S597" s="22">
        <v>45660</v>
      </c>
      <c r="T597" s="13">
        <v>45660</v>
      </c>
      <c r="U597" s="13">
        <v>45660</v>
      </c>
      <c r="V597" s="9" t="s">
        <v>47</v>
      </c>
      <c r="W597" s="9">
        <v>22473683</v>
      </c>
      <c r="X597" s="9">
        <v>1061637</v>
      </c>
      <c r="Y597" s="9">
        <v>68611519</v>
      </c>
      <c r="Z597" s="9" t="s">
        <v>39</v>
      </c>
      <c r="AA597" s="9">
        <v>5012025</v>
      </c>
      <c r="AB597" s="9">
        <v>77320</v>
      </c>
      <c r="AC597" s="9" t="s">
        <v>41</v>
      </c>
      <c r="AD597" s="9" t="s">
        <v>134</v>
      </c>
      <c r="AE597" s="9" t="s">
        <v>135</v>
      </c>
      <c r="AF597" s="9" t="s">
        <v>135</v>
      </c>
      <c r="AG597" s="14" t="str">
        <f t="shared" ref="AG597:AG660" si="22">+AF597</f>
        <v>EXAMENES RADIOLOGICOS</v>
      </c>
      <c r="AH597" s="9" t="s">
        <v>758</v>
      </c>
      <c r="AI597" s="9">
        <v>0</v>
      </c>
      <c r="AJ597" s="9">
        <v>76098454</v>
      </c>
      <c r="AK597" s="9" t="s">
        <v>161</v>
      </c>
      <c r="AL597" s="26" t="s">
        <v>86</v>
      </c>
      <c r="AM597" s="14" t="s">
        <v>623</v>
      </c>
      <c r="AN597" s="27" t="str">
        <f t="shared" si="21"/>
        <v>15889855|76098454|764992340|764992340</v>
      </c>
      <c r="AO597" t="s">
        <v>758</v>
      </c>
      <c r="AP597" t="b">
        <v>1</v>
      </c>
      <c r="AQ597" t="s">
        <v>764</v>
      </c>
    </row>
    <row r="598" spans="1:43" x14ac:dyDescent="0.2">
      <c r="A598" s="14" t="s">
        <v>500</v>
      </c>
      <c r="B598" s="17">
        <v>15889855</v>
      </c>
      <c r="C598" s="14" t="s">
        <v>313</v>
      </c>
      <c r="D598" s="9">
        <v>23917658</v>
      </c>
      <c r="E598" s="9" t="s">
        <v>314</v>
      </c>
      <c r="F598" s="7">
        <v>45717</v>
      </c>
      <c r="G598" s="20" t="s">
        <v>46</v>
      </c>
      <c r="H598" s="8">
        <v>764992340</v>
      </c>
      <c r="I598" s="19">
        <v>65384343</v>
      </c>
      <c r="J598" s="10">
        <v>4995</v>
      </c>
      <c r="K598" s="10">
        <v>0</v>
      </c>
      <c r="L598" s="10">
        <v>4995</v>
      </c>
      <c r="M598" s="10">
        <v>0</v>
      </c>
      <c r="N598" s="11">
        <v>4995</v>
      </c>
      <c r="O598" s="12">
        <v>764992340</v>
      </c>
      <c r="P598" s="9">
        <v>285123</v>
      </c>
      <c r="Q598" s="9" t="s">
        <v>37</v>
      </c>
      <c r="R598" s="13">
        <v>45717</v>
      </c>
      <c r="S598" s="22">
        <v>45742</v>
      </c>
      <c r="T598" s="13">
        <v>45660</v>
      </c>
      <c r="U598" s="13">
        <v>45660</v>
      </c>
      <c r="V598" s="9" t="s">
        <v>47</v>
      </c>
      <c r="W598" s="9">
        <v>22770284</v>
      </c>
      <c r="X598" s="9">
        <v>3311105</v>
      </c>
      <c r="Y598" s="9">
        <v>69251226</v>
      </c>
      <c r="Z598" s="9" t="s">
        <v>39</v>
      </c>
      <c r="AA598" s="9">
        <v>976121708</v>
      </c>
      <c r="AB598" s="9">
        <v>78070</v>
      </c>
      <c r="AC598" s="9" t="s">
        <v>41</v>
      </c>
      <c r="AD598" s="9" t="s">
        <v>134</v>
      </c>
      <c r="AE598" s="9" t="s">
        <v>135</v>
      </c>
      <c r="AF598" s="9" t="s">
        <v>135</v>
      </c>
      <c r="AG598" s="14" t="str">
        <f t="shared" si="22"/>
        <v>EXAMENES RADIOLOGICOS</v>
      </c>
      <c r="AH598" s="9">
        <v>0</v>
      </c>
      <c r="AI598" s="9">
        <v>0</v>
      </c>
      <c r="AJ598" s="9">
        <v>76098454</v>
      </c>
      <c r="AK598" s="9" t="s">
        <v>161</v>
      </c>
      <c r="AL598" s="26" t="s">
        <v>52</v>
      </c>
      <c r="AM598" s="14" t="s">
        <v>623</v>
      </c>
      <c r="AN598" s="27" t="str">
        <f t="shared" si="21"/>
        <v>15889855|76098454|764992340|65384343</v>
      </c>
      <c r="AO598" t="s">
        <v>44</v>
      </c>
      <c r="AP598" t="b">
        <v>0</v>
      </c>
      <c r="AQ598" t="s">
        <v>763</v>
      </c>
    </row>
    <row r="599" spans="1:43" x14ac:dyDescent="0.2">
      <c r="A599" s="14" t="s">
        <v>500</v>
      </c>
      <c r="B599" s="17">
        <v>17833560</v>
      </c>
      <c r="C599" s="14" t="s">
        <v>315</v>
      </c>
      <c r="D599" s="9">
        <v>28560684</v>
      </c>
      <c r="E599" s="9" t="s">
        <v>316</v>
      </c>
      <c r="F599" s="7">
        <v>45658</v>
      </c>
      <c r="G599" s="20" t="s">
        <v>36</v>
      </c>
      <c r="H599" s="8">
        <v>765002103</v>
      </c>
      <c r="I599" s="19">
        <v>765002103</v>
      </c>
      <c r="J599" s="10">
        <v>9906</v>
      </c>
      <c r="K599" s="10">
        <v>6934</v>
      </c>
      <c r="L599" s="10">
        <v>2972</v>
      </c>
      <c r="M599" s="10">
        <v>0</v>
      </c>
      <c r="N599" s="11">
        <v>2972</v>
      </c>
      <c r="O599" s="12">
        <v>765002103</v>
      </c>
      <c r="P599" s="9">
        <v>285123</v>
      </c>
      <c r="Q599" s="9" t="s">
        <v>37</v>
      </c>
      <c r="R599" s="13">
        <v>45660</v>
      </c>
      <c r="S599" s="22">
        <v>45660</v>
      </c>
      <c r="T599" s="13">
        <v>45660</v>
      </c>
      <c r="U599" s="13">
        <v>45660</v>
      </c>
      <c r="V599" s="9" t="s">
        <v>47</v>
      </c>
      <c r="W599" s="9">
        <v>22473692</v>
      </c>
      <c r="X599" s="9">
        <v>1061637</v>
      </c>
      <c r="Y599" s="9">
        <v>68611997</v>
      </c>
      <c r="Z599" s="9" t="s">
        <v>39</v>
      </c>
      <c r="AA599" s="9">
        <v>5012025</v>
      </c>
      <c r="AB599" s="9">
        <v>77320</v>
      </c>
      <c r="AC599" s="9" t="s">
        <v>41</v>
      </c>
      <c r="AD599" s="9" t="s">
        <v>134</v>
      </c>
      <c r="AE599" s="9" t="s">
        <v>135</v>
      </c>
      <c r="AF599" s="9" t="s">
        <v>135</v>
      </c>
      <c r="AG599" s="14" t="str">
        <f t="shared" si="22"/>
        <v>EXAMENES RADIOLOGICOS</v>
      </c>
      <c r="AH599" s="9" t="s">
        <v>758</v>
      </c>
      <c r="AI599" s="9">
        <v>0</v>
      </c>
      <c r="AJ599" s="9">
        <v>96942400</v>
      </c>
      <c r="AK599" s="9">
        <v>2</v>
      </c>
      <c r="AL599" s="26" t="s">
        <v>86</v>
      </c>
      <c r="AM599" s="14" t="s">
        <v>624</v>
      </c>
      <c r="AN599" s="27" t="str">
        <f t="shared" si="21"/>
        <v>17833560|96942400|765002103|765002103</v>
      </c>
      <c r="AO599" t="s">
        <v>758</v>
      </c>
      <c r="AP599" t="b">
        <v>1</v>
      </c>
      <c r="AQ599" t="s">
        <v>764</v>
      </c>
    </row>
    <row r="600" spans="1:43" x14ac:dyDescent="0.2">
      <c r="A600" s="14" t="s">
        <v>500</v>
      </c>
      <c r="B600" s="17">
        <v>17833560</v>
      </c>
      <c r="C600" s="14" t="s">
        <v>315</v>
      </c>
      <c r="D600" s="9">
        <v>28560684</v>
      </c>
      <c r="E600" s="9" t="s">
        <v>317</v>
      </c>
      <c r="F600" s="7">
        <v>45717</v>
      </c>
      <c r="G600" s="20" t="s">
        <v>46</v>
      </c>
      <c r="H600" s="8">
        <v>765002103</v>
      </c>
      <c r="I600" s="19">
        <v>65384443</v>
      </c>
      <c r="J600" s="10">
        <v>3073</v>
      </c>
      <c r="K600" s="10">
        <v>0</v>
      </c>
      <c r="L600" s="10">
        <v>3073</v>
      </c>
      <c r="M600" s="10">
        <v>0</v>
      </c>
      <c r="N600" s="11">
        <v>3073</v>
      </c>
      <c r="O600" s="12">
        <v>765002103</v>
      </c>
      <c r="P600" s="9">
        <v>285123</v>
      </c>
      <c r="Q600" s="9" t="s">
        <v>37</v>
      </c>
      <c r="R600" s="13">
        <v>45717</v>
      </c>
      <c r="S600" s="22">
        <v>45742</v>
      </c>
      <c r="T600" s="13">
        <v>45660</v>
      </c>
      <c r="U600" s="13">
        <v>45660</v>
      </c>
      <c r="V600" s="9" t="s">
        <v>47</v>
      </c>
      <c r="W600" s="9">
        <v>22770285</v>
      </c>
      <c r="X600" s="9">
        <v>3311105</v>
      </c>
      <c r="Y600" s="9">
        <v>69251311</v>
      </c>
      <c r="Z600" s="9" t="s">
        <v>39</v>
      </c>
      <c r="AA600" s="9">
        <v>71936473</v>
      </c>
      <c r="AB600" s="9">
        <v>78070</v>
      </c>
      <c r="AC600" s="9" t="s">
        <v>41</v>
      </c>
      <c r="AD600" s="9" t="s">
        <v>134</v>
      </c>
      <c r="AE600" s="9" t="s">
        <v>135</v>
      </c>
      <c r="AF600" s="9" t="s">
        <v>135</v>
      </c>
      <c r="AG600" s="14" t="str">
        <f t="shared" si="22"/>
        <v>EXAMENES RADIOLOGICOS</v>
      </c>
      <c r="AH600" s="9">
        <v>0</v>
      </c>
      <c r="AI600" s="9">
        <v>0</v>
      </c>
      <c r="AJ600" s="9">
        <v>96942400</v>
      </c>
      <c r="AK600" s="9">
        <v>2</v>
      </c>
      <c r="AL600" s="26" t="s">
        <v>52</v>
      </c>
      <c r="AM600" s="14" t="s">
        <v>624</v>
      </c>
      <c r="AN600" s="27" t="str">
        <f t="shared" si="21"/>
        <v>17833560|96942400|765002103|65384443</v>
      </c>
      <c r="AO600" t="s">
        <v>44</v>
      </c>
      <c r="AP600" t="b">
        <v>0</v>
      </c>
      <c r="AQ600" t="s">
        <v>763</v>
      </c>
    </row>
    <row r="601" spans="1:43" x14ac:dyDescent="0.2">
      <c r="A601" s="14" t="s">
        <v>500</v>
      </c>
      <c r="B601" s="17">
        <v>9401001</v>
      </c>
      <c r="C601" s="14" t="s">
        <v>318</v>
      </c>
      <c r="D601" s="9">
        <v>9401001</v>
      </c>
      <c r="E601" s="9" t="s">
        <v>318</v>
      </c>
      <c r="F601" s="7">
        <v>45658</v>
      </c>
      <c r="G601" s="20" t="s">
        <v>36</v>
      </c>
      <c r="H601" s="8">
        <v>765042001</v>
      </c>
      <c r="I601" s="19">
        <v>765042001</v>
      </c>
      <c r="J601" s="10">
        <v>14313</v>
      </c>
      <c r="K601" s="10">
        <v>8557</v>
      </c>
      <c r="L601" s="10">
        <v>5756</v>
      </c>
      <c r="M601" s="10">
        <v>0</v>
      </c>
      <c r="N601" s="11">
        <v>5756</v>
      </c>
      <c r="O601" s="12">
        <v>765042001</v>
      </c>
      <c r="P601" s="9">
        <v>285123</v>
      </c>
      <c r="Q601" s="9" t="s">
        <v>37</v>
      </c>
      <c r="R601" s="13">
        <v>45664</v>
      </c>
      <c r="S601" s="22">
        <v>45664</v>
      </c>
      <c r="T601" s="13">
        <v>45664</v>
      </c>
      <c r="U601" s="13">
        <v>45664</v>
      </c>
      <c r="V601" s="9" t="s">
        <v>47</v>
      </c>
      <c r="W601" s="9">
        <v>22462231</v>
      </c>
      <c r="X601" s="9">
        <v>1131703</v>
      </c>
      <c r="Y601" s="9">
        <v>68650280</v>
      </c>
      <c r="Z601" s="9" t="s">
        <v>39</v>
      </c>
      <c r="AA601" s="9">
        <v>12012025</v>
      </c>
      <c r="AB601" s="9">
        <v>77298</v>
      </c>
      <c r="AC601" s="9" t="s">
        <v>41</v>
      </c>
      <c r="AD601" s="9" t="s">
        <v>132</v>
      </c>
      <c r="AE601" s="9" t="s">
        <v>133</v>
      </c>
      <c r="AF601" s="9" t="s">
        <v>133</v>
      </c>
      <c r="AG601" s="14" t="str">
        <f t="shared" si="22"/>
        <v>EXAMENES DE LABORATORIO</v>
      </c>
      <c r="AH601" s="9" t="s">
        <v>758</v>
      </c>
      <c r="AI601" s="9">
        <v>0</v>
      </c>
      <c r="AJ601" s="9">
        <v>96942400</v>
      </c>
      <c r="AK601" s="9">
        <v>2</v>
      </c>
      <c r="AL601" s="26" t="s">
        <v>86</v>
      </c>
      <c r="AM601" s="14" t="s">
        <v>625</v>
      </c>
      <c r="AN601" s="27" t="str">
        <f t="shared" si="21"/>
        <v>9401001|96942400|765042001|765042001</v>
      </c>
      <c r="AO601" t="s">
        <v>758</v>
      </c>
      <c r="AP601" t="b">
        <v>1</v>
      </c>
      <c r="AQ601" t="s">
        <v>764</v>
      </c>
    </row>
    <row r="602" spans="1:43" x14ac:dyDescent="0.2">
      <c r="A602" s="14" t="s">
        <v>500</v>
      </c>
      <c r="B602" s="17">
        <v>9401001</v>
      </c>
      <c r="C602" s="14" t="s">
        <v>318</v>
      </c>
      <c r="D602" s="9">
        <v>9401001</v>
      </c>
      <c r="E602" s="9" t="s">
        <v>318</v>
      </c>
      <c r="F602" s="7">
        <v>45717</v>
      </c>
      <c r="G602" s="20" t="s">
        <v>46</v>
      </c>
      <c r="H602" s="8">
        <v>765042001</v>
      </c>
      <c r="I602" s="19">
        <v>65383724</v>
      </c>
      <c r="J602" s="10">
        <v>5763</v>
      </c>
      <c r="K602" s="10">
        <v>0</v>
      </c>
      <c r="L602" s="10">
        <v>5763</v>
      </c>
      <c r="M602" s="10">
        <v>0</v>
      </c>
      <c r="N602" s="11">
        <v>5763</v>
      </c>
      <c r="O602" s="12">
        <v>765042001</v>
      </c>
      <c r="P602" s="9">
        <v>285123</v>
      </c>
      <c r="Q602" s="9" t="s">
        <v>37</v>
      </c>
      <c r="R602" s="13">
        <v>45717</v>
      </c>
      <c r="S602" s="22">
        <v>45742</v>
      </c>
      <c r="T602" s="13">
        <v>45664</v>
      </c>
      <c r="U602" s="13">
        <v>45664</v>
      </c>
      <c r="V602" s="9" t="s">
        <v>47</v>
      </c>
      <c r="W602" s="9">
        <v>22770302</v>
      </c>
      <c r="X602" s="9">
        <v>3311105</v>
      </c>
      <c r="Y602" s="9">
        <v>69250615</v>
      </c>
      <c r="Z602" s="9" t="s">
        <v>39</v>
      </c>
      <c r="AA602" s="9">
        <v>5864925</v>
      </c>
      <c r="AB602" s="9">
        <v>78070</v>
      </c>
      <c r="AC602" s="9" t="s">
        <v>41</v>
      </c>
      <c r="AD602" s="9" t="s">
        <v>132</v>
      </c>
      <c r="AE602" s="9" t="s">
        <v>133</v>
      </c>
      <c r="AF602" s="9" t="s">
        <v>133</v>
      </c>
      <c r="AG602" s="14" t="str">
        <f t="shared" si="22"/>
        <v>EXAMENES DE LABORATORIO</v>
      </c>
      <c r="AH602" s="9">
        <v>0</v>
      </c>
      <c r="AI602" s="9">
        <v>0</v>
      </c>
      <c r="AJ602" s="9">
        <v>96942400</v>
      </c>
      <c r="AK602" s="9">
        <v>2</v>
      </c>
      <c r="AL602" s="26" t="s">
        <v>52</v>
      </c>
      <c r="AM602" s="14" t="s">
        <v>625</v>
      </c>
      <c r="AN602" s="27" t="str">
        <f t="shared" si="21"/>
        <v>9401001|96942400|765042001|65383724</v>
      </c>
      <c r="AO602" t="s">
        <v>44</v>
      </c>
      <c r="AP602" t="b">
        <v>0</v>
      </c>
      <c r="AQ602" t="s">
        <v>763</v>
      </c>
    </row>
    <row r="603" spans="1:43" x14ac:dyDescent="0.2">
      <c r="A603" s="14" t="s">
        <v>500</v>
      </c>
      <c r="B603" s="17">
        <v>15178550</v>
      </c>
      <c r="C603" s="14" t="s">
        <v>319</v>
      </c>
      <c r="D603" s="9">
        <v>15178550</v>
      </c>
      <c r="E603" s="9" t="s">
        <v>319</v>
      </c>
      <c r="F603" s="7">
        <v>45658</v>
      </c>
      <c r="G603" s="20" t="s">
        <v>36</v>
      </c>
      <c r="H603" s="8">
        <v>765047882</v>
      </c>
      <c r="I603" s="19">
        <v>765047882</v>
      </c>
      <c r="J603" s="10">
        <v>73151</v>
      </c>
      <c r="K603" s="10">
        <v>72420</v>
      </c>
      <c r="L603" s="10">
        <v>731</v>
      </c>
      <c r="M603" s="10">
        <v>0</v>
      </c>
      <c r="N603" s="11">
        <v>731</v>
      </c>
      <c r="O603" s="12">
        <v>765047882</v>
      </c>
      <c r="P603" s="9">
        <v>285123</v>
      </c>
      <c r="Q603" s="9" t="s">
        <v>37</v>
      </c>
      <c r="R603" s="13">
        <v>45665</v>
      </c>
      <c r="S603" s="22">
        <v>45665</v>
      </c>
      <c r="T603" s="13">
        <v>45665</v>
      </c>
      <c r="U603" s="13">
        <v>45665</v>
      </c>
      <c r="V603" s="9" t="s">
        <v>47</v>
      </c>
      <c r="W603" s="9">
        <v>22462265</v>
      </c>
      <c r="X603" s="9">
        <v>1131703</v>
      </c>
      <c r="Y603" s="9">
        <v>68650607</v>
      </c>
      <c r="Z603" s="9" t="s">
        <v>39</v>
      </c>
      <c r="AA603" s="9">
        <v>12012025</v>
      </c>
      <c r="AB603" s="9">
        <v>77298</v>
      </c>
      <c r="AC603" s="9" t="s">
        <v>41</v>
      </c>
      <c r="AD603" s="9" t="s">
        <v>134</v>
      </c>
      <c r="AE603" s="9" t="s">
        <v>135</v>
      </c>
      <c r="AF603" s="9" t="s">
        <v>135</v>
      </c>
      <c r="AG603" s="14" t="str">
        <f t="shared" si="22"/>
        <v>EXAMENES RADIOLOGICOS</v>
      </c>
      <c r="AH603" s="9" t="s">
        <v>758</v>
      </c>
      <c r="AI603" s="9">
        <v>0</v>
      </c>
      <c r="AJ603" s="9">
        <v>76434593</v>
      </c>
      <c r="AK603" s="9">
        <v>2</v>
      </c>
      <c r="AL603" s="26" t="s">
        <v>86</v>
      </c>
      <c r="AM603" s="14" t="s">
        <v>626</v>
      </c>
      <c r="AN603" s="27" t="str">
        <f t="shared" si="21"/>
        <v>15178550|76434593|765047882|765047882</v>
      </c>
      <c r="AO603" t="s">
        <v>758</v>
      </c>
      <c r="AP603" t="b">
        <v>1</v>
      </c>
      <c r="AQ603" t="s">
        <v>764</v>
      </c>
    </row>
    <row r="604" spans="1:43" x14ac:dyDescent="0.2">
      <c r="A604" s="14" t="s">
        <v>500</v>
      </c>
      <c r="B604" s="17">
        <v>15178550</v>
      </c>
      <c r="C604" s="14" t="s">
        <v>319</v>
      </c>
      <c r="D604" s="9">
        <v>15178550</v>
      </c>
      <c r="E604" s="9" t="s">
        <v>319</v>
      </c>
      <c r="F604" s="7">
        <v>45717</v>
      </c>
      <c r="G604" s="20" t="s">
        <v>46</v>
      </c>
      <c r="H604" s="8">
        <v>765047882</v>
      </c>
      <c r="I604" s="19">
        <v>65384256</v>
      </c>
      <c r="J604" s="10">
        <v>768</v>
      </c>
      <c r="K604" s="10">
        <v>0</v>
      </c>
      <c r="L604" s="10">
        <v>768</v>
      </c>
      <c r="M604" s="10">
        <v>0</v>
      </c>
      <c r="N604" s="11">
        <v>768</v>
      </c>
      <c r="O604" s="12">
        <v>765047882</v>
      </c>
      <c r="P604" s="9">
        <v>285123</v>
      </c>
      <c r="Q604" s="9" t="s">
        <v>37</v>
      </c>
      <c r="R604" s="13">
        <v>45717</v>
      </c>
      <c r="S604" s="22">
        <v>45742</v>
      </c>
      <c r="T604" s="13">
        <v>45665</v>
      </c>
      <c r="U604" s="13">
        <v>45665</v>
      </c>
      <c r="V604" s="9" t="s">
        <v>47</v>
      </c>
      <c r="W604" s="9">
        <v>22770317</v>
      </c>
      <c r="X604" s="9">
        <v>3311105</v>
      </c>
      <c r="Y604" s="9">
        <v>69251129</v>
      </c>
      <c r="Z604" s="9" t="s">
        <v>39</v>
      </c>
      <c r="AA604" s="9">
        <v>70407584</v>
      </c>
      <c r="AB604" s="9">
        <v>78070</v>
      </c>
      <c r="AC604" s="9" t="s">
        <v>41</v>
      </c>
      <c r="AD604" s="9" t="s">
        <v>134</v>
      </c>
      <c r="AE604" s="9" t="s">
        <v>135</v>
      </c>
      <c r="AF604" s="9" t="s">
        <v>135</v>
      </c>
      <c r="AG604" s="14" t="str">
        <f t="shared" si="22"/>
        <v>EXAMENES RADIOLOGICOS</v>
      </c>
      <c r="AH604" s="9">
        <v>0</v>
      </c>
      <c r="AI604" s="9">
        <v>0</v>
      </c>
      <c r="AJ604" s="9">
        <v>76434593</v>
      </c>
      <c r="AK604" s="9">
        <v>2</v>
      </c>
      <c r="AL604" s="26" t="s">
        <v>52</v>
      </c>
      <c r="AM604" s="14" t="s">
        <v>626</v>
      </c>
      <c r="AN604" s="27" t="str">
        <f t="shared" si="21"/>
        <v>15178550|76434593|765047882|65384256</v>
      </c>
      <c r="AO604" t="s">
        <v>44</v>
      </c>
      <c r="AP604" t="b">
        <v>0</v>
      </c>
      <c r="AQ604" t="s">
        <v>763</v>
      </c>
    </row>
    <row r="605" spans="1:43" x14ac:dyDescent="0.2">
      <c r="A605" s="14" t="s">
        <v>500</v>
      </c>
      <c r="B605" s="17">
        <v>9401001</v>
      </c>
      <c r="C605" s="14" t="s">
        <v>318</v>
      </c>
      <c r="D605" s="9">
        <v>9401001</v>
      </c>
      <c r="E605" s="9" t="s">
        <v>318</v>
      </c>
      <c r="F605" s="7">
        <v>45658</v>
      </c>
      <c r="G605" s="20" t="s">
        <v>36</v>
      </c>
      <c r="H605" s="8">
        <v>765065047</v>
      </c>
      <c r="I605" s="19">
        <v>765065047</v>
      </c>
      <c r="J605" s="10">
        <v>88480</v>
      </c>
      <c r="K605" s="10">
        <v>53088</v>
      </c>
      <c r="L605" s="10">
        <v>35392</v>
      </c>
      <c r="M605" s="10">
        <v>0</v>
      </c>
      <c r="N605" s="11">
        <v>35392</v>
      </c>
      <c r="O605" s="12">
        <v>765065047</v>
      </c>
      <c r="P605" s="9">
        <v>285123</v>
      </c>
      <c r="Q605" s="9" t="s">
        <v>37</v>
      </c>
      <c r="R605" s="13">
        <v>45666</v>
      </c>
      <c r="S605" s="22">
        <v>45666</v>
      </c>
      <c r="T605" s="13">
        <v>45666</v>
      </c>
      <c r="U605" s="13">
        <v>45666</v>
      </c>
      <c r="V605" s="9" t="s">
        <v>47</v>
      </c>
      <c r="W605" s="9">
        <v>22462273</v>
      </c>
      <c r="X605" s="9">
        <v>1131703</v>
      </c>
      <c r="Y605" s="9">
        <v>68651427</v>
      </c>
      <c r="Z605" s="9" t="s">
        <v>39</v>
      </c>
      <c r="AA605" s="9">
        <v>12012025</v>
      </c>
      <c r="AB605" s="9">
        <v>77298</v>
      </c>
      <c r="AC605" s="9" t="s">
        <v>41</v>
      </c>
      <c r="AD605" s="9" t="s">
        <v>134</v>
      </c>
      <c r="AE605" s="9" t="s">
        <v>135</v>
      </c>
      <c r="AF605" s="9" t="s">
        <v>135</v>
      </c>
      <c r="AG605" s="14" t="str">
        <f t="shared" si="22"/>
        <v>EXAMENES RADIOLOGICOS</v>
      </c>
      <c r="AH605" s="9" t="s">
        <v>758</v>
      </c>
      <c r="AI605" s="9">
        <v>0</v>
      </c>
      <c r="AJ605" s="9">
        <v>96942400</v>
      </c>
      <c r="AK605" s="9">
        <v>2</v>
      </c>
      <c r="AL605" s="26" t="s">
        <v>86</v>
      </c>
      <c r="AM605" s="14" t="s">
        <v>625</v>
      </c>
      <c r="AN605" s="27" t="str">
        <f t="shared" si="21"/>
        <v>9401001|96942400|765065047|765065047</v>
      </c>
      <c r="AO605" t="s">
        <v>758</v>
      </c>
      <c r="AP605" t="b">
        <v>1</v>
      </c>
      <c r="AQ605" t="s">
        <v>764</v>
      </c>
    </row>
    <row r="606" spans="1:43" x14ac:dyDescent="0.2">
      <c r="A606" s="14" t="s">
        <v>500</v>
      </c>
      <c r="B606" s="17">
        <v>9401001</v>
      </c>
      <c r="C606" s="14" t="s">
        <v>318</v>
      </c>
      <c r="D606" s="9">
        <v>9401001</v>
      </c>
      <c r="E606" s="9" t="s">
        <v>318</v>
      </c>
      <c r="F606" s="7">
        <v>45717</v>
      </c>
      <c r="G606" s="20" t="s">
        <v>46</v>
      </c>
      <c r="H606" s="8">
        <v>765065047</v>
      </c>
      <c r="I606" s="19">
        <v>65383725</v>
      </c>
      <c r="J606" s="10">
        <v>35363</v>
      </c>
      <c r="K606" s="10">
        <v>0</v>
      </c>
      <c r="L606" s="10">
        <v>35363</v>
      </c>
      <c r="M606" s="10">
        <v>0</v>
      </c>
      <c r="N606" s="11">
        <v>35363</v>
      </c>
      <c r="O606" s="12">
        <v>765065047</v>
      </c>
      <c r="P606" s="9">
        <v>285123</v>
      </c>
      <c r="Q606" s="9" t="s">
        <v>37</v>
      </c>
      <c r="R606" s="13">
        <v>45717</v>
      </c>
      <c r="S606" s="22">
        <v>45742</v>
      </c>
      <c r="T606" s="13">
        <v>45666</v>
      </c>
      <c r="U606" s="13">
        <v>45666</v>
      </c>
      <c r="V606" s="9" t="s">
        <v>47</v>
      </c>
      <c r="W606" s="9">
        <v>22770321</v>
      </c>
      <c r="X606" s="9">
        <v>3311105</v>
      </c>
      <c r="Y606" s="9">
        <v>69250616</v>
      </c>
      <c r="Z606" s="9" t="s">
        <v>39</v>
      </c>
      <c r="AA606" s="9">
        <v>5864925</v>
      </c>
      <c r="AB606" s="9">
        <v>78070</v>
      </c>
      <c r="AC606" s="9" t="s">
        <v>41</v>
      </c>
      <c r="AD606" s="9" t="s">
        <v>134</v>
      </c>
      <c r="AE606" s="9" t="s">
        <v>135</v>
      </c>
      <c r="AF606" s="9" t="s">
        <v>135</v>
      </c>
      <c r="AG606" s="14" t="str">
        <f t="shared" si="22"/>
        <v>EXAMENES RADIOLOGICOS</v>
      </c>
      <c r="AH606" s="9">
        <v>0</v>
      </c>
      <c r="AI606" s="9">
        <v>0</v>
      </c>
      <c r="AJ606" s="9">
        <v>96942400</v>
      </c>
      <c r="AK606" s="9">
        <v>2</v>
      </c>
      <c r="AL606" s="26" t="s">
        <v>52</v>
      </c>
      <c r="AM606" s="14" t="s">
        <v>625</v>
      </c>
      <c r="AN606" s="27" t="str">
        <f t="shared" si="21"/>
        <v>9401001|96942400|765065047|65383725</v>
      </c>
      <c r="AO606" t="s">
        <v>44</v>
      </c>
      <c r="AP606" t="b">
        <v>0</v>
      </c>
      <c r="AQ606" t="s">
        <v>763</v>
      </c>
    </row>
    <row r="607" spans="1:43" x14ac:dyDescent="0.2">
      <c r="A607" s="14" t="s">
        <v>500</v>
      </c>
      <c r="B607" s="17">
        <v>15622250</v>
      </c>
      <c r="C607" s="14" t="s">
        <v>320</v>
      </c>
      <c r="D607" s="9">
        <v>15622250</v>
      </c>
      <c r="E607" s="9" t="s">
        <v>320</v>
      </c>
      <c r="F607" s="7">
        <v>45658</v>
      </c>
      <c r="G607" s="20" t="s">
        <v>36</v>
      </c>
      <c r="H607" s="8">
        <v>765110287</v>
      </c>
      <c r="I607" s="19">
        <v>765110287</v>
      </c>
      <c r="J607" s="10">
        <v>22347</v>
      </c>
      <c r="K607" s="10">
        <v>10380</v>
      </c>
      <c r="L607" s="10">
        <v>11967</v>
      </c>
      <c r="M607" s="10">
        <v>0</v>
      </c>
      <c r="N607" s="11">
        <v>11967</v>
      </c>
      <c r="O607" s="12">
        <v>765110287</v>
      </c>
      <c r="P607" s="9">
        <v>285123</v>
      </c>
      <c r="Q607" s="9" t="s">
        <v>37</v>
      </c>
      <c r="R607" s="13">
        <v>45670</v>
      </c>
      <c r="S607" s="22">
        <v>45670</v>
      </c>
      <c r="T607" s="13">
        <v>45670</v>
      </c>
      <c r="U607" s="13">
        <v>45670</v>
      </c>
      <c r="V607" s="9" t="s">
        <v>47</v>
      </c>
      <c r="W607" s="9">
        <v>22497809</v>
      </c>
      <c r="X607" s="9">
        <v>1210929</v>
      </c>
      <c r="Y607" s="9">
        <v>68688108</v>
      </c>
      <c r="Z607" s="9" t="s">
        <v>39</v>
      </c>
      <c r="AA607" s="9">
        <v>19012025</v>
      </c>
      <c r="AB607" s="9">
        <v>77381</v>
      </c>
      <c r="AC607" s="9" t="s">
        <v>41</v>
      </c>
      <c r="AD607" s="9" t="s">
        <v>132</v>
      </c>
      <c r="AE607" s="9" t="s">
        <v>133</v>
      </c>
      <c r="AF607" s="9" t="s">
        <v>133</v>
      </c>
      <c r="AG607" s="14" t="str">
        <f t="shared" si="22"/>
        <v>EXAMENES DE LABORATORIO</v>
      </c>
      <c r="AH607" s="9" t="s">
        <v>758</v>
      </c>
      <c r="AI607" s="9">
        <v>0</v>
      </c>
      <c r="AJ607" s="9">
        <v>99573490</v>
      </c>
      <c r="AK607" s="9">
        <v>7</v>
      </c>
      <c r="AL607" s="26" t="s">
        <v>86</v>
      </c>
      <c r="AM607" s="14" t="s">
        <v>627</v>
      </c>
      <c r="AN607" s="27" t="str">
        <f t="shared" si="21"/>
        <v>15622250|99573490|765110287|765110287</v>
      </c>
      <c r="AO607" t="s">
        <v>758</v>
      </c>
      <c r="AP607" t="b">
        <v>1</v>
      </c>
      <c r="AQ607" t="s">
        <v>764</v>
      </c>
    </row>
    <row r="608" spans="1:43" x14ac:dyDescent="0.2">
      <c r="A608" s="14" t="s">
        <v>500</v>
      </c>
      <c r="B608" s="17">
        <v>15622250</v>
      </c>
      <c r="C608" s="14" t="s">
        <v>320</v>
      </c>
      <c r="D608" s="9">
        <v>15622250</v>
      </c>
      <c r="E608" s="9" t="s">
        <v>320</v>
      </c>
      <c r="F608" s="7">
        <v>45717</v>
      </c>
      <c r="G608" s="20" t="s">
        <v>46</v>
      </c>
      <c r="H608" s="8">
        <v>765110287</v>
      </c>
      <c r="I608" s="19">
        <v>65384328</v>
      </c>
      <c r="J608" s="10">
        <v>11912</v>
      </c>
      <c r="K608" s="10">
        <v>0</v>
      </c>
      <c r="L608" s="10">
        <v>11912</v>
      </c>
      <c r="M608" s="10">
        <v>0</v>
      </c>
      <c r="N608" s="11">
        <v>11912</v>
      </c>
      <c r="O608" s="12">
        <v>765110287</v>
      </c>
      <c r="P608" s="9">
        <v>285123</v>
      </c>
      <c r="Q608" s="9" t="s">
        <v>37</v>
      </c>
      <c r="R608" s="13">
        <v>45717</v>
      </c>
      <c r="S608" s="22">
        <v>45742</v>
      </c>
      <c r="T608" s="13">
        <v>45670</v>
      </c>
      <c r="U608" s="13">
        <v>45670</v>
      </c>
      <c r="V608" s="9" t="s">
        <v>47</v>
      </c>
      <c r="W608" s="9">
        <v>22770340</v>
      </c>
      <c r="X608" s="9">
        <v>3311105</v>
      </c>
      <c r="Y608" s="9">
        <v>69251211</v>
      </c>
      <c r="Z608" s="9" t="s">
        <v>39</v>
      </c>
      <c r="AA608" s="9">
        <v>976468066</v>
      </c>
      <c r="AB608" s="9">
        <v>78070</v>
      </c>
      <c r="AC608" s="9" t="s">
        <v>41</v>
      </c>
      <c r="AD608" s="9" t="s">
        <v>132</v>
      </c>
      <c r="AE608" s="9" t="s">
        <v>133</v>
      </c>
      <c r="AF608" s="9" t="s">
        <v>133</v>
      </c>
      <c r="AG608" s="14" t="str">
        <f t="shared" si="22"/>
        <v>EXAMENES DE LABORATORIO</v>
      </c>
      <c r="AH608" s="9">
        <v>0</v>
      </c>
      <c r="AI608" s="9">
        <v>0</v>
      </c>
      <c r="AJ608" s="9">
        <v>99573490</v>
      </c>
      <c r="AK608" s="9">
        <v>7</v>
      </c>
      <c r="AL608" s="26" t="s">
        <v>52</v>
      </c>
      <c r="AM608" s="14" t="s">
        <v>627</v>
      </c>
      <c r="AN608" s="27" t="str">
        <f t="shared" si="21"/>
        <v>15622250|99573490|765110287|65384328</v>
      </c>
      <c r="AO608" t="s">
        <v>44</v>
      </c>
      <c r="AP608" t="b">
        <v>0</v>
      </c>
      <c r="AQ608" t="s">
        <v>763</v>
      </c>
    </row>
    <row r="609" spans="1:43" x14ac:dyDescent="0.2">
      <c r="A609" s="14" t="s">
        <v>500</v>
      </c>
      <c r="B609" s="17">
        <v>15622250</v>
      </c>
      <c r="C609" s="14" t="s">
        <v>320</v>
      </c>
      <c r="D609" s="9">
        <v>15622250</v>
      </c>
      <c r="E609" s="9" t="s">
        <v>320</v>
      </c>
      <c r="F609" s="7">
        <v>45658</v>
      </c>
      <c r="G609" s="20" t="s">
        <v>36</v>
      </c>
      <c r="H609" s="8">
        <v>765110288</v>
      </c>
      <c r="I609" s="19">
        <v>765110288</v>
      </c>
      <c r="J609" s="10">
        <v>39195</v>
      </c>
      <c r="K609" s="10">
        <v>20685</v>
      </c>
      <c r="L609" s="10">
        <v>18510</v>
      </c>
      <c r="M609" s="10">
        <v>0</v>
      </c>
      <c r="N609" s="11">
        <v>18510</v>
      </c>
      <c r="O609" s="12">
        <v>765110288</v>
      </c>
      <c r="P609" s="9">
        <v>285123</v>
      </c>
      <c r="Q609" s="9" t="s">
        <v>37</v>
      </c>
      <c r="R609" s="13">
        <v>45670</v>
      </c>
      <c r="S609" s="22">
        <v>45670</v>
      </c>
      <c r="T609" s="13">
        <v>45670</v>
      </c>
      <c r="U609" s="13">
        <v>45670</v>
      </c>
      <c r="V609" s="9" t="s">
        <v>47</v>
      </c>
      <c r="W609" s="9">
        <v>22497809</v>
      </c>
      <c r="X609" s="9">
        <v>1210929</v>
      </c>
      <c r="Y609" s="9">
        <v>68688107</v>
      </c>
      <c r="Z609" s="9" t="s">
        <v>39</v>
      </c>
      <c r="AA609" s="9">
        <v>19012025</v>
      </c>
      <c r="AB609" s="9">
        <v>77381</v>
      </c>
      <c r="AC609" s="9" t="s">
        <v>41</v>
      </c>
      <c r="AD609" s="9" t="s">
        <v>132</v>
      </c>
      <c r="AE609" s="9" t="s">
        <v>133</v>
      </c>
      <c r="AF609" s="9" t="s">
        <v>133</v>
      </c>
      <c r="AG609" s="14" t="str">
        <f t="shared" si="22"/>
        <v>EXAMENES DE LABORATORIO</v>
      </c>
      <c r="AH609" s="9" t="s">
        <v>758</v>
      </c>
      <c r="AI609" s="9">
        <v>0</v>
      </c>
      <c r="AJ609" s="9">
        <v>99573490</v>
      </c>
      <c r="AK609" s="9">
        <v>7</v>
      </c>
      <c r="AL609" s="26" t="s">
        <v>86</v>
      </c>
      <c r="AM609" s="14" t="s">
        <v>627</v>
      </c>
      <c r="AN609" s="27" t="str">
        <f t="shared" si="21"/>
        <v>15622250|99573490|765110288|765110288</v>
      </c>
      <c r="AO609" t="s">
        <v>758</v>
      </c>
      <c r="AP609" t="b">
        <v>1</v>
      </c>
      <c r="AQ609" t="s">
        <v>764</v>
      </c>
    </row>
    <row r="610" spans="1:43" x14ac:dyDescent="0.2">
      <c r="A610" s="14" t="s">
        <v>500</v>
      </c>
      <c r="B610" s="17">
        <v>15622250</v>
      </c>
      <c r="C610" s="14" t="s">
        <v>320</v>
      </c>
      <c r="D610" s="9">
        <v>15622250</v>
      </c>
      <c r="E610" s="9" t="s">
        <v>320</v>
      </c>
      <c r="F610" s="7">
        <v>45717</v>
      </c>
      <c r="G610" s="20" t="s">
        <v>46</v>
      </c>
      <c r="H610" s="8">
        <v>765110288</v>
      </c>
      <c r="I610" s="19">
        <v>65384329</v>
      </c>
      <c r="J610" s="10">
        <v>18444</v>
      </c>
      <c r="K610" s="10">
        <v>0</v>
      </c>
      <c r="L610" s="10">
        <v>18444</v>
      </c>
      <c r="M610" s="10">
        <v>0</v>
      </c>
      <c r="N610" s="11">
        <v>18444</v>
      </c>
      <c r="O610" s="12">
        <v>765110288</v>
      </c>
      <c r="P610" s="9">
        <v>285123</v>
      </c>
      <c r="Q610" s="9" t="s">
        <v>37</v>
      </c>
      <c r="R610" s="13">
        <v>45717</v>
      </c>
      <c r="S610" s="22">
        <v>45742</v>
      </c>
      <c r="T610" s="13">
        <v>45670</v>
      </c>
      <c r="U610" s="13">
        <v>45670</v>
      </c>
      <c r="V610" s="9" t="s">
        <v>47</v>
      </c>
      <c r="W610" s="9">
        <v>22770340</v>
      </c>
      <c r="X610" s="9">
        <v>3311105</v>
      </c>
      <c r="Y610" s="9">
        <v>69251212</v>
      </c>
      <c r="Z610" s="9" t="s">
        <v>39</v>
      </c>
      <c r="AA610" s="9">
        <v>976468066</v>
      </c>
      <c r="AB610" s="9">
        <v>78070</v>
      </c>
      <c r="AC610" s="9" t="s">
        <v>41</v>
      </c>
      <c r="AD610" s="9" t="s">
        <v>132</v>
      </c>
      <c r="AE610" s="9" t="s">
        <v>133</v>
      </c>
      <c r="AF610" s="9" t="s">
        <v>133</v>
      </c>
      <c r="AG610" s="14" t="str">
        <f t="shared" si="22"/>
        <v>EXAMENES DE LABORATORIO</v>
      </c>
      <c r="AH610" s="9">
        <v>0</v>
      </c>
      <c r="AI610" s="9">
        <v>0</v>
      </c>
      <c r="AJ610" s="9">
        <v>99573490</v>
      </c>
      <c r="AK610" s="9">
        <v>7</v>
      </c>
      <c r="AL610" s="26" t="s">
        <v>52</v>
      </c>
      <c r="AM610" s="14" t="s">
        <v>627</v>
      </c>
      <c r="AN610" s="27" t="str">
        <f t="shared" si="21"/>
        <v>15622250|99573490|765110288|65384329</v>
      </c>
      <c r="AO610" t="s">
        <v>44</v>
      </c>
      <c r="AP610" t="b">
        <v>0</v>
      </c>
      <c r="AQ610" t="s">
        <v>763</v>
      </c>
    </row>
    <row r="611" spans="1:43" x14ac:dyDescent="0.2">
      <c r="A611" s="14" t="s">
        <v>500</v>
      </c>
      <c r="B611" s="17">
        <v>15622250</v>
      </c>
      <c r="C611" s="14" t="s">
        <v>320</v>
      </c>
      <c r="D611" s="9">
        <v>15622250</v>
      </c>
      <c r="E611" s="9" t="s">
        <v>320</v>
      </c>
      <c r="F611" s="7">
        <v>45658</v>
      </c>
      <c r="G611" s="20" t="s">
        <v>36</v>
      </c>
      <c r="H611" s="8">
        <v>765110289</v>
      </c>
      <c r="I611" s="19">
        <v>765110289</v>
      </c>
      <c r="J611" s="10">
        <v>61009</v>
      </c>
      <c r="K611" s="10">
        <v>34033</v>
      </c>
      <c r="L611" s="10">
        <v>26976</v>
      </c>
      <c r="M611" s="10">
        <v>0</v>
      </c>
      <c r="N611" s="11">
        <v>26976</v>
      </c>
      <c r="O611" s="12">
        <v>765110289</v>
      </c>
      <c r="P611" s="9">
        <v>285123</v>
      </c>
      <c r="Q611" s="9" t="s">
        <v>37</v>
      </c>
      <c r="R611" s="13">
        <v>45670</v>
      </c>
      <c r="S611" s="22">
        <v>45670</v>
      </c>
      <c r="T611" s="13">
        <v>45670</v>
      </c>
      <c r="U611" s="13">
        <v>45670</v>
      </c>
      <c r="V611" s="9" t="s">
        <v>47</v>
      </c>
      <c r="W611" s="9">
        <v>22497809</v>
      </c>
      <c r="X611" s="9">
        <v>1210929</v>
      </c>
      <c r="Y611" s="9">
        <v>68688106</v>
      </c>
      <c r="Z611" s="9" t="s">
        <v>39</v>
      </c>
      <c r="AA611" s="9">
        <v>19012025</v>
      </c>
      <c r="AB611" s="9">
        <v>77381</v>
      </c>
      <c r="AC611" s="9" t="s">
        <v>41</v>
      </c>
      <c r="AD611" s="9" t="s">
        <v>132</v>
      </c>
      <c r="AE611" s="9" t="s">
        <v>133</v>
      </c>
      <c r="AF611" s="9" t="s">
        <v>133</v>
      </c>
      <c r="AG611" s="14" t="str">
        <f t="shared" si="22"/>
        <v>EXAMENES DE LABORATORIO</v>
      </c>
      <c r="AH611" s="9" t="s">
        <v>758</v>
      </c>
      <c r="AI611" s="9">
        <v>0</v>
      </c>
      <c r="AJ611" s="9">
        <v>99573490</v>
      </c>
      <c r="AK611" s="9">
        <v>7</v>
      </c>
      <c r="AL611" s="26" t="s">
        <v>86</v>
      </c>
      <c r="AM611" s="14" t="s">
        <v>627</v>
      </c>
      <c r="AN611" s="27" t="str">
        <f t="shared" si="21"/>
        <v>15622250|99573490|765110289|765110289</v>
      </c>
      <c r="AO611" t="s">
        <v>758</v>
      </c>
      <c r="AP611" t="b">
        <v>1</v>
      </c>
      <c r="AQ611" t="s">
        <v>764</v>
      </c>
    </row>
    <row r="612" spans="1:43" x14ac:dyDescent="0.2">
      <c r="A612" s="14" t="s">
        <v>500</v>
      </c>
      <c r="B612" s="17">
        <v>15622250</v>
      </c>
      <c r="C612" s="14" t="s">
        <v>320</v>
      </c>
      <c r="D612" s="9">
        <v>15622250</v>
      </c>
      <c r="E612" s="9" t="s">
        <v>320</v>
      </c>
      <c r="F612" s="7">
        <v>45717</v>
      </c>
      <c r="G612" s="20" t="s">
        <v>46</v>
      </c>
      <c r="H612" s="8">
        <v>765110289</v>
      </c>
      <c r="I612" s="19">
        <v>65384330</v>
      </c>
      <c r="J612" s="10">
        <v>26513</v>
      </c>
      <c r="K612" s="10">
        <v>0</v>
      </c>
      <c r="L612" s="10">
        <v>26513</v>
      </c>
      <c r="M612" s="10">
        <v>0</v>
      </c>
      <c r="N612" s="11">
        <v>26513</v>
      </c>
      <c r="O612" s="12">
        <v>765110289</v>
      </c>
      <c r="P612" s="9">
        <v>285123</v>
      </c>
      <c r="Q612" s="9" t="s">
        <v>37</v>
      </c>
      <c r="R612" s="13">
        <v>45717</v>
      </c>
      <c r="S612" s="22">
        <v>45742</v>
      </c>
      <c r="T612" s="13">
        <v>45670</v>
      </c>
      <c r="U612" s="13">
        <v>45670</v>
      </c>
      <c r="V612" s="9" t="s">
        <v>47</v>
      </c>
      <c r="W612" s="9">
        <v>22770340</v>
      </c>
      <c r="X612" s="9">
        <v>3311105</v>
      </c>
      <c r="Y612" s="9">
        <v>69251213</v>
      </c>
      <c r="Z612" s="9" t="s">
        <v>39</v>
      </c>
      <c r="AA612" s="9">
        <v>976468066</v>
      </c>
      <c r="AB612" s="9">
        <v>78070</v>
      </c>
      <c r="AC612" s="9" t="s">
        <v>41</v>
      </c>
      <c r="AD612" s="9" t="s">
        <v>132</v>
      </c>
      <c r="AE612" s="9" t="s">
        <v>133</v>
      </c>
      <c r="AF612" s="9" t="s">
        <v>133</v>
      </c>
      <c r="AG612" s="14" t="str">
        <f t="shared" si="22"/>
        <v>EXAMENES DE LABORATORIO</v>
      </c>
      <c r="AH612" s="9">
        <v>0</v>
      </c>
      <c r="AI612" s="9">
        <v>0</v>
      </c>
      <c r="AJ612" s="9">
        <v>99573490</v>
      </c>
      <c r="AK612" s="9">
        <v>7</v>
      </c>
      <c r="AL612" s="26" t="s">
        <v>52</v>
      </c>
      <c r="AM612" s="14" t="s">
        <v>627</v>
      </c>
      <c r="AN612" s="27" t="str">
        <f t="shared" si="21"/>
        <v>15622250|99573490|765110289|65384330</v>
      </c>
      <c r="AO612" t="s">
        <v>44</v>
      </c>
      <c r="AP612" t="b">
        <v>0</v>
      </c>
      <c r="AQ612" t="s">
        <v>763</v>
      </c>
    </row>
    <row r="613" spans="1:43" x14ac:dyDescent="0.2">
      <c r="A613" s="14" t="s">
        <v>500</v>
      </c>
      <c r="B613" s="17">
        <v>15622250</v>
      </c>
      <c r="C613" s="14" t="s">
        <v>320</v>
      </c>
      <c r="D613" s="9">
        <v>15622250</v>
      </c>
      <c r="E613" s="9" t="s">
        <v>320</v>
      </c>
      <c r="F613" s="7">
        <v>45658</v>
      </c>
      <c r="G613" s="20" t="s">
        <v>36</v>
      </c>
      <c r="H613" s="8">
        <v>765110290</v>
      </c>
      <c r="I613" s="19">
        <v>765110290</v>
      </c>
      <c r="J613" s="10">
        <v>76635</v>
      </c>
      <c r="K613" s="10">
        <v>38758</v>
      </c>
      <c r="L613" s="10">
        <v>37877</v>
      </c>
      <c r="M613" s="10">
        <v>0</v>
      </c>
      <c r="N613" s="11">
        <v>37877</v>
      </c>
      <c r="O613" s="12">
        <v>765110290</v>
      </c>
      <c r="P613" s="9">
        <v>285123</v>
      </c>
      <c r="Q613" s="9" t="s">
        <v>37</v>
      </c>
      <c r="R613" s="13">
        <v>45670</v>
      </c>
      <c r="S613" s="22">
        <v>45670</v>
      </c>
      <c r="T613" s="13">
        <v>45670</v>
      </c>
      <c r="U613" s="13">
        <v>45670</v>
      </c>
      <c r="V613" s="9" t="s">
        <v>47</v>
      </c>
      <c r="W613" s="9">
        <v>22497809</v>
      </c>
      <c r="X613" s="9">
        <v>1210929</v>
      </c>
      <c r="Y613" s="9">
        <v>68688105</v>
      </c>
      <c r="Z613" s="9" t="s">
        <v>39</v>
      </c>
      <c r="AA613" s="9">
        <v>19012025</v>
      </c>
      <c r="AB613" s="9">
        <v>77381</v>
      </c>
      <c r="AC613" s="9" t="s">
        <v>41</v>
      </c>
      <c r="AD613" s="9" t="s">
        <v>132</v>
      </c>
      <c r="AE613" s="9" t="s">
        <v>133</v>
      </c>
      <c r="AF613" s="9" t="s">
        <v>133</v>
      </c>
      <c r="AG613" s="14" t="str">
        <f t="shared" si="22"/>
        <v>EXAMENES DE LABORATORIO</v>
      </c>
      <c r="AH613" s="9" t="s">
        <v>758</v>
      </c>
      <c r="AI613" s="9">
        <v>0</v>
      </c>
      <c r="AJ613" s="9">
        <v>99573490</v>
      </c>
      <c r="AK613" s="9">
        <v>7</v>
      </c>
      <c r="AL613" s="26" t="s">
        <v>86</v>
      </c>
      <c r="AM613" s="14" t="s">
        <v>627</v>
      </c>
      <c r="AN613" s="27" t="str">
        <f t="shared" si="21"/>
        <v>15622250|99573490|765110290|765110290</v>
      </c>
      <c r="AO613" t="s">
        <v>758</v>
      </c>
      <c r="AP613" t="b">
        <v>1</v>
      </c>
      <c r="AQ613" t="s">
        <v>764</v>
      </c>
    </row>
    <row r="614" spans="1:43" x14ac:dyDescent="0.2">
      <c r="A614" s="14" t="s">
        <v>500</v>
      </c>
      <c r="B614" s="17">
        <v>15622250</v>
      </c>
      <c r="C614" s="14" t="s">
        <v>320</v>
      </c>
      <c r="D614" s="9">
        <v>15622250</v>
      </c>
      <c r="E614" s="9" t="s">
        <v>320</v>
      </c>
      <c r="F614" s="7">
        <v>45717</v>
      </c>
      <c r="G614" s="20" t="s">
        <v>46</v>
      </c>
      <c r="H614" s="8">
        <v>765110290</v>
      </c>
      <c r="I614" s="19">
        <v>65384331</v>
      </c>
      <c r="J614" s="10">
        <v>33047</v>
      </c>
      <c r="K614" s="10">
        <v>0</v>
      </c>
      <c r="L614" s="10">
        <v>33047</v>
      </c>
      <c r="M614" s="10">
        <v>0</v>
      </c>
      <c r="N614" s="11">
        <v>33047</v>
      </c>
      <c r="O614" s="12">
        <v>765110290</v>
      </c>
      <c r="P614" s="9">
        <v>285123</v>
      </c>
      <c r="Q614" s="9" t="s">
        <v>37</v>
      </c>
      <c r="R614" s="13">
        <v>45717</v>
      </c>
      <c r="S614" s="22">
        <v>45742</v>
      </c>
      <c r="T614" s="13">
        <v>45670</v>
      </c>
      <c r="U614" s="13">
        <v>45670</v>
      </c>
      <c r="V614" s="9" t="s">
        <v>47</v>
      </c>
      <c r="W614" s="9">
        <v>22770340</v>
      </c>
      <c r="X614" s="9">
        <v>3311105</v>
      </c>
      <c r="Y614" s="9">
        <v>69251214</v>
      </c>
      <c r="Z614" s="9" t="s">
        <v>39</v>
      </c>
      <c r="AA614" s="9">
        <v>976468066</v>
      </c>
      <c r="AB614" s="9">
        <v>78070</v>
      </c>
      <c r="AC614" s="9" t="s">
        <v>41</v>
      </c>
      <c r="AD614" s="9" t="s">
        <v>132</v>
      </c>
      <c r="AE614" s="9" t="s">
        <v>133</v>
      </c>
      <c r="AF614" s="9" t="s">
        <v>133</v>
      </c>
      <c r="AG614" s="14" t="str">
        <f t="shared" si="22"/>
        <v>EXAMENES DE LABORATORIO</v>
      </c>
      <c r="AH614" s="9">
        <v>0</v>
      </c>
      <c r="AI614" s="9">
        <v>0</v>
      </c>
      <c r="AJ614" s="9">
        <v>99573490</v>
      </c>
      <c r="AK614" s="9">
        <v>7</v>
      </c>
      <c r="AL614" s="26" t="s">
        <v>52</v>
      </c>
      <c r="AM614" s="14" t="s">
        <v>627</v>
      </c>
      <c r="AN614" s="27" t="str">
        <f t="shared" si="21"/>
        <v>15622250|99573490|765110290|65384331</v>
      </c>
      <c r="AO614" t="s">
        <v>44</v>
      </c>
      <c r="AP614" t="b">
        <v>0</v>
      </c>
      <c r="AQ614" t="s">
        <v>763</v>
      </c>
    </row>
    <row r="615" spans="1:43" x14ac:dyDescent="0.2">
      <c r="A615" s="14" t="s">
        <v>500</v>
      </c>
      <c r="B615" s="17">
        <v>15622250</v>
      </c>
      <c r="C615" s="14" t="s">
        <v>320</v>
      </c>
      <c r="D615" s="9">
        <v>15622250</v>
      </c>
      <c r="E615" s="9" t="s">
        <v>320</v>
      </c>
      <c r="F615" s="7">
        <v>45658</v>
      </c>
      <c r="G615" s="20" t="s">
        <v>36</v>
      </c>
      <c r="H615" s="8">
        <v>765110341</v>
      </c>
      <c r="I615" s="19">
        <v>765110341</v>
      </c>
      <c r="J615" s="10">
        <v>9568</v>
      </c>
      <c r="K615" s="10">
        <v>6988</v>
      </c>
      <c r="L615" s="10">
        <v>2580</v>
      </c>
      <c r="M615" s="10">
        <v>0</v>
      </c>
      <c r="N615" s="11">
        <v>2580</v>
      </c>
      <c r="O615" s="12">
        <v>765110341</v>
      </c>
      <c r="P615" s="9">
        <v>285123</v>
      </c>
      <c r="Q615" s="9" t="s">
        <v>37</v>
      </c>
      <c r="R615" s="13">
        <v>45670</v>
      </c>
      <c r="S615" s="22">
        <v>45670</v>
      </c>
      <c r="T615" s="13">
        <v>45670</v>
      </c>
      <c r="U615" s="13">
        <v>45670</v>
      </c>
      <c r="V615" s="9" t="s">
        <v>47</v>
      </c>
      <c r="W615" s="9">
        <v>22497809</v>
      </c>
      <c r="X615" s="9">
        <v>1210929</v>
      </c>
      <c r="Y615" s="9">
        <v>68688109</v>
      </c>
      <c r="Z615" s="9" t="s">
        <v>39</v>
      </c>
      <c r="AA615" s="9">
        <v>19012025</v>
      </c>
      <c r="AB615" s="9">
        <v>77381</v>
      </c>
      <c r="AC615" s="9" t="s">
        <v>41</v>
      </c>
      <c r="AD615" s="9" t="s">
        <v>132</v>
      </c>
      <c r="AE615" s="9" t="s">
        <v>133</v>
      </c>
      <c r="AF615" s="9" t="s">
        <v>133</v>
      </c>
      <c r="AG615" s="14" t="str">
        <f t="shared" si="22"/>
        <v>EXAMENES DE LABORATORIO</v>
      </c>
      <c r="AH615" s="9" t="s">
        <v>758</v>
      </c>
      <c r="AI615" s="9">
        <v>0</v>
      </c>
      <c r="AJ615" s="9">
        <v>99573490</v>
      </c>
      <c r="AK615" s="9">
        <v>7</v>
      </c>
      <c r="AL615" s="26" t="s">
        <v>86</v>
      </c>
      <c r="AM615" s="14" t="s">
        <v>627</v>
      </c>
      <c r="AN615" s="27" t="str">
        <f t="shared" si="21"/>
        <v>15622250|99573490|765110341|765110341</v>
      </c>
      <c r="AO615" t="s">
        <v>758</v>
      </c>
      <c r="AP615" t="b">
        <v>1</v>
      </c>
      <c r="AQ615" t="s">
        <v>764</v>
      </c>
    </row>
    <row r="616" spans="1:43" x14ac:dyDescent="0.2">
      <c r="A616" s="14" t="s">
        <v>500</v>
      </c>
      <c r="B616" s="17">
        <v>15622250</v>
      </c>
      <c r="C616" s="14" t="s">
        <v>320</v>
      </c>
      <c r="D616" s="9">
        <v>15622250</v>
      </c>
      <c r="E616" s="9" t="s">
        <v>320</v>
      </c>
      <c r="F616" s="7">
        <v>45717</v>
      </c>
      <c r="G616" s="20" t="s">
        <v>46</v>
      </c>
      <c r="H616" s="8">
        <v>765110341</v>
      </c>
      <c r="I616" s="19">
        <v>65384332</v>
      </c>
      <c r="J616" s="10">
        <v>2688</v>
      </c>
      <c r="K616" s="10">
        <v>0</v>
      </c>
      <c r="L616" s="10">
        <v>2688</v>
      </c>
      <c r="M616" s="10">
        <v>0</v>
      </c>
      <c r="N616" s="11">
        <v>2688</v>
      </c>
      <c r="O616" s="12">
        <v>765110341</v>
      </c>
      <c r="P616" s="9">
        <v>285123</v>
      </c>
      <c r="Q616" s="9" t="s">
        <v>37</v>
      </c>
      <c r="R616" s="13">
        <v>45717</v>
      </c>
      <c r="S616" s="22">
        <v>45742</v>
      </c>
      <c r="T616" s="13">
        <v>45670</v>
      </c>
      <c r="U616" s="13">
        <v>45670</v>
      </c>
      <c r="V616" s="9" t="s">
        <v>47</v>
      </c>
      <c r="W616" s="9">
        <v>22770340</v>
      </c>
      <c r="X616" s="9">
        <v>3311105</v>
      </c>
      <c r="Y616" s="9">
        <v>69251215</v>
      </c>
      <c r="Z616" s="9" t="s">
        <v>39</v>
      </c>
      <c r="AA616" s="9">
        <v>976468066</v>
      </c>
      <c r="AB616" s="9">
        <v>78070</v>
      </c>
      <c r="AC616" s="9" t="s">
        <v>41</v>
      </c>
      <c r="AD616" s="9" t="s">
        <v>132</v>
      </c>
      <c r="AE616" s="9" t="s">
        <v>133</v>
      </c>
      <c r="AF616" s="9" t="s">
        <v>133</v>
      </c>
      <c r="AG616" s="14" t="str">
        <f t="shared" si="22"/>
        <v>EXAMENES DE LABORATORIO</v>
      </c>
      <c r="AH616" s="9">
        <v>0</v>
      </c>
      <c r="AI616" s="9">
        <v>0</v>
      </c>
      <c r="AJ616" s="9">
        <v>99573490</v>
      </c>
      <c r="AK616" s="9">
        <v>7</v>
      </c>
      <c r="AL616" s="26" t="s">
        <v>52</v>
      </c>
      <c r="AM616" s="14" t="s">
        <v>627</v>
      </c>
      <c r="AN616" s="27" t="str">
        <f t="shared" si="21"/>
        <v>15622250|99573490|765110341|65384332</v>
      </c>
      <c r="AO616" t="s">
        <v>44</v>
      </c>
      <c r="AP616" t="b">
        <v>0</v>
      </c>
      <c r="AQ616" t="s">
        <v>763</v>
      </c>
    </row>
    <row r="617" spans="1:43" x14ac:dyDescent="0.2">
      <c r="A617" s="14" t="s">
        <v>500</v>
      </c>
      <c r="B617" s="17">
        <v>15622250</v>
      </c>
      <c r="C617" s="14" t="s">
        <v>320</v>
      </c>
      <c r="D617" s="9">
        <v>15622250</v>
      </c>
      <c r="E617" s="9" t="s">
        <v>320</v>
      </c>
      <c r="F617" s="7">
        <v>45658</v>
      </c>
      <c r="G617" s="20" t="s">
        <v>36</v>
      </c>
      <c r="H617" s="8">
        <v>765121743</v>
      </c>
      <c r="I617" s="19">
        <v>765121743</v>
      </c>
      <c r="J617" s="10">
        <v>15249</v>
      </c>
      <c r="K617" s="10">
        <v>13549</v>
      </c>
      <c r="L617" s="10">
        <v>1700</v>
      </c>
      <c r="M617" s="10">
        <v>0</v>
      </c>
      <c r="N617" s="11">
        <v>1700</v>
      </c>
      <c r="O617" s="12">
        <v>765121743</v>
      </c>
      <c r="P617" s="9">
        <v>285123</v>
      </c>
      <c r="Q617" s="9" t="s">
        <v>37</v>
      </c>
      <c r="R617" s="13">
        <v>45671</v>
      </c>
      <c r="S617" s="22">
        <v>45671</v>
      </c>
      <c r="T617" s="13">
        <v>45671</v>
      </c>
      <c r="U617" s="13">
        <v>45671</v>
      </c>
      <c r="V617" s="9" t="s">
        <v>47</v>
      </c>
      <c r="W617" s="9">
        <v>22497854</v>
      </c>
      <c r="X617" s="9">
        <v>1210929</v>
      </c>
      <c r="Y617" s="9">
        <v>68688694</v>
      </c>
      <c r="Z617" s="9" t="s">
        <v>39</v>
      </c>
      <c r="AA617" s="9">
        <v>19012025</v>
      </c>
      <c r="AB617" s="9">
        <v>77381</v>
      </c>
      <c r="AC617" s="9" t="s">
        <v>41</v>
      </c>
      <c r="AD617" s="9" t="s">
        <v>132</v>
      </c>
      <c r="AE617" s="9" t="s">
        <v>133</v>
      </c>
      <c r="AF617" s="9" t="s">
        <v>133</v>
      </c>
      <c r="AG617" s="14" t="str">
        <f t="shared" si="22"/>
        <v>EXAMENES DE LABORATORIO</v>
      </c>
      <c r="AH617" s="9" t="s">
        <v>758</v>
      </c>
      <c r="AI617" s="9">
        <v>0</v>
      </c>
      <c r="AJ617" s="9">
        <v>99573490</v>
      </c>
      <c r="AK617" s="9">
        <v>7</v>
      </c>
      <c r="AL617" s="26" t="s">
        <v>86</v>
      </c>
      <c r="AM617" s="14" t="s">
        <v>627</v>
      </c>
      <c r="AN617" s="27" t="str">
        <f t="shared" si="21"/>
        <v>15622250|99573490|765121743|765121743</v>
      </c>
      <c r="AO617" t="s">
        <v>758</v>
      </c>
      <c r="AP617" t="b">
        <v>1</v>
      </c>
      <c r="AQ617" t="s">
        <v>764</v>
      </c>
    </row>
    <row r="618" spans="1:43" x14ac:dyDescent="0.2">
      <c r="A618" s="14" t="s">
        <v>500</v>
      </c>
      <c r="B618" s="17">
        <v>15622250</v>
      </c>
      <c r="C618" s="14" t="s">
        <v>320</v>
      </c>
      <c r="D618" s="9">
        <v>15622250</v>
      </c>
      <c r="E618" s="9" t="s">
        <v>320</v>
      </c>
      <c r="F618" s="7">
        <v>45717</v>
      </c>
      <c r="G618" s="20" t="s">
        <v>46</v>
      </c>
      <c r="H618" s="8">
        <v>765121743</v>
      </c>
      <c r="I618" s="19">
        <v>65384333</v>
      </c>
      <c r="J618" s="10">
        <v>1921</v>
      </c>
      <c r="K618" s="10">
        <v>0</v>
      </c>
      <c r="L618" s="10">
        <v>1921</v>
      </c>
      <c r="M618" s="10">
        <v>0</v>
      </c>
      <c r="N618" s="11">
        <v>1921</v>
      </c>
      <c r="O618" s="12">
        <v>765121743</v>
      </c>
      <c r="P618" s="9">
        <v>285123</v>
      </c>
      <c r="Q618" s="9" t="s">
        <v>37</v>
      </c>
      <c r="R618" s="13">
        <v>45717</v>
      </c>
      <c r="S618" s="22">
        <v>45742</v>
      </c>
      <c r="T618" s="13">
        <v>45671</v>
      </c>
      <c r="U618" s="13">
        <v>45671</v>
      </c>
      <c r="V618" s="9" t="s">
        <v>47</v>
      </c>
      <c r="W618" s="9">
        <v>22770349</v>
      </c>
      <c r="X618" s="9">
        <v>3311105</v>
      </c>
      <c r="Y618" s="9">
        <v>69251216</v>
      </c>
      <c r="Z618" s="9" t="s">
        <v>39</v>
      </c>
      <c r="AA618" s="9">
        <v>976468066</v>
      </c>
      <c r="AB618" s="9">
        <v>78070</v>
      </c>
      <c r="AC618" s="9" t="s">
        <v>41</v>
      </c>
      <c r="AD618" s="9" t="s">
        <v>132</v>
      </c>
      <c r="AE618" s="9" t="s">
        <v>133</v>
      </c>
      <c r="AF618" s="9" t="s">
        <v>133</v>
      </c>
      <c r="AG618" s="14" t="str">
        <f t="shared" si="22"/>
        <v>EXAMENES DE LABORATORIO</v>
      </c>
      <c r="AH618" s="9">
        <v>0</v>
      </c>
      <c r="AI618" s="9">
        <v>0</v>
      </c>
      <c r="AJ618" s="9">
        <v>99573490</v>
      </c>
      <c r="AK618" s="9">
        <v>7</v>
      </c>
      <c r="AL618" s="26" t="s">
        <v>52</v>
      </c>
      <c r="AM618" s="14" t="s">
        <v>627</v>
      </c>
      <c r="AN618" s="27" t="str">
        <f t="shared" si="21"/>
        <v>15622250|99573490|765121743|65384333</v>
      </c>
      <c r="AO618" t="s">
        <v>44</v>
      </c>
      <c r="AP618" t="b">
        <v>0</v>
      </c>
      <c r="AQ618" t="s">
        <v>763</v>
      </c>
    </row>
    <row r="619" spans="1:43" x14ac:dyDescent="0.2">
      <c r="A619" s="14" t="s">
        <v>500</v>
      </c>
      <c r="B619" s="17">
        <v>12952727</v>
      </c>
      <c r="C619" s="14" t="s">
        <v>321</v>
      </c>
      <c r="D619" s="9">
        <v>23388770</v>
      </c>
      <c r="E619" s="9" t="s">
        <v>322</v>
      </c>
      <c r="F619" s="7">
        <v>45658</v>
      </c>
      <c r="G619" s="20" t="s">
        <v>36</v>
      </c>
      <c r="H619" s="8">
        <v>765132665</v>
      </c>
      <c r="I619" s="19">
        <v>765132665</v>
      </c>
      <c r="J619" s="10">
        <v>14540</v>
      </c>
      <c r="K619" s="10">
        <v>10248</v>
      </c>
      <c r="L619" s="10">
        <v>4292</v>
      </c>
      <c r="M619" s="10">
        <v>0</v>
      </c>
      <c r="N619" s="11">
        <v>4292</v>
      </c>
      <c r="O619" s="12">
        <v>765132665</v>
      </c>
      <c r="P619" s="9">
        <v>285123</v>
      </c>
      <c r="Q619" s="9" t="s">
        <v>37</v>
      </c>
      <c r="R619" s="13">
        <v>45671</v>
      </c>
      <c r="S619" s="22">
        <v>45671</v>
      </c>
      <c r="T619" s="13">
        <v>45671</v>
      </c>
      <c r="U619" s="13">
        <v>45671</v>
      </c>
      <c r="V619" s="9" t="s">
        <v>47</v>
      </c>
      <c r="W619" s="9">
        <v>22497844</v>
      </c>
      <c r="X619" s="9">
        <v>1210929</v>
      </c>
      <c r="Y619" s="9">
        <v>68689154</v>
      </c>
      <c r="Z619" s="9" t="s">
        <v>39</v>
      </c>
      <c r="AA619" s="9">
        <v>19012025</v>
      </c>
      <c r="AB619" s="9">
        <v>77381</v>
      </c>
      <c r="AC619" s="9" t="s">
        <v>41</v>
      </c>
      <c r="AD619" s="9" t="s">
        <v>134</v>
      </c>
      <c r="AE619" s="9" t="s">
        <v>135</v>
      </c>
      <c r="AF619" s="9" t="s">
        <v>135</v>
      </c>
      <c r="AG619" s="14" t="str">
        <f t="shared" si="22"/>
        <v>EXAMENES RADIOLOGICOS</v>
      </c>
      <c r="AH619" s="9" t="s">
        <v>758</v>
      </c>
      <c r="AI619" s="9">
        <v>0</v>
      </c>
      <c r="AJ619" s="9">
        <v>88081300</v>
      </c>
      <c r="AK619" s="9">
        <v>5</v>
      </c>
      <c r="AL619" s="26" t="s">
        <v>86</v>
      </c>
      <c r="AM619" s="14" t="s">
        <v>628</v>
      </c>
      <c r="AN619" s="27" t="str">
        <f t="shared" si="21"/>
        <v>12952727|88081300|765132665|765132665</v>
      </c>
      <c r="AO619" t="s">
        <v>758</v>
      </c>
      <c r="AP619" t="b">
        <v>1</v>
      </c>
      <c r="AQ619" t="s">
        <v>764</v>
      </c>
    </row>
    <row r="620" spans="1:43" x14ac:dyDescent="0.2">
      <c r="A620" s="14" t="s">
        <v>500</v>
      </c>
      <c r="B620" s="17">
        <v>12952727</v>
      </c>
      <c r="C620" s="14" t="s">
        <v>321</v>
      </c>
      <c r="D620" s="9">
        <v>23388770</v>
      </c>
      <c r="E620" s="9" t="s">
        <v>322</v>
      </c>
      <c r="F620" s="7">
        <v>45717</v>
      </c>
      <c r="G620" s="20" t="s">
        <v>46</v>
      </c>
      <c r="H620" s="8">
        <v>765132665</v>
      </c>
      <c r="I620" s="19">
        <v>65384060</v>
      </c>
      <c r="J620" s="10">
        <v>4226</v>
      </c>
      <c r="K620" s="10">
        <v>0</v>
      </c>
      <c r="L620" s="10">
        <v>4226</v>
      </c>
      <c r="M620" s="10">
        <v>0</v>
      </c>
      <c r="N620" s="11">
        <v>4226</v>
      </c>
      <c r="O620" s="12">
        <v>765132665</v>
      </c>
      <c r="P620" s="9">
        <v>285123</v>
      </c>
      <c r="Q620" s="9" t="s">
        <v>37</v>
      </c>
      <c r="R620" s="13">
        <v>45717</v>
      </c>
      <c r="S620" s="22">
        <v>45742</v>
      </c>
      <c r="T620" s="13">
        <v>45671</v>
      </c>
      <c r="U620" s="13">
        <v>45671</v>
      </c>
      <c r="V620" s="9" t="s">
        <v>47</v>
      </c>
      <c r="W620" s="9">
        <v>22770348</v>
      </c>
      <c r="X620" s="9">
        <v>3311105</v>
      </c>
      <c r="Y620" s="9">
        <v>69250948</v>
      </c>
      <c r="Z620" s="9" t="s">
        <v>39</v>
      </c>
      <c r="AA620" s="9">
        <v>1370136407</v>
      </c>
      <c r="AB620" s="9">
        <v>78070</v>
      </c>
      <c r="AC620" s="9" t="s">
        <v>41</v>
      </c>
      <c r="AD620" s="9" t="s">
        <v>134</v>
      </c>
      <c r="AE620" s="9" t="s">
        <v>135</v>
      </c>
      <c r="AF620" s="9" t="s">
        <v>135</v>
      </c>
      <c r="AG620" s="14" t="str">
        <f t="shared" si="22"/>
        <v>EXAMENES RADIOLOGICOS</v>
      </c>
      <c r="AH620" s="9">
        <v>0</v>
      </c>
      <c r="AI620" s="9">
        <v>0</v>
      </c>
      <c r="AJ620" s="9">
        <v>88081300</v>
      </c>
      <c r="AK620" s="9">
        <v>5</v>
      </c>
      <c r="AL620" s="26" t="s">
        <v>52</v>
      </c>
      <c r="AM620" s="14" t="s">
        <v>628</v>
      </c>
      <c r="AN620" s="27" t="str">
        <f t="shared" si="21"/>
        <v>12952727|88081300|765132665|65384060</v>
      </c>
      <c r="AO620" t="s">
        <v>44</v>
      </c>
      <c r="AP620" t="b">
        <v>0</v>
      </c>
      <c r="AQ620" t="s">
        <v>763</v>
      </c>
    </row>
    <row r="621" spans="1:43" x14ac:dyDescent="0.2">
      <c r="A621" s="14" t="s">
        <v>500</v>
      </c>
      <c r="B621" s="17">
        <v>12892012</v>
      </c>
      <c r="C621" s="14" t="s">
        <v>323</v>
      </c>
      <c r="D621" s="9">
        <v>12892012</v>
      </c>
      <c r="E621" s="9" t="s">
        <v>323</v>
      </c>
      <c r="F621" s="7">
        <v>45658</v>
      </c>
      <c r="G621" s="20" t="s">
        <v>36</v>
      </c>
      <c r="H621" s="8">
        <v>765143789</v>
      </c>
      <c r="I621" s="19">
        <v>765143789</v>
      </c>
      <c r="J621" s="10">
        <v>9741</v>
      </c>
      <c r="K621" s="10">
        <v>6819</v>
      </c>
      <c r="L621" s="10">
        <v>2922</v>
      </c>
      <c r="M621" s="10">
        <v>0</v>
      </c>
      <c r="N621" s="11">
        <v>2922</v>
      </c>
      <c r="O621" s="12">
        <v>765143789</v>
      </c>
      <c r="P621" s="9">
        <v>285123</v>
      </c>
      <c r="Q621" s="9" t="s">
        <v>37</v>
      </c>
      <c r="R621" s="13">
        <v>45672</v>
      </c>
      <c r="S621" s="22">
        <v>45672</v>
      </c>
      <c r="T621" s="13">
        <v>45672</v>
      </c>
      <c r="U621" s="13">
        <v>45672</v>
      </c>
      <c r="V621" s="9" t="s">
        <v>47</v>
      </c>
      <c r="W621" s="9">
        <v>22497881</v>
      </c>
      <c r="X621" s="9">
        <v>1210929</v>
      </c>
      <c r="Y621" s="9">
        <v>68689741</v>
      </c>
      <c r="Z621" s="9" t="s">
        <v>39</v>
      </c>
      <c r="AA621" s="9">
        <v>19012025</v>
      </c>
      <c r="AB621" s="9">
        <v>77381</v>
      </c>
      <c r="AC621" s="9" t="s">
        <v>41</v>
      </c>
      <c r="AD621" s="9" t="s">
        <v>65</v>
      </c>
      <c r="AE621" s="9" t="s">
        <v>66</v>
      </c>
      <c r="AF621" s="9" t="s">
        <v>66</v>
      </c>
      <c r="AG621" s="14" t="str">
        <f t="shared" si="22"/>
        <v>PROCEDIMIENTOS TERAPEUTICOS</v>
      </c>
      <c r="AH621" s="9" t="s">
        <v>758</v>
      </c>
      <c r="AI621" s="9">
        <v>0</v>
      </c>
      <c r="AJ621" s="9">
        <v>96942400</v>
      </c>
      <c r="AK621" s="9">
        <v>2</v>
      </c>
      <c r="AL621" s="26" t="s">
        <v>86</v>
      </c>
      <c r="AM621" s="14" t="s">
        <v>629</v>
      </c>
      <c r="AN621" s="27" t="str">
        <f t="shared" si="21"/>
        <v>12892012|96942400|765143789|765143789</v>
      </c>
      <c r="AO621" t="s">
        <v>758</v>
      </c>
      <c r="AP621" t="b">
        <v>1</v>
      </c>
      <c r="AQ621" t="s">
        <v>764</v>
      </c>
    </row>
    <row r="622" spans="1:43" x14ac:dyDescent="0.2">
      <c r="A622" s="14" t="s">
        <v>500</v>
      </c>
      <c r="B622" s="17">
        <v>12892012</v>
      </c>
      <c r="C622" s="14" t="s">
        <v>323</v>
      </c>
      <c r="D622" s="9">
        <v>12892012</v>
      </c>
      <c r="E622" s="9" t="s">
        <v>323</v>
      </c>
      <c r="F622" s="7">
        <v>45717</v>
      </c>
      <c r="G622" s="20" t="s">
        <v>46</v>
      </c>
      <c r="H622" s="8">
        <v>765143789</v>
      </c>
      <c r="I622" s="19">
        <v>65384050</v>
      </c>
      <c r="J622" s="10">
        <v>3073</v>
      </c>
      <c r="K622" s="10">
        <v>0</v>
      </c>
      <c r="L622" s="10">
        <v>3073</v>
      </c>
      <c r="M622" s="10">
        <v>0</v>
      </c>
      <c r="N622" s="11">
        <v>3073</v>
      </c>
      <c r="O622" s="12">
        <v>765143789</v>
      </c>
      <c r="P622" s="9">
        <v>285123</v>
      </c>
      <c r="Q622" s="9" t="s">
        <v>37</v>
      </c>
      <c r="R622" s="13">
        <v>45717</v>
      </c>
      <c r="S622" s="22">
        <v>45742</v>
      </c>
      <c r="T622" s="13">
        <v>45672</v>
      </c>
      <c r="U622" s="13">
        <v>45672</v>
      </c>
      <c r="V622" s="9" t="s">
        <v>47</v>
      </c>
      <c r="W622" s="9">
        <v>22770351</v>
      </c>
      <c r="X622" s="9">
        <v>3311105</v>
      </c>
      <c r="Y622" s="9">
        <v>69250938</v>
      </c>
      <c r="Z622" s="9" t="s">
        <v>39</v>
      </c>
      <c r="AA622" s="9">
        <v>207546631</v>
      </c>
      <c r="AB622" s="9">
        <v>78070</v>
      </c>
      <c r="AC622" s="9" t="s">
        <v>41</v>
      </c>
      <c r="AD622" s="9" t="s">
        <v>65</v>
      </c>
      <c r="AE622" s="9" t="s">
        <v>66</v>
      </c>
      <c r="AF622" s="9" t="s">
        <v>66</v>
      </c>
      <c r="AG622" s="14" t="str">
        <f t="shared" si="22"/>
        <v>PROCEDIMIENTOS TERAPEUTICOS</v>
      </c>
      <c r="AH622" s="9">
        <v>0</v>
      </c>
      <c r="AI622" s="9">
        <v>0</v>
      </c>
      <c r="AJ622" s="9">
        <v>96942400</v>
      </c>
      <c r="AK622" s="9">
        <v>2</v>
      </c>
      <c r="AL622" s="26" t="s">
        <v>52</v>
      </c>
      <c r="AM622" s="14" t="s">
        <v>629</v>
      </c>
      <c r="AN622" s="27" t="str">
        <f t="shared" si="21"/>
        <v>12892012|96942400|765143789|65384050</v>
      </c>
      <c r="AO622" t="s">
        <v>44</v>
      </c>
      <c r="AP622" t="b">
        <v>0</v>
      </c>
      <c r="AQ622" t="s">
        <v>763</v>
      </c>
    </row>
    <row r="623" spans="1:43" x14ac:dyDescent="0.2">
      <c r="A623" s="14" t="s">
        <v>500</v>
      </c>
      <c r="B623" s="17">
        <v>17833560</v>
      </c>
      <c r="C623" s="14" t="s">
        <v>315</v>
      </c>
      <c r="D623" s="9">
        <v>17833560</v>
      </c>
      <c r="E623" s="9" t="s">
        <v>315</v>
      </c>
      <c r="F623" s="7">
        <v>45658</v>
      </c>
      <c r="G623" s="20" t="s">
        <v>36</v>
      </c>
      <c r="H623" s="8">
        <v>765144161</v>
      </c>
      <c r="I623" s="19">
        <v>765144161</v>
      </c>
      <c r="J623" s="10">
        <v>53599</v>
      </c>
      <c r="K623" s="10">
        <v>32159</v>
      </c>
      <c r="L623" s="10">
        <v>21440</v>
      </c>
      <c r="M623" s="10">
        <v>0</v>
      </c>
      <c r="N623" s="11">
        <v>21440</v>
      </c>
      <c r="O623" s="12">
        <v>765144161</v>
      </c>
      <c r="P623" s="9">
        <v>285123</v>
      </c>
      <c r="Q623" s="9" t="s">
        <v>37</v>
      </c>
      <c r="R623" s="13">
        <v>45672</v>
      </c>
      <c r="S623" s="22">
        <v>45672</v>
      </c>
      <c r="T623" s="13">
        <v>45672</v>
      </c>
      <c r="U623" s="13">
        <v>45672</v>
      </c>
      <c r="V623" s="9" t="s">
        <v>47</v>
      </c>
      <c r="W623" s="9">
        <v>22497908</v>
      </c>
      <c r="X623" s="9">
        <v>1210929</v>
      </c>
      <c r="Y623" s="9">
        <v>68689764</v>
      </c>
      <c r="Z623" s="9" t="s">
        <v>39</v>
      </c>
      <c r="AA623" s="9">
        <v>19012025</v>
      </c>
      <c r="AB623" s="9">
        <v>77381</v>
      </c>
      <c r="AC623" s="9" t="s">
        <v>41</v>
      </c>
      <c r="AD623" s="9" t="s">
        <v>134</v>
      </c>
      <c r="AE623" s="9" t="s">
        <v>135</v>
      </c>
      <c r="AF623" s="9" t="s">
        <v>135</v>
      </c>
      <c r="AG623" s="14" t="str">
        <f t="shared" si="22"/>
        <v>EXAMENES RADIOLOGICOS</v>
      </c>
      <c r="AH623" s="9" t="s">
        <v>758</v>
      </c>
      <c r="AI623" s="9">
        <v>0</v>
      </c>
      <c r="AJ623" s="9">
        <v>79576810</v>
      </c>
      <c r="AK623" s="9">
        <v>6</v>
      </c>
      <c r="AL623" s="26" t="s">
        <v>86</v>
      </c>
      <c r="AM623" s="14" t="s">
        <v>624</v>
      </c>
      <c r="AN623" s="27" t="str">
        <f t="shared" si="21"/>
        <v>17833560|79576810|765144161|765144161</v>
      </c>
      <c r="AO623" t="s">
        <v>758</v>
      </c>
      <c r="AP623" t="b">
        <v>1</v>
      </c>
      <c r="AQ623" t="s">
        <v>764</v>
      </c>
    </row>
    <row r="624" spans="1:43" x14ac:dyDescent="0.2">
      <c r="A624" s="14" t="s">
        <v>500</v>
      </c>
      <c r="B624" s="17">
        <v>17833560</v>
      </c>
      <c r="C624" s="14" t="s">
        <v>315</v>
      </c>
      <c r="D624" s="9">
        <v>17833560</v>
      </c>
      <c r="E624" s="9" t="s">
        <v>315</v>
      </c>
      <c r="F624" s="7">
        <v>45717</v>
      </c>
      <c r="G624" s="20" t="s">
        <v>46</v>
      </c>
      <c r="H624" s="8">
        <v>765144161</v>
      </c>
      <c r="I624" s="19">
        <v>65384442</v>
      </c>
      <c r="J624" s="10">
        <v>21517</v>
      </c>
      <c r="K624" s="10">
        <v>0</v>
      </c>
      <c r="L624" s="10">
        <v>21517</v>
      </c>
      <c r="M624" s="10">
        <v>0</v>
      </c>
      <c r="N624" s="11">
        <v>21517</v>
      </c>
      <c r="O624" s="12">
        <v>765144161</v>
      </c>
      <c r="P624" s="9">
        <v>285123</v>
      </c>
      <c r="Q624" s="9" t="s">
        <v>37</v>
      </c>
      <c r="R624" s="13">
        <v>45717</v>
      </c>
      <c r="S624" s="22">
        <v>45742</v>
      </c>
      <c r="T624" s="13">
        <v>45672</v>
      </c>
      <c r="U624" s="13">
        <v>45672</v>
      </c>
      <c r="V624" s="9" t="s">
        <v>47</v>
      </c>
      <c r="W624" s="9">
        <v>22770355</v>
      </c>
      <c r="X624" s="9">
        <v>3311105</v>
      </c>
      <c r="Y624" s="9">
        <v>69251310</v>
      </c>
      <c r="Z624" s="9" t="s">
        <v>39</v>
      </c>
      <c r="AA624" s="9">
        <v>71936473</v>
      </c>
      <c r="AB624" s="9">
        <v>78070</v>
      </c>
      <c r="AC624" s="9" t="s">
        <v>41</v>
      </c>
      <c r="AD624" s="9" t="s">
        <v>134</v>
      </c>
      <c r="AE624" s="9" t="s">
        <v>135</v>
      </c>
      <c r="AF624" s="9" t="s">
        <v>135</v>
      </c>
      <c r="AG624" s="14" t="str">
        <f t="shared" si="22"/>
        <v>EXAMENES RADIOLOGICOS</v>
      </c>
      <c r="AH624" s="9">
        <v>0</v>
      </c>
      <c r="AI624" s="9">
        <v>0</v>
      </c>
      <c r="AJ624" s="9">
        <v>79576810</v>
      </c>
      <c r="AK624" s="9">
        <v>6</v>
      </c>
      <c r="AL624" s="26" t="s">
        <v>52</v>
      </c>
      <c r="AM624" s="14" t="s">
        <v>624</v>
      </c>
      <c r="AN624" s="27" t="str">
        <f t="shared" si="21"/>
        <v>17833560|79576810|765144161|65384442</v>
      </c>
      <c r="AO624" t="s">
        <v>44</v>
      </c>
      <c r="AP624" t="b">
        <v>0</v>
      </c>
      <c r="AQ624" t="s">
        <v>763</v>
      </c>
    </row>
    <row r="625" spans="1:43" x14ac:dyDescent="0.2">
      <c r="A625" s="14" t="s">
        <v>500</v>
      </c>
      <c r="B625" s="17">
        <v>15178550</v>
      </c>
      <c r="C625" s="14" t="s">
        <v>319</v>
      </c>
      <c r="D625" s="9">
        <v>15178550</v>
      </c>
      <c r="E625" s="9" t="s">
        <v>319</v>
      </c>
      <c r="F625" s="7">
        <v>45658</v>
      </c>
      <c r="G625" s="20" t="s">
        <v>36</v>
      </c>
      <c r="H625" s="8">
        <v>765162139</v>
      </c>
      <c r="I625" s="19">
        <v>765162139</v>
      </c>
      <c r="J625" s="10">
        <v>179513</v>
      </c>
      <c r="K625" s="10">
        <v>177718</v>
      </c>
      <c r="L625" s="10">
        <v>1795</v>
      </c>
      <c r="M625" s="10">
        <v>0</v>
      </c>
      <c r="N625" s="11">
        <v>1795</v>
      </c>
      <c r="O625" s="12">
        <v>765162139</v>
      </c>
      <c r="P625" s="9">
        <v>285123</v>
      </c>
      <c r="Q625" s="9" t="s">
        <v>37</v>
      </c>
      <c r="R625" s="13">
        <v>45673</v>
      </c>
      <c r="S625" s="22">
        <v>45673</v>
      </c>
      <c r="T625" s="13">
        <v>45673</v>
      </c>
      <c r="U625" s="13">
        <v>45673</v>
      </c>
      <c r="V625" s="9" t="s">
        <v>47</v>
      </c>
      <c r="W625" s="9">
        <v>22497937</v>
      </c>
      <c r="X625" s="9">
        <v>1210929</v>
      </c>
      <c r="Y625" s="9">
        <v>68690552</v>
      </c>
      <c r="Z625" s="9" t="s">
        <v>39</v>
      </c>
      <c r="AA625" s="9">
        <v>19012025</v>
      </c>
      <c r="AB625" s="9">
        <v>77381</v>
      </c>
      <c r="AC625" s="9" t="s">
        <v>41</v>
      </c>
      <c r="AD625" s="9" t="s">
        <v>134</v>
      </c>
      <c r="AE625" s="9" t="s">
        <v>135</v>
      </c>
      <c r="AF625" s="9" t="s">
        <v>135</v>
      </c>
      <c r="AG625" s="14" t="str">
        <f t="shared" si="22"/>
        <v>EXAMENES RADIOLOGICOS</v>
      </c>
      <c r="AH625" s="9" t="s">
        <v>758</v>
      </c>
      <c r="AI625" s="9">
        <v>0</v>
      </c>
      <c r="AJ625" s="9">
        <v>76434593</v>
      </c>
      <c r="AK625" s="9">
        <v>2</v>
      </c>
      <c r="AL625" s="26" t="s">
        <v>86</v>
      </c>
      <c r="AM625" s="14" t="s">
        <v>626</v>
      </c>
      <c r="AN625" s="27" t="str">
        <f t="shared" si="21"/>
        <v>15178550|76434593|765162139|765162139</v>
      </c>
      <c r="AO625" t="s">
        <v>758</v>
      </c>
      <c r="AP625" t="b">
        <v>1</v>
      </c>
      <c r="AQ625" t="s">
        <v>764</v>
      </c>
    </row>
    <row r="626" spans="1:43" x14ac:dyDescent="0.2">
      <c r="A626" s="14" t="s">
        <v>500</v>
      </c>
      <c r="B626" s="17">
        <v>15178550</v>
      </c>
      <c r="C626" s="14" t="s">
        <v>319</v>
      </c>
      <c r="D626" s="9">
        <v>15178550</v>
      </c>
      <c r="E626" s="9" t="s">
        <v>319</v>
      </c>
      <c r="F626" s="7">
        <v>45717</v>
      </c>
      <c r="G626" s="20" t="s">
        <v>46</v>
      </c>
      <c r="H626" s="8">
        <v>765162139</v>
      </c>
      <c r="I626" s="19">
        <v>65384257</v>
      </c>
      <c r="J626" s="10">
        <v>1921</v>
      </c>
      <c r="K626" s="10">
        <v>0</v>
      </c>
      <c r="L626" s="10">
        <v>1921</v>
      </c>
      <c r="M626" s="10">
        <v>0</v>
      </c>
      <c r="N626" s="11">
        <v>1921</v>
      </c>
      <c r="O626" s="12">
        <v>765162139</v>
      </c>
      <c r="P626" s="9">
        <v>285123</v>
      </c>
      <c r="Q626" s="9" t="s">
        <v>37</v>
      </c>
      <c r="R626" s="13">
        <v>45717</v>
      </c>
      <c r="S626" s="22">
        <v>45742</v>
      </c>
      <c r="T626" s="13">
        <v>45673</v>
      </c>
      <c r="U626" s="13">
        <v>45673</v>
      </c>
      <c r="V626" s="9" t="s">
        <v>47</v>
      </c>
      <c r="W626" s="9">
        <v>22770362</v>
      </c>
      <c r="X626" s="9">
        <v>3311105</v>
      </c>
      <c r="Y626" s="9">
        <v>69251130</v>
      </c>
      <c r="Z626" s="9" t="s">
        <v>39</v>
      </c>
      <c r="AA626" s="9">
        <v>70407584</v>
      </c>
      <c r="AB626" s="9">
        <v>78070</v>
      </c>
      <c r="AC626" s="9" t="s">
        <v>41</v>
      </c>
      <c r="AD626" s="9" t="s">
        <v>134</v>
      </c>
      <c r="AE626" s="9" t="s">
        <v>135</v>
      </c>
      <c r="AF626" s="9" t="s">
        <v>135</v>
      </c>
      <c r="AG626" s="14" t="str">
        <f t="shared" si="22"/>
        <v>EXAMENES RADIOLOGICOS</v>
      </c>
      <c r="AH626" s="9">
        <v>0</v>
      </c>
      <c r="AI626" s="9">
        <v>0</v>
      </c>
      <c r="AJ626" s="9">
        <v>76434593</v>
      </c>
      <c r="AK626" s="9">
        <v>2</v>
      </c>
      <c r="AL626" s="26" t="s">
        <v>52</v>
      </c>
      <c r="AM626" s="14" t="s">
        <v>626</v>
      </c>
      <c r="AN626" s="27" t="str">
        <f t="shared" si="21"/>
        <v>15178550|76434593|765162139|65384257</v>
      </c>
      <c r="AO626" t="s">
        <v>44</v>
      </c>
      <c r="AP626" t="b">
        <v>0</v>
      </c>
      <c r="AQ626" t="s">
        <v>763</v>
      </c>
    </row>
    <row r="627" spans="1:43" x14ac:dyDescent="0.2">
      <c r="A627" s="14" t="s">
        <v>500</v>
      </c>
      <c r="B627" s="17">
        <v>15178550</v>
      </c>
      <c r="C627" s="14" t="s">
        <v>319</v>
      </c>
      <c r="D627" s="9">
        <v>15178550</v>
      </c>
      <c r="E627" s="9" t="s">
        <v>319</v>
      </c>
      <c r="F627" s="7">
        <v>45658</v>
      </c>
      <c r="G627" s="20" t="s">
        <v>36</v>
      </c>
      <c r="H627" s="8">
        <v>765162140</v>
      </c>
      <c r="I627" s="19">
        <v>765162140</v>
      </c>
      <c r="J627" s="10">
        <v>26673</v>
      </c>
      <c r="K627" s="10">
        <v>18165</v>
      </c>
      <c r="L627" s="10">
        <v>8508</v>
      </c>
      <c r="M627" s="10">
        <v>0</v>
      </c>
      <c r="N627" s="11">
        <v>8508</v>
      </c>
      <c r="O627" s="12">
        <v>765162140</v>
      </c>
      <c r="P627" s="9">
        <v>285123</v>
      </c>
      <c r="Q627" s="9" t="s">
        <v>37</v>
      </c>
      <c r="R627" s="13">
        <v>45673</v>
      </c>
      <c r="S627" s="22">
        <v>45673</v>
      </c>
      <c r="T627" s="13">
        <v>45673</v>
      </c>
      <c r="U627" s="13">
        <v>45673</v>
      </c>
      <c r="V627" s="9" t="s">
        <v>47</v>
      </c>
      <c r="W627" s="9">
        <v>22497937</v>
      </c>
      <c r="X627" s="9">
        <v>1210929</v>
      </c>
      <c r="Y627" s="9">
        <v>68690551</v>
      </c>
      <c r="Z627" s="9" t="s">
        <v>39</v>
      </c>
      <c r="AA627" s="9">
        <v>19012025</v>
      </c>
      <c r="AB627" s="9">
        <v>77381</v>
      </c>
      <c r="AC627" s="9" t="s">
        <v>41</v>
      </c>
      <c r="AD627" s="9" t="s">
        <v>65</v>
      </c>
      <c r="AE627" s="9" t="s">
        <v>66</v>
      </c>
      <c r="AF627" s="9" t="s">
        <v>66</v>
      </c>
      <c r="AG627" s="14" t="str">
        <f t="shared" si="22"/>
        <v>PROCEDIMIENTOS TERAPEUTICOS</v>
      </c>
      <c r="AH627" s="9" t="s">
        <v>758</v>
      </c>
      <c r="AI627" s="9">
        <v>0</v>
      </c>
      <c r="AJ627" s="9">
        <v>76434593</v>
      </c>
      <c r="AK627" s="9">
        <v>2</v>
      </c>
      <c r="AL627" s="26" t="s">
        <v>86</v>
      </c>
      <c r="AM627" s="14" t="s">
        <v>626</v>
      </c>
      <c r="AN627" s="27" t="str">
        <f t="shared" si="21"/>
        <v>15178550|76434593|765162140|765162140</v>
      </c>
      <c r="AO627" t="s">
        <v>758</v>
      </c>
      <c r="AP627" t="b">
        <v>1</v>
      </c>
      <c r="AQ627" t="s">
        <v>764</v>
      </c>
    </row>
    <row r="628" spans="1:43" x14ac:dyDescent="0.2">
      <c r="A628" s="14" t="s">
        <v>500</v>
      </c>
      <c r="B628" s="17">
        <v>15178550</v>
      </c>
      <c r="C628" s="14" t="s">
        <v>319</v>
      </c>
      <c r="D628" s="9">
        <v>15178550</v>
      </c>
      <c r="E628" s="9" t="s">
        <v>319</v>
      </c>
      <c r="F628" s="7">
        <v>45717</v>
      </c>
      <c r="G628" s="20" t="s">
        <v>46</v>
      </c>
      <c r="H628" s="8">
        <v>765162140</v>
      </c>
      <c r="I628" s="19">
        <v>65384258</v>
      </c>
      <c r="J628" s="10">
        <v>8452</v>
      </c>
      <c r="K628" s="10">
        <v>0</v>
      </c>
      <c r="L628" s="10">
        <v>8452</v>
      </c>
      <c r="M628" s="10">
        <v>0</v>
      </c>
      <c r="N628" s="11">
        <v>8452</v>
      </c>
      <c r="O628" s="12">
        <v>765162140</v>
      </c>
      <c r="P628" s="9">
        <v>285123</v>
      </c>
      <c r="Q628" s="9" t="s">
        <v>37</v>
      </c>
      <c r="R628" s="13">
        <v>45717</v>
      </c>
      <c r="S628" s="22">
        <v>45742</v>
      </c>
      <c r="T628" s="13">
        <v>45673</v>
      </c>
      <c r="U628" s="13">
        <v>45673</v>
      </c>
      <c r="V628" s="9" t="s">
        <v>47</v>
      </c>
      <c r="W628" s="9">
        <v>22770362</v>
      </c>
      <c r="X628" s="9">
        <v>3311105</v>
      </c>
      <c r="Y628" s="9">
        <v>69251131</v>
      </c>
      <c r="Z628" s="9" t="s">
        <v>39</v>
      </c>
      <c r="AA628" s="9">
        <v>70407584</v>
      </c>
      <c r="AB628" s="9">
        <v>78070</v>
      </c>
      <c r="AC628" s="9" t="s">
        <v>41</v>
      </c>
      <c r="AD628" s="9" t="s">
        <v>65</v>
      </c>
      <c r="AE628" s="9" t="s">
        <v>66</v>
      </c>
      <c r="AF628" s="9" t="s">
        <v>66</v>
      </c>
      <c r="AG628" s="14" t="str">
        <f t="shared" si="22"/>
        <v>PROCEDIMIENTOS TERAPEUTICOS</v>
      </c>
      <c r="AH628" s="9">
        <v>0</v>
      </c>
      <c r="AI628" s="9">
        <v>0</v>
      </c>
      <c r="AJ628" s="9">
        <v>76434593</v>
      </c>
      <c r="AK628" s="9">
        <v>2</v>
      </c>
      <c r="AL628" s="26" t="s">
        <v>52</v>
      </c>
      <c r="AM628" s="14" t="s">
        <v>626</v>
      </c>
      <c r="AN628" s="27" t="str">
        <f t="shared" si="21"/>
        <v>15178550|76434593|765162140|65384258</v>
      </c>
      <c r="AO628" t="s">
        <v>44</v>
      </c>
      <c r="AP628" t="b">
        <v>0</v>
      </c>
      <c r="AQ628" t="s">
        <v>763</v>
      </c>
    </row>
    <row r="629" spans="1:43" x14ac:dyDescent="0.2">
      <c r="A629" s="14" t="s">
        <v>500</v>
      </c>
      <c r="B629" s="17">
        <v>15178550</v>
      </c>
      <c r="C629" s="14" t="s">
        <v>319</v>
      </c>
      <c r="D629" s="9">
        <v>15178550</v>
      </c>
      <c r="E629" s="9" t="s">
        <v>319</v>
      </c>
      <c r="F629" s="7">
        <v>45658</v>
      </c>
      <c r="G629" s="20" t="s">
        <v>36</v>
      </c>
      <c r="H629" s="8">
        <v>765162172</v>
      </c>
      <c r="I629" s="19">
        <v>765162172</v>
      </c>
      <c r="J629" s="10">
        <v>144941</v>
      </c>
      <c r="K629" s="10">
        <v>135008</v>
      </c>
      <c r="L629" s="10">
        <v>9933</v>
      </c>
      <c r="M629" s="10">
        <v>0</v>
      </c>
      <c r="N629" s="11">
        <v>9933</v>
      </c>
      <c r="O629" s="12">
        <v>765162172</v>
      </c>
      <c r="P629" s="9">
        <v>285123</v>
      </c>
      <c r="Q629" s="9" t="s">
        <v>37</v>
      </c>
      <c r="R629" s="13">
        <v>45673</v>
      </c>
      <c r="S629" s="22">
        <v>45673</v>
      </c>
      <c r="T629" s="13">
        <v>45673</v>
      </c>
      <c r="U629" s="13">
        <v>45673</v>
      </c>
      <c r="V629" s="9" t="s">
        <v>47</v>
      </c>
      <c r="W629" s="9">
        <v>22497937</v>
      </c>
      <c r="X629" s="9">
        <v>1210929</v>
      </c>
      <c r="Y629" s="9">
        <v>68690555</v>
      </c>
      <c r="Z629" s="9" t="s">
        <v>39</v>
      </c>
      <c r="AA629" s="9">
        <v>19012025</v>
      </c>
      <c r="AB629" s="9">
        <v>77381</v>
      </c>
      <c r="AC629" s="9" t="s">
        <v>41</v>
      </c>
      <c r="AD629" s="9" t="s">
        <v>132</v>
      </c>
      <c r="AE629" s="9" t="s">
        <v>133</v>
      </c>
      <c r="AF629" s="9" t="s">
        <v>133</v>
      </c>
      <c r="AG629" s="14" t="str">
        <f t="shared" si="22"/>
        <v>EXAMENES DE LABORATORIO</v>
      </c>
      <c r="AH629" s="9" t="s">
        <v>758</v>
      </c>
      <c r="AI629" s="9">
        <v>0</v>
      </c>
      <c r="AJ629" s="9">
        <v>96606750</v>
      </c>
      <c r="AK629" s="9">
        <v>0</v>
      </c>
      <c r="AL629" s="26" t="s">
        <v>86</v>
      </c>
      <c r="AM629" s="14" t="s">
        <v>626</v>
      </c>
      <c r="AN629" s="27" t="str">
        <f t="shared" si="21"/>
        <v>15178550|96606750|765162172|765162172</v>
      </c>
      <c r="AO629" t="s">
        <v>758</v>
      </c>
      <c r="AP629" t="b">
        <v>1</v>
      </c>
      <c r="AQ629" t="s">
        <v>764</v>
      </c>
    </row>
    <row r="630" spans="1:43" x14ac:dyDescent="0.2">
      <c r="A630" s="14" t="s">
        <v>500</v>
      </c>
      <c r="B630" s="17">
        <v>15178550</v>
      </c>
      <c r="C630" s="14" t="s">
        <v>319</v>
      </c>
      <c r="D630" s="9">
        <v>15178550</v>
      </c>
      <c r="E630" s="9" t="s">
        <v>319</v>
      </c>
      <c r="F630" s="7">
        <v>45717</v>
      </c>
      <c r="G630" s="20" t="s">
        <v>46</v>
      </c>
      <c r="H630" s="8">
        <v>765162172</v>
      </c>
      <c r="I630" s="19">
        <v>65384259</v>
      </c>
      <c r="J630" s="10">
        <v>9988</v>
      </c>
      <c r="K630" s="10">
        <v>0</v>
      </c>
      <c r="L630" s="10">
        <v>9988</v>
      </c>
      <c r="M630" s="10">
        <v>0</v>
      </c>
      <c r="N630" s="11">
        <v>9988</v>
      </c>
      <c r="O630" s="12">
        <v>765162172</v>
      </c>
      <c r="P630" s="9">
        <v>285123</v>
      </c>
      <c r="Q630" s="9" t="s">
        <v>37</v>
      </c>
      <c r="R630" s="13">
        <v>45717</v>
      </c>
      <c r="S630" s="22">
        <v>45742</v>
      </c>
      <c r="T630" s="13">
        <v>45673</v>
      </c>
      <c r="U630" s="13">
        <v>45673</v>
      </c>
      <c r="V630" s="9" t="s">
        <v>47</v>
      </c>
      <c r="W630" s="9">
        <v>22770362</v>
      </c>
      <c r="X630" s="9">
        <v>3311105</v>
      </c>
      <c r="Y630" s="9">
        <v>69251132</v>
      </c>
      <c r="Z630" s="9" t="s">
        <v>39</v>
      </c>
      <c r="AA630" s="9">
        <v>70407584</v>
      </c>
      <c r="AB630" s="9">
        <v>78070</v>
      </c>
      <c r="AC630" s="9" t="s">
        <v>41</v>
      </c>
      <c r="AD630" s="9" t="s">
        <v>132</v>
      </c>
      <c r="AE630" s="9" t="s">
        <v>133</v>
      </c>
      <c r="AF630" s="9" t="s">
        <v>133</v>
      </c>
      <c r="AG630" s="14" t="str">
        <f t="shared" si="22"/>
        <v>EXAMENES DE LABORATORIO</v>
      </c>
      <c r="AH630" s="9">
        <v>0</v>
      </c>
      <c r="AI630" s="9">
        <v>0</v>
      </c>
      <c r="AJ630" s="9">
        <v>96606750</v>
      </c>
      <c r="AK630" s="9">
        <v>0</v>
      </c>
      <c r="AL630" s="26" t="s">
        <v>52</v>
      </c>
      <c r="AM630" s="14" t="s">
        <v>626</v>
      </c>
      <c r="AN630" s="27" t="str">
        <f t="shared" si="21"/>
        <v>15178550|96606750|765162172|65384259</v>
      </c>
      <c r="AO630" t="s">
        <v>44</v>
      </c>
      <c r="AP630" t="b">
        <v>0</v>
      </c>
      <c r="AQ630" t="s">
        <v>763</v>
      </c>
    </row>
    <row r="631" spans="1:43" x14ac:dyDescent="0.2">
      <c r="A631" s="14" t="s">
        <v>500</v>
      </c>
      <c r="B631" s="17">
        <v>8665623</v>
      </c>
      <c r="C631" s="14" t="s">
        <v>185</v>
      </c>
      <c r="D631" s="9">
        <v>8665623</v>
      </c>
      <c r="E631" s="9" t="s">
        <v>185</v>
      </c>
      <c r="F631" s="7">
        <v>45658</v>
      </c>
      <c r="G631" s="20" t="s">
        <v>36</v>
      </c>
      <c r="H631" s="8">
        <v>765176294</v>
      </c>
      <c r="I631" s="19">
        <v>765176294</v>
      </c>
      <c r="J631" s="10">
        <v>16790</v>
      </c>
      <c r="K631" s="10">
        <v>11753</v>
      </c>
      <c r="L631" s="10">
        <v>5037</v>
      </c>
      <c r="M631" s="10">
        <v>0</v>
      </c>
      <c r="N631" s="11">
        <v>5037</v>
      </c>
      <c r="O631" s="12">
        <v>765176294</v>
      </c>
      <c r="P631" s="9">
        <v>285123</v>
      </c>
      <c r="Q631" s="9" t="s">
        <v>37</v>
      </c>
      <c r="R631" s="13">
        <v>45674</v>
      </c>
      <c r="S631" s="22">
        <v>45674</v>
      </c>
      <c r="T631" s="13">
        <v>45674</v>
      </c>
      <c r="U631" s="13">
        <v>45674</v>
      </c>
      <c r="V631" s="9" t="s">
        <v>47</v>
      </c>
      <c r="W631" s="9">
        <v>22497953</v>
      </c>
      <c r="X631" s="9">
        <v>1210929</v>
      </c>
      <c r="Y631" s="9">
        <v>68691260</v>
      </c>
      <c r="Z631" s="9" t="s">
        <v>39</v>
      </c>
      <c r="AA631" s="9">
        <v>19012025</v>
      </c>
      <c r="AB631" s="9">
        <v>77381</v>
      </c>
      <c r="AC631" s="9" t="s">
        <v>41</v>
      </c>
      <c r="AD631" s="9" t="s">
        <v>132</v>
      </c>
      <c r="AE631" s="9" t="s">
        <v>133</v>
      </c>
      <c r="AF631" s="9" t="s">
        <v>133</v>
      </c>
      <c r="AG631" s="14" t="str">
        <f t="shared" si="22"/>
        <v>EXAMENES DE LABORATORIO</v>
      </c>
      <c r="AH631" s="9" t="s">
        <v>758</v>
      </c>
      <c r="AI631" s="9">
        <v>0</v>
      </c>
      <c r="AJ631" s="9">
        <v>99573490</v>
      </c>
      <c r="AK631" s="9">
        <v>7</v>
      </c>
      <c r="AL631" s="26" t="s">
        <v>86</v>
      </c>
      <c r="AM631" s="14" t="s">
        <v>535</v>
      </c>
      <c r="AN631" s="27" t="str">
        <f t="shared" si="21"/>
        <v>8665623|99573490|765176294|765176294</v>
      </c>
      <c r="AO631" t="s">
        <v>758</v>
      </c>
      <c r="AP631" t="b">
        <v>1</v>
      </c>
      <c r="AQ631" t="s">
        <v>764</v>
      </c>
    </row>
    <row r="632" spans="1:43" x14ac:dyDescent="0.2">
      <c r="A632" s="14" t="s">
        <v>500</v>
      </c>
      <c r="B632" s="17">
        <v>8665623</v>
      </c>
      <c r="C632" s="14" t="s">
        <v>185</v>
      </c>
      <c r="D632" s="9">
        <v>8665623</v>
      </c>
      <c r="E632" s="9" t="s">
        <v>185</v>
      </c>
      <c r="F632" s="7">
        <v>45717</v>
      </c>
      <c r="G632" s="20" t="s">
        <v>46</v>
      </c>
      <c r="H632" s="8">
        <v>765176294</v>
      </c>
      <c r="I632" s="19">
        <v>65383690</v>
      </c>
      <c r="J632" s="10">
        <v>4993</v>
      </c>
      <c r="K632" s="10">
        <v>0</v>
      </c>
      <c r="L632" s="10">
        <v>4993</v>
      </c>
      <c r="M632" s="10">
        <v>0</v>
      </c>
      <c r="N632" s="11">
        <v>4993</v>
      </c>
      <c r="O632" s="12">
        <v>765176294</v>
      </c>
      <c r="P632" s="9">
        <v>285123</v>
      </c>
      <c r="Q632" s="9" t="s">
        <v>37</v>
      </c>
      <c r="R632" s="13">
        <v>45717</v>
      </c>
      <c r="S632" s="22">
        <v>45742</v>
      </c>
      <c r="T632" s="13">
        <v>45674</v>
      </c>
      <c r="U632" s="13">
        <v>45674</v>
      </c>
      <c r="V632" s="9" t="s">
        <v>47</v>
      </c>
      <c r="W632" s="9">
        <v>22770366</v>
      </c>
      <c r="X632" s="9">
        <v>3311105</v>
      </c>
      <c r="Y632" s="9">
        <v>69250581</v>
      </c>
      <c r="Z632" s="9" t="s">
        <v>39</v>
      </c>
      <c r="AA632" s="9">
        <v>61932348</v>
      </c>
      <c r="AB632" s="9">
        <v>78070</v>
      </c>
      <c r="AC632" s="9" t="s">
        <v>41</v>
      </c>
      <c r="AD632" s="9" t="s">
        <v>132</v>
      </c>
      <c r="AE632" s="9" t="s">
        <v>133</v>
      </c>
      <c r="AF632" s="9" t="s">
        <v>133</v>
      </c>
      <c r="AG632" s="14" t="str">
        <f t="shared" si="22"/>
        <v>EXAMENES DE LABORATORIO</v>
      </c>
      <c r="AH632" s="9">
        <v>0</v>
      </c>
      <c r="AI632" s="9">
        <v>0</v>
      </c>
      <c r="AJ632" s="9">
        <v>99573490</v>
      </c>
      <c r="AK632" s="9">
        <v>7</v>
      </c>
      <c r="AL632" s="26" t="s">
        <v>52</v>
      </c>
      <c r="AM632" s="14" t="s">
        <v>535</v>
      </c>
      <c r="AN632" s="27" t="str">
        <f t="shared" si="21"/>
        <v>8665623|99573490|765176294|65383690</v>
      </c>
      <c r="AO632" t="s">
        <v>44</v>
      </c>
      <c r="AP632" t="b">
        <v>0</v>
      </c>
      <c r="AQ632" t="s">
        <v>763</v>
      </c>
    </row>
    <row r="633" spans="1:43" x14ac:dyDescent="0.2">
      <c r="A633" s="14" t="s">
        <v>500</v>
      </c>
      <c r="B633" s="17">
        <v>9401001</v>
      </c>
      <c r="C633" s="14" t="s">
        <v>318</v>
      </c>
      <c r="D633" s="9">
        <v>9401001</v>
      </c>
      <c r="E633" s="9" t="s">
        <v>318</v>
      </c>
      <c r="F633" s="7">
        <v>45658</v>
      </c>
      <c r="G633" s="20" t="s">
        <v>36</v>
      </c>
      <c r="H633" s="8">
        <v>765183163</v>
      </c>
      <c r="I633" s="19">
        <v>765183163</v>
      </c>
      <c r="J633" s="10">
        <v>22536</v>
      </c>
      <c r="K633" s="10">
        <v>12973</v>
      </c>
      <c r="L633" s="10">
        <v>9563</v>
      </c>
      <c r="M633" s="10">
        <v>0</v>
      </c>
      <c r="N633" s="11">
        <v>9563</v>
      </c>
      <c r="O633" s="12">
        <v>765183163</v>
      </c>
      <c r="P633" s="9">
        <v>285123</v>
      </c>
      <c r="Q633" s="9" t="s">
        <v>37</v>
      </c>
      <c r="R633" s="13">
        <v>45675</v>
      </c>
      <c r="S633" s="22">
        <v>45675</v>
      </c>
      <c r="T633" s="13">
        <v>45675</v>
      </c>
      <c r="U633" s="13">
        <v>45675</v>
      </c>
      <c r="V633" s="9" t="s">
        <v>47</v>
      </c>
      <c r="W633" s="9">
        <v>22524568</v>
      </c>
      <c r="X633" s="9">
        <v>1271320</v>
      </c>
      <c r="Y633" s="9">
        <v>68705317</v>
      </c>
      <c r="Z633" s="9" t="s">
        <v>39</v>
      </c>
      <c r="AA633" s="9">
        <v>26012025</v>
      </c>
      <c r="AB633" s="9">
        <v>77442</v>
      </c>
      <c r="AC633" s="9" t="s">
        <v>41</v>
      </c>
      <c r="AD633" s="9" t="s">
        <v>65</v>
      </c>
      <c r="AE633" s="9" t="s">
        <v>66</v>
      </c>
      <c r="AF633" s="9" t="s">
        <v>66</v>
      </c>
      <c r="AG633" s="14" t="str">
        <f t="shared" si="22"/>
        <v>PROCEDIMIENTOS TERAPEUTICOS</v>
      </c>
      <c r="AH633" s="9" t="s">
        <v>758</v>
      </c>
      <c r="AI633" s="9">
        <v>0</v>
      </c>
      <c r="AJ633" s="9">
        <v>78040520</v>
      </c>
      <c r="AK633" s="9">
        <v>1</v>
      </c>
      <c r="AL633" s="26" t="s">
        <v>86</v>
      </c>
      <c r="AM633" s="14" t="s">
        <v>625</v>
      </c>
      <c r="AN633" s="27" t="str">
        <f t="shared" si="21"/>
        <v>9401001|78040520|765183163|765183163</v>
      </c>
      <c r="AO633" t="s">
        <v>758</v>
      </c>
      <c r="AP633" t="b">
        <v>1</v>
      </c>
      <c r="AQ633" t="s">
        <v>764</v>
      </c>
    </row>
    <row r="634" spans="1:43" x14ac:dyDescent="0.2">
      <c r="A634" s="14" t="s">
        <v>500</v>
      </c>
      <c r="B634" s="17">
        <v>9401001</v>
      </c>
      <c r="C634" s="14" t="s">
        <v>318</v>
      </c>
      <c r="D634" s="9">
        <v>9401001</v>
      </c>
      <c r="E634" s="9" t="s">
        <v>318</v>
      </c>
      <c r="F634" s="7">
        <v>45717</v>
      </c>
      <c r="G634" s="20" t="s">
        <v>46</v>
      </c>
      <c r="H634" s="8">
        <v>765183163</v>
      </c>
      <c r="I634" s="19">
        <v>65383726</v>
      </c>
      <c r="J634" s="10">
        <v>9604</v>
      </c>
      <c r="K634" s="10">
        <v>0</v>
      </c>
      <c r="L634" s="10">
        <v>9604</v>
      </c>
      <c r="M634" s="10">
        <v>0</v>
      </c>
      <c r="N634" s="11">
        <v>9604</v>
      </c>
      <c r="O634" s="12">
        <v>765183163</v>
      </c>
      <c r="P634" s="9">
        <v>285123</v>
      </c>
      <c r="Q634" s="9" t="s">
        <v>37</v>
      </c>
      <c r="R634" s="13">
        <v>45717</v>
      </c>
      <c r="S634" s="22">
        <v>45742</v>
      </c>
      <c r="T634" s="13">
        <v>45675</v>
      </c>
      <c r="U634" s="13">
        <v>45675</v>
      </c>
      <c r="V634" s="9" t="s">
        <v>47</v>
      </c>
      <c r="W634" s="9">
        <v>22770379</v>
      </c>
      <c r="X634" s="9">
        <v>3311105</v>
      </c>
      <c r="Y634" s="9">
        <v>69250617</v>
      </c>
      <c r="Z634" s="9" t="s">
        <v>39</v>
      </c>
      <c r="AA634" s="9">
        <v>5864925</v>
      </c>
      <c r="AB634" s="9">
        <v>78070</v>
      </c>
      <c r="AC634" s="9" t="s">
        <v>41</v>
      </c>
      <c r="AD634" s="9" t="s">
        <v>65</v>
      </c>
      <c r="AE634" s="9" t="s">
        <v>66</v>
      </c>
      <c r="AF634" s="9" t="s">
        <v>66</v>
      </c>
      <c r="AG634" s="14" t="str">
        <f t="shared" si="22"/>
        <v>PROCEDIMIENTOS TERAPEUTICOS</v>
      </c>
      <c r="AH634" s="9">
        <v>0</v>
      </c>
      <c r="AI634" s="9">
        <v>0</v>
      </c>
      <c r="AJ634" s="9">
        <v>78040520</v>
      </c>
      <c r="AK634" s="9">
        <v>1</v>
      </c>
      <c r="AL634" s="26" t="s">
        <v>52</v>
      </c>
      <c r="AM634" s="14" t="s">
        <v>625</v>
      </c>
      <c r="AN634" s="27" t="str">
        <f t="shared" si="21"/>
        <v>9401001|78040520|765183163|65383726</v>
      </c>
      <c r="AO634" t="s">
        <v>44</v>
      </c>
      <c r="AP634" t="b">
        <v>0</v>
      </c>
      <c r="AQ634" t="s">
        <v>763</v>
      </c>
    </row>
    <row r="635" spans="1:43" x14ac:dyDescent="0.2">
      <c r="A635" s="14" t="s">
        <v>500</v>
      </c>
      <c r="B635" s="17">
        <v>8665623</v>
      </c>
      <c r="C635" s="14" t="s">
        <v>185</v>
      </c>
      <c r="D635" s="9">
        <v>8665623</v>
      </c>
      <c r="E635" s="9" t="s">
        <v>185</v>
      </c>
      <c r="F635" s="7">
        <v>45658</v>
      </c>
      <c r="G635" s="20" t="s">
        <v>36</v>
      </c>
      <c r="H635" s="8">
        <v>765192599</v>
      </c>
      <c r="I635" s="19">
        <v>765192599</v>
      </c>
      <c r="J635" s="10">
        <v>28200</v>
      </c>
      <c r="K635" s="10">
        <v>19740</v>
      </c>
      <c r="L635" s="10">
        <v>8460</v>
      </c>
      <c r="M635" s="10">
        <v>0</v>
      </c>
      <c r="N635" s="11">
        <v>8460</v>
      </c>
      <c r="O635" s="12">
        <v>765192599</v>
      </c>
      <c r="P635" s="9">
        <v>285123</v>
      </c>
      <c r="Q635" s="9" t="s">
        <v>37</v>
      </c>
      <c r="R635" s="13">
        <v>45677</v>
      </c>
      <c r="S635" s="22">
        <v>45677</v>
      </c>
      <c r="T635" s="13">
        <v>45677</v>
      </c>
      <c r="U635" s="13">
        <v>45677</v>
      </c>
      <c r="V635" s="9" t="s">
        <v>47</v>
      </c>
      <c r="W635" s="9">
        <v>22524585</v>
      </c>
      <c r="X635" s="9">
        <v>1271320</v>
      </c>
      <c r="Y635" s="9">
        <v>68705806</v>
      </c>
      <c r="Z635" s="9" t="s">
        <v>39</v>
      </c>
      <c r="AA635" s="9">
        <v>26012025</v>
      </c>
      <c r="AB635" s="9">
        <v>77442</v>
      </c>
      <c r="AC635" s="9" t="s">
        <v>41</v>
      </c>
      <c r="AD635" s="9" t="s">
        <v>132</v>
      </c>
      <c r="AE635" s="9" t="s">
        <v>133</v>
      </c>
      <c r="AF635" s="9" t="s">
        <v>133</v>
      </c>
      <c r="AG635" s="14" t="str">
        <f t="shared" si="22"/>
        <v>EXAMENES DE LABORATORIO</v>
      </c>
      <c r="AH635" s="9" t="s">
        <v>758</v>
      </c>
      <c r="AI635" s="9">
        <v>0</v>
      </c>
      <c r="AJ635" s="9">
        <v>99573490</v>
      </c>
      <c r="AK635" s="9">
        <v>7</v>
      </c>
      <c r="AL635" s="26" t="s">
        <v>86</v>
      </c>
      <c r="AM635" s="14" t="s">
        <v>535</v>
      </c>
      <c r="AN635" s="27" t="str">
        <f t="shared" si="21"/>
        <v>8665623|99573490|765192599|765192599</v>
      </c>
      <c r="AO635" t="s">
        <v>758</v>
      </c>
      <c r="AP635" t="b">
        <v>1</v>
      </c>
      <c r="AQ635" t="s">
        <v>764</v>
      </c>
    </row>
    <row r="636" spans="1:43" x14ac:dyDescent="0.2">
      <c r="A636" s="14" t="s">
        <v>500</v>
      </c>
      <c r="B636" s="17">
        <v>8665623</v>
      </c>
      <c r="C636" s="14" t="s">
        <v>185</v>
      </c>
      <c r="D636" s="9">
        <v>8665623</v>
      </c>
      <c r="E636" s="9" t="s">
        <v>185</v>
      </c>
      <c r="F636" s="7">
        <v>45717</v>
      </c>
      <c r="G636" s="20" t="s">
        <v>46</v>
      </c>
      <c r="H636" s="8">
        <v>765192599</v>
      </c>
      <c r="I636" s="19">
        <v>65383691</v>
      </c>
      <c r="J636" s="10">
        <v>8449</v>
      </c>
      <c r="K636" s="10">
        <v>0</v>
      </c>
      <c r="L636" s="10">
        <v>8449</v>
      </c>
      <c r="M636" s="10">
        <v>0</v>
      </c>
      <c r="N636" s="11">
        <v>8449</v>
      </c>
      <c r="O636" s="12">
        <v>765192599</v>
      </c>
      <c r="P636" s="9">
        <v>285123</v>
      </c>
      <c r="Q636" s="9" t="s">
        <v>37</v>
      </c>
      <c r="R636" s="13">
        <v>45717</v>
      </c>
      <c r="S636" s="22">
        <v>45742</v>
      </c>
      <c r="T636" s="13">
        <v>45677</v>
      </c>
      <c r="U636" s="13">
        <v>45677</v>
      </c>
      <c r="V636" s="9" t="s">
        <v>47</v>
      </c>
      <c r="W636" s="9">
        <v>22770383</v>
      </c>
      <c r="X636" s="9">
        <v>3311105</v>
      </c>
      <c r="Y636" s="9">
        <v>69250582</v>
      </c>
      <c r="Z636" s="9" t="s">
        <v>39</v>
      </c>
      <c r="AA636" s="9">
        <v>61932348</v>
      </c>
      <c r="AB636" s="9">
        <v>78070</v>
      </c>
      <c r="AC636" s="9" t="s">
        <v>41</v>
      </c>
      <c r="AD636" s="9" t="s">
        <v>132</v>
      </c>
      <c r="AE636" s="9" t="s">
        <v>133</v>
      </c>
      <c r="AF636" s="9" t="s">
        <v>133</v>
      </c>
      <c r="AG636" s="14" t="str">
        <f t="shared" si="22"/>
        <v>EXAMENES DE LABORATORIO</v>
      </c>
      <c r="AH636" s="9">
        <v>0</v>
      </c>
      <c r="AI636" s="9">
        <v>0</v>
      </c>
      <c r="AJ636" s="9">
        <v>99573490</v>
      </c>
      <c r="AK636" s="9">
        <v>7</v>
      </c>
      <c r="AL636" s="26" t="s">
        <v>52</v>
      </c>
      <c r="AM636" s="14" t="s">
        <v>535</v>
      </c>
      <c r="AN636" s="27" t="str">
        <f t="shared" si="21"/>
        <v>8665623|99573490|765192599|65383691</v>
      </c>
      <c r="AO636" t="s">
        <v>44</v>
      </c>
      <c r="AP636" t="b">
        <v>0</v>
      </c>
      <c r="AQ636" t="s">
        <v>763</v>
      </c>
    </row>
    <row r="637" spans="1:43" x14ac:dyDescent="0.2">
      <c r="A637" s="14" t="s">
        <v>500</v>
      </c>
      <c r="B637" s="17">
        <v>8665623</v>
      </c>
      <c r="C637" s="14" t="s">
        <v>185</v>
      </c>
      <c r="D637" s="9">
        <v>8665623</v>
      </c>
      <c r="E637" s="9" t="s">
        <v>185</v>
      </c>
      <c r="F637" s="7">
        <v>45658</v>
      </c>
      <c r="G637" s="20" t="s">
        <v>36</v>
      </c>
      <c r="H637" s="8">
        <v>765192600</v>
      </c>
      <c r="I637" s="19">
        <v>765192600</v>
      </c>
      <c r="J637" s="10">
        <v>73020</v>
      </c>
      <c r="K637" s="10">
        <v>51114</v>
      </c>
      <c r="L637" s="10">
        <v>21906</v>
      </c>
      <c r="M637" s="10">
        <v>0</v>
      </c>
      <c r="N637" s="11">
        <v>21906</v>
      </c>
      <c r="O637" s="12">
        <v>765192600</v>
      </c>
      <c r="P637" s="9">
        <v>285123</v>
      </c>
      <c r="Q637" s="9" t="s">
        <v>37</v>
      </c>
      <c r="R637" s="13">
        <v>45677</v>
      </c>
      <c r="S637" s="22">
        <v>45677</v>
      </c>
      <c r="T637" s="13">
        <v>45677</v>
      </c>
      <c r="U637" s="13">
        <v>45677</v>
      </c>
      <c r="V637" s="9" t="s">
        <v>47</v>
      </c>
      <c r="W637" s="9">
        <v>22524585</v>
      </c>
      <c r="X637" s="9">
        <v>1271320</v>
      </c>
      <c r="Y637" s="9">
        <v>68705805</v>
      </c>
      <c r="Z637" s="9" t="s">
        <v>39</v>
      </c>
      <c r="AA637" s="9">
        <v>26012025</v>
      </c>
      <c r="AB637" s="9">
        <v>77442</v>
      </c>
      <c r="AC637" s="9" t="s">
        <v>41</v>
      </c>
      <c r="AD637" s="9" t="s">
        <v>132</v>
      </c>
      <c r="AE637" s="9" t="s">
        <v>133</v>
      </c>
      <c r="AF637" s="9" t="s">
        <v>133</v>
      </c>
      <c r="AG637" s="14" t="str">
        <f t="shared" si="22"/>
        <v>EXAMENES DE LABORATORIO</v>
      </c>
      <c r="AH637" s="9" t="s">
        <v>758</v>
      </c>
      <c r="AI637" s="9">
        <v>0</v>
      </c>
      <c r="AJ637" s="9">
        <v>99573490</v>
      </c>
      <c r="AK637" s="9">
        <v>7</v>
      </c>
      <c r="AL637" s="26" t="s">
        <v>86</v>
      </c>
      <c r="AM637" s="14" t="s">
        <v>535</v>
      </c>
      <c r="AN637" s="27" t="str">
        <f t="shared" si="21"/>
        <v>8665623|99573490|765192600|765192600</v>
      </c>
      <c r="AO637" t="s">
        <v>758</v>
      </c>
      <c r="AP637" t="b">
        <v>1</v>
      </c>
      <c r="AQ637" t="s">
        <v>764</v>
      </c>
    </row>
    <row r="638" spans="1:43" x14ac:dyDescent="0.2">
      <c r="A638" s="14" t="s">
        <v>500</v>
      </c>
      <c r="B638" s="17">
        <v>8665623</v>
      </c>
      <c r="C638" s="14" t="s">
        <v>185</v>
      </c>
      <c r="D638" s="9">
        <v>8665623</v>
      </c>
      <c r="E638" s="9" t="s">
        <v>185</v>
      </c>
      <c r="F638" s="7">
        <v>45717</v>
      </c>
      <c r="G638" s="20" t="s">
        <v>46</v>
      </c>
      <c r="H638" s="8">
        <v>765192600</v>
      </c>
      <c r="I638" s="19">
        <v>65383692</v>
      </c>
      <c r="J638" s="10">
        <v>21892</v>
      </c>
      <c r="K638" s="10">
        <v>0</v>
      </c>
      <c r="L638" s="10">
        <v>21892</v>
      </c>
      <c r="M638" s="10">
        <v>0</v>
      </c>
      <c r="N638" s="11">
        <v>21892</v>
      </c>
      <c r="O638" s="12">
        <v>765192600</v>
      </c>
      <c r="P638" s="9">
        <v>285123</v>
      </c>
      <c r="Q638" s="9" t="s">
        <v>37</v>
      </c>
      <c r="R638" s="13">
        <v>45717</v>
      </c>
      <c r="S638" s="22">
        <v>45742</v>
      </c>
      <c r="T638" s="13">
        <v>45677</v>
      </c>
      <c r="U638" s="13">
        <v>45677</v>
      </c>
      <c r="V638" s="9" t="s">
        <v>47</v>
      </c>
      <c r="W638" s="9">
        <v>22770383</v>
      </c>
      <c r="X638" s="9">
        <v>3311105</v>
      </c>
      <c r="Y638" s="9">
        <v>69250583</v>
      </c>
      <c r="Z638" s="9" t="s">
        <v>39</v>
      </c>
      <c r="AA638" s="9">
        <v>61932348</v>
      </c>
      <c r="AB638" s="9">
        <v>78070</v>
      </c>
      <c r="AC638" s="9" t="s">
        <v>41</v>
      </c>
      <c r="AD638" s="9" t="s">
        <v>132</v>
      </c>
      <c r="AE638" s="9" t="s">
        <v>133</v>
      </c>
      <c r="AF638" s="9" t="s">
        <v>133</v>
      </c>
      <c r="AG638" s="14" t="str">
        <f t="shared" si="22"/>
        <v>EXAMENES DE LABORATORIO</v>
      </c>
      <c r="AH638" s="9">
        <v>0</v>
      </c>
      <c r="AI638" s="9">
        <v>0</v>
      </c>
      <c r="AJ638" s="9">
        <v>99573490</v>
      </c>
      <c r="AK638" s="9">
        <v>7</v>
      </c>
      <c r="AL638" s="26" t="s">
        <v>52</v>
      </c>
      <c r="AM638" s="14" t="s">
        <v>535</v>
      </c>
      <c r="AN638" s="27" t="str">
        <f t="shared" si="21"/>
        <v>8665623|99573490|765192600|65383692</v>
      </c>
      <c r="AO638" t="s">
        <v>44</v>
      </c>
      <c r="AP638" t="b">
        <v>0</v>
      </c>
      <c r="AQ638" t="s">
        <v>763</v>
      </c>
    </row>
    <row r="639" spans="1:43" x14ac:dyDescent="0.2">
      <c r="A639" s="14" t="s">
        <v>500</v>
      </c>
      <c r="B639" s="17">
        <v>8665623</v>
      </c>
      <c r="C639" s="14" t="s">
        <v>185</v>
      </c>
      <c r="D639" s="9">
        <v>8665623</v>
      </c>
      <c r="E639" s="9" t="s">
        <v>185</v>
      </c>
      <c r="F639" s="7">
        <v>45658</v>
      </c>
      <c r="G639" s="20" t="s">
        <v>36</v>
      </c>
      <c r="H639" s="8">
        <v>765192601</v>
      </c>
      <c r="I639" s="19">
        <v>765192601</v>
      </c>
      <c r="J639" s="10">
        <v>18780</v>
      </c>
      <c r="K639" s="10">
        <v>13146</v>
      </c>
      <c r="L639" s="10">
        <v>5634</v>
      </c>
      <c r="M639" s="10">
        <v>0</v>
      </c>
      <c r="N639" s="11">
        <v>5634</v>
      </c>
      <c r="O639" s="12">
        <v>765192601</v>
      </c>
      <c r="P639" s="9">
        <v>285123</v>
      </c>
      <c r="Q639" s="9" t="s">
        <v>37</v>
      </c>
      <c r="R639" s="13">
        <v>45677</v>
      </c>
      <c r="S639" s="22">
        <v>45677</v>
      </c>
      <c r="T639" s="13">
        <v>45677</v>
      </c>
      <c r="U639" s="13">
        <v>45677</v>
      </c>
      <c r="V639" s="9" t="s">
        <v>47</v>
      </c>
      <c r="W639" s="9">
        <v>22524585</v>
      </c>
      <c r="X639" s="9">
        <v>1271320</v>
      </c>
      <c r="Y639" s="9">
        <v>68705804</v>
      </c>
      <c r="Z639" s="9" t="s">
        <v>39</v>
      </c>
      <c r="AA639" s="9">
        <v>26012025</v>
      </c>
      <c r="AB639" s="9">
        <v>77442</v>
      </c>
      <c r="AC639" s="9" t="s">
        <v>41</v>
      </c>
      <c r="AD639" s="9" t="s">
        <v>132</v>
      </c>
      <c r="AE639" s="9" t="s">
        <v>133</v>
      </c>
      <c r="AF639" s="9" t="s">
        <v>133</v>
      </c>
      <c r="AG639" s="14" t="str">
        <f t="shared" si="22"/>
        <v>EXAMENES DE LABORATORIO</v>
      </c>
      <c r="AH639" s="9" t="s">
        <v>758</v>
      </c>
      <c r="AI639" s="9">
        <v>0</v>
      </c>
      <c r="AJ639" s="9">
        <v>99573490</v>
      </c>
      <c r="AK639" s="9">
        <v>7</v>
      </c>
      <c r="AL639" s="26" t="s">
        <v>86</v>
      </c>
      <c r="AM639" s="14" t="s">
        <v>535</v>
      </c>
      <c r="AN639" s="27" t="str">
        <f t="shared" si="21"/>
        <v>8665623|99573490|765192601|765192601</v>
      </c>
      <c r="AO639" t="s">
        <v>758</v>
      </c>
      <c r="AP639" t="b">
        <v>1</v>
      </c>
      <c r="AQ639" t="s">
        <v>764</v>
      </c>
    </row>
    <row r="640" spans="1:43" x14ac:dyDescent="0.2">
      <c r="A640" s="14" t="s">
        <v>500</v>
      </c>
      <c r="B640" s="17">
        <v>8665623</v>
      </c>
      <c r="C640" s="14" t="s">
        <v>185</v>
      </c>
      <c r="D640" s="9">
        <v>8665623</v>
      </c>
      <c r="E640" s="9" t="s">
        <v>185</v>
      </c>
      <c r="F640" s="7">
        <v>45717</v>
      </c>
      <c r="G640" s="20" t="s">
        <v>46</v>
      </c>
      <c r="H640" s="8">
        <v>765192601</v>
      </c>
      <c r="I640" s="19">
        <v>65383693</v>
      </c>
      <c r="J640" s="10">
        <v>5761</v>
      </c>
      <c r="K640" s="10">
        <v>0</v>
      </c>
      <c r="L640" s="10">
        <v>5761</v>
      </c>
      <c r="M640" s="10">
        <v>0</v>
      </c>
      <c r="N640" s="11">
        <v>5761</v>
      </c>
      <c r="O640" s="12">
        <v>765192601</v>
      </c>
      <c r="P640" s="9">
        <v>285123</v>
      </c>
      <c r="Q640" s="9" t="s">
        <v>37</v>
      </c>
      <c r="R640" s="13">
        <v>45717</v>
      </c>
      <c r="S640" s="22">
        <v>45742</v>
      </c>
      <c r="T640" s="13">
        <v>45677</v>
      </c>
      <c r="U640" s="13">
        <v>45677</v>
      </c>
      <c r="V640" s="9" t="s">
        <v>47</v>
      </c>
      <c r="W640" s="9">
        <v>22770383</v>
      </c>
      <c r="X640" s="9">
        <v>3311105</v>
      </c>
      <c r="Y640" s="9">
        <v>69250584</v>
      </c>
      <c r="Z640" s="9" t="s">
        <v>39</v>
      </c>
      <c r="AA640" s="9">
        <v>61932348</v>
      </c>
      <c r="AB640" s="9">
        <v>78070</v>
      </c>
      <c r="AC640" s="9" t="s">
        <v>41</v>
      </c>
      <c r="AD640" s="9" t="s">
        <v>132</v>
      </c>
      <c r="AE640" s="9" t="s">
        <v>133</v>
      </c>
      <c r="AF640" s="9" t="s">
        <v>133</v>
      </c>
      <c r="AG640" s="14" t="str">
        <f t="shared" si="22"/>
        <v>EXAMENES DE LABORATORIO</v>
      </c>
      <c r="AH640" s="9">
        <v>0</v>
      </c>
      <c r="AI640" s="9">
        <v>0</v>
      </c>
      <c r="AJ640" s="9">
        <v>99573490</v>
      </c>
      <c r="AK640" s="9">
        <v>7</v>
      </c>
      <c r="AL640" s="26" t="s">
        <v>52</v>
      </c>
      <c r="AM640" s="14" t="s">
        <v>535</v>
      </c>
      <c r="AN640" s="27" t="str">
        <f t="shared" si="21"/>
        <v>8665623|99573490|765192601|65383693</v>
      </c>
      <c r="AO640" t="s">
        <v>44</v>
      </c>
      <c r="AP640" t="b">
        <v>0</v>
      </c>
      <c r="AQ640" t="s">
        <v>763</v>
      </c>
    </row>
    <row r="641" spans="1:43" x14ac:dyDescent="0.2">
      <c r="A641" s="14" t="s">
        <v>500</v>
      </c>
      <c r="B641" s="17">
        <v>15178550</v>
      </c>
      <c r="C641" s="14" t="s">
        <v>319</v>
      </c>
      <c r="D641" s="9">
        <v>15178550</v>
      </c>
      <c r="E641" s="9" t="s">
        <v>319</v>
      </c>
      <c r="F641" s="7">
        <v>45658</v>
      </c>
      <c r="G641" s="20" t="s">
        <v>36</v>
      </c>
      <c r="H641" s="8">
        <v>765207318</v>
      </c>
      <c r="I641" s="19">
        <v>765207318</v>
      </c>
      <c r="J641" s="10">
        <v>179513</v>
      </c>
      <c r="K641" s="10">
        <v>177718</v>
      </c>
      <c r="L641" s="10">
        <v>1795</v>
      </c>
      <c r="M641" s="10">
        <v>0</v>
      </c>
      <c r="N641" s="11">
        <v>1795</v>
      </c>
      <c r="O641" s="12">
        <v>765207318</v>
      </c>
      <c r="P641" s="9">
        <v>285123</v>
      </c>
      <c r="Q641" s="9" t="s">
        <v>37</v>
      </c>
      <c r="R641" s="13">
        <v>45678</v>
      </c>
      <c r="S641" s="22">
        <v>45678</v>
      </c>
      <c r="T641" s="13">
        <v>45678</v>
      </c>
      <c r="U641" s="13">
        <v>45678</v>
      </c>
      <c r="V641" s="9" t="s">
        <v>47</v>
      </c>
      <c r="W641" s="9">
        <v>22524658</v>
      </c>
      <c r="X641" s="9">
        <v>1271320</v>
      </c>
      <c r="Y641" s="9">
        <v>68706585</v>
      </c>
      <c r="Z641" s="9" t="s">
        <v>39</v>
      </c>
      <c r="AA641" s="9">
        <v>26012025</v>
      </c>
      <c r="AB641" s="9">
        <v>77442</v>
      </c>
      <c r="AC641" s="9" t="s">
        <v>41</v>
      </c>
      <c r="AD641" s="9" t="s">
        <v>134</v>
      </c>
      <c r="AE641" s="9" t="s">
        <v>135</v>
      </c>
      <c r="AF641" s="9" t="s">
        <v>135</v>
      </c>
      <c r="AG641" s="14" t="str">
        <f t="shared" si="22"/>
        <v>EXAMENES RADIOLOGICOS</v>
      </c>
      <c r="AH641" s="9" t="s">
        <v>758</v>
      </c>
      <c r="AI641" s="9">
        <v>0</v>
      </c>
      <c r="AJ641" s="9">
        <v>76434593</v>
      </c>
      <c r="AK641" s="9">
        <v>2</v>
      </c>
      <c r="AL641" s="26" t="s">
        <v>86</v>
      </c>
      <c r="AM641" s="14" t="s">
        <v>626</v>
      </c>
      <c r="AN641" s="27" t="str">
        <f t="shared" si="21"/>
        <v>15178550|76434593|765207318|765207318</v>
      </c>
      <c r="AO641" t="s">
        <v>758</v>
      </c>
      <c r="AP641" t="b">
        <v>1</v>
      </c>
      <c r="AQ641" t="s">
        <v>764</v>
      </c>
    </row>
    <row r="642" spans="1:43" x14ac:dyDescent="0.2">
      <c r="A642" s="14" t="s">
        <v>500</v>
      </c>
      <c r="B642" s="17">
        <v>15178550</v>
      </c>
      <c r="C642" s="14" t="s">
        <v>319</v>
      </c>
      <c r="D642" s="9">
        <v>15178550</v>
      </c>
      <c r="E642" s="9" t="s">
        <v>319</v>
      </c>
      <c r="F642" s="7">
        <v>45717</v>
      </c>
      <c r="G642" s="20" t="s">
        <v>46</v>
      </c>
      <c r="H642" s="8">
        <v>765207318</v>
      </c>
      <c r="I642" s="19">
        <v>65384260</v>
      </c>
      <c r="J642" s="10">
        <v>1920</v>
      </c>
      <c r="K642" s="10">
        <v>0</v>
      </c>
      <c r="L642" s="10">
        <v>1920</v>
      </c>
      <c r="M642" s="10">
        <v>0</v>
      </c>
      <c r="N642" s="11">
        <v>1920</v>
      </c>
      <c r="O642" s="12">
        <v>765207318</v>
      </c>
      <c r="P642" s="9">
        <v>285123</v>
      </c>
      <c r="Q642" s="9" t="s">
        <v>37</v>
      </c>
      <c r="R642" s="13">
        <v>45717</v>
      </c>
      <c r="S642" s="22">
        <v>45742</v>
      </c>
      <c r="T642" s="13">
        <v>45678</v>
      </c>
      <c r="U642" s="13">
        <v>45678</v>
      </c>
      <c r="V642" s="9" t="s">
        <v>47</v>
      </c>
      <c r="W642" s="9">
        <v>22770397</v>
      </c>
      <c r="X642" s="9">
        <v>3311105</v>
      </c>
      <c r="Y642" s="9">
        <v>69251133</v>
      </c>
      <c r="Z642" s="9" t="s">
        <v>39</v>
      </c>
      <c r="AA642" s="9">
        <v>70407584</v>
      </c>
      <c r="AB642" s="9">
        <v>78070</v>
      </c>
      <c r="AC642" s="9" t="s">
        <v>41</v>
      </c>
      <c r="AD642" s="9" t="s">
        <v>134</v>
      </c>
      <c r="AE642" s="9" t="s">
        <v>135</v>
      </c>
      <c r="AF642" s="9" t="s">
        <v>135</v>
      </c>
      <c r="AG642" s="14" t="str">
        <f t="shared" si="22"/>
        <v>EXAMENES RADIOLOGICOS</v>
      </c>
      <c r="AH642" s="9">
        <v>0</v>
      </c>
      <c r="AI642" s="9">
        <v>0</v>
      </c>
      <c r="AJ642" s="9">
        <v>76434593</v>
      </c>
      <c r="AK642" s="9">
        <v>2</v>
      </c>
      <c r="AL642" s="26" t="s">
        <v>52</v>
      </c>
      <c r="AM642" s="14" t="s">
        <v>626</v>
      </c>
      <c r="AN642" s="27" t="str">
        <f t="shared" si="21"/>
        <v>15178550|76434593|765207318|65384260</v>
      </c>
      <c r="AO642" t="s">
        <v>44</v>
      </c>
      <c r="AP642" t="b">
        <v>0</v>
      </c>
      <c r="AQ642" t="s">
        <v>763</v>
      </c>
    </row>
    <row r="643" spans="1:43" x14ac:dyDescent="0.2">
      <c r="A643" s="14" t="s">
        <v>500</v>
      </c>
      <c r="B643" s="17">
        <v>9643668</v>
      </c>
      <c r="C643" s="14" t="s">
        <v>324</v>
      </c>
      <c r="D643" s="9">
        <v>9643668</v>
      </c>
      <c r="E643" s="9" t="s">
        <v>324</v>
      </c>
      <c r="F643" s="7">
        <v>45658</v>
      </c>
      <c r="G643" s="20" t="s">
        <v>36</v>
      </c>
      <c r="H643" s="8">
        <v>765217627</v>
      </c>
      <c r="I643" s="19">
        <v>765217627</v>
      </c>
      <c r="J643" s="10">
        <v>9400</v>
      </c>
      <c r="K643" s="10">
        <v>7921</v>
      </c>
      <c r="L643" s="10">
        <v>1479</v>
      </c>
      <c r="M643" s="10">
        <v>0</v>
      </c>
      <c r="N643" s="11">
        <v>1479</v>
      </c>
      <c r="O643" s="12">
        <v>765217627</v>
      </c>
      <c r="P643" s="9">
        <v>285123</v>
      </c>
      <c r="Q643" s="9" t="s">
        <v>37</v>
      </c>
      <c r="R643" s="13">
        <v>45678</v>
      </c>
      <c r="S643" s="22">
        <v>45678</v>
      </c>
      <c r="T643" s="13">
        <v>45678</v>
      </c>
      <c r="U643" s="13">
        <v>45678</v>
      </c>
      <c r="V643" s="9" t="s">
        <v>47</v>
      </c>
      <c r="W643" s="9">
        <v>22524637</v>
      </c>
      <c r="X643" s="9">
        <v>1271320</v>
      </c>
      <c r="Y643" s="9">
        <v>68707045</v>
      </c>
      <c r="Z643" s="9" t="s">
        <v>39</v>
      </c>
      <c r="AA643" s="9">
        <v>26012025</v>
      </c>
      <c r="AB643" s="9">
        <v>77442</v>
      </c>
      <c r="AC643" s="9" t="s">
        <v>41</v>
      </c>
      <c r="AD643" s="9" t="s">
        <v>65</v>
      </c>
      <c r="AE643" s="9" t="s">
        <v>66</v>
      </c>
      <c r="AF643" s="9" t="s">
        <v>66</v>
      </c>
      <c r="AG643" s="14" t="str">
        <f t="shared" si="22"/>
        <v>PROCEDIMIENTOS TERAPEUTICOS</v>
      </c>
      <c r="AH643" s="9" t="s">
        <v>758</v>
      </c>
      <c r="AI643" s="9">
        <v>0</v>
      </c>
      <c r="AJ643" s="9">
        <v>76940110</v>
      </c>
      <c r="AK643" s="9">
        <v>5</v>
      </c>
      <c r="AL643" s="26" t="s">
        <v>86</v>
      </c>
      <c r="AM643" s="14" t="s">
        <v>630</v>
      </c>
      <c r="AN643" s="27" t="str">
        <f t="shared" ref="AN643:AN706" si="23">B643&amp;"|"&amp;AJ643&amp;"|"&amp;H643&amp;"|"&amp;I643</f>
        <v>9643668|76940110|765217627|765217627</v>
      </c>
      <c r="AO643" t="s">
        <v>758</v>
      </c>
      <c r="AP643" t="b">
        <v>1</v>
      </c>
      <c r="AQ643" t="s">
        <v>764</v>
      </c>
    </row>
    <row r="644" spans="1:43" x14ac:dyDescent="0.2">
      <c r="A644" s="14" t="s">
        <v>500</v>
      </c>
      <c r="B644" s="17">
        <v>9643668</v>
      </c>
      <c r="C644" s="14" t="s">
        <v>324</v>
      </c>
      <c r="D644" s="9">
        <v>9643668</v>
      </c>
      <c r="E644" s="9" t="s">
        <v>324</v>
      </c>
      <c r="F644" s="7">
        <v>45717</v>
      </c>
      <c r="G644" s="20" t="s">
        <v>46</v>
      </c>
      <c r="H644" s="8">
        <v>765217627</v>
      </c>
      <c r="I644" s="19">
        <v>65383755</v>
      </c>
      <c r="J644" s="10">
        <v>1536</v>
      </c>
      <c r="K644" s="10">
        <v>0</v>
      </c>
      <c r="L644" s="10">
        <v>1536</v>
      </c>
      <c r="M644" s="10">
        <v>0</v>
      </c>
      <c r="N644" s="11">
        <v>1536</v>
      </c>
      <c r="O644" s="12">
        <v>765217627</v>
      </c>
      <c r="P644" s="9">
        <v>285123</v>
      </c>
      <c r="Q644" s="9" t="s">
        <v>37</v>
      </c>
      <c r="R644" s="13">
        <v>45717</v>
      </c>
      <c r="S644" s="22">
        <v>45742</v>
      </c>
      <c r="T644" s="13">
        <v>45678</v>
      </c>
      <c r="U644" s="13">
        <v>45678</v>
      </c>
      <c r="V644" s="9" t="s">
        <v>47</v>
      </c>
      <c r="W644" s="9">
        <v>22770392</v>
      </c>
      <c r="X644" s="9">
        <v>3311105</v>
      </c>
      <c r="Y644" s="9">
        <v>69250645</v>
      </c>
      <c r="Z644" s="9" t="s">
        <v>39</v>
      </c>
      <c r="AA644" s="9">
        <v>580360901</v>
      </c>
      <c r="AB644" s="9">
        <v>78070</v>
      </c>
      <c r="AC644" s="9" t="s">
        <v>41</v>
      </c>
      <c r="AD644" s="9" t="s">
        <v>65</v>
      </c>
      <c r="AE644" s="9" t="s">
        <v>66</v>
      </c>
      <c r="AF644" s="9" t="s">
        <v>66</v>
      </c>
      <c r="AG644" s="14" t="str">
        <f t="shared" si="22"/>
        <v>PROCEDIMIENTOS TERAPEUTICOS</v>
      </c>
      <c r="AH644" s="9">
        <v>0</v>
      </c>
      <c r="AI644" s="9">
        <v>0</v>
      </c>
      <c r="AJ644" s="9">
        <v>76940110</v>
      </c>
      <c r="AK644" s="9">
        <v>5</v>
      </c>
      <c r="AL644" s="26" t="s">
        <v>52</v>
      </c>
      <c r="AM644" s="14" t="s">
        <v>630</v>
      </c>
      <c r="AN644" s="27" t="str">
        <f t="shared" si="23"/>
        <v>9643668|76940110|765217627|65383755</v>
      </c>
      <c r="AO644" t="s">
        <v>44</v>
      </c>
      <c r="AP644" t="b">
        <v>0</v>
      </c>
      <c r="AQ644" t="s">
        <v>763</v>
      </c>
    </row>
    <row r="645" spans="1:43" x14ac:dyDescent="0.2">
      <c r="A645" s="14" t="s">
        <v>500</v>
      </c>
      <c r="B645" s="17">
        <v>26190532</v>
      </c>
      <c r="C645" s="14" t="s">
        <v>325</v>
      </c>
      <c r="D645" s="9">
        <v>26190532</v>
      </c>
      <c r="E645" s="9" t="s">
        <v>325</v>
      </c>
      <c r="F645" s="7">
        <v>45658</v>
      </c>
      <c r="G645" s="20" t="s">
        <v>36</v>
      </c>
      <c r="H645" s="8">
        <v>765219136</v>
      </c>
      <c r="I645" s="19">
        <v>765219136</v>
      </c>
      <c r="J645" s="10">
        <v>114125</v>
      </c>
      <c r="K645" s="10">
        <v>79888</v>
      </c>
      <c r="L645" s="10">
        <v>34237</v>
      </c>
      <c r="M645" s="10">
        <v>0</v>
      </c>
      <c r="N645" s="11">
        <v>34237</v>
      </c>
      <c r="O645" s="12">
        <v>765219136</v>
      </c>
      <c r="P645" s="9">
        <v>285123</v>
      </c>
      <c r="Q645" s="9" t="s">
        <v>37</v>
      </c>
      <c r="R645" s="13">
        <v>45678</v>
      </c>
      <c r="S645" s="22">
        <v>45678</v>
      </c>
      <c r="T645" s="13">
        <v>45678</v>
      </c>
      <c r="U645" s="13">
        <v>45678</v>
      </c>
      <c r="V645" s="9" t="s">
        <v>47</v>
      </c>
      <c r="W645" s="9">
        <v>22524678</v>
      </c>
      <c r="X645" s="9">
        <v>1271320</v>
      </c>
      <c r="Y645" s="9">
        <v>68707116</v>
      </c>
      <c r="Z645" s="9" t="s">
        <v>39</v>
      </c>
      <c r="AA645" s="9">
        <v>26012025</v>
      </c>
      <c r="AB645" s="9">
        <v>77442</v>
      </c>
      <c r="AC645" s="9" t="s">
        <v>41</v>
      </c>
      <c r="AD645" s="9" t="s">
        <v>134</v>
      </c>
      <c r="AE645" s="9" t="s">
        <v>135</v>
      </c>
      <c r="AF645" s="9" t="s">
        <v>135</v>
      </c>
      <c r="AG645" s="14" t="str">
        <f t="shared" si="22"/>
        <v>EXAMENES RADIOLOGICOS</v>
      </c>
      <c r="AH645" s="9" t="s">
        <v>758</v>
      </c>
      <c r="AI645" s="9">
        <v>0</v>
      </c>
      <c r="AJ645" s="9">
        <v>78040520</v>
      </c>
      <c r="AK645" s="9">
        <v>1</v>
      </c>
      <c r="AL645" s="26" t="s">
        <v>86</v>
      </c>
      <c r="AM645" s="14" t="s">
        <v>631</v>
      </c>
      <c r="AN645" s="27" t="str">
        <f t="shared" si="23"/>
        <v>26190532|78040520|765219136|765219136</v>
      </c>
      <c r="AO645" t="s">
        <v>758</v>
      </c>
      <c r="AP645" t="b">
        <v>1</v>
      </c>
      <c r="AQ645" t="s">
        <v>764</v>
      </c>
    </row>
    <row r="646" spans="1:43" x14ac:dyDescent="0.2">
      <c r="A646" s="14" t="s">
        <v>500</v>
      </c>
      <c r="B646" s="17">
        <v>26190532</v>
      </c>
      <c r="C646" s="14" t="s">
        <v>325</v>
      </c>
      <c r="D646" s="9">
        <v>26190532</v>
      </c>
      <c r="E646" s="9" t="s">
        <v>325</v>
      </c>
      <c r="F646" s="7">
        <v>45717</v>
      </c>
      <c r="G646" s="20" t="s">
        <v>46</v>
      </c>
      <c r="H646" s="8">
        <v>765219136</v>
      </c>
      <c r="I646" s="19">
        <v>65384525</v>
      </c>
      <c r="J646" s="10">
        <v>34184</v>
      </c>
      <c r="K646" s="10">
        <v>0</v>
      </c>
      <c r="L646" s="10">
        <v>34184</v>
      </c>
      <c r="M646" s="10">
        <v>0</v>
      </c>
      <c r="N646" s="11">
        <v>34184</v>
      </c>
      <c r="O646" s="12">
        <v>765219136</v>
      </c>
      <c r="P646" s="9">
        <v>285123</v>
      </c>
      <c r="Q646" s="9" t="s">
        <v>37</v>
      </c>
      <c r="R646" s="13">
        <v>45717</v>
      </c>
      <c r="S646" s="22">
        <v>45742</v>
      </c>
      <c r="T646" s="13">
        <v>45678</v>
      </c>
      <c r="U646" s="13">
        <v>45678</v>
      </c>
      <c r="V646" s="9" t="s">
        <v>47</v>
      </c>
      <c r="W646" s="9">
        <v>22770400</v>
      </c>
      <c r="X646" s="9">
        <v>3311105</v>
      </c>
      <c r="Y646" s="9">
        <v>69251388</v>
      </c>
      <c r="Z646" s="9" t="s">
        <v>39</v>
      </c>
      <c r="AA646" s="9">
        <v>19811327393</v>
      </c>
      <c r="AB646" s="9">
        <v>78070</v>
      </c>
      <c r="AC646" s="9" t="s">
        <v>41</v>
      </c>
      <c r="AD646" s="9" t="s">
        <v>134</v>
      </c>
      <c r="AE646" s="9" t="s">
        <v>135</v>
      </c>
      <c r="AF646" s="9" t="s">
        <v>135</v>
      </c>
      <c r="AG646" s="14" t="str">
        <f t="shared" si="22"/>
        <v>EXAMENES RADIOLOGICOS</v>
      </c>
      <c r="AH646" s="9">
        <v>0</v>
      </c>
      <c r="AI646" s="9">
        <v>0</v>
      </c>
      <c r="AJ646" s="9">
        <v>78040520</v>
      </c>
      <c r="AK646" s="9">
        <v>1</v>
      </c>
      <c r="AL646" s="26" t="s">
        <v>52</v>
      </c>
      <c r="AM646" s="14" t="s">
        <v>631</v>
      </c>
      <c r="AN646" s="27" t="str">
        <f t="shared" si="23"/>
        <v>26190532|78040520|765219136|65384525</v>
      </c>
      <c r="AO646" t="s">
        <v>44</v>
      </c>
      <c r="AP646" t="b">
        <v>0</v>
      </c>
      <c r="AQ646" t="s">
        <v>763</v>
      </c>
    </row>
    <row r="647" spans="1:43" x14ac:dyDescent="0.2">
      <c r="A647" s="14" t="s">
        <v>500</v>
      </c>
      <c r="B647" s="17">
        <v>9859164</v>
      </c>
      <c r="C647" s="14" t="s">
        <v>326</v>
      </c>
      <c r="D647" s="9">
        <v>9859164</v>
      </c>
      <c r="E647" s="9" t="s">
        <v>326</v>
      </c>
      <c r="F647" s="7">
        <v>45658</v>
      </c>
      <c r="G647" s="20" t="s">
        <v>36</v>
      </c>
      <c r="H647" s="8">
        <v>765223815</v>
      </c>
      <c r="I647" s="19">
        <v>765223815</v>
      </c>
      <c r="J647" s="10">
        <v>7059</v>
      </c>
      <c r="K647" s="10">
        <v>4942</v>
      </c>
      <c r="L647" s="10">
        <v>2117</v>
      </c>
      <c r="M647" s="10">
        <v>0</v>
      </c>
      <c r="N647" s="11">
        <v>2117</v>
      </c>
      <c r="O647" s="12">
        <v>765223815</v>
      </c>
      <c r="P647" s="9">
        <v>285123</v>
      </c>
      <c r="Q647" s="9" t="s">
        <v>37</v>
      </c>
      <c r="R647" s="13">
        <v>45679</v>
      </c>
      <c r="S647" s="22">
        <v>45679</v>
      </c>
      <c r="T647" s="13">
        <v>45679</v>
      </c>
      <c r="U647" s="13">
        <v>45679</v>
      </c>
      <c r="V647" s="9" t="s">
        <v>47</v>
      </c>
      <c r="W647" s="9">
        <v>22524687</v>
      </c>
      <c r="X647" s="9">
        <v>1271320</v>
      </c>
      <c r="Y647" s="9">
        <v>68707425</v>
      </c>
      <c r="Z647" s="9" t="s">
        <v>39</v>
      </c>
      <c r="AA647" s="9">
        <v>26012025</v>
      </c>
      <c r="AB647" s="9">
        <v>77442</v>
      </c>
      <c r="AC647" s="9" t="s">
        <v>41</v>
      </c>
      <c r="AD647" s="9" t="s">
        <v>132</v>
      </c>
      <c r="AE647" s="9" t="s">
        <v>133</v>
      </c>
      <c r="AF647" s="9" t="s">
        <v>133</v>
      </c>
      <c r="AG647" s="14" t="str">
        <f t="shared" si="22"/>
        <v>EXAMENES DE LABORATORIO</v>
      </c>
      <c r="AH647" s="9" t="s">
        <v>758</v>
      </c>
      <c r="AI647" s="9">
        <v>0</v>
      </c>
      <c r="AJ647" s="9">
        <v>96942400</v>
      </c>
      <c r="AK647" s="9">
        <v>2</v>
      </c>
      <c r="AL647" s="26" t="s">
        <v>86</v>
      </c>
      <c r="AM647" s="14" t="s">
        <v>632</v>
      </c>
      <c r="AN647" s="27" t="str">
        <f t="shared" si="23"/>
        <v>9859164|96942400|765223815|765223815</v>
      </c>
      <c r="AO647" t="s">
        <v>758</v>
      </c>
      <c r="AP647" t="b">
        <v>1</v>
      </c>
      <c r="AQ647" t="s">
        <v>764</v>
      </c>
    </row>
    <row r="648" spans="1:43" x14ac:dyDescent="0.2">
      <c r="A648" s="14" t="s">
        <v>500</v>
      </c>
      <c r="B648" s="17">
        <v>9859164</v>
      </c>
      <c r="C648" s="14" t="s">
        <v>326</v>
      </c>
      <c r="D648" s="9">
        <v>9859164</v>
      </c>
      <c r="E648" s="9" t="s">
        <v>326</v>
      </c>
      <c r="F648" s="7">
        <v>45717</v>
      </c>
      <c r="G648" s="20" t="s">
        <v>46</v>
      </c>
      <c r="H648" s="8">
        <v>765223815</v>
      </c>
      <c r="I648" s="19">
        <v>65383767</v>
      </c>
      <c r="J648" s="10">
        <v>2304</v>
      </c>
      <c r="K648" s="10">
        <v>0</v>
      </c>
      <c r="L648" s="10">
        <v>2304</v>
      </c>
      <c r="M648" s="10">
        <v>0</v>
      </c>
      <c r="N648" s="11">
        <v>2304</v>
      </c>
      <c r="O648" s="12">
        <v>765223815</v>
      </c>
      <c r="P648" s="9">
        <v>285123</v>
      </c>
      <c r="Q648" s="9" t="s">
        <v>37</v>
      </c>
      <c r="R648" s="13">
        <v>45717</v>
      </c>
      <c r="S648" s="22">
        <v>45742</v>
      </c>
      <c r="T648" s="13">
        <v>45679</v>
      </c>
      <c r="U648" s="13">
        <v>45679</v>
      </c>
      <c r="V648" s="9" t="s">
        <v>47</v>
      </c>
      <c r="W648" s="9">
        <v>22770404</v>
      </c>
      <c r="X648" s="9">
        <v>3311105</v>
      </c>
      <c r="Y648" s="9">
        <v>69250657</v>
      </c>
      <c r="Z648" s="9" t="s">
        <v>39</v>
      </c>
      <c r="AA648" s="9">
        <v>64002490</v>
      </c>
      <c r="AB648" s="9">
        <v>78070</v>
      </c>
      <c r="AC648" s="9" t="s">
        <v>41</v>
      </c>
      <c r="AD648" s="9" t="s">
        <v>132</v>
      </c>
      <c r="AE648" s="9" t="s">
        <v>133</v>
      </c>
      <c r="AF648" s="9" t="s">
        <v>133</v>
      </c>
      <c r="AG648" s="14" t="str">
        <f t="shared" si="22"/>
        <v>EXAMENES DE LABORATORIO</v>
      </c>
      <c r="AH648" s="9">
        <v>0</v>
      </c>
      <c r="AI648" s="9">
        <v>0</v>
      </c>
      <c r="AJ648" s="9">
        <v>96942400</v>
      </c>
      <c r="AK648" s="9">
        <v>2</v>
      </c>
      <c r="AL648" s="26" t="s">
        <v>52</v>
      </c>
      <c r="AM648" s="14" t="s">
        <v>632</v>
      </c>
      <c r="AN648" s="27" t="str">
        <f t="shared" si="23"/>
        <v>9859164|96942400|765223815|65383767</v>
      </c>
      <c r="AO648" t="s">
        <v>44</v>
      </c>
      <c r="AP648" t="b">
        <v>0</v>
      </c>
      <c r="AQ648" t="s">
        <v>763</v>
      </c>
    </row>
    <row r="649" spans="1:43" x14ac:dyDescent="0.2">
      <c r="A649" s="14" t="s">
        <v>500</v>
      </c>
      <c r="B649" s="17">
        <v>8665623</v>
      </c>
      <c r="C649" s="14" t="s">
        <v>185</v>
      </c>
      <c r="D649" s="9">
        <v>8665623</v>
      </c>
      <c r="E649" s="9" t="s">
        <v>185</v>
      </c>
      <c r="F649" s="7">
        <v>45658</v>
      </c>
      <c r="G649" s="20" t="s">
        <v>36</v>
      </c>
      <c r="H649" s="8">
        <v>765227284</v>
      </c>
      <c r="I649" s="19">
        <v>765227284</v>
      </c>
      <c r="J649" s="10">
        <v>48170</v>
      </c>
      <c r="K649" s="10">
        <v>33719</v>
      </c>
      <c r="L649" s="10">
        <v>14451</v>
      </c>
      <c r="M649" s="10">
        <v>0</v>
      </c>
      <c r="N649" s="11">
        <v>14451</v>
      </c>
      <c r="O649" s="12">
        <v>765227284</v>
      </c>
      <c r="P649" s="9">
        <v>285123</v>
      </c>
      <c r="Q649" s="9" t="s">
        <v>37</v>
      </c>
      <c r="R649" s="13">
        <v>45679</v>
      </c>
      <c r="S649" s="22">
        <v>45679</v>
      </c>
      <c r="T649" s="13">
        <v>45679</v>
      </c>
      <c r="U649" s="13">
        <v>45679</v>
      </c>
      <c r="V649" s="9" t="s">
        <v>47</v>
      </c>
      <c r="W649" s="9">
        <v>22524684</v>
      </c>
      <c r="X649" s="9">
        <v>1271320</v>
      </c>
      <c r="Y649" s="9">
        <v>68707583</v>
      </c>
      <c r="Z649" s="9" t="s">
        <v>39</v>
      </c>
      <c r="AA649" s="9">
        <v>26012025</v>
      </c>
      <c r="AB649" s="9">
        <v>77442</v>
      </c>
      <c r="AC649" s="9" t="s">
        <v>41</v>
      </c>
      <c r="AD649" s="9" t="s">
        <v>134</v>
      </c>
      <c r="AE649" s="9" t="s">
        <v>135</v>
      </c>
      <c r="AF649" s="9" t="s">
        <v>135</v>
      </c>
      <c r="AG649" s="14" t="str">
        <f t="shared" si="22"/>
        <v>EXAMENES RADIOLOGICOS</v>
      </c>
      <c r="AH649" s="9" t="s">
        <v>758</v>
      </c>
      <c r="AI649" s="9">
        <v>0</v>
      </c>
      <c r="AJ649" s="9">
        <v>99540210</v>
      </c>
      <c r="AK649" s="9">
        <v>6</v>
      </c>
      <c r="AL649" s="26" t="s">
        <v>86</v>
      </c>
      <c r="AM649" s="14" t="s">
        <v>535</v>
      </c>
      <c r="AN649" s="27" t="str">
        <f t="shared" si="23"/>
        <v>8665623|99540210|765227284|765227284</v>
      </c>
      <c r="AO649" t="s">
        <v>758</v>
      </c>
      <c r="AP649" t="b">
        <v>1</v>
      </c>
      <c r="AQ649" t="s">
        <v>764</v>
      </c>
    </row>
    <row r="650" spans="1:43" x14ac:dyDescent="0.2">
      <c r="A650" s="14" t="s">
        <v>500</v>
      </c>
      <c r="B650" s="17">
        <v>8665623</v>
      </c>
      <c r="C650" s="14" t="s">
        <v>185</v>
      </c>
      <c r="D650" s="9">
        <v>8665623</v>
      </c>
      <c r="E650" s="9" t="s">
        <v>185</v>
      </c>
      <c r="F650" s="7">
        <v>45717</v>
      </c>
      <c r="G650" s="20" t="s">
        <v>46</v>
      </c>
      <c r="H650" s="8">
        <v>765227284</v>
      </c>
      <c r="I650" s="19">
        <v>65383694</v>
      </c>
      <c r="J650" s="10">
        <v>14210</v>
      </c>
      <c r="K650" s="10">
        <v>0</v>
      </c>
      <c r="L650" s="10">
        <v>14210</v>
      </c>
      <c r="M650" s="10">
        <v>0</v>
      </c>
      <c r="N650" s="11">
        <v>14210</v>
      </c>
      <c r="O650" s="12">
        <v>765227284</v>
      </c>
      <c r="P650" s="9">
        <v>285123</v>
      </c>
      <c r="Q650" s="9" t="s">
        <v>37</v>
      </c>
      <c r="R650" s="13">
        <v>45717</v>
      </c>
      <c r="S650" s="22">
        <v>45742</v>
      </c>
      <c r="T650" s="13">
        <v>45679</v>
      </c>
      <c r="U650" s="13">
        <v>45679</v>
      </c>
      <c r="V650" s="9" t="s">
        <v>47</v>
      </c>
      <c r="W650" s="9">
        <v>22770402</v>
      </c>
      <c r="X650" s="9">
        <v>3311105</v>
      </c>
      <c r="Y650" s="9">
        <v>69250585</v>
      </c>
      <c r="Z650" s="9" t="s">
        <v>39</v>
      </c>
      <c r="AA650" s="9">
        <v>61932348</v>
      </c>
      <c r="AB650" s="9">
        <v>78070</v>
      </c>
      <c r="AC650" s="9" t="s">
        <v>41</v>
      </c>
      <c r="AD650" s="9" t="s">
        <v>134</v>
      </c>
      <c r="AE650" s="9" t="s">
        <v>135</v>
      </c>
      <c r="AF650" s="9" t="s">
        <v>135</v>
      </c>
      <c r="AG650" s="14" t="str">
        <f t="shared" si="22"/>
        <v>EXAMENES RADIOLOGICOS</v>
      </c>
      <c r="AH650" s="9">
        <v>0</v>
      </c>
      <c r="AI650" s="9">
        <v>0</v>
      </c>
      <c r="AJ650" s="9">
        <v>99540210</v>
      </c>
      <c r="AK650" s="9">
        <v>6</v>
      </c>
      <c r="AL650" s="26" t="s">
        <v>52</v>
      </c>
      <c r="AM650" s="14" t="s">
        <v>535</v>
      </c>
      <c r="AN650" s="27" t="str">
        <f t="shared" si="23"/>
        <v>8665623|99540210|765227284|65383694</v>
      </c>
      <c r="AO650" t="s">
        <v>44</v>
      </c>
      <c r="AP650" t="b">
        <v>0</v>
      </c>
      <c r="AQ650" t="s">
        <v>763</v>
      </c>
    </row>
    <row r="651" spans="1:43" x14ac:dyDescent="0.2">
      <c r="A651" s="14" t="s">
        <v>500</v>
      </c>
      <c r="B651" s="17">
        <v>8665623</v>
      </c>
      <c r="C651" s="14" t="s">
        <v>185</v>
      </c>
      <c r="D651" s="9">
        <v>8665623</v>
      </c>
      <c r="E651" s="9" t="s">
        <v>185</v>
      </c>
      <c r="F651" s="7">
        <v>45658</v>
      </c>
      <c r="G651" s="20" t="s">
        <v>36</v>
      </c>
      <c r="H651" s="8">
        <v>765227285</v>
      </c>
      <c r="I651" s="19">
        <v>765227285</v>
      </c>
      <c r="J651" s="10">
        <v>74776</v>
      </c>
      <c r="K651" s="10">
        <v>52343</v>
      </c>
      <c r="L651" s="10">
        <v>22433</v>
      </c>
      <c r="M651" s="10">
        <v>0</v>
      </c>
      <c r="N651" s="11">
        <v>22433</v>
      </c>
      <c r="O651" s="12">
        <v>765227285</v>
      </c>
      <c r="P651" s="9">
        <v>285123</v>
      </c>
      <c r="Q651" s="9" t="s">
        <v>37</v>
      </c>
      <c r="R651" s="13">
        <v>45679</v>
      </c>
      <c r="S651" s="22">
        <v>45679</v>
      </c>
      <c r="T651" s="13">
        <v>45679</v>
      </c>
      <c r="U651" s="13">
        <v>45679</v>
      </c>
      <c r="V651" s="9" t="s">
        <v>47</v>
      </c>
      <c r="W651" s="9">
        <v>22524684</v>
      </c>
      <c r="X651" s="9">
        <v>1271320</v>
      </c>
      <c r="Y651" s="9">
        <v>68707582</v>
      </c>
      <c r="Z651" s="9" t="s">
        <v>39</v>
      </c>
      <c r="AA651" s="9">
        <v>26012025</v>
      </c>
      <c r="AB651" s="9">
        <v>77442</v>
      </c>
      <c r="AC651" s="9" t="s">
        <v>41</v>
      </c>
      <c r="AD651" s="9" t="s">
        <v>65</v>
      </c>
      <c r="AE651" s="9" t="s">
        <v>66</v>
      </c>
      <c r="AF651" s="9" t="s">
        <v>66</v>
      </c>
      <c r="AG651" s="14" t="str">
        <f t="shared" si="22"/>
        <v>PROCEDIMIENTOS TERAPEUTICOS</v>
      </c>
      <c r="AH651" s="9" t="s">
        <v>758</v>
      </c>
      <c r="AI651" s="9">
        <v>0</v>
      </c>
      <c r="AJ651" s="9">
        <v>99540210</v>
      </c>
      <c r="AK651" s="9">
        <v>6</v>
      </c>
      <c r="AL651" s="26" t="s">
        <v>86</v>
      </c>
      <c r="AM651" s="14" t="s">
        <v>535</v>
      </c>
      <c r="AN651" s="27" t="str">
        <f t="shared" si="23"/>
        <v>8665623|99540210|765227285|765227285</v>
      </c>
      <c r="AO651" t="s">
        <v>758</v>
      </c>
      <c r="AP651" t="b">
        <v>1</v>
      </c>
      <c r="AQ651" t="s">
        <v>764</v>
      </c>
    </row>
    <row r="652" spans="1:43" x14ac:dyDescent="0.2">
      <c r="A652" s="14" t="s">
        <v>500</v>
      </c>
      <c r="B652" s="17">
        <v>8665623</v>
      </c>
      <c r="C652" s="14" t="s">
        <v>185</v>
      </c>
      <c r="D652" s="9">
        <v>8665623</v>
      </c>
      <c r="E652" s="9" t="s">
        <v>185</v>
      </c>
      <c r="F652" s="7">
        <v>45717</v>
      </c>
      <c r="G652" s="20" t="s">
        <v>46</v>
      </c>
      <c r="H652" s="8">
        <v>765227285</v>
      </c>
      <c r="I652" s="19">
        <v>65383695</v>
      </c>
      <c r="J652" s="10">
        <v>22275</v>
      </c>
      <c r="K652" s="10">
        <v>0</v>
      </c>
      <c r="L652" s="10">
        <v>22275</v>
      </c>
      <c r="M652" s="10">
        <v>0</v>
      </c>
      <c r="N652" s="11">
        <v>22275</v>
      </c>
      <c r="O652" s="12">
        <v>765227285</v>
      </c>
      <c r="P652" s="9">
        <v>285123</v>
      </c>
      <c r="Q652" s="9" t="s">
        <v>37</v>
      </c>
      <c r="R652" s="13">
        <v>45717</v>
      </c>
      <c r="S652" s="22">
        <v>45742</v>
      </c>
      <c r="T652" s="13">
        <v>45679</v>
      </c>
      <c r="U652" s="13">
        <v>45679</v>
      </c>
      <c r="V652" s="9" t="s">
        <v>47</v>
      </c>
      <c r="W652" s="9">
        <v>22770402</v>
      </c>
      <c r="X652" s="9">
        <v>3311105</v>
      </c>
      <c r="Y652" s="9">
        <v>69250586</v>
      </c>
      <c r="Z652" s="9" t="s">
        <v>39</v>
      </c>
      <c r="AA652" s="9">
        <v>61932348</v>
      </c>
      <c r="AB652" s="9">
        <v>78070</v>
      </c>
      <c r="AC652" s="9" t="s">
        <v>41</v>
      </c>
      <c r="AD652" s="9" t="s">
        <v>65</v>
      </c>
      <c r="AE652" s="9" t="s">
        <v>66</v>
      </c>
      <c r="AF652" s="9" t="s">
        <v>66</v>
      </c>
      <c r="AG652" s="14" t="str">
        <f t="shared" si="22"/>
        <v>PROCEDIMIENTOS TERAPEUTICOS</v>
      </c>
      <c r="AH652" s="9">
        <v>0</v>
      </c>
      <c r="AI652" s="9">
        <v>0</v>
      </c>
      <c r="AJ652" s="9">
        <v>99540210</v>
      </c>
      <c r="AK652" s="9">
        <v>6</v>
      </c>
      <c r="AL652" s="26" t="s">
        <v>52</v>
      </c>
      <c r="AM652" s="14" t="s">
        <v>535</v>
      </c>
      <c r="AN652" s="27" t="str">
        <f t="shared" si="23"/>
        <v>8665623|99540210|765227285|65383695</v>
      </c>
      <c r="AO652" t="s">
        <v>44</v>
      </c>
      <c r="AP652" t="b">
        <v>0</v>
      </c>
      <c r="AQ652" t="s">
        <v>763</v>
      </c>
    </row>
    <row r="653" spans="1:43" x14ac:dyDescent="0.2">
      <c r="A653" s="14" t="s">
        <v>500</v>
      </c>
      <c r="B653" s="17">
        <v>11883982</v>
      </c>
      <c r="C653" s="14" t="s">
        <v>327</v>
      </c>
      <c r="D653" s="9">
        <v>20730089</v>
      </c>
      <c r="E653" s="9" t="s">
        <v>328</v>
      </c>
      <c r="F653" s="7">
        <v>45658</v>
      </c>
      <c r="G653" s="20" t="s">
        <v>36</v>
      </c>
      <c r="H653" s="8">
        <v>765233309</v>
      </c>
      <c r="I653" s="19">
        <v>765233309</v>
      </c>
      <c r="J653" s="10">
        <v>27878</v>
      </c>
      <c r="K653" s="10">
        <v>26496</v>
      </c>
      <c r="L653" s="10">
        <v>1382</v>
      </c>
      <c r="M653" s="10">
        <v>0</v>
      </c>
      <c r="N653" s="11">
        <v>1382</v>
      </c>
      <c r="O653" s="12">
        <v>765233309</v>
      </c>
      <c r="P653" s="9">
        <v>285123</v>
      </c>
      <c r="Q653" s="9" t="s">
        <v>37</v>
      </c>
      <c r="R653" s="13">
        <v>45679</v>
      </c>
      <c r="S653" s="22">
        <v>45679</v>
      </c>
      <c r="T653" s="13">
        <v>45679</v>
      </c>
      <c r="U653" s="13">
        <v>45679</v>
      </c>
      <c r="V653" s="9" t="s">
        <v>47</v>
      </c>
      <c r="W653" s="9">
        <v>22524693</v>
      </c>
      <c r="X653" s="9">
        <v>1271320</v>
      </c>
      <c r="Y653" s="9">
        <v>68707834</v>
      </c>
      <c r="Z653" s="9" t="s">
        <v>39</v>
      </c>
      <c r="AA653" s="9">
        <v>26012025</v>
      </c>
      <c r="AB653" s="9">
        <v>77442</v>
      </c>
      <c r="AC653" s="9" t="s">
        <v>41</v>
      </c>
      <c r="AD653" s="9" t="s">
        <v>134</v>
      </c>
      <c r="AE653" s="9" t="s">
        <v>135</v>
      </c>
      <c r="AF653" s="9" t="s">
        <v>135</v>
      </c>
      <c r="AG653" s="14" t="str">
        <f t="shared" si="22"/>
        <v>EXAMENES RADIOLOGICOS</v>
      </c>
      <c r="AH653" s="9" t="s">
        <v>758</v>
      </c>
      <c r="AI653" s="9">
        <v>0</v>
      </c>
      <c r="AJ653" s="9">
        <v>76098454</v>
      </c>
      <c r="AK653" s="9" t="s">
        <v>161</v>
      </c>
      <c r="AL653" s="26" t="s">
        <v>86</v>
      </c>
      <c r="AM653" s="14" t="s">
        <v>633</v>
      </c>
      <c r="AN653" s="27" t="str">
        <f t="shared" si="23"/>
        <v>11883982|76098454|765233309|765233309</v>
      </c>
      <c r="AO653" t="s">
        <v>758</v>
      </c>
      <c r="AP653" t="b">
        <v>1</v>
      </c>
      <c r="AQ653" t="s">
        <v>764</v>
      </c>
    </row>
    <row r="654" spans="1:43" x14ac:dyDescent="0.2">
      <c r="A654" s="14" t="s">
        <v>500</v>
      </c>
      <c r="B654" s="17">
        <v>11883982</v>
      </c>
      <c r="C654" s="14" t="s">
        <v>327</v>
      </c>
      <c r="D654" s="9">
        <v>20730089</v>
      </c>
      <c r="E654" s="9" t="s">
        <v>328</v>
      </c>
      <c r="F654" s="7">
        <v>45717</v>
      </c>
      <c r="G654" s="20" t="s">
        <v>46</v>
      </c>
      <c r="H654" s="8">
        <v>765233309</v>
      </c>
      <c r="I654" s="19">
        <v>65383975</v>
      </c>
      <c r="J654" s="10">
        <v>1152</v>
      </c>
      <c r="K654" s="10">
        <v>0</v>
      </c>
      <c r="L654" s="10">
        <v>1152</v>
      </c>
      <c r="M654" s="10">
        <v>0</v>
      </c>
      <c r="N654" s="11">
        <v>1152</v>
      </c>
      <c r="O654" s="12">
        <v>765233309</v>
      </c>
      <c r="P654" s="9">
        <v>285123</v>
      </c>
      <c r="Q654" s="9" t="s">
        <v>37</v>
      </c>
      <c r="R654" s="13">
        <v>45717</v>
      </c>
      <c r="S654" s="22">
        <v>45742</v>
      </c>
      <c r="T654" s="13">
        <v>45679</v>
      </c>
      <c r="U654" s="13">
        <v>45679</v>
      </c>
      <c r="V654" s="9" t="s">
        <v>47</v>
      </c>
      <c r="W654" s="9">
        <v>22770407</v>
      </c>
      <c r="X654" s="9">
        <v>3311105</v>
      </c>
      <c r="Y654" s="9">
        <v>69250863</v>
      </c>
      <c r="Z654" s="9" t="s">
        <v>39</v>
      </c>
      <c r="AA654" s="9">
        <v>13915402</v>
      </c>
      <c r="AB654" s="9">
        <v>78070</v>
      </c>
      <c r="AC654" s="9" t="s">
        <v>41</v>
      </c>
      <c r="AD654" s="9" t="s">
        <v>134</v>
      </c>
      <c r="AE654" s="9" t="s">
        <v>135</v>
      </c>
      <c r="AF654" s="9" t="s">
        <v>135</v>
      </c>
      <c r="AG654" s="14" t="str">
        <f t="shared" si="22"/>
        <v>EXAMENES RADIOLOGICOS</v>
      </c>
      <c r="AH654" s="9">
        <v>0</v>
      </c>
      <c r="AI654" s="9">
        <v>0</v>
      </c>
      <c r="AJ654" s="9">
        <v>76098454</v>
      </c>
      <c r="AK654" s="9" t="s">
        <v>161</v>
      </c>
      <c r="AL654" s="26" t="s">
        <v>52</v>
      </c>
      <c r="AM654" s="14" t="s">
        <v>633</v>
      </c>
      <c r="AN654" s="27" t="str">
        <f t="shared" si="23"/>
        <v>11883982|76098454|765233309|65383975</v>
      </c>
      <c r="AO654" t="s">
        <v>44</v>
      </c>
      <c r="AP654" t="b">
        <v>0</v>
      </c>
      <c r="AQ654" t="s">
        <v>763</v>
      </c>
    </row>
    <row r="655" spans="1:43" x14ac:dyDescent="0.2">
      <c r="A655" s="14" t="s">
        <v>500</v>
      </c>
      <c r="B655" s="17">
        <v>6699584</v>
      </c>
      <c r="C655" s="14" t="s">
        <v>329</v>
      </c>
      <c r="D655" s="9">
        <v>6699584</v>
      </c>
      <c r="E655" s="9" t="s">
        <v>329</v>
      </c>
      <c r="F655" s="7">
        <v>45658</v>
      </c>
      <c r="G655" s="20" t="s">
        <v>36</v>
      </c>
      <c r="H655" s="8">
        <v>765246019</v>
      </c>
      <c r="I655" s="19">
        <v>765246019</v>
      </c>
      <c r="J655" s="10">
        <v>31382</v>
      </c>
      <c r="K655" s="10">
        <v>25106</v>
      </c>
      <c r="L655" s="10">
        <v>6276</v>
      </c>
      <c r="M655" s="10">
        <v>0</v>
      </c>
      <c r="N655" s="11">
        <v>6276</v>
      </c>
      <c r="O655" s="12">
        <v>765246019</v>
      </c>
      <c r="P655" s="9">
        <v>285123</v>
      </c>
      <c r="Q655" s="9" t="s">
        <v>37</v>
      </c>
      <c r="R655" s="13">
        <v>45680</v>
      </c>
      <c r="S655" s="22">
        <v>45680</v>
      </c>
      <c r="T655" s="13">
        <v>45680</v>
      </c>
      <c r="U655" s="13">
        <v>45680</v>
      </c>
      <c r="V655" s="9" t="s">
        <v>47</v>
      </c>
      <c r="W655" s="9">
        <v>22524732</v>
      </c>
      <c r="X655" s="9">
        <v>1271320</v>
      </c>
      <c r="Y655" s="9">
        <v>68708484</v>
      </c>
      <c r="Z655" s="9" t="s">
        <v>39</v>
      </c>
      <c r="AA655" s="9">
        <v>26012025</v>
      </c>
      <c r="AB655" s="9">
        <v>77442</v>
      </c>
      <c r="AC655" s="9" t="s">
        <v>41</v>
      </c>
      <c r="AD655" s="9" t="s">
        <v>132</v>
      </c>
      <c r="AE655" s="9" t="s">
        <v>133</v>
      </c>
      <c r="AF655" s="9" t="s">
        <v>133</v>
      </c>
      <c r="AG655" s="14" t="str">
        <f t="shared" si="22"/>
        <v>EXAMENES DE LABORATORIO</v>
      </c>
      <c r="AH655" s="9" t="s">
        <v>758</v>
      </c>
      <c r="AI655" s="9">
        <v>0</v>
      </c>
      <c r="AJ655" s="9">
        <v>96942400</v>
      </c>
      <c r="AK655" s="9">
        <v>2</v>
      </c>
      <c r="AL655" s="26" t="s">
        <v>86</v>
      </c>
      <c r="AM655" s="14" t="s">
        <v>634</v>
      </c>
      <c r="AN655" s="27" t="str">
        <f t="shared" si="23"/>
        <v>6699584|96942400|765246019|765246019</v>
      </c>
      <c r="AO655" t="s">
        <v>758</v>
      </c>
      <c r="AP655" t="b">
        <v>1</v>
      </c>
      <c r="AQ655" t="s">
        <v>764</v>
      </c>
    </row>
    <row r="656" spans="1:43" x14ac:dyDescent="0.2">
      <c r="A656" s="14" t="s">
        <v>500</v>
      </c>
      <c r="B656" s="17">
        <v>6699584</v>
      </c>
      <c r="C656" s="14" t="s">
        <v>329</v>
      </c>
      <c r="D656" s="9">
        <v>6699584</v>
      </c>
      <c r="E656" s="9" t="s">
        <v>329</v>
      </c>
      <c r="F656" s="7">
        <v>45717</v>
      </c>
      <c r="G656" s="20" t="s">
        <v>46</v>
      </c>
      <c r="H656" s="8">
        <v>765246019</v>
      </c>
      <c r="I656" s="19">
        <v>65383594</v>
      </c>
      <c r="J656" s="10">
        <v>6144</v>
      </c>
      <c r="K656" s="10">
        <v>0</v>
      </c>
      <c r="L656" s="10">
        <v>6144</v>
      </c>
      <c r="M656" s="10">
        <v>0</v>
      </c>
      <c r="N656" s="11">
        <v>6144</v>
      </c>
      <c r="O656" s="12">
        <v>765246019</v>
      </c>
      <c r="P656" s="9">
        <v>285123</v>
      </c>
      <c r="Q656" s="9" t="s">
        <v>37</v>
      </c>
      <c r="R656" s="13">
        <v>45717</v>
      </c>
      <c r="S656" s="22">
        <v>45742</v>
      </c>
      <c r="T656" s="13">
        <v>45680</v>
      </c>
      <c r="U656" s="13">
        <v>45680</v>
      </c>
      <c r="V656" s="9" t="s">
        <v>47</v>
      </c>
      <c r="W656" s="9">
        <v>22770414</v>
      </c>
      <c r="X656" s="9">
        <v>3311105</v>
      </c>
      <c r="Y656" s="9">
        <v>69250485</v>
      </c>
      <c r="Z656" s="9" t="s">
        <v>39</v>
      </c>
      <c r="AA656" s="9">
        <v>1591995006</v>
      </c>
      <c r="AB656" s="9">
        <v>78070</v>
      </c>
      <c r="AC656" s="9" t="s">
        <v>41</v>
      </c>
      <c r="AD656" s="9" t="s">
        <v>132</v>
      </c>
      <c r="AE656" s="9" t="s">
        <v>133</v>
      </c>
      <c r="AF656" s="9" t="s">
        <v>133</v>
      </c>
      <c r="AG656" s="14" t="str">
        <f t="shared" si="22"/>
        <v>EXAMENES DE LABORATORIO</v>
      </c>
      <c r="AH656" s="9">
        <v>0</v>
      </c>
      <c r="AI656" s="9">
        <v>0</v>
      </c>
      <c r="AJ656" s="9">
        <v>96942400</v>
      </c>
      <c r="AK656" s="9">
        <v>2</v>
      </c>
      <c r="AL656" s="26" t="s">
        <v>52</v>
      </c>
      <c r="AM656" s="14" t="s">
        <v>634</v>
      </c>
      <c r="AN656" s="27" t="str">
        <f t="shared" si="23"/>
        <v>6699584|96942400|765246019|65383594</v>
      </c>
      <c r="AO656" t="s">
        <v>44</v>
      </c>
      <c r="AP656" t="b">
        <v>0</v>
      </c>
      <c r="AQ656" t="s">
        <v>763</v>
      </c>
    </row>
    <row r="657" spans="1:43" x14ac:dyDescent="0.2">
      <c r="A657" s="14" t="s">
        <v>500</v>
      </c>
      <c r="B657" s="17">
        <v>6699584</v>
      </c>
      <c r="C657" s="14" t="s">
        <v>329</v>
      </c>
      <c r="D657" s="9">
        <v>6699584</v>
      </c>
      <c r="E657" s="9" t="s">
        <v>329</v>
      </c>
      <c r="F657" s="7">
        <v>45658</v>
      </c>
      <c r="G657" s="20" t="s">
        <v>36</v>
      </c>
      <c r="H657" s="8">
        <v>765246020</v>
      </c>
      <c r="I657" s="19">
        <v>765246020</v>
      </c>
      <c r="J657" s="10">
        <v>39780</v>
      </c>
      <c r="K657" s="10">
        <v>31824</v>
      </c>
      <c r="L657" s="10">
        <v>7956</v>
      </c>
      <c r="M657" s="10">
        <v>0</v>
      </c>
      <c r="N657" s="11">
        <v>7956</v>
      </c>
      <c r="O657" s="12">
        <v>765246020</v>
      </c>
      <c r="P657" s="9">
        <v>285123</v>
      </c>
      <c r="Q657" s="9" t="s">
        <v>37</v>
      </c>
      <c r="R657" s="13">
        <v>45680</v>
      </c>
      <c r="S657" s="22">
        <v>45680</v>
      </c>
      <c r="T657" s="13">
        <v>45680</v>
      </c>
      <c r="U657" s="13">
        <v>45680</v>
      </c>
      <c r="V657" s="9" t="s">
        <v>47</v>
      </c>
      <c r="W657" s="9">
        <v>22524732</v>
      </c>
      <c r="X657" s="9">
        <v>1271320</v>
      </c>
      <c r="Y657" s="9">
        <v>68708483</v>
      </c>
      <c r="Z657" s="9" t="s">
        <v>39</v>
      </c>
      <c r="AA657" s="9">
        <v>26012025</v>
      </c>
      <c r="AB657" s="9">
        <v>77442</v>
      </c>
      <c r="AC657" s="9" t="s">
        <v>41</v>
      </c>
      <c r="AD657" s="9" t="s">
        <v>132</v>
      </c>
      <c r="AE657" s="9" t="s">
        <v>133</v>
      </c>
      <c r="AF657" s="9" t="s">
        <v>133</v>
      </c>
      <c r="AG657" s="14" t="str">
        <f t="shared" si="22"/>
        <v>EXAMENES DE LABORATORIO</v>
      </c>
      <c r="AH657" s="9" t="s">
        <v>758</v>
      </c>
      <c r="AI657" s="9">
        <v>0</v>
      </c>
      <c r="AJ657" s="9">
        <v>96942400</v>
      </c>
      <c r="AK657" s="9">
        <v>2</v>
      </c>
      <c r="AL657" s="26" t="s">
        <v>86</v>
      </c>
      <c r="AM657" s="14" t="s">
        <v>634</v>
      </c>
      <c r="AN657" s="27" t="str">
        <f t="shared" si="23"/>
        <v>6699584|96942400|765246020|765246020</v>
      </c>
      <c r="AO657" t="s">
        <v>758</v>
      </c>
      <c r="AP657" t="b">
        <v>1</v>
      </c>
      <c r="AQ657" t="s">
        <v>764</v>
      </c>
    </row>
    <row r="658" spans="1:43" x14ac:dyDescent="0.2">
      <c r="A658" s="14" t="s">
        <v>500</v>
      </c>
      <c r="B658" s="17">
        <v>6699584</v>
      </c>
      <c r="C658" s="14" t="s">
        <v>329</v>
      </c>
      <c r="D658" s="9">
        <v>6699584</v>
      </c>
      <c r="E658" s="9" t="s">
        <v>329</v>
      </c>
      <c r="F658" s="7">
        <v>45717</v>
      </c>
      <c r="G658" s="20" t="s">
        <v>46</v>
      </c>
      <c r="H658" s="8">
        <v>765246020</v>
      </c>
      <c r="I658" s="19">
        <v>65383595</v>
      </c>
      <c r="J658" s="10">
        <v>7680</v>
      </c>
      <c r="K658" s="10">
        <v>0</v>
      </c>
      <c r="L658" s="10">
        <v>7680</v>
      </c>
      <c r="M658" s="10">
        <v>0</v>
      </c>
      <c r="N658" s="11">
        <v>7680</v>
      </c>
      <c r="O658" s="12">
        <v>765246020</v>
      </c>
      <c r="P658" s="9">
        <v>285123</v>
      </c>
      <c r="Q658" s="9" t="s">
        <v>37</v>
      </c>
      <c r="R658" s="13">
        <v>45717</v>
      </c>
      <c r="S658" s="22">
        <v>45742</v>
      </c>
      <c r="T658" s="13">
        <v>45680</v>
      </c>
      <c r="U658" s="13">
        <v>45680</v>
      </c>
      <c r="V658" s="9" t="s">
        <v>47</v>
      </c>
      <c r="W658" s="9">
        <v>22770414</v>
      </c>
      <c r="X658" s="9">
        <v>3311105</v>
      </c>
      <c r="Y658" s="9">
        <v>69250486</v>
      </c>
      <c r="Z658" s="9" t="s">
        <v>39</v>
      </c>
      <c r="AA658" s="9">
        <v>1591995006</v>
      </c>
      <c r="AB658" s="9">
        <v>78070</v>
      </c>
      <c r="AC658" s="9" t="s">
        <v>41</v>
      </c>
      <c r="AD658" s="9" t="s">
        <v>132</v>
      </c>
      <c r="AE658" s="9" t="s">
        <v>133</v>
      </c>
      <c r="AF658" s="9" t="s">
        <v>133</v>
      </c>
      <c r="AG658" s="14" t="str">
        <f t="shared" si="22"/>
        <v>EXAMENES DE LABORATORIO</v>
      </c>
      <c r="AH658" s="9">
        <v>0</v>
      </c>
      <c r="AI658" s="9">
        <v>0</v>
      </c>
      <c r="AJ658" s="9">
        <v>96942400</v>
      </c>
      <c r="AK658" s="9">
        <v>2</v>
      </c>
      <c r="AL658" s="26" t="s">
        <v>52</v>
      </c>
      <c r="AM658" s="14" t="s">
        <v>634</v>
      </c>
      <c r="AN658" s="27" t="str">
        <f t="shared" si="23"/>
        <v>6699584|96942400|765246020|65383595</v>
      </c>
      <c r="AO658" t="s">
        <v>44</v>
      </c>
      <c r="AP658" t="b">
        <v>0</v>
      </c>
      <c r="AQ658" t="s">
        <v>763</v>
      </c>
    </row>
    <row r="659" spans="1:43" x14ac:dyDescent="0.2">
      <c r="A659" s="14" t="s">
        <v>500</v>
      </c>
      <c r="B659" s="17">
        <v>10225415</v>
      </c>
      <c r="C659" s="14" t="s">
        <v>330</v>
      </c>
      <c r="D659" s="9">
        <v>10225415</v>
      </c>
      <c r="E659" s="9" t="s">
        <v>330</v>
      </c>
      <c r="F659" s="7">
        <v>45658</v>
      </c>
      <c r="G659" s="20" t="s">
        <v>36</v>
      </c>
      <c r="H659" s="8">
        <v>765247905</v>
      </c>
      <c r="I659" s="19">
        <v>765247905</v>
      </c>
      <c r="J659" s="10">
        <v>41600</v>
      </c>
      <c r="K659" s="10">
        <v>27236</v>
      </c>
      <c r="L659" s="10">
        <v>14364</v>
      </c>
      <c r="M659" s="10">
        <v>0</v>
      </c>
      <c r="N659" s="11">
        <v>14364</v>
      </c>
      <c r="O659" s="12">
        <v>765247905</v>
      </c>
      <c r="P659" s="9">
        <v>285123</v>
      </c>
      <c r="Q659" s="9" t="s">
        <v>37</v>
      </c>
      <c r="R659" s="13">
        <v>45680</v>
      </c>
      <c r="S659" s="22">
        <v>45680</v>
      </c>
      <c r="T659" s="13">
        <v>45680</v>
      </c>
      <c r="U659" s="13">
        <v>45680</v>
      </c>
      <c r="V659" s="9" t="s">
        <v>47</v>
      </c>
      <c r="W659" s="9">
        <v>22524740</v>
      </c>
      <c r="X659" s="9">
        <v>1271320</v>
      </c>
      <c r="Y659" s="9">
        <v>68708591</v>
      </c>
      <c r="Z659" s="9" t="s">
        <v>39</v>
      </c>
      <c r="AA659" s="9">
        <v>26012025</v>
      </c>
      <c r="AB659" s="9">
        <v>77442</v>
      </c>
      <c r="AC659" s="9" t="s">
        <v>41</v>
      </c>
      <c r="AD659" s="9" t="s">
        <v>134</v>
      </c>
      <c r="AE659" s="9" t="s">
        <v>135</v>
      </c>
      <c r="AF659" s="9" t="s">
        <v>135</v>
      </c>
      <c r="AG659" s="14" t="str">
        <f t="shared" si="22"/>
        <v>EXAMENES RADIOLOGICOS</v>
      </c>
      <c r="AH659" s="9" t="s">
        <v>758</v>
      </c>
      <c r="AI659" s="9">
        <v>0</v>
      </c>
      <c r="AJ659" s="9">
        <v>78040520</v>
      </c>
      <c r="AK659" s="9">
        <v>1</v>
      </c>
      <c r="AL659" s="26" t="s">
        <v>86</v>
      </c>
      <c r="AM659" s="14" t="s">
        <v>635</v>
      </c>
      <c r="AN659" s="27" t="str">
        <f t="shared" si="23"/>
        <v>10225415|78040520|765247905|765247905</v>
      </c>
      <c r="AO659" t="s">
        <v>758</v>
      </c>
      <c r="AP659" t="b">
        <v>1</v>
      </c>
      <c r="AQ659" t="s">
        <v>764</v>
      </c>
    </row>
    <row r="660" spans="1:43" x14ac:dyDescent="0.2">
      <c r="A660" s="14" t="s">
        <v>500</v>
      </c>
      <c r="B660" s="17">
        <v>10225415</v>
      </c>
      <c r="C660" s="14" t="s">
        <v>330</v>
      </c>
      <c r="D660" s="9">
        <v>10225415</v>
      </c>
      <c r="E660" s="9" t="s">
        <v>330</v>
      </c>
      <c r="F660" s="7">
        <v>45717</v>
      </c>
      <c r="G660" s="20" t="s">
        <v>46</v>
      </c>
      <c r="H660" s="8">
        <v>765247905</v>
      </c>
      <c r="I660" s="19">
        <v>65383810</v>
      </c>
      <c r="J660" s="10">
        <v>14209</v>
      </c>
      <c r="K660" s="10">
        <v>0</v>
      </c>
      <c r="L660" s="10">
        <v>14209</v>
      </c>
      <c r="M660" s="10">
        <v>0</v>
      </c>
      <c r="N660" s="11">
        <v>14209</v>
      </c>
      <c r="O660" s="12">
        <v>765247905</v>
      </c>
      <c r="P660" s="9">
        <v>285123</v>
      </c>
      <c r="Q660" s="9" t="s">
        <v>37</v>
      </c>
      <c r="R660" s="13">
        <v>45717</v>
      </c>
      <c r="S660" s="22">
        <v>45742</v>
      </c>
      <c r="T660" s="13">
        <v>45680</v>
      </c>
      <c r="U660" s="13">
        <v>45680</v>
      </c>
      <c r="V660" s="9" t="s">
        <v>47</v>
      </c>
      <c r="W660" s="9">
        <v>22770418</v>
      </c>
      <c r="X660" s="9">
        <v>3311105</v>
      </c>
      <c r="Y660" s="9">
        <v>69250699</v>
      </c>
      <c r="Z660" s="9" t="s">
        <v>39</v>
      </c>
      <c r="AA660" s="9">
        <v>62192095226</v>
      </c>
      <c r="AB660" s="9">
        <v>78070</v>
      </c>
      <c r="AC660" s="9" t="s">
        <v>41</v>
      </c>
      <c r="AD660" s="9" t="s">
        <v>134</v>
      </c>
      <c r="AE660" s="9" t="s">
        <v>135</v>
      </c>
      <c r="AF660" s="9" t="s">
        <v>135</v>
      </c>
      <c r="AG660" s="14" t="str">
        <f t="shared" si="22"/>
        <v>EXAMENES RADIOLOGICOS</v>
      </c>
      <c r="AH660" s="9">
        <v>0</v>
      </c>
      <c r="AI660" s="9">
        <v>0</v>
      </c>
      <c r="AJ660" s="9">
        <v>78040520</v>
      </c>
      <c r="AK660" s="9">
        <v>1</v>
      </c>
      <c r="AL660" s="26" t="s">
        <v>52</v>
      </c>
      <c r="AM660" s="14" t="s">
        <v>635</v>
      </c>
      <c r="AN660" s="27" t="str">
        <f t="shared" si="23"/>
        <v>10225415|78040520|765247905|65383810</v>
      </c>
      <c r="AO660" t="s">
        <v>44</v>
      </c>
      <c r="AP660" t="b">
        <v>0</v>
      </c>
      <c r="AQ660" t="s">
        <v>763</v>
      </c>
    </row>
    <row r="661" spans="1:43" x14ac:dyDescent="0.2">
      <c r="A661" s="14" t="s">
        <v>500</v>
      </c>
      <c r="B661" s="17">
        <v>10225415</v>
      </c>
      <c r="C661" s="14" t="s">
        <v>330</v>
      </c>
      <c r="D661" s="9">
        <v>10225415</v>
      </c>
      <c r="E661" s="9" t="s">
        <v>330</v>
      </c>
      <c r="F661" s="7">
        <v>45658</v>
      </c>
      <c r="G661" s="20" t="s">
        <v>36</v>
      </c>
      <c r="H661" s="8">
        <v>765248414</v>
      </c>
      <c r="I661" s="19">
        <v>765248414</v>
      </c>
      <c r="J661" s="10">
        <v>136213</v>
      </c>
      <c r="K661" s="10">
        <v>85426</v>
      </c>
      <c r="L661" s="10">
        <v>50787</v>
      </c>
      <c r="M661" s="10">
        <v>0</v>
      </c>
      <c r="N661" s="11">
        <v>50787</v>
      </c>
      <c r="O661" s="12">
        <v>765248414</v>
      </c>
      <c r="P661" s="9">
        <v>285123</v>
      </c>
      <c r="Q661" s="9" t="s">
        <v>37</v>
      </c>
      <c r="R661" s="13">
        <v>45680</v>
      </c>
      <c r="S661" s="22">
        <v>45680</v>
      </c>
      <c r="T661" s="13">
        <v>45680</v>
      </c>
      <c r="U661" s="13">
        <v>45680</v>
      </c>
      <c r="V661" s="9" t="s">
        <v>47</v>
      </c>
      <c r="W661" s="9">
        <v>22524740</v>
      </c>
      <c r="X661" s="9">
        <v>1271320</v>
      </c>
      <c r="Y661" s="9">
        <v>68708621</v>
      </c>
      <c r="Z661" s="9" t="s">
        <v>39</v>
      </c>
      <c r="AA661" s="9">
        <v>26012025</v>
      </c>
      <c r="AB661" s="9">
        <v>77442</v>
      </c>
      <c r="AC661" s="9" t="s">
        <v>41</v>
      </c>
      <c r="AD661" s="9" t="s">
        <v>65</v>
      </c>
      <c r="AE661" s="9" t="s">
        <v>66</v>
      </c>
      <c r="AF661" s="9" t="s">
        <v>66</v>
      </c>
      <c r="AG661" s="14" t="str">
        <f t="shared" ref="AG661:AG724" si="24">+AF661</f>
        <v>PROCEDIMIENTOS TERAPEUTICOS</v>
      </c>
      <c r="AH661" s="9" t="s">
        <v>758</v>
      </c>
      <c r="AI661" s="9">
        <v>0</v>
      </c>
      <c r="AJ661" s="9">
        <v>78040520</v>
      </c>
      <c r="AK661" s="9">
        <v>1</v>
      </c>
      <c r="AL661" s="26" t="s">
        <v>86</v>
      </c>
      <c r="AM661" s="14" t="s">
        <v>635</v>
      </c>
      <c r="AN661" s="27" t="str">
        <f t="shared" si="23"/>
        <v>10225415|78040520|765248414|765248414</v>
      </c>
      <c r="AO661" t="s">
        <v>758</v>
      </c>
      <c r="AP661" t="b">
        <v>1</v>
      </c>
      <c r="AQ661" t="s">
        <v>764</v>
      </c>
    </row>
    <row r="662" spans="1:43" x14ac:dyDescent="0.2">
      <c r="A662" s="14" t="s">
        <v>500</v>
      </c>
      <c r="B662" s="17">
        <v>10225415</v>
      </c>
      <c r="C662" s="14" t="s">
        <v>330</v>
      </c>
      <c r="D662" s="9">
        <v>10225415</v>
      </c>
      <c r="E662" s="9" t="s">
        <v>330</v>
      </c>
      <c r="F662" s="7">
        <v>45717</v>
      </c>
      <c r="G662" s="20" t="s">
        <v>46</v>
      </c>
      <c r="H662" s="8">
        <v>765248414</v>
      </c>
      <c r="I662" s="19">
        <v>65383811</v>
      </c>
      <c r="J662" s="10">
        <v>50693</v>
      </c>
      <c r="K662" s="10">
        <v>0</v>
      </c>
      <c r="L662" s="10">
        <v>50693</v>
      </c>
      <c r="M662" s="10">
        <v>0</v>
      </c>
      <c r="N662" s="11">
        <v>50693</v>
      </c>
      <c r="O662" s="12">
        <v>765248414</v>
      </c>
      <c r="P662" s="9">
        <v>285123</v>
      </c>
      <c r="Q662" s="9" t="s">
        <v>37</v>
      </c>
      <c r="R662" s="13">
        <v>45717</v>
      </c>
      <c r="S662" s="22">
        <v>45742</v>
      </c>
      <c r="T662" s="13">
        <v>45680</v>
      </c>
      <c r="U662" s="13">
        <v>45680</v>
      </c>
      <c r="V662" s="9" t="s">
        <v>47</v>
      </c>
      <c r="W662" s="9">
        <v>22770418</v>
      </c>
      <c r="X662" s="9">
        <v>3311105</v>
      </c>
      <c r="Y662" s="9">
        <v>69250700</v>
      </c>
      <c r="Z662" s="9" t="s">
        <v>39</v>
      </c>
      <c r="AA662" s="9">
        <v>62192095226</v>
      </c>
      <c r="AB662" s="9">
        <v>78070</v>
      </c>
      <c r="AC662" s="9" t="s">
        <v>41</v>
      </c>
      <c r="AD662" s="9" t="s">
        <v>65</v>
      </c>
      <c r="AE662" s="9" t="s">
        <v>66</v>
      </c>
      <c r="AF662" s="9" t="s">
        <v>66</v>
      </c>
      <c r="AG662" s="14" t="str">
        <f t="shared" si="24"/>
        <v>PROCEDIMIENTOS TERAPEUTICOS</v>
      </c>
      <c r="AH662" s="9">
        <v>0</v>
      </c>
      <c r="AI662" s="9">
        <v>0</v>
      </c>
      <c r="AJ662" s="9">
        <v>78040520</v>
      </c>
      <c r="AK662" s="9">
        <v>1</v>
      </c>
      <c r="AL662" s="26" t="s">
        <v>52</v>
      </c>
      <c r="AM662" s="14" t="s">
        <v>635</v>
      </c>
      <c r="AN662" s="27" t="str">
        <f t="shared" si="23"/>
        <v>10225415|78040520|765248414|65383811</v>
      </c>
      <c r="AO662" t="s">
        <v>44</v>
      </c>
      <c r="AP662" t="b">
        <v>0</v>
      </c>
      <c r="AQ662" t="s">
        <v>763</v>
      </c>
    </row>
    <row r="663" spans="1:43" x14ac:dyDescent="0.2">
      <c r="A663" s="14" t="s">
        <v>500</v>
      </c>
      <c r="B663" s="17">
        <v>10225415</v>
      </c>
      <c r="C663" s="14" t="s">
        <v>330</v>
      </c>
      <c r="D663" s="9">
        <v>10225415</v>
      </c>
      <c r="E663" s="9" t="s">
        <v>330</v>
      </c>
      <c r="F663" s="7">
        <v>45658</v>
      </c>
      <c r="G663" s="20" t="s">
        <v>36</v>
      </c>
      <c r="H663" s="8">
        <v>765248429</v>
      </c>
      <c r="I663" s="19">
        <v>765248429</v>
      </c>
      <c r="J663" s="10">
        <v>10048</v>
      </c>
      <c r="K663" s="10">
        <v>6279</v>
      </c>
      <c r="L663" s="10">
        <v>3769</v>
      </c>
      <c r="M663" s="10">
        <v>0</v>
      </c>
      <c r="N663" s="11">
        <v>3769</v>
      </c>
      <c r="O663" s="12">
        <v>765248429</v>
      </c>
      <c r="P663" s="9">
        <v>285123</v>
      </c>
      <c r="Q663" s="9" t="s">
        <v>37</v>
      </c>
      <c r="R663" s="13">
        <v>45680</v>
      </c>
      <c r="S663" s="22">
        <v>45680</v>
      </c>
      <c r="T663" s="13">
        <v>45680</v>
      </c>
      <c r="U663" s="13">
        <v>45680</v>
      </c>
      <c r="V663" s="9" t="s">
        <v>47</v>
      </c>
      <c r="W663" s="9">
        <v>22524740</v>
      </c>
      <c r="X663" s="9">
        <v>1271320</v>
      </c>
      <c r="Y663" s="9">
        <v>68708623</v>
      </c>
      <c r="Z663" s="9" t="s">
        <v>39</v>
      </c>
      <c r="AA663" s="9">
        <v>26012025</v>
      </c>
      <c r="AB663" s="9">
        <v>77442</v>
      </c>
      <c r="AC663" s="9" t="s">
        <v>41</v>
      </c>
      <c r="AD663" s="9" t="s">
        <v>65</v>
      </c>
      <c r="AE663" s="9" t="s">
        <v>66</v>
      </c>
      <c r="AF663" s="9" t="s">
        <v>66</v>
      </c>
      <c r="AG663" s="14" t="str">
        <f t="shared" si="24"/>
        <v>PROCEDIMIENTOS TERAPEUTICOS</v>
      </c>
      <c r="AH663" s="9" t="s">
        <v>758</v>
      </c>
      <c r="AI663" s="9">
        <v>0</v>
      </c>
      <c r="AJ663" s="9">
        <v>78040520</v>
      </c>
      <c r="AK663" s="9">
        <v>1</v>
      </c>
      <c r="AL663" s="26" t="s">
        <v>86</v>
      </c>
      <c r="AM663" s="14" t="s">
        <v>635</v>
      </c>
      <c r="AN663" s="27" t="str">
        <f t="shared" si="23"/>
        <v>10225415|78040520|765248429|765248429</v>
      </c>
      <c r="AO663" t="s">
        <v>758</v>
      </c>
      <c r="AP663" t="b">
        <v>1</v>
      </c>
      <c r="AQ663" t="s">
        <v>764</v>
      </c>
    </row>
    <row r="664" spans="1:43" x14ac:dyDescent="0.2">
      <c r="A664" s="14" t="s">
        <v>500</v>
      </c>
      <c r="B664" s="17">
        <v>10225415</v>
      </c>
      <c r="C664" s="14" t="s">
        <v>330</v>
      </c>
      <c r="D664" s="9">
        <v>10225415</v>
      </c>
      <c r="E664" s="9" t="s">
        <v>330</v>
      </c>
      <c r="F664" s="7">
        <v>45717</v>
      </c>
      <c r="G664" s="20" t="s">
        <v>46</v>
      </c>
      <c r="H664" s="8">
        <v>765248429</v>
      </c>
      <c r="I664" s="19">
        <v>65383812</v>
      </c>
      <c r="J664" s="10">
        <v>3840</v>
      </c>
      <c r="K664" s="10">
        <v>0</v>
      </c>
      <c r="L664" s="10">
        <v>3840</v>
      </c>
      <c r="M664" s="10">
        <v>0</v>
      </c>
      <c r="N664" s="11">
        <v>3840</v>
      </c>
      <c r="O664" s="12">
        <v>765248429</v>
      </c>
      <c r="P664" s="9">
        <v>285123</v>
      </c>
      <c r="Q664" s="9" t="s">
        <v>37</v>
      </c>
      <c r="R664" s="13">
        <v>45717</v>
      </c>
      <c r="S664" s="22">
        <v>45742</v>
      </c>
      <c r="T664" s="13">
        <v>45680</v>
      </c>
      <c r="U664" s="13">
        <v>45680</v>
      </c>
      <c r="V664" s="9" t="s">
        <v>47</v>
      </c>
      <c r="W664" s="9">
        <v>22770418</v>
      </c>
      <c r="X664" s="9">
        <v>3311105</v>
      </c>
      <c r="Y664" s="9">
        <v>69250701</v>
      </c>
      <c r="Z664" s="9" t="s">
        <v>39</v>
      </c>
      <c r="AA664" s="9">
        <v>62192095226</v>
      </c>
      <c r="AB664" s="9">
        <v>78070</v>
      </c>
      <c r="AC664" s="9" t="s">
        <v>41</v>
      </c>
      <c r="AD664" s="9" t="s">
        <v>65</v>
      </c>
      <c r="AE664" s="9" t="s">
        <v>66</v>
      </c>
      <c r="AF664" s="9" t="s">
        <v>66</v>
      </c>
      <c r="AG664" s="14" t="str">
        <f t="shared" si="24"/>
        <v>PROCEDIMIENTOS TERAPEUTICOS</v>
      </c>
      <c r="AH664" s="9">
        <v>0</v>
      </c>
      <c r="AI664" s="9">
        <v>0</v>
      </c>
      <c r="AJ664" s="9">
        <v>78040520</v>
      </c>
      <c r="AK664" s="9">
        <v>1</v>
      </c>
      <c r="AL664" s="26" t="s">
        <v>52</v>
      </c>
      <c r="AM664" s="14" t="s">
        <v>635</v>
      </c>
      <c r="AN664" s="27" t="str">
        <f t="shared" si="23"/>
        <v>10225415|78040520|765248429|65383812</v>
      </c>
      <c r="AO664" t="s">
        <v>44</v>
      </c>
      <c r="AP664" t="b">
        <v>0</v>
      </c>
      <c r="AQ664" t="s">
        <v>763</v>
      </c>
    </row>
    <row r="665" spans="1:43" x14ac:dyDescent="0.2">
      <c r="A665" s="14" t="s">
        <v>500</v>
      </c>
      <c r="B665" s="17">
        <v>10225415</v>
      </c>
      <c r="C665" s="14" t="s">
        <v>330</v>
      </c>
      <c r="D665" s="9">
        <v>10225415</v>
      </c>
      <c r="E665" s="9" t="s">
        <v>330</v>
      </c>
      <c r="F665" s="7">
        <v>45658</v>
      </c>
      <c r="G665" s="20" t="s">
        <v>36</v>
      </c>
      <c r="H665" s="8">
        <v>765249950</v>
      </c>
      <c r="I665" s="19">
        <v>765249950</v>
      </c>
      <c r="J665" s="10">
        <v>57360</v>
      </c>
      <c r="K665" s="10">
        <v>43789</v>
      </c>
      <c r="L665" s="10">
        <v>13571</v>
      </c>
      <c r="M665" s="10">
        <v>0</v>
      </c>
      <c r="N665" s="11">
        <v>13571</v>
      </c>
      <c r="O665" s="12">
        <v>765249950</v>
      </c>
      <c r="P665" s="9">
        <v>285123</v>
      </c>
      <c r="Q665" s="9" t="s">
        <v>37</v>
      </c>
      <c r="R665" s="13">
        <v>45680</v>
      </c>
      <c r="S665" s="22">
        <v>45680</v>
      </c>
      <c r="T665" s="13">
        <v>45680</v>
      </c>
      <c r="U665" s="13">
        <v>45680</v>
      </c>
      <c r="V665" s="9" t="s">
        <v>47</v>
      </c>
      <c r="W665" s="9">
        <v>22524740</v>
      </c>
      <c r="X665" s="9">
        <v>1271320</v>
      </c>
      <c r="Y665" s="9">
        <v>68708696</v>
      </c>
      <c r="Z665" s="9" t="s">
        <v>39</v>
      </c>
      <c r="AA665" s="9">
        <v>26012025</v>
      </c>
      <c r="AB665" s="9">
        <v>77442</v>
      </c>
      <c r="AC665" s="9" t="s">
        <v>41</v>
      </c>
      <c r="AD665" s="9" t="s">
        <v>65</v>
      </c>
      <c r="AE665" s="9" t="s">
        <v>66</v>
      </c>
      <c r="AF665" s="9" t="s">
        <v>66</v>
      </c>
      <c r="AG665" s="14" t="str">
        <f t="shared" si="24"/>
        <v>PROCEDIMIENTOS TERAPEUTICOS</v>
      </c>
      <c r="AH665" s="9" t="s">
        <v>758</v>
      </c>
      <c r="AI665" s="9">
        <v>0</v>
      </c>
      <c r="AJ665" s="9">
        <v>78040520</v>
      </c>
      <c r="AK665" s="9">
        <v>1</v>
      </c>
      <c r="AL665" s="26" t="s">
        <v>86</v>
      </c>
      <c r="AM665" s="14" t="s">
        <v>635</v>
      </c>
      <c r="AN665" s="27" t="str">
        <f t="shared" si="23"/>
        <v>10225415|78040520|765249950|765249950</v>
      </c>
      <c r="AO665" t="s">
        <v>758</v>
      </c>
      <c r="AP665" t="b">
        <v>1</v>
      </c>
      <c r="AQ665" t="s">
        <v>764</v>
      </c>
    </row>
    <row r="666" spans="1:43" x14ac:dyDescent="0.2">
      <c r="A666" s="14" t="s">
        <v>500</v>
      </c>
      <c r="B666" s="17">
        <v>10225415</v>
      </c>
      <c r="C666" s="14" t="s">
        <v>330</v>
      </c>
      <c r="D666" s="9">
        <v>10225415</v>
      </c>
      <c r="E666" s="9" t="s">
        <v>330</v>
      </c>
      <c r="F666" s="7">
        <v>45717</v>
      </c>
      <c r="G666" s="20" t="s">
        <v>46</v>
      </c>
      <c r="H666" s="8">
        <v>765249950</v>
      </c>
      <c r="I666" s="19">
        <v>65383813</v>
      </c>
      <c r="J666" s="10">
        <v>13057</v>
      </c>
      <c r="K666" s="10">
        <v>0</v>
      </c>
      <c r="L666" s="10">
        <v>13057</v>
      </c>
      <c r="M666" s="10">
        <v>0</v>
      </c>
      <c r="N666" s="11">
        <v>13057</v>
      </c>
      <c r="O666" s="12">
        <v>765249950</v>
      </c>
      <c r="P666" s="9">
        <v>285123</v>
      </c>
      <c r="Q666" s="9" t="s">
        <v>37</v>
      </c>
      <c r="R666" s="13">
        <v>45717</v>
      </c>
      <c r="S666" s="22">
        <v>45742</v>
      </c>
      <c r="T666" s="13">
        <v>45680</v>
      </c>
      <c r="U666" s="13">
        <v>45680</v>
      </c>
      <c r="V666" s="9" t="s">
        <v>47</v>
      </c>
      <c r="W666" s="9">
        <v>22770418</v>
      </c>
      <c r="X666" s="9">
        <v>3311105</v>
      </c>
      <c r="Y666" s="9">
        <v>69250702</v>
      </c>
      <c r="Z666" s="9" t="s">
        <v>39</v>
      </c>
      <c r="AA666" s="9">
        <v>62192095226</v>
      </c>
      <c r="AB666" s="9">
        <v>78070</v>
      </c>
      <c r="AC666" s="9" t="s">
        <v>41</v>
      </c>
      <c r="AD666" s="9" t="s">
        <v>65</v>
      </c>
      <c r="AE666" s="9" t="s">
        <v>66</v>
      </c>
      <c r="AF666" s="9" t="s">
        <v>66</v>
      </c>
      <c r="AG666" s="14" t="str">
        <f t="shared" si="24"/>
        <v>PROCEDIMIENTOS TERAPEUTICOS</v>
      </c>
      <c r="AH666" s="9">
        <v>0</v>
      </c>
      <c r="AI666" s="9">
        <v>0</v>
      </c>
      <c r="AJ666" s="9">
        <v>78040520</v>
      </c>
      <c r="AK666" s="9">
        <v>1</v>
      </c>
      <c r="AL666" s="26" t="s">
        <v>52</v>
      </c>
      <c r="AM666" s="14" t="s">
        <v>635</v>
      </c>
      <c r="AN666" s="27" t="str">
        <f t="shared" si="23"/>
        <v>10225415|78040520|765249950|65383813</v>
      </c>
      <c r="AO666" t="s">
        <v>44</v>
      </c>
      <c r="AP666" t="b">
        <v>0</v>
      </c>
      <c r="AQ666" t="s">
        <v>763</v>
      </c>
    </row>
    <row r="667" spans="1:43" x14ac:dyDescent="0.2">
      <c r="A667" s="14" t="s">
        <v>500</v>
      </c>
      <c r="B667" s="17">
        <v>6699584</v>
      </c>
      <c r="C667" s="14" t="s">
        <v>329</v>
      </c>
      <c r="D667" s="9">
        <v>6699584</v>
      </c>
      <c r="E667" s="9" t="s">
        <v>329</v>
      </c>
      <c r="F667" s="7">
        <v>45658</v>
      </c>
      <c r="G667" s="20" t="s">
        <v>36</v>
      </c>
      <c r="H667" s="8">
        <v>765253995</v>
      </c>
      <c r="I667" s="19">
        <v>765253995</v>
      </c>
      <c r="J667" s="10">
        <v>35880</v>
      </c>
      <c r="K667" s="10">
        <v>28704</v>
      </c>
      <c r="L667" s="10">
        <v>7176</v>
      </c>
      <c r="M667" s="10">
        <v>0</v>
      </c>
      <c r="N667" s="11">
        <v>7176</v>
      </c>
      <c r="O667" s="12">
        <v>765253995</v>
      </c>
      <c r="P667" s="9">
        <v>285123</v>
      </c>
      <c r="Q667" s="9" t="s">
        <v>37</v>
      </c>
      <c r="R667" s="13">
        <v>45681</v>
      </c>
      <c r="S667" s="22">
        <v>45681</v>
      </c>
      <c r="T667" s="13">
        <v>45681</v>
      </c>
      <c r="U667" s="13">
        <v>45681</v>
      </c>
      <c r="V667" s="9" t="s">
        <v>47</v>
      </c>
      <c r="W667" s="9">
        <v>22524779</v>
      </c>
      <c r="X667" s="9">
        <v>1271320</v>
      </c>
      <c r="Y667" s="9">
        <v>68708958</v>
      </c>
      <c r="Z667" s="9" t="s">
        <v>39</v>
      </c>
      <c r="AA667" s="9">
        <v>26012025</v>
      </c>
      <c r="AB667" s="9">
        <v>77442</v>
      </c>
      <c r="AC667" s="9" t="s">
        <v>41</v>
      </c>
      <c r="AD667" s="9" t="s">
        <v>132</v>
      </c>
      <c r="AE667" s="9" t="s">
        <v>133</v>
      </c>
      <c r="AF667" s="9" t="s">
        <v>133</v>
      </c>
      <c r="AG667" s="14" t="str">
        <f t="shared" si="24"/>
        <v>EXAMENES DE LABORATORIO</v>
      </c>
      <c r="AH667" s="9" t="s">
        <v>758</v>
      </c>
      <c r="AI667" s="9">
        <v>0</v>
      </c>
      <c r="AJ667" s="9">
        <v>96942400</v>
      </c>
      <c r="AK667" s="9">
        <v>2</v>
      </c>
      <c r="AL667" s="26" t="s">
        <v>86</v>
      </c>
      <c r="AM667" s="14" t="s">
        <v>634</v>
      </c>
      <c r="AN667" s="27" t="str">
        <f t="shared" si="23"/>
        <v>6699584|96942400|765253995|765253995</v>
      </c>
      <c r="AO667" t="s">
        <v>758</v>
      </c>
      <c r="AP667" t="b">
        <v>1</v>
      </c>
      <c r="AQ667" t="s">
        <v>764</v>
      </c>
    </row>
    <row r="668" spans="1:43" x14ac:dyDescent="0.2">
      <c r="A668" s="14" t="s">
        <v>500</v>
      </c>
      <c r="B668" s="17">
        <v>6699584</v>
      </c>
      <c r="C668" s="14" t="s">
        <v>329</v>
      </c>
      <c r="D668" s="9">
        <v>6699584</v>
      </c>
      <c r="E668" s="9" t="s">
        <v>329</v>
      </c>
      <c r="F668" s="7">
        <v>45717</v>
      </c>
      <c r="G668" s="20" t="s">
        <v>46</v>
      </c>
      <c r="H668" s="8">
        <v>765253995</v>
      </c>
      <c r="I668" s="19">
        <v>65383596</v>
      </c>
      <c r="J668" s="10">
        <v>7296</v>
      </c>
      <c r="K668" s="10">
        <v>0</v>
      </c>
      <c r="L668" s="10">
        <v>7296</v>
      </c>
      <c r="M668" s="10">
        <v>0</v>
      </c>
      <c r="N668" s="11">
        <v>7296</v>
      </c>
      <c r="O668" s="12">
        <v>765253995</v>
      </c>
      <c r="P668" s="9">
        <v>285123</v>
      </c>
      <c r="Q668" s="9" t="s">
        <v>37</v>
      </c>
      <c r="R668" s="13">
        <v>45717</v>
      </c>
      <c r="S668" s="22">
        <v>45742</v>
      </c>
      <c r="T668" s="13">
        <v>45681</v>
      </c>
      <c r="U668" s="13">
        <v>45681</v>
      </c>
      <c r="V668" s="9" t="s">
        <v>47</v>
      </c>
      <c r="W668" s="9">
        <v>22770424</v>
      </c>
      <c r="X668" s="9">
        <v>3311105</v>
      </c>
      <c r="Y668" s="9">
        <v>69250487</v>
      </c>
      <c r="Z668" s="9" t="s">
        <v>39</v>
      </c>
      <c r="AA668" s="9">
        <v>1591995006</v>
      </c>
      <c r="AB668" s="9">
        <v>78070</v>
      </c>
      <c r="AC668" s="9" t="s">
        <v>41</v>
      </c>
      <c r="AD668" s="9" t="s">
        <v>132</v>
      </c>
      <c r="AE668" s="9" t="s">
        <v>133</v>
      </c>
      <c r="AF668" s="9" t="s">
        <v>133</v>
      </c>
      <c r="AG668" s="14" t="str">
        <f t="shared" si="24"/>
        <v>EXAMENES DE LABORATORIO</v>
      </c>
      <c r="AH668" s="9">
        <v>0</v>
      </c>
      <c r="AI668" s="9">
        <v>0</v>
      </c>
      <c r="AJ668" s="9">
        <v>96942400</v>
      </c>
      <c r="AK668" s="9">
        <v>2</v>
      </c>
      <c r="AL668" s="26" t="s">
        <v>52</v>
      </c>
      <c r="AM668" s="14" t="s">
        <v>634</v>
      </c>
      <c r="AN668" s="27" t="str">
        <f t="shared" si="23"/>
        <v>6699584|96942400|765253995|65383596</v>
      </c>
      <c r="AO668" t="s">
        <v>44</v>
      </c>
      <c r="AP668" t="b">
        <v>0</v>
      </c>
      <c r="AQ668" t="s">
        <v>763</v>
      </c>
    </row>
    <row r="669" spans="1:43" x14ac:dyDescent="0.2">
      <c r="A669" s="14" t="s">
        <v>500</v>
      </c>
      <c r="B669" s="17">
        <v>12289972</v>
      </c>
      <c r="C669" s="14" t="s">
        <v>331</v>
      </c>
      <c r="D669" s="9">
        <v>22896946</v>
      </c>
      <c r="E669" s="9" t="s">
        <v>332</v>
      </c>
      <c r="F669" s="7">
        <v>45658</v>
      </c>
      <c r="G669" s="20" t="s">
        <v>36</v>
      </c>
      <c r="H669" s="8">
        <v>765255071</v>
      </c>
      <c r="I669" s="19">
        <v>765255071</v>
      </c>
      <c r="J669" s="10">
        <v>54270</v>
      </c>
      <c r="K669" s="10">
        <v>37989</v>
      </c>
      <c r="L669" s="10">
        <v>16281</v>
      </c>
      <c r="M669" s="10">
        <v>0</v>
      </c>
      <c r="N669" s="11">
        <v>16281</v>
      </c>
      <c r="O669" s="12">
        <v>765255071</v>
      </c>
      <c r="P669" s="9">
        <v>285123</v>
      </c>
      <c r="Q669" s="9" t="s">
        <v>37</v>
      </c>
      <c r="R669" s="13">
        <v>45681</v>
      </c>
      <c r="S669" s="22">
        <v>45681</v>
      </c>
      <c r="T669" s="13">
        <v>45681</v>
      </c>
      <c r="U669" s="13">
        <v>45681</v>
      </c>
      <c r="V669" s="9" t="s">
        <v>47</v>
      </c>
      <c r="W669" s="9">
        <v>22524796</v>
      </c>
      <c r="X669" s="9">
        <v>1271320</v>
      </c>
      <c r="Y669" s="9">
        <v>68709012</v>
      </c>
      <c r="Z669" s="9" t="s">
        <v>39</v>
      </c>
      <c r="AA669" s="9">
        <v>26012025</v>
      </c>
      <c r="AB669" s="9">
        <v>77442</v>
      </c>
      <c r="AC669" s="9" t="s">
        <v>41</v>
      </c>
      <c r="AD669" s="9" t="s">
        <v>132</v>
      </c>
      <c r="AE669" s="9" t="s">
        <v>133</v>
      </c>
      <c r="AF669" s="9" t="s">
        <v>133</v>
      </c>
      <c r="AG669" s="14" t="str">
        <f t="shared" si="24"/>
        <v>EXAMENES DE LABORATORIO</v>
      </c>
      <c r="AH669" s="9" t="s">
        <v>758</v>
      </c>
      <c r="AI669" s="9">
        <v>0</v>
      </c>
      <c r="AJ669" s="9">
        <v>92051000</v>
      </c>
      <c r="AK669" s="9">
        <v>0</v>
      </c>
      <c r="AL669" s="26" t="s">
        <v>86</v>
      </c>
      <c r="AM669" s="14" t="s">
        <v>636</v>
      </c>
      <c r="AN669" s="27" t="str">
        <f t="shared" si="23"/>
        <v>12289972|92051000|765255071|765255071</v>
      </c>
      <c r="AO669" t="s">
        <v>758</v>
      </c>
      <c r="AP669" t="b">
        <v>1</v>
      </c>
      <c r="AQ669" t="s">
        <v>764</v>
      </c>
    </row>
    <row r="670" spans="1:43" x14ac:dyDescent="0.2">
      <c r="A670" s="14" t="s">
        <v>500</v>
      </c>
      <c r="B670" s="17">
        <v>12289972</v>
      </c>
      <c r="C670" s="14" t="s">
        <v>331</v>
      </c>
      <c r="D670" s="9">
        <v>22896946</v>
      </c>
      <c r="E670" s="9" t="s">
        <v>332</v>
      </c>
      <c r="F670" s="7">
        <v>45717</v>
      </c>
      <c r="G670" s="20" t="s">
        <v>46</v>
      </c>
      <c r="H670" s="8">
        <v>765255071</v>
      </c>
      <c r="I670" s="19">
        <v>65384008</v>
      </c>
      <c r="J670" s="10">
        <v>16512</v>
      </c>
      <c r="K670" s="10">
        <v>0</v>
      </c>
      <c r="L670" s="10">
        <v>16512</v>
      </c>
      <c r="M670" s="10">
        <v>0</v>
      </c>
      <c r="N670" s="11">
        <v>16512</v>
      </c>
      <c r="O670" s="12">
        <v>765255071</v>
      </c>
      <c r="P670" s="9">
        <v>285123</v>
      </c>
      <c r="Q670" s="9" t="s">
        <v>37</v>
      </c>
      <c r="R670" s="13">
        <v>45717</v>
      </c>
      <c r="S670" s="22">
        <v>45742</v>
      </c>
      <c r="T670" s="13">
        <v>45681</v>
      </c>
      <c r="U670" s="13">
        <v>45681</v>
      </c>
      <c r="V670" s="9" t="s">
        <v>47</v>
      </c>
      <c r="W670" s="9">
        <v>22770428</v>
      </c>
      <c r="X670" s="9">
        <v>3311105</v>
      </c>
      <c r="Y670" s="9">
        <v>69250896</v>
      </c>
      <c r="Z670" s="9" t="s">
        <v>39</v>
      </c>
      <c r="AA670" s="9">
        <v>1950178602</v>
      </c>
      <c r="AB670" s="9">
        <v>78070</v>
      </c>
      <c r="AC670" s="9" t="s">
        <v>41</v>
      </c>
      <c r="AD670" s="9" t="s">
        <v>132</v>
      </c>
      <c r="AE670" s="9" t="s">
        <v>133</v>
      </c>
      <c r="AF670" s="9" t="s">
        <v>133</v>
      </c>
      <c r="AG670" s="14" t="str">
        <f t="shared" si="24"/>
        <v>EXAMENES DE LABORATORIO</v>
      </c>
      <c r="AH670" s="9">
        <v>0</v>
      </c>
      <c r="AI670" s="9">
        <v>0</v>
      </c>
      <c r="AJ670" s="9">
        <v>92051000</v>
      </c>
      <c r="AK670" s="9">
        <v>0</v>
      </c>
      <c r="AL670" s="26" t="s">
        <v>52</v>
      </c>
      <c r="AM670" s="14" t="s">
        <v>636</v>
      </c>
      <c r="AN670" s="27" t="str">
        <f t="shared" si="23"/>
        <v>12289972|92051000|765255071|65384008</v>
      </c>
      <c r="AO670" t="s">
        <v>44</v>
      </c>
      <c r="AP670" t="b">
        <v>0</v>
      </c>
      <c r="AQ670" t="s">
        <v>763</v>
      </c>
    </row>
    <row r="671" spans="1:43" x14ac:dyDescent="0.2">
      <c r="A671" s="14" t="s">
        <v>500</v>
      </c>
      <c r="B671" s="17">
        <v>8850540</v>
      </c>
      <c r="C671" s="14" t="s">
        <v>333</v>
      </c>
      <c r="D671" s="9">
        <v>8850540</v>
      </c>
      <c r="E671" s="9" t="s">
        <v>333</v>
      </c>
      <c r="F671" s="7">
        <v>45658</v>
      </c>
      <c r="G671" s="20" t="s">
        <v>36</v>
      </c>
      <c r="H671" s="8">
        <v>765258467</v>
      </c>
      <c r="I671" s="19">
        <v>765258467</v>
      </c>
      <c r="J671" s="10">
        <v>47112</v>
      </c>
      <c r="K671" s="10">
        <v>37690</v>
      </c>
      <c r="L671" s="10">
        <v>9422</v>
      </c>
      <c r="M671" s="10">
        <v>0</v>
      </c>
      <c r="N671" s="11">
        <v>9422</v>
      </c>
      <c r="O671" s="12">
        <v>765258467</v>
      </c>
      <c r="P671" s="9">
        <v>285123</v>
      </c>
      <c r="Q671" s="9" t="s">
        <v>37</v>
      </c>
      <c r="R671" s="13">
        <v>45681</v>
      </c>
      <c r="S671" s="22">
        <v>45681</v>
      </c>
      <c r="T671" s="13">
        <v>45681</v>
      </c>
      <c r="U671" s="13">
        <v>45681</v>
      </c>
      <c r="V671" s="9" t="s">
        <v>47</v>
      </c>
      <c r="W671" s="9">
        <v>22524782</v>
      </c>
      <c r="X671" s="9">
        <v>1271320</v>
      </c>
      <c r="Y671" s="9">
        <v>68709165</v>
      </c>
      <c r="Z671" s="9" t="s">
        <v>39</v>
      </c>
      <c r="AA671" s="9">
        <v>26012025</v>
      </c>
      <c r="AB671" s="9">
        <v>77442</v>
      </c>
      <c r="AC671" s="9" t="s">
        <v>41</v>
      </c>
      <c r="AD671" s="9" t="s">
        <v>134</v>
      </c>
      <c r="AE671" s="9" t="s">
        <v>135</v>
      </c>
      <c r="AF671" s="9" t="s">
        <v>135</v>
      </c>
      <c r="AG671" s="14" t="str">
        <f t="shared" si="24"/>
        <v>EXAMENES RADIOLOGICOS</v>
      </c>
      <c r="AH671" s="9" t="s">
        <v>758</v>
      </c>
      <c r="AI671" s="9">
        <v>0</v>
      </c>
      <c r="AJ671" s="9">
        <v>96942400</v>
      </c>
      <c r="AK671" s="9">
        <v>2</v>
      </c>
      <c r="AL671" s="26" t="s">
        <v>86</v>
      </c>
      <c r="AM671" s="14" t="s">
        <v>637</v>
      </c>
      <c r="AN671" s="27" t="str">
        <f t="shared" si="23"/>
        <v>8850540|96942400|765258467|765258467</v>
      </c>
      <c r="AO671" t="s">
        <v>758</v>
      </c>
      <c r="AP671" t="b">
        <v>1</v>
      </c>
      <c r="AQ671" t="s">
        <v>764</v>
      </c>
    </row>
    <row r="672" spans="1:43" x14ac:dyDescent="0.2">
      <c r="A672" s="14" t="s">
        <v>500</v>
      </c>
      <c r="B672" s="17">
        <v>8850540</v>
      </c>
      <c r="C672" s="14" t="s">
        <v>333</v>
      </c>
      <c r="D672" s="9">
        <v>8850540</v>
      </c>
      <c r="E672" s="9" t="s">
        <v>333</v>
      </c>
      <c r="F672" s="7">
        <v>45717</v>
      </c>
      <c r="G672" s="20" t="s">
        <v>46</v>
      </c>
      <c r="H672" s="8">
        <v>765258467</v>
      </c>
      <c r="I672" s="19">
        <v>65383696</v>
      </c>
      <c r="J672" s="10">
        <v>9600</v>
      </c>
      <c r="K672" s="10">
        <v>0</v>
      </c>
      <c r="L672" s="10">
        <v>9600</v>
      </c>
      <c r="M672" s="10">
        <v>0</v>
      </c>
      <c r="N672" s="11">
        <v>9600</v>
      </c>
      <c r="O672" s="12">
        <v>765258467</v>
      </c>
      <c r="P672" s="9">
        <v>285123</v>
      </c>
      <c r="Q672" s="9" t="s">
        <v>37</v>
      </c>
      <c r="R672" s="13">
        <v>45717</v>
      </c>
      <c r="S672" s="22">
        <v>45742</v>
      </c>
      <c r="T672" s="13">
        <v>45681</v>
      </c>
      <c r="U672" s="13">
        <v>45681</v>
      </c>
      <c r="V672" s="9" t="s">
        <v>47</v>
      </c>
      <c r="W672" s="9">
        <v>22770426</v>
      </c>
      <c r="X672" s="9">
        <v>3311105</v>
      </c>
      <c r="Y672" s="9">
        <v>69250587</v>
      </c>
      <c r="Z672" s="9" t="s">
        <v>39</v>
      </c>
      <c r="AA672" s="9">
        <v>9980499310</v>
      </c>
      <c r="AB672" s="9">
        <v>78070</v>
      </c>
      <c r="AC672" s="9" t="s">
        <v>41</v>
      </c>
      <c r="AD672" s="9" t="s">
        <v>134</v>
      </c>
      <c r="AE672" s="9" t="s">
        <v>135</v>
      </c>
      <c r="AF672" s="9" t="s">
        <v>135</v>
      </c>
      <c r="AG672" s="14" t="str">
        <f t="shared" si="24"/>
        <v>EXAMENES RADIOLOGICOS</v>
      </c>
      <c r="AH672" s="9">
        <v>0</v>
      </c>
      <c r="AI672" s="9">
        <v>0</v>
      </c>
      <c r="AJ672" s="9">
        <v>96942400</v>
      </c>
      <c r="AK672" s="9">
        <v>2</v>
      </c>
      <c r="AL672" s="26" t="s">
        <v>52</v>
      </c>
      <c r="AM672" s="14" t="s">
        <v>637</v>
      </c>
      <c r="AN672" s="27" t="str">
        <f t="shared" si="23"/>
        <v>8850540|96942400|765258467|65383696</v>
      </c>
      <c r="AO672" t="s">
        <v>44</v>
      </c>
      <c r="AP672" t="b">
        <v>0</v>
      </c>
      <c r="AQ672" t="s">
        <v>763</v>
      </c>
    </row>
    <row r="673" spans="1:43" x14ac:dyDescent="0.2">
      <c r="A673" s="14" t="s">
        <v>500</v>
      </c>
      <c r="B673" s="17">
        <v>9859164</v>
      </c>
      <c r="C673" s="14" t="s">
        <v>326</v>
      </c>
      <c r="D673" s="9">
        <v>9859164</v>
      </c>
      <c r="E673" s="9" t="s">
        <v>326</v>
      </c>
      <c r="F673" s="7">
        <v>45658</v>
      </c>
      <c r="G673" s="20" t="s">
        <v>36</v>
      </c>
      <c r="H673" s="8">
        <v>765293001</v>
      </c>
      <c r="I673" s="19">
        <v>765293001</v>
      </c>
      <c r="J673" s="10">
        <v>4095</v>
      </c>
      <c r="K673" s="10">
        <v>2867</v>
      </c>
      <c r="L673" s="10">
        <v>1228</v>
      </c>
      <c r="M673" s="10">
        <v>0</v>
      </c>
      <c r="N673" s="11">
        <v>1228</v>
      </c>
      <c r="O673" s="12">
        <v>765293001</v>
      </c>
      <c r="P673" s="9">
        <v>285123</v>
      </c>
      <c r="Q673" s="9" t="s">
        <v>37</v>
      </c>
      <c r="R673" s="13">
        <v>45685</v>
      </c>
      <c r="S673" s="22">
        <v>45685</v>
      </c>
      <c r="T673" s="13">
        <v>45685</v>
      </c>
      <c r="U673" s="13">
        <v>45685</v>
      </c>
      <c r="V673" s="9" t="s">
        <v>47</v>
      </c>
      <c r="W673" s="9">
        <v>22560855</v>
      </c>
      <c r="X673" s="9">
        <v>2040929</v>
      </c>
      <c r="Y673" s="9">
        <v>68808576</v>
      </c>
      <c r="Z673" s="9" t="s">
        <v>39</v>
      </c>
      <c r="AA673" s="9">
        <v>2022025</v>
      </c>
      <c r="AB673" s="9">
        <v>77562</v>
      </c>
      <c r="AC673" s="9" t="s">
        <v>41</v>
      </c>
      <c r="AD673" s="9" t="s">
        <v>132</v>
      </c>
      <c r="AE673" s="9" t="s">
        <v>133</v>
      </c>
      <c r="AF673" s="9" t="s">
        <v>133</v>
      </c>
      <c r="AG673" s="14" t="str">
        <f t="shared" si="24"/>
        <v>EXAMENES DE LABORATORIO</v>
      </c>
      <c r="AH673" s="9" t="s">
        <v>758</v>
      </c>
      <c r="AI673" s="9">
        <v>0</v>
      </c>
      <c r="AJ673" s="9">
        <v>96942400</v>
      </c>
      <c r="AK673" s="9">
        <v>2</v>
      </c>
      <c r="AL673" s="26" t="s">
        <v>86</v>
      </c>
      <c r="AM673" s="14" t="s">
        <v>632</v>
      </c>
      <c r="AN673" s="27" t="str">
        <f t="shared" si="23"/>
        <v>9859164|96942400|765293001|765293001</v>
      </c>
      <c r="AO673" t="s">
        <v>758</v>
      </c>
      <c r="AP673" t="b">
        <v>1</v>
      </c>
      <c r="AQ673" t="s">
        <v>764</v>
      </c>
    </row>
    <row r="674" spans="1:43" x14ac:dyDescent="0.2">
      <c r="A674" s="14" t="s">
        <v>500</v>
      </c>
      <c r="B674" s="17">
        <v>9859164</v>
      </c>
      <c r="C674" s="14" t="s">
        <v>326</v>
      </c>
      <c r="D674" s="9">
        <v>9859164</v>
      </c>
      <c r="E674" s="9" t="s">
        <v>326</v>
      </c>
      <c r="F674" s="7">
        <v>45717</v>
      </c>
      <c r="G674" s="20" t="s">
        <v>46</v>
      </c>
      <c r="H674" s="8">
        <v>765293001</v>
      </c>
      <c r="I674" s="19">
        <v>65383768</v>
      </c>
      <c r="J674" s="10">
        <v>1150</v>
      </c>
      <c r="K674" s="10">
        <v>0</v>
      </c>
      <c r="L674" s="10">
        <v>1150</v>
      </c>
      <c r="M674" s="10">
        <v>0</v>
      </c>
      <c r="N674" s="11">
        <v>1150</v>
      </c>
      <c r="O674" s="12">
        <v>765293001</v>
      </c>
      <c r="P674" s="9">
        <v>285123</v>
      </c>
      <c r="Q674" s="9" t="s">
        <v>37</v>
      </c>
      <c r="R674" s="13">
        <v>45717</v>
      </c>
      <c r="S674" s="22">
        <v>45742</v>
      </c>
      <c r="T674" s="13">
        <v>45685</v>
      </c>
      <c r="U674" s="13">
        <v>45685</v>
      </c>
      <c r="V674" s="9" t="s">
        <v>47</v>
      </c>
      <c r="W674" s="9">
        <v>22770450</v>
      </c>
      <c r="X674" s="9">
        <v>3311105</v>
      </c>
      <c r="Y674" s="9">
        <v>69250658</v>
      </c>
      <c r="Z674" s="9" t="s">
        <v>39</v>
      </c>
      <c r="AA674" s="9">
        <v>64002490</v>
      </c>
      <c r="AB674" s="9">
        <v>78070</v>
      </c>
      <c r="AC674" s="9" t="s">
        <v>41</v>
      </c>
      <c r="AD674" s="9" t="s">
        <v>132</v>
      </c>
      <c r="AE674" s="9" t="s">
        <v>133</v>
      </c>
      <c r="AF674" s="9" t="s">
        <v>133</v>
      </c>
      <c r="AG674" s="14" t="str">
        <f t="shared" si="24"/>
        <v>EXAMENES DE LABORATORIO</v>
      </c>
      <c r="AH674" s="9">
        <v>0</v>
      </c>
      <c r="AI674" s="9">
        <v>0</v>
      </c>
      <c r="AJ674" s="9">
        <v>96942400</v>
      </c>
      <c r="AK674" s="9">
        <v>2</v>
      </c>
      <c r="AL674" s="26" t="s">
        <v>52</v>
      </c>
      <c r="AM674" s="14" t="s">
        <v>632</v>
      </c>
      <c r="AN674" s="27" t="str">
        <f t="shared" si="23"/>
        <v>9859164|96942400|765293001|65383768</v>
      </c>
      <c r="AO674" t="s">
        <v>44</v>
      </c>
      <c r="AP674" t="b">
        <v>0</v>
      </c>
      <c r="AQ674" t="s">
        <v>763</v>
      </c>
    </row>
    <row r="675" spans="1:43" x14ac:dyDescent="0.2">
      <c r="A675" s="14" t="s">
        <v>500</v>
      </c>
      <c r="B675" s="17">
        <v>14324544</v>
      </c>
      <c r="C675" s="14" t="s">
        <v>334</v>
      </c>
      <c r="D675" s="9">
        <v>25625713</v>
      </c>
      <c r="E675" s="9" t="s">
        <v>335</v>
      </c>
      <c r="F675" s="7">
        <v>45658</v>
      </c>
      <c r="G675" s="20" t="s">
        <v>36</v>
      </c>
      <c r="H675" s="8">
        <v>765321783</v>
      </c>
      <c r="I675" s="19">
        <v>765321783</v>
      </c>
      <c r="J675" s="10">
        <v>11800</v>
      </c>
      <c r="K675" s="10">
        <v>9442</v>
      </c>
      <c r="L675" s="10">
        <v>2358</v>
      </c>
      <c r="M675" s="10">
        <v>0</v>
      </c>
      <c r="N675" s="11">
        <v>2358</v>
      </c>
      <c r="O675" s="12">
        <v>765321783</v>
      </c>
      <c r="P675" s="9">
        <v>285123</v>
      </c>
      <c r="Q675" s="9" t="s">
        <v>37</v>
      </c>
      <c r="R675" s="13">
        <v>45687</v>
      </c>
      <c r="S675" s="22">
        <v>45687</v>
      </c>
      <c r="T675" s="13">
        <v>45687</v>
      </c>
      <c r="U675" s="13">
        <v>45687</v>
      </c>
      <c r="V675" s="9" t="s">
        <v>47</v>
      </c>
      <c r="W675" s="9">
        <v>22560969</v>
      </c>
      <c r="X675" s="9">
        <v>2040929</v>
      </c>
      <c r="Y675" s="9">
        <v>68810049</v>
      </c>
      <c r="Z675" s="9" t="s">
        <v>39</v>
      </c>
      <c r="AA675" s="9">
        <v>2022025</v>
      </c>
      <c r="AB675" s="9">
        <v>77562</v>
      </c>
      <c r="AC675" s="9" t="s">
        <v>41</v>
      </c>
      <c r="AD675" s="9" t="s">
        <v>132</v>
      </c>
      <c r="AE675" s="9" t="s">
        <v>133</v>
      </c>
      <c r="AF675" s="9" t="s">
        <v>133</v>
      </c>
      <c r="AG675" s="14" t="str">
        <f t="shared" si="24"/>
        <v>EXAMENES DE LABORATORIO</v>
      </c>
      <c r="AH675" s="9" t="s">
        <v>758</v>
      </c>
      <c r="AI675" s="9">
        <v>0</v>
      </c>
      <c r="AJ675" s="9">
        <v>76021365</v>
      </c>
      <c r="AK675" s="9">
        <v>9</v>
      </c>
      <c r="AL675" s="26" t="s">
        <v>86</v>
      </c>
      <c r="AM675" s="14" t="s">
        <v>638</v>
      </c>
      <c r="AN675" s="27" t="str">
        <f t="shared" si="23"/>
        <v>14324544|76021365|765321783|765321783</v>
      </c>
      <c r="AO675" t="s">
        <v>758</v>
      </c>
      <c r="AP675" t="b">
        <v>1</v>
      </c>
      <c r="AQ675" t="s">
        <v>764</v>
      </c>
    </row>
    <row r="676" spans="1:43" x14ac:dyDescent="0.2">
      <c r="A676" s="14" t="s">
        <v>500</v>
      </c>
      <c r="B676" s="17">
        <v>14324544</v>
      </c>
      <c r="C676" s="14" t="s">
        <v>334</v>
      </c>
      <c r="D676" s="9">
        <v>25625713</v>
      </c>
      <c r="E676" s="9" t="s">
        <v>335</v>
      </c>
      <c r="F676" s="7">
        <v>45717</v>
      </c>
      <c r="G676" s="20" t="s">
        <v>46</v>
      </c>
      <c r="H676" s="8">
        <v>765321783</v>
      </c>
      <c r="I676" s="19">
        <v>65384224</v>
      </c>
      <c r="J676" s="10">
        <v>2683</v>
      </c>
      <c r="K676" s="10">
        <v>0</v>
      </c>
      <c r="L676" s="10">
        <v>2683</v>
      </c>
      <c r="M676" s="10">
        <v>0</v>
      </c>
      <c r="N676" s="11">
        <v>2683</v>
      </c>
      <c r="O676" s="12">
        <v>765321783</v>
      </c>
      <c r="P676" s="9">
        <v>285123</v>
      </c>
      <c r="Q676" s="9" t="s">
        <v>37</v>
      </c>
      <c r="R676" s="13">
        <v>45717</v>
      </c>
      <c r="S676" s="22">
        <v>45742</v>
      </c>
      <c r="T676" s="13">
        <v>45687</v>
      </c>
      <c r="U676" s="13">
        <v>45687</v>
      </c>
      <c r="V676" s="9" t="s">
        <v>47</v>
      </c>
      <c r="W676" s="9">
        <v>22770474</v>
      </c>
      <c r="X676" s="9">
        <v>3311105</v>
      </c>
      <c r="Y676" s="9">
        <v>69251099</v>
      </c>
      <c r="Z676" s="9" t="s">
        <v>39</v>
      </c>
      <c r="AA676" s="9">
        <v>203132009</v>
      </c>
      <c r="AB676" s="9">
        <v>78070</v>
      </c>
      <c r="AC676" s="9" t="s">
        <v>41</v>
      </c>
      <c r="AD676" s="9" t="s">
        <v>132</v>
      </c>
      <c r="AE676" s="9" t="s">
        <v>133</v>
      </c>
      <c r="AF676" s="9" t="s">
        <v>133</v>
      </c>
      <c r="AG676" s="14" t="str">
        <f t="shared" si="24"/>
        <v>EXAMENES DE LABORATORIO</v>
      </c>
      <c r="AH676" s="9">
        <v>0</v>
      </c>
      <c r="AI676" s="9">
        <v>0</v>
      </c>
      <c r="AJ676" s="9">
        <v>76021365</v>
      </c>
      <c r="AK676" s="9">
        <v>9</v>
      </c>
      <c r="AL676" s="26" t="s">
        <v>52</v>
      </c>
      <c r="AM676" s="14" t="s">
        <v>638</v>
      </c>
      <c r="AN676" s="27" t="str">
        <f t="shared" si="23"/>
        <v>14324544|76021365|765321783|65384224</v>
      </c>
      <c r="AO676" t="s">
        <v>44</v>
      </c>
      <c r="AP676" t="b">
        <v>0</v>
      </c>
      <c r="AQ676" t="s">
        <v>763</v>
      </c>
    </row>
    <row r="677" spans="1:43" x14ac:dyDescent="0.2">
      <c r="A677" s="14" t="s">
        <v>500</v>
      </c>
      <c r="B677" s="17">
        <v>14324544</v>
      </c>
      <c r="C677" s="14" t="s">
        <v>334</v>
      </c>
      <c r="D677" s="9">
        <v>25625713</v>
      </c>
      <c r="E677" s="9" t="s">
        <v>335</v>
      </c>
      <c r="F677" s="7">
        <v>45658</v>
      </c>
      <c r="G677" s="20" t="s">
        <v>36</v>
      </c>
      <c r="H677" s="8">
        <v>765321784</v>
      </c>
      <c r="I677" s="19">
        <v>765321784</v>
      </c>
      <c r="J677" s="10">
        <v>14940</v>
      </c>
      <c r="K677" s="10">
        <v>12335</v>
      </c>
      <c r="L677" s="10">
        <v>2605</v>
      </c>
      <c r="M677" s="10">
        <v>0</v>
      </c>
      <c r="N677" s="11">
        <v>2605</v>
      </c>
      <c r="O677" s="12">
        <v>765321784</v>
      </c>
      <c r="P677" s="9">
        <v>285123</v>
      </c>
      <c r="Q677" s="9" t="s">
        <v>37</v>
      </c>
      <c r="R677" s="13">
        <v>45687</v>
      </c>
      <c r="S677" s="22">
        <v>45687</v>
      </c>
      <c r="T677" s="13">
        <v>45687</v>
      </c>
      <c r="U677" s="13">
        <v>45687</v>
      </c>
      <c r="V677" s="9" t="s">
        <v>47</v>
      </c>
      <c r="W677" s="9">
        <v>22560969</v>
      </c>
      <c r="X677" s="9">
        <v>2040929</v>
      </c>
      <c r="Y677" s="9">
        <v>68810048</v>
      </c>
      <c r="Z677" s="9" t="s">
        <v>39</v>
      </c>
      <c r="AA677" s="9">
        <v>2022025</v>
      </c>
      <c r="AB677" s="9">
        <v>77562</v>
      </c>
      <c r="AC677" s="9" t="s">
        <v>41</v>
      </c>
      <c r="AD677" s="9" t="s">
        <v>132</v>
      </c>
      <c r="AE677" s="9" t="s">
        <v>133</v>
      </c>
      <c r="AF677" s="9" t="s">
        <v>133</v>
      </c>
      <c r="AG677" s="14" t="str">
        <f t="shared" si="24"/>
        <v>EXAMENES DE LABORATORIO</v>
      </c>
      <c r="AH677" s="9" t="s">
        <v>758</v>
      </c>
      <c r="AI677" s="9">
        <v>0</v>
      </c>
      <c r="AJ677" s="9">
        <v>76021365</v>
      </c>
      <c r="AK677" s="9">
        <v>9</v>
      </c>
      <c r="AL677" s="26" t="s">
        <v>86</v>
      </c>
      <c r="AM677" s="14" t="s">
        <v>638</v>
      </c>
      <c r="AN677" s="27" t="str">
        <f t="shared" si="23"/>
        <v>14324544|76021365|765321784|765321784</v>
      </c>
      <c r="AO677" t="s">
        <v>758</v>
      </c>
      <c r="AP677" t="b">
        <v>1</v>
      </c>
      <c r="AQ677" t="s">
        <v>764</v>
      </c>
    </row>
    <row r="678" spans="1:43" x14ac:dyDescent="0.2">
      <c r="A678" s="14" t="s">
        <v>500</v>
      </c>
      <c r="B678" s="17">
        <v>14324544</v>
      </c>
      <c r="C678" s="14" t="s">
        <v>334</v>
      </c>
      <c r="D678" s="9">
        <v>25625713</v>
      </c>
      <c r="E678" s="9" t="s">
        <v>335</v>
      </c>
      <c r="F678" s="7">
        <v>45717</v>
      </c>
      <c r="G678" s="20" t="s">
        <v>46</v>
      </c>
      <c r="H678" s="8">
        <v>765321784</v>
      </c>
      <c r="I678" s="19">
        <v>65384225</v>
      </c>
      <c r="J678" s="10">
        <v>3067</v>
      </c>
      <c r="K678" s="10">
        <v>0</v>
      </c>
      <c r="L678" s="10">
        <v>3067</v>
      </c>
      <c r="M678" s="10">
        <v>0</v>
      </c>
      <c r="N678" s="11">
        <v>3067</v>
      </c>
      <c r="O678" s="12">
        <v>765321784</v>
      </c>
      <c r="P678" s="9">
        <v>285123</v>
      </c>
      <c r="Q678" s="9" t="s">
        <v>37</v>
      </c>
      <c r="R678" s="13">
        <v>45717</v>
      </c>
      <c r="S678" s="22">
        <v>45742</v>
      </c>
      <c r="T678" s="13">
        <v>45687</v>
      </c>
      <c r="U678" s="13">
        <v>45687</v>
      </c>
      <c r="V678" s="9" t="s">
        <v>47</v>
      </c>
      <c r="W678" s="9">
        <v>22770474</v>
      </c>
      <c r="X678" s="9">
        <v>3311105</v>
      </c>
      <c r="Y678" s="9">
        <v>69251100</v>
      </c>
      <c r="Z678" s="9" t="s">
        <v>39</v>
      </c>
      <c r="AA678" s="9">
        <v>203132009</v>
      </c>
      <c r="AB678" s="9">
        <v>78070</v>
      </c>
      <c r="AC678" s="9" t="s">
        <v>41</v>
      </c>
      <c r="AD678" s="9" t="s">
        <v>132</v>
      </c>
      <c r="AE678" s="9" t="s">
        <v>133</v>
      </c>
      <c r="AF678" s="9" t="s">
        <v>133</v>
      </c>
      <c r="AG678" s="14" t="str">
        <f t="shared" si="24"/>
        <v>EXAMENES DE LABORATORIO</v>
      </c>
      <c r="AH678" s="9">
        <v>0</v>
      </c>
      <c r="AI678" s="9">
        <v>0</v>
      </c>
      <c r="AJ678" s="9">
        <v>76021365</v>
      </c>
      <c r="AK678" s="9">
        <v>9</v>
      </c>
      <c r="AL678" s="26" t="s">
        <v>52</v>
      </c>
      <c r="AM678" s="14" t="s">
        <v>638</v>
      </c>
      <c r="AN678" s="27" t="str">
        <f t="shared" si="23"/>
        <v>14324544|76021365|765321784|65384225</v>
      </c>
      <c r="AO678" t="s">
        <v>44</v>
      </c>
      <c r="AP678" t="b">
        <v>0</v>
      </c>
      <c r="AQ678" t="s">
        <v>763</v>
      </c>
    </row>
    <row r="679" spans="1:43" x14ac:dyDescent="0.2">
      <c r="A679" s="14" t="s">
        <v>500</v>
      </c>
      <c r="B679" s="17">
        <v>13281122</v>
      </c>
      <c r="C679" s="14" t="s">
        <v>336</v>
      </c>
      <c r="D679" s="9">
        <v>20921634</v>
      </c>
      <c r="E679" s="9" t="s">
        <v>337</v>
      </c>
      <c r="F679" s="7">
        <v>45658</v>
      </c>
      <c r="G679" s="20" t="s">
        <v>36</v>
      </c>
      <c r="H679" s="8">
        <v>765333067</v>
      </c>
      <c r="I679" s="19">
        <v>765333067</v>
      </c>
      <c r="J679" s="10">
        <v>23556</v>
      </c>
      <c r="K679" s="10">
        <v>18845</v>
      </c>
      <c r="L679" s="10">
        <v>4711</v>
      </c>
      <c r="M679" s="10">
        <v>0</v>
      </c>
      <c r="N679" s="11">
        <v>4711</v>
      </c>
      <c r="O679" s="12">
        <v>765333067</v>
      </c>
      <c r="P679" s="9">
        <v>285123</v>
      </c>
      <c r="Q679" s="9" t="s">
        <v>37</v>
      </c>
      <c r="R679" s="13">
        <v>45687</v>
      </c>
      <c r="S679" s="22">
        <v>45687</v>
      </c>
      <c r="T679" s="13">
        <v>45687</v>
      </c>
      <c r="U679" s="13">
        <v>45687</v>
      </c>
      <c r="V679" s="9" t="s">
        <v>47</v>
      </c>
      <c r="W679" s="9">
        <v>22560964</v>
      </c>
      <c r="X679" s="9">
        <v>2040929</v>
      </c>
      <c r="Y679" s="9">
        <v>68810620</v>
      </c>
      <c r="Z679" s="9" t="s">
        <v>39</v>
      </c>
      <c r="AA679" s="9">
        <v>2022025</v>
      </c>
      <c r="AB679" s="9">
        <v>77562</v>
      </c>
      <c r="AC679" s="9" t="s">
        <v>41</v>
      </c>
      <c r="AD679" s="9" t="s">
        <v>134</v>
      </c>
      <c r="AE679" s="9" t="s">
        <v>135</v>
      </c>
      <c r="AF679" s="9" t="s">
        <v>135</v>
      </c>
      <c r="AG679" s="14" t="str">
        <f t="shared" si="24"/>
        <v>EXAMENES RADIOLOGICOS</v>
      </c>
      <c r="AH679" s="9" t="s">
        <v>758</v>
      </c>
      <c r="AI679" s="9">
        <v>0</v>
      </c>
      <c r="AJ679" s="9">
        <v>96942400</v>
      </c>
      <c r="AK679" s="9">
        <v>2</v>
      </c>
      <c r="AL679" s="26" t="s">
        <v>86</v>
      </c>
      <c r="AM679" s="14" t="s">
        <v>639</v>
      </c>
      <c r="AN679" s="27" t="str">
        <f t="shared" si="23"/>
        <v>13281122|96942400|765333067|765333067</v>
      </c>
      <c r="AO679" t="s">
        <v>758</v>
      </c>
      <c r="AP679" t="b">
        <v>1</v>
      </c>
      <c r="AQ679" t="s">
        <v>764</v>
      </c>
    </row>
    <row r="680" spans="1:43" x14ac:dyDescent="0.2">
      <c r="A680" s="14" t="s">
        <v>500</v>
      </c>
      <c r="B680" s="17">
        <v>13281122</v>
      </c>
      <c r="C680" s="14" t="s">
        <v>336</v>
      </c>
      <c r="D680" s="9">
        <v>20921634</v>
      </c>
      <c r="E680" s="9" t="s">
        <v>337</v>
      </c>
      <c r="F680" s="7">
        <v>45717</v>
      </c>
      <c r="G680" s="20" t="s">
        <v>46</v>
      </c>
      <c r="H680" s="8">
        <v>765333067</v>
      </c>
      <c r="I680" s="19">
        <v>65384107</v>
      </c>
      <c r="J680" s="10">
        <v>4606</v>
      </c>
      <c r="K680" s="10">
        <v>0</v>
      </c>
      <c r="L680" s="10">
        <v>4606</v>
      </c>
      <c r="M680" s="10">
        <v>0</v>
      </c>
      <c r="N680" s="11">
        <v>4606</v>
      </c>
      <c r="O680" s="12">
        <v>765333067</v>
      </c>
      <c r="P680" s="9">
        <v>285123</v>
      </c>
      <c r="Q680" s="9" t="s">
        <v>37</v>
      </c>
      <c r="R680" s="13">
        <v>45717</v>
      </c>
      <c r="S680" s="22">
        <v>45742</v>
      </c>
      <c r="T680" s="13">
        <v>45687</v>
      </c>
      <c r="U680" s="13">
        <v>45687</v>
      </c>
      <c r="V680" s="9" t="s">
        <v>47</v>
      </c>
      <c r="W680" s="9">
        <v>22770472</v>
      </c>
      <c r="X680" s="9">
        <v>3311105</v>
      </c>
      <c r="Y680" s="9">
        <v>69250992</v>
      </c>
      <c r="Z680" s="9" t="s">
        <v>39</v>
      </c>
      <c r="AA680" s="9">
        <v>210929341</v>
      </c>
      <c r="AB680" s="9">
        <v>78070</v>
      </c>
      <c r="AC680" s="9" t="s">
        <v>41</v>
      </c>
      <c r="AD680" s="9" t="s">
        <v>134</v>
      </c>
      <c r="AE680" s="9" t="s">
        <v>135</v>
      </c>
      <c r="AF680" s="9" t="s">
        <v>135</v>
      </c>
      <c r="AG680" s="14" t="str">
        <f t="shared" si="24"/>
        <v>EXAMENES RADIOLOGICOS</v>
      </c>
      <c r="AH680" s="9">
        <v>0</v>
      </c>
      <c r="AI680" s="9">
        <v>0</v>
      </c>
      <c r="AJ680" s="9">
        <v>96942400</v>
      </c>
      <c r="AK680" s="9">
        <v>2</v>
      </c>
      <c r="AL680" s="26" t="s">
        <v>52</v>
      </c>
      <c r="AM680" s="14" t="s">
        <v>639</v>
      </c>
      <c r="AN680" s="27" t="str">
        <f t="shared" si="23"/>
        <v>13281122|96942400|765333067|65384107</v>
      </c>
      <c r="AO680" t="s">
        <v>44</v>
      </c>
      <c r="AP680" t="b">
        <v>0</v>
      </c>
      <c r="AQ680" t="s">
        <v>763</v>
      </c>
    </row>
    <row r="681" spans="1:43" x14ac:dyDescent="0.2">
      <c r="A681" s="14" t="s">
        <v>500</v>
      </c>
      <c r="B681" s="17">
        <v>11883982</v>
      </c>
      <c r="C681" s="14" t="s">
        <v>327</v>
      </c>
      <c r="D681" s="9">
        <v>20730089</v>
      </c>
      <c r="E681" s="9" t="s">
        <v>328</v>
      </c>
      <c r="F681" s="7">
        <v>45658</v>
      </c>
      <c r="G681" s="20" t="s">
        <v>36</v>
      </c>
      <c r="H681" s="8">
        <v>765341401</v>
      </c>
      <c r="I681" s="19">
        <v>765341401</v>
      </c>
      <c r="J681" s="10">
        <v>23426</v>
      </c>
      <c r="K681" s="10">
        <v>22841</v>
      </c>
      <c r="L681" s="10">
        <v>585</v>
      </c>
      <c r="M681" s="10">
        <v>0</v>
      </c>
      <c r="N681" s="11">
        <v>585</v>
      </c>
      <c r="O681" s="12">
        <v>765341401</v>
      </c>
      <c r="P681" s="9">
        <v>285123</v>
      </c>
      <c r="Q681" s="9" t="s">
        <v>37</v>
      </c>
      <c r="R681" s="13">
        <v>45688</v>
      </c>
      <c r="S681" s="22">
        <v>45688</v>
      </c>
      <c r="T681" s="13">
        <v>45688</v>
      </c>
      <c r="U681" s="13">
        <v>45688</v>
      </c>
      <c r="V681" s="9" t="s">
        <v>47</v>
      </c>
      <c r="W681" s="9">
        <v>22561002</v>
      </c>
      <c r="X681" s="9">
        <v>2040929</v>
      </c>
      <c r="Y681" s="9">
        <v>68811017</v>
      </c>
      <c r="Z681" s="9" t="s">
        <v>39</v>
      </c>
      <c r="AA681" s="9">
        <v>2022025</v>
      </c>
      <c r="AB681" s="9">
        <v>77562</v>
      </c>
      <c r="AC681" s="9" t="s">
        <v>41</v>
      </c>
      <c r="AD681" s="9" t="s">
        <v>134</v>
      </c>
      <c r="AE681" s="9" t="s">
        <v>135</v>
      </c>
      <c r="AF681" s="9" t="s">
        <v>135</v>
      </c>
      <c r="AG681" s="14" t="str">
        <f t="shared" si="24"/>
        <v>EXAMENES RADIOLOGICOS</v>
      </c>
      <c r="AH681" s="9" t="s">
        <v>758</v>
      </c>
      <c r="AI681" s="9">
        <v>0</v>
      </c>
      <c r="AJ681" s="9">
        <v>76098454</v>
      </c>
      <c r="AK681" s="9" t="s">
        <v>161</v>
      </c>
      <c r="AL681" s="26" t="s">
        <v>86</v>
      </c>
      <c r="AM681" s="14" t="s">
        <v>633</v>
      </c>
      <c r="AN681" s="27" t="str">
        <f t="shared" si="23"/>
        <v>11883982|76098454|765341401|765341401</v>
      </c>
      <c r="AO681" t="s">
        <v>758</v>
      </c>
      <c r="AP681" t="b">
        <v>1</v>
      </c>
      <c r="AQ681" t="s">
        <v>764</v>
      </c>
    </row>
    <row r="682" spans="1:43" x14ac:dyDescent="0.2">
      <c r="A682" s="14" t="s">
        <v>500</v>
      </c>
      <c r="B682" s="17">
        <v>11883982</v>
      </c>
      <c r="C682" s="14" t="s">
        <v>327</v>
      </c>
      <c r="D682" s="9">
        <v>20730089</v>
      </c>
      <c r="E682" s="9" t="s">
        <v>328</v>
      </c>
      <c r="F682" s="7">
        <v>45717</v>
      </c>
      <c r="G682" s="20" t="s">
        <v>46</v>
      </c>
      <c r="H682" s="8">
        <v>765341401</v>
      </c>
      <c r="I682" s="19">
        <v>65383976</v>
      </c>
      <c r="J682" s="10">
        <v>383</v>
      </c>
      <c r="K682" s="10">
        <v>0</v>
      </c>
      <c r="L682" s="10">
        <v>383</v>
      </c>
      <c r="M682" s="10">
        <v>0</v>
      </c>
      <c r="N682" s="11">
        <v>383</v>
      </c>
      <c r="O682" s="12">
        <v>765341401</v>
      </c>
      <c r="P682" s="9">
        <v>285123</v>
      </c>
      <c r="Q682" s="9" t="s">
        <v>37</v>
      </c>
      <c r="R682" s="13">
        <v>45717</v>
      </c>
      <c r="S682" s="22">
        <v>45742</v>
      </c>
      <c r="T682" s="13">
        <v>45688</v>
      </c>
      <c r="U682" s="13">
        <v>45688</v>
      </c>
      <c r="V682" s="9" t="s">
        <v>47</v>
      </c>
      <c r="W682" s="9">
        <v>22770484</v>
      </c>
      <c r="X682" s="9">
        <v>3311105</v>
      </c>
      <c r="Y682" s="9">
        <v>69250864</v>
      </c>
      <c r="Z682" s="9" t="s">
        <v>39</v>
      </c>
      <c r="AA682" s="9">
        <v>13915402</v>
      </c>
      <c r="AB682" s="9">
        <v>78070</v>
      </c>
      <c r="AC682" s="9" t="s">
        <v>41</v>
      </c>
      <c r="AD682" s="9" t="s">
        <v>134</v>
      </c>
      <c r="AE682" s="9" t="s">
        <v>135</v>
      </c>
      <c r="AF682" s="9" t="s">
        <v>135</v>
      </c>
      <c r="AG682" s="14" t="str">
        <f t="shared" si="24"/>
        <v>EXAMENES RADIOLOGICOS</v>
      </c>
      <c r="AH682" s="9">
        <v>0</v>
      </c>
      <c r="AI682" s="9">
        <v>0</v>
      </c>
      <c r="AJ682" s="9">
        <v>76098454</v>
      </c>
      <c r="AK682" s="9" t="s">
        <v>161</v>
      </c>
      <c r="AL682" s="26" t="s">
        <v>52</v>
      </c>
      <c r="AM682" s="14" t="s">
        <v>633</v>
      </c>
      <c r="AN682" s="27" t="str">
        <f t="shared" si="23"/>
        <v>11883982|76098454|765341401|65383976</v>
      </c>
      <c r="AO682" t="s">
        <v>44</v>
      </c>
      <c r="AP682" t="b">
        <v>0</v>
      </c>
      <c r="AQ682" t="s">
        <v>763</v>
      </c>
    </row>
    <row r="683" spans="1:43" x14ac:dyDescent="0.2">
      <c r="A683" s="14" t="s">
        <v>500</v>
      </c>
      <c r="B683" s="17">
        <v>11883982</v>
      </c>
      <c r="C683" s="14" t="s">
        <v>327</v>
      </c>
      <c r="D683" s="9">
        <v>20730089</v>
      </c>
      <c r="E683" s="9" t="s">
        <v>328</v>
      </c>
      <c r="F683" s="7">
        <v>45658</v>
      </c>
      <c r="G683" s="20" t="s">
        <v>36</v>
      </c>
      <c r="H683" s="8">
        <v>765341433</v>
      </c>
      <c r="I683" s="19">
        <v>765341433</v>
      </c>
      <c r="J683" s="10">
        <v>26554</v>
      </c>
      <c r="K683" s="10">
        <v>25237</v>
      </c>
      <c r="L683" s="10">
        <v>1317</v>
      </c>
      <c r="M683" s="10">
        <v>0</v>
      </c>
      <c r="N683" s="11">
        <v>1317</v>
      </c>
      <c r="O683" s="12">
        <v>765341433</v>
      </c>
      <c r="P683" s="9">
        <v>285123</v>
      </c>
      <c r="Q683" s="9" t="s">
        <v>37</v>
      </c>
      <c r="R683" s="13">
        <v>45688</v>
      </c>
      <c r="S683" s="22">
        <v>45688</v>
      </c>
      <c r="T683" s="13">
        <v>45688</v>
      </c>
      <c r="U683" s="13">
        <v>45688</v>
      </c>
      <c r="V683" s="9" t="s">
        <v>47</v>
      </c>
      <c r="W683" s="9">
        <v>22561002</v>
      </c>
      <c r="X683" s="9">
        <v>2040929</v>
      </c>
      <c r="Y683" s="9">
        <v>68811018</v>
      </c>
      <c r="Z683" s="9" t="s">
        <v>39</v>
      </c>
      <c r="AA683" s="9">
        <v>2022025</v>
      </c>
      <c r="AB683" s="9">
        <v>77562</v>
      </c>
      <c r="AC683" s="9" t="s">
        <v>41</v>
      </c>
      <c r="AD683" s="9" t="s">
        <v>134</v>
      </c>
      <c r="AE683" s="9" t="s">
        <v>135</v>
      </c>
      <c r="AF683" s="9" t="s">
        <v>135</v>
      </c>
      <c r="AG683" s="14" t="str">
        <f t="shared" si="24"/>
        <v>EXAMENES RADIOLOGICOS</v>
      </c>
      <c r="AH683" s="9" t="s">
        <v>758</v>
      </c>
      <c r="AI683" s="9">
        <v>0</v>
      </c>
      <c r="AJ683" s="9">
        <v>76098454</v>
      </c>
      <c r="AK683" s="9" t="s">
        <v>161</v>
      </c>
      <c r="AL683" s="26" t="s">
        <v>86</v>
      </c>
      <c r="AM683" s="14" t="s">
        <v>633</v>
      </c>
      <c r="AN683" s="27" t="str">
        <f t="shared" si="23"/>
        <v>11883982|76098454|765341433|765341433</v>
      </c>
      <c r="AO683" t="s">
        <v>758</v>
      </c>
      <c r="AP683" t="b">
        <v>1</v>
      </c>
      <c r="AQ683" t="s">
        <v>764</v>
      </c>
    </row>
    <row r="684" spans="1:43" x14ac:dyDescent="0.2">
      <c r="A684" s="14" t="s">
        <v>500</v>
      </c>
      <c r="B684" s="17">
        <v>11883982</v>
      </c>
      <c r="C684" s="14" t="s">
        <v>327</v>
      </c>
      <c r="D684" s="9">
        <v>20730089</v>
      </c>
      <c r="E684" s="9" t="s">
        <v>328</v>
      </c>
      <c r="F684" s="7">
        <v>45717</v>
      </c>
      <c r="G684" s="20" t="s">
        <v>46</v>
      </c>
      <c r="H684" s="8">
        <v>765341433</v>
      </c>
      <c r="I684" s="19">
        <v>65383977</v>
      </c>
      <c r="J684" s="10">
        <v>1535</v>
      </c>
      <c r="K684" s="10">
        <v>0</v>
      </c>
      <c r="L684" s="10">
        <v>1535</v>
      </c>
      <c r="M684" s="10">
        <v>0</v>
      </c>
      <c r="N684" s="11">
        <v>1535</v>
      </c>
      <c r="O684" s="12">
        <v>765341433</v>
      </c>
      <c r="P684" s="9">
        <v>285123</v>
      </c>
      <c r="Q684" s="9" t="s">
        <v>37</v>
      </c>
      <c r="R684" s="13">
        <v>45717</v>
      </c>
      <c r="S684" s="22">
        <v>45742</v>
      </c>
      <c r="T684" s="13">
        <v>45688</v>
      </c>
      <c r="U684" s="13">
        <v>45688</v>
      </c>
      <c r="V684" s="9" t="s">
        <v>47</v>
      </c>
      <c r="W684" s="9">
        <v>22770484</v>
      </c>
      <c r="X684" s="9">
        <v>3311105</v>
      </c>
      <c r="Y684" s="9">
        <v>69250865</v>
      </c>
      <c r="Z684" s="9" t="s">
        <v>39</v>
      </c>
      <c r="AA684" s="9">
        <v>13915402</v>
      </c>
      <c r="AB684" s="9">
        <v>78070</v>
      </c>
      <c r="AC684" s="9" t="s">
        <v>41</v>
      </c>
      <c r="AD684" s="9" t="s">
        <v>134</v>
      </c>
      <c r="AE684" s="9" t="s">
        <v>135</v>
      </c>
      <c r="AF684" s="9" t="s">
        <v>135</v>
      </c>
      <c r="AG684" s="14" t="str">
        <f t="shared" si="24"/>
        <v>EXAMENES RADIOLOGICOS</v>
      </c>
      <c r="AH684" s="9">
        <v>0</v>
      </c>
      <c r="AI684" s="9">
        <v>0</v>
      </c>
      <c r="AJ684" s="9">
        <v>76098454</v>
      </c>
      <c r="AK684" s="9" t="s">
        <v>161</v>
      </c>
      <c r="AL684" s="26" t="s">
        <v>52</v>
      </c>
      <c r="AM684" s="14" t="s">
        <v>633</v>
      </c>
      <c r="AN684" s="27" t="str">
        <f t="shared" si="23"/>
        <v>11883982|76098454|765341433|65383977</v>
      </c>
      <c r="AO684" t="s">
        <v>44</v>
      </c>
      <c r="AP684" t="b">
        <v>0</v>
      </c>
      <c r="AQ684" t="s">
        <v>763</v>
      </c>
    </row>
    <row r="685" spans="1:43" x14ac:dyDescent="0.2">
      <c r="A685" s="14" t="s">
        <v>500</v>
      </c>
      <c r="B685" s="17">
        <v>11883982</v>
      </c>
      <c r="C685" s="14" t="s">
        <v>327</v>
      </c>
      <c r="D685" s="9">
        <v>20730089</v>
      </c>
      <c r="E685" s="9" t="s">
        <v>328</v>
      </c>
      <c r="F685" s="7">
        <v>45658</v>
      </c>
      <c r="G685" s="20" t="s">
        <v>36</v>
      </c>
      <c r="H685" s="8">
        <v>765341537</v>
      </c>
      <c r="I685" s="19">
        <v>765341537</v>
      </c>
      <c r="J685" s="10">
        <v>8688</v>
      </c>
      <c r="K685" s="10">
        <v>8252</v>
      </c>
      <c r="L685" s="10">
        <v>436</v>
      </c>
      <c r="M685" s="10">
        <v>0</v>
      </c>
      <c r="N685" s="11">
        <v>436</v>
      </c>
      <c r="O685" s="12">
        <v>765341537</v>
      </c>
      <c r="P685" s="9">
        <v>285123</v>
      </c>
      <c r="Q685" s="9" t="s">
        <v>37</v>
      </c>
      <c r="R685" s="13">
        <v>45688</v>
      </c>
      <c r="S685" s="22">
        <v>45688</v>
      </c>
      <c r="T685" s="13">
        <v>45688</v>
      </c>
      <c r="U685" s="13">
        <v>45688</v>
      </c>
      <c r="V685" s="9" t="s">
        <v>47</v>
      </c>
      <c r="W685" s="9">
        <v>22561002</v>
      </c>
      <c r="X685" s="9">
        <v>2040929</v>
      </c>
      <c r="Y685" s="9">
        <v>68811025</v>
      </c>
      <c r="Z685" s="9" t="s">
        <v>39</v>
      </c>
      <c r="AA685" s="9">
        <v>2022025</v>
      </c>
      <c r="AB685" s="9">
        <v>77562</v>
      </c>
      <c r="AC685" s="9" t="s">
        <v>41</v>
      </c>
      <c r="AD685" s="9" t="s">
        <v>132</v>
      </c>
      <c r="AE685" s="9" t="s">
        <v>133</v>
      </c>
      <c r="AF685" s="9" t="s">
        <v>133</v>
      </c>
      <c r="AG685" s="14" t="str">
        <f t="shared" si="24"/>
        <v>EXAMENES DE LABORATORIO</v>
      </c>
      <c r="AH685" s="9" t="s">
        <v>758</v>
      </c>
      <c r="AI685" s="9">
        <v>0</v>
      </c>
      <c r="AJ685" s="9">
        <v>96986050</v>
      </c>
      <c r="AK685" s="9">
        <v>3</v>
      </c>
      <c r="AL685" s="26" t="s">
        <v>86</v>
      </c>
      <c r="AM685" s="14" t="s">
        <v>633</v>
      </c>
      <c r="AN685" s="27" t="str">
        <f t="shared" si="23"/>
        <v>11883982|96986050|765341537|765341537</v>
      </c>
      <c r="AO685" t="s">
        <v>758</v>
      </c>
      <c r="AP685" t="b">
        <v>1</v>
      </c>
      <c r="AQ685" t="s">
        <v>764</v>
      </c>
    </row>
    <row r="686" spans="1:43" x14ac:dyDescent="0.2">
      <c r="A686" s="14" t="s">
        <v>500</v>
      </c>
      <c r="B686" s="17">
        <v>11883982</v>
      </c>
      <c r="C686" s="14" t="s">
        <v>327</v>
      </c>
      <c r="D686" s="9">
        <v>20730089</v>
      </c>
      <c r="E686" s="9" t="s">
        <v>328</v>
      </c>
      <c r="F686" s="7">
        <v>45717</v>
      </c>
      <c r="G686" s="20" t="s">
        <v>46</v>
      </c>
      <c r="H686" s="8">
        <v>765341537</v>
      </c>
      <c r="I686" s="19">
        <v>65383978</v>
      </c>
      <c r="J686" s="10">
        <v>383</v>
      </c>
      <c r="K686" s="10">
        <v>0</v>
      </c>
      <c r="L686" s="10">
        <v>383</v>
      </c>
      <c r="M686" s="10">
        <v>0</v>
      </c>
      <c r="N686" s="11">
        <v>383</v>
      </c>
      <c r="O686" s="12">
        <v>765341537</v>
      </c>
      <c r="P686" s="9">
        <v>285123</v>
      </c>
      <c r="Q686" s="9" t="s">
        <v>37</v>
      </c>
      <c r="R686" s="13">
        <v>45717</v>
      </c>
      <c r="S686" s="22">
        <v>45742</v>
      </c>
      <c r="T686" s="13">
        <v>45688</v>
      </c>
      <c r="U686" s="13">
        <v>45688</v>
      </c>
      <c r="V686" s="9" t="s">
        <v>47</v>
      </c>
      <c r="W686" s="9">
        <v>22770484</v>
      </c>
      <c r="X686" s="9">
        <v>3311105</v>
      </c>
      <c r="Y686" s="9">
        <v>69250866</v>
      </c>
      <c r="Z686" s="9" t="s">
        <v>39</v>
      </c>
      <c r="AA686" s="9">
        <v>13915402</v>
      </c>
      <c r="AB686" s="9">
        <v>78070</v>
      </c>
      <c r="AC686" s="9" t="s">
        <v>41</v>
      </c>
      <c r="AD686" s="9" t="s">
        <v>132</v>
      </c>
      <c r="AE686" s="9" t="s">
        <v>133</v>
      </c>
      <c r="AF686" s="9" t="s">
        <v>133</v>
      </c>
      <c r="AG686" s="14" t="str">
        <f t="shared" si="24"/>
        <v>EXAMENES DE LABORATORIO</v>
      </c>
      <c r="AH686" s="9">
        <v>0</v>
      </c>
      <c r="AI686" s="9">
        <v>0</v>
      </c>
      <c r="AJ686" s="9">
        <v>96986050</v>
      </c>
      <c r="AK686" s="9">
        <v>3</v>
      </c>
      <c r="AL686" s="26" t="s">
        <v>52</v>
      </c>
      <c r="AM686" s="14" t="s">
        <v>633</v>
      </c>
      <c r="AN686" s="27" t="str">
        <f t="shared" si="23"/>
        <v>11883982|96986050|765341537|65383978</v>
      </c>
      <c r="AO686" t="s">
        <v>44</v>
      </c>
      <c r="AP686" t="b">
        <v>0</v>
      </c>
      <c r="AQ686" t="s">
        <v>763</v>
      </c>
    </row>
    <row r="687" spans="1:43" x14ac:dyDescent="0.2">
      <c r="A687" s="14" t="s">
        <v>500</v>
      </c>
      <c r="B687" s="17">
        <v>11739910</v>
      </c>
      <c r="C687" s="14" t="s">
        <v>338</v>
      </c>
      <c r="D687" s="9">
        <v>11739910</v>
      </c>
      <c r="E687" s="9" t="s">
        <v>338</v>
      </c>
      <c r="F687" s="7">
        <v>45689</v>
      </c>
      <c r="G687" s="20" t="s">
        <v>36</v>
      </c>
      <c r="H687" s="8">
        <v>765348438</v>
      </c>
      <c r="I687" s="19">
        <v>765348438</v>
      </c>
      <c r="J687" s="10">
        <v>47483</v>
      </c>
      <c r="K687" s="10">
        <v>33238</v>
      </c>
      <c r="L687" s="10">
        <v>14245</v>
      </c>
      <c r="M687" s="10">
        <v>0</v>
      </c>
      <c r="N687" s="11">
        <v>14245</v>
      </c>
      <c r="O687" s="12">
        <v>765348438</v>
      </c>
      <c r="P687" s="9">
        <v>285123</v>
      </c>
      <c r="Q687" s="9" t="s">
        <v>37</v>
      </c>
      <c r="R687" s="13">
        <v>45689</v>
      </c>
      <c r="S687" s="22">
        <v>45689</v>
      </c>
      <c r="T687" s="13">
        <v>45689</v>
      </c>
      <c r="U687" s="13">
        <v>45689</v>
      </c>
      <c r="V687" s="9" t="s">
        <v>47</v>
      </c>
      <c r="W687" s="9">
        <v>22566098</v>
      </c>
      <c r="X687" s="9">
        <v>2101551</v>
      </c>
      <c r="Y687" s="9">
        <v>68819549</v>
      </c>
      <c r="Z687" s="9" t="s">
        <v>39</v>
      </c>
      <c r="AA687" s="9">
        <v>9022025</v>
      </c>
      <c r="AB687" s="9">
        <v>77586</v>
      </c>
      <c r="AC687" s="9" t="s">
        <v>41</v>
      </c>
      <c r="AD687" s="9" t="s">
        <v>132</v>
      </c>
      <c r="AE687" s="9" t="s">
        <v>133</v>
      </c>
      <c r="AF687" s="9" t="s">
        <v>133</v>
      </c>
      <c r="AG687" s="14" t="str">
        <f t="shared" si="24"/>
        <v>EXAMENES DE LABORATORIO</v>
      </c>
      <c r="AH687" s="9" t="s">
        <v>758</v>
      </c>
      <c r="AI687" s="9">
        <v>0</v>
      </c>
      <c r="AJ687" s="9">
        <v>78053560</v>
      </c>
      <c r="AK687" s="9">
        <v>1</v>
      </c>
      <c r="AL687" s="26" t="s">
        <v>86</v>
      </c>
      <c r="AM687" s="14" t="s">
        <v>640</v>
      </c>
      <c r="AN687" s="27" t="str">
        <f t="shared" si="23"/>
        <v>11739910|78053560|765348438|765348438</v>
      </c>
      <c r="AO687" t="s">
        <v>758</v>
      </c>
      <c r="AP687" t="b">
        <v>1</v>
      </c>
      <c r="AQ687" t="s">
        <v>764</v>
      </c>
    </row>
    <row r="688" spans="1:43" x14ac:dyDescent="0.2">
      <c r="A688" s="14" t="s">
        <v>500</v>
      </c>
      <c r="B688" s="17">
        <v>11739910</v>
      </c>
      <c r="C688" s="14" t="s">
        <v>338</v>
      </c>
      <c r="D688" s="9">
        <v>11739910</v>
      </c>
      <c r="E688" s="9" t="s">
        <v>338</v>
      </c>
      <c r="F688" s="7">
        <v>45717</v>
      </c>
      <c r="G688" s="20" t="s">
        <v>46</v>
      </c>
      <c r="H688" s="8">
        <v>765348438</v>
      </c>
      <c r="I688" s="19">
        <v>65383953</v>
      </c>
      <c r="J688" s="10">
        <v>14199</v>
      </c>
      <c r="K688" s="10">
        <v>0</v>
      </c>
      <c r="L688" s="10">
        <v>14199</v>
      </c>
      <c r="M688" s="10">
        <v>0</v>
      </c>
      <c r="N688" s="11">
        <v>14199</v>
      </c>
      <c r="O688" s="12">
        <v>765348438</v>
      </c>
      <c r="P688" s="9">
        <v>285123</v>
      </c>
      <c r="Q688" s="9" t="s">
        <v>37</v>
      </c>
      <c r="R688" s="13">
        <v>45717</v>
      </c>
      <c r="S688" s="22">
        <v>45742</v>
      </c>
      <c r="T688" s="13">
        <v>45689</v>
      </c>
      <c r="U688" s="13">
        <v>45689</v>
      </c>
      <c r="V688" s="9" t="s">
        <v>47</v>
      </c>
      <c r="W688" s="9">
        <v>22770504</v>
      </c>
      <c r="X688" s="9">
        <v>3311105</v>
      </c>
      <c r="Y688" s="9">
        <v>69250841</v>
      </c>
      <c r="Z688" s="9" t="s">
        <v>39</v>
      </c>
      <c r="AA688" s="9">
        <v>2650102250127</v>
      </c>
      <c r="AB688" s="9">
        <v>78070</v>
      </c>
      <c r="AC688" s="9" t="s">
        <v>41</v>
      </c>
      <c r="AD688" s="9" t="s">
        <v>132</v>
      </c>
      <c r="AE688" s="9" t="s">
        <v>133</v>
      </c>
      <c r="AF688" s="9" t="s">
        <v>133</v>
      </c>
      <c r="AG688" s="14" t="str">
        <f t="shared" si="24"/>
        <v>EXAMENES DE LABORATORIO</v>
      </c>
      <c r="AH688" s="9">
        <v>0</v>
      </c>
      <c r="AI688" s="9">
        <v>0</v>
      </c>
      <c r="AJ688" s="9">
        <v>78053560</v>
      </c>
      <c r="AK688" s="9">
        <v>1</v>
      </c>
      <c r="AL688" s="26" t="s">
        <v>52</v>
      </c>
      <c r="AM688" s="14" t="s">
        <v>640</v>
      </c>
      <c r="AN688" s="27" t="str">
        <f t="shared" si="23"/>
        <v>11739910|78053560|765348438|65383953</v>
      </c>
      <c r="AO688" t="s">
        <v>44</v>
      </c>
      <c r="AP688" t="b">
        <v>0</v>
      </c>
      <c r="AQ688" t="s">
        <v>763</v>
      </c>
    </row>
    <row r="689" spans="1:43" x14ac:dyDescent="0.2">
      <c r="A689" s="14" t="s">
        <v>500</v>
      </c>
      <c r="B689" s="17">
        <v>11739910</v>
      </c>
      <c r="C689" s="14" t="s">
        <v>338</v>
      </c>
      <c r="D689" s="9">
        <v>11739910</v>
      </c>
      <c r="E689" s="9" t="s">
        <v>338</v>
      </c>
      <c r="F689" s="7">
        <v>45689</v>
      </c>
      <c r="G689" s="20" t="s">
        <v>36</v>
      </c>
      <c r="H689" s="8">
        <v>765348439</v>
      </c>
      <c r="I689" s="19">
        <v>765348439</v>
      </c>
      <c r="J689" s="10">
        <v>63650</v>
      </c>
      <c r="K689" s="10">
        <v>44556</v>
      </c>
      <c r="L689" s="10">
        <v>19094</v>
      </c>
      <c r="M689" s="10">
        <v>0</v>
      </c>
      <c r="N689" s="11">
        <v>19094</v>
      </c>
      <c r="O689" s="12">
        <v>765348439</v>
      </c>
      <c r="P689" s="9">
        <v>285123</v>
      </c>
      <c r="Q689" s="9" t="s">
        <v>37</v>
      </c>
      <c r="R689" s="13">
        <v>45689</v>
      </c>
      <c r="S689" s="22">
        <v>45689</v>
      </c>
      <c r="T689" s="13">
        <v>45689</v>
      </c>
      <c r="U689" s="13">
        <v>45689</v>
      </c>
      <c r="V689" s="9" t="s">
        <v>47</v>
      </c>
      <c r="W689" s="9">
        <v>22566098</v>
      </c>
      <c r="X689" s="9">
        <v>2101551</v>
      </c>
      <c r="Y689" s="9">
        <v>68819548</v>
      </c>
      <c r="Z689" s="9" t="s">
        <v>39</v>
      </c>
      <c r="AA689" s="9">
        <v>9022025</v>
      </c>
      <c r="AB689" s="9">
        <v>77586</v>
      </c>
      <c r="AC689" s="9" t="s">
        <v>41</v>
      </c>
      <c r="AD689" s="9" t="s">
        <v>132</v>
      </c>
      <c r="AE689" s="9" t="s">
        <v>133</v>
      </c>
      <c r="AF689" s="9" t="s">
        <v>133</v>
      </c>
      <c r="AG689" s="14" t="str">
        <f t="shared" si="24"/>
        <v>EXAMENES DE LABORATORIO</v>
      </c>
      <c r="AH689" s="9" t="s">
        <v>758</v>
      </c>
      <c r="AI689" s="9">
        <v>0</v>
      </c>
      <c r="AJ689" s="9">
        <v>78053560</v>
      </c>
      <c r="AK689" s="9">
        <v>1</v>
      </c>
      <c r="AL689" s="26" t="s">
        <v>86</v>
      </c>
      <c r="AM689" s="14" t="s">
        <v>640</v>
      </c>
      <c r="AN689" s="27" t="str">
        <f t="shared" si="23"/>
        <v>11739910|78053560|765348439|765348439</v>
      </c>
      <c r="AO689" t="s">
        <v>758</v>
      </c>
      <c r="AP689" t="b">
        <v>1</v>
      </c>
      <c r="AQ689" t="s">
        <v>764</v>
      </c>
    </row>
    <row r="690" spans="1:43" x14ac:dyDescent="0.2">
      <c r="A690" s="14" t="s">
        <v>500</v>
      </c>
      <c r="B690" s="17">
        <v>11739910</v>
      </c>
      <c r="C690" s="14" t="s">
        <v>338</v>
      </c>
      <c r="D690" s="9">
        <v>11739910</v>
      </c>
      <c r="E690" s="9" t="s">
        <v>338</v>
      </c>
      <c r="F690" s="7">
        <v>45717</v>
      </c>
      <c r="G690" s="20" t="s">
        <v>46</v>
      </c>
      <c r="H690" s="8">
        <v>765348439</v>
      </c>
      <c r="I690" s="19">
        <v>65383954</v>
      </c>
      <c r="J690" s="10">
        <v>18804</v>
      </c>
      <c r="K690" s="10">
        <v>0</v>
      </c>
      <c r="L690" s="10">
        <v>18804</v>
      </c>
      <c r="M690" s="10">
        <v>0</v>
      </c>
      <c r="N690" s="11">
        <v>18804</v>
      </c>
      <c r="O690" s="12">
        <v>765348439</v>
      </c>
      <c r="P690" s="9">
        <v>285123</v>
      </c>
      <c r="Q690" s="9" t="s">
        <v>37</v>
      </c>
      <c r="R690" s="13">
        <v>45717</v>
      </c>
      <c r="S690" s="22">
        <v>45742</v>
      </c>
      <c r="T690" s="13">
        <v>45689</v>
      </c>
      <c r="U690" s="13">
        <v>45689</v>
      </c>
      <c r="V690" s="9" t="s">
        <v>47</v>
      </c>
      <c r="W690" s="9">
        <v>22770504</v>
      </c>
      <c r="X690" s="9">
        <v>3311105</v>
      </c>
      <c r="Y690" s="9">
        <v>69250842</v>
      </c>
      <c r="Z690" s="9" t="s">
        <v>39</v>
      </c>
      <c r="AA690" s="9">
        <v>2650102250127</v>
      </c>
      <c r="AB690" s="9">
        <v>78070</v>
      </c>
      <c r="AC690" s="9" t="s">
        <v>41</v>
      </c>
      <c r="AD690" s="9" t="s">
        <v>132</v>
      </c>
      <c r="AE690" s="9" t="s">
        <v>133</v>
      </c>
      <c r="AF690" s="9" t="s">
        <v>133</v>
      </c>
      <c r="AG690" s="14" t="str">
        <f t="shared" si="24"/>
        <v>EXAMENES DE LABORATORIO</v>
      </c>
      <c r="AH690" s="9">
        <v>0</v>
      </c>
      <c r="AI690" s="9">
        <v>0</v>
      </c>
      <c r="AJ690" s="9">
        <v>78053560</v>
      </c>
      <c r="AK690" s="9">
        <v>1</v>
      </c>
      <c r="AL690" s="26" t="s">
        <v>52</v>
      </c>
      <c r="AM690" s="14" t="s">
        <v>640</v>
      </c>
      <c r="AN690" s="27" t="str">
        <f t="shared" si="23"/>
        <v>11739910|78053560|765348439|65383954</v>
      </c>
      <c r="AO690" t="s">
        <v>44</v>
      </c>
      <c r="AP690" t="b">
        <v>0</v>
      </c>
      <c r="AQ690" t="s">
        <v>763</v>
      </c>
    </row>
    <row r="691" spans="1:43" x14ac:dyDescent="0.2">
      <c r="A691" s="14" t="s">
        <v>500</v>
      </c>
      <c r="B691" s="17">
        <v>11739910</v>
      </c>
      <c r="C691" s="14" t="s">
        <v>338</v>
      </c>
      <c r="D691" s="9">
        <v>11739910</v>
      </c>
      <c r="E691" s="9" t="s">
        <v>338</v>
      </c>
      <c r="F691" s="7">
        <v>45689</v>
      </c>
      <c r="G691" s="20" t="s">
        <v>36</v>
      </c>
      <c r="H691" s="8">
        <v>765348440</v>
      </c>
      <c r="I691" s="19">
        <v>765348440</v>
      </c>
      <c r="J691" s="10">
        <v>1525</v>
      </c>
      <c r="K691" s="10">
        <v>1068</v>
      </c>
      <c r="L691" s="10">
        <v>457</v>
      </c>
      <c r="M691" s="10">
        <v>0</v>
      </c>
      <c r="N691" s="11">
        <v>457</v>
      </c>
      <c r="O691" s="12">
        <v>765348440</v>
      </c>
      <c r="P691" s="9">
        <v>285123</v>
      </c>
      <c r="Q691" s="9" t="s">
        <v>37</v>
      </c>
      <c r="R691" s="13">
        <v>45689</v>
      </c>
      <c r="S691" s="22">
        <v>45689</v>
      </c>
      <c r="T691" s="13">
        <v>45689</v>
      </c>
      <c r="U691" s="13">
        <v>45689</v>
      </c>
      <c r="V691" s="9" t="s">
        <v>47</v>
      </c>
      <c r="W691" s="9">
        <v>22566098</v>
      </c>
      <c r="X691" s="9">
        <v>2101551</v>
      </c>
      <c r="Y691" s="9">
        <v>68819547</v>
      </c>
      <c r="Z691" s="9" t="s">
        <v>39</v>
      </c>
      <c r="AA691" s="9">
        <v>9022025</v>
      </c>
      <c r="AB691" s="9">
        <v>77586</v>
      </c>
      <c r="AC691" s="9" t="s">
        <v>41</v>
      </c>
      <c r="AD691" s="9" t="s">
        <v>132</v>
      </c>
      <c r="AE691" s="9" t="s">
        <v>133</v>
      </c>
      <c r="AF691" s="9" t="s">
        <v>133</v>
      </c>
      <c r="AG691" s="14" t="str">
        <f t="shared" si="24"/>
        <v>EXAMENES DE LABORATORIO</v>
      </c>
      <c r="AH691" s="9" t="s">
        <v>758</v>
      </c>
      <c r="AI691" s="9">
        <v>0</v>
      </c>
      <c r="AJ691" s="9">
        <v>78053560</v>
      </c>
      <c r="AK691" s="9">
        <v>1</v>
      </c>
      <c r="AL691" s="26" t="s">
        <v>86</v>
      </c>
      <c r="AM691" s="14" t="s">
        <v>640</v>
      </c>
      <c r="AN691" s="27" t="str">
        <f t="shared" si="23"/>
        <v>11739910|78053560|765348440|765348440</v>
      </c>
      <c r="AO691" t="s">
        <v>758</v>
      </c>
      <c r="AP691" t="b">
        <v>1</v>
      </c>
      <c r="AQ691" t="s">
        <v>764</v>
      </c>
    </row>
    <row r="692" spans="1:43" x14ac:dyDescent="0.2">
      <c r="A692" s="14" t="s">
        <v>500</v>
      </c>
      <c r="B692" s="17">
        <v>11739910</v>
      </c>
      <c r="C692" s="14" t="s">
        <v>338</v>
      </c>
      <c r="D692" s="9">
        <v>11739910</v>
      </c>
      <c r="E692" s="9" t="s">
        <v>338</v>
      </c>
      <c r="F692" s="7">
        <v>45717</v>
      </c>
      <c r="G692" s="20" t="s">
        <v>46</v>
      </c>
      <c r="H692" s="8">
        <v>765348440</v>
      </c>
      <c r="I692" s="19">
        <v>65383955</v>
      </c>
      <c r="J692" s="10">
        <v>383</v>
      </c>
      <c r="K692" s="10">
        <v>0</v>
      </c>
      <c r="L692" s="10">
        <v>383</v>
      </c>
      <c r="M692" s="10">
        <v>0</v>
      </c>
      <c r="N692" s="11">
        <v>383</v>
      </c>
      <c r="O692" s="12">
        <v>765348440</v>
      </c>
      <c r="P692" s="9">
        <v>285123</v>
      </c>
      <c r="Q692" s="9" t="s">
        <v>37</v>
      </c>
      <c r="R692" s="13">
        <v>45717</v>
      </c>
      <c r="S692" s="22">
        <v>45742</v>
      </c>
      <c r="T692" s="13">
        <v>45689</v>
      </c>
      <c r="U692" s="13">
        <v>45689</v>
      </c>
      <c r="V692" s="9" t="s">
        <v>47</v>
      </c>
      <c r="W692" s="9">
        <v>22770504</v>
      </c>
      <c r="X692" s="9">
        <v>3311105</v>
      </c>
      <c r="Y692" s="9">
        <v>69250843</v>
      </c>
      <c r="Z692" s="9" t="s">
        <v>39</v>
      </c>
      <c r="AA692" s="9">
        <v>2650102250127</v>
      </c>
      <c r="AB692" s="9">
        <v>78070</v>
      </c>
      <c r="AC692" s="9" t="s">
        <v>41</v>
      </c>
      <c r="AD692" s="9" t="s">
        <v>132</v>
      </c>
      <c r="AE692" s="9" t="s">
        <v>133</v>
      </c>
      <c r="AF692" s="9" t="s">
        <v>133</v>
      </c>
      <c r="AG692" s="14" t="str">
        <f t="shared" si="24"/>
        <v>EXAMENES DE LABORATORIO</v>
      </c>
      <c r="AH692" s="9">
        <v>0</v>
      </c>
      <c r="AI692" s="9">
        <v>0</v>
      </c>
      <c r="AJ692" s="9">
        <v>78053560</v>
      </c>
      <c r="AK692" s="9">
        <v>1</v>
      </c>
      <c r="AL692" s="26" t="s">
        <v>52</v>
      </c>
      <c r="AM692" s="14" t="s">
        <v>640</v>
      </c>
      <c r="AN692" s="27" t="str">
        <f t="shared" si="23"/>
        <v>11739910|78053560|765348440|65383955</v>
      </c>
      <c r="AO692" t="s">
        <v>44</v>
      </c>
      <c r="AP692" t="b">
        <v>0</v>
      </c>
      <c r="AQ692" t="s">
        <v>763</v>
      </c>
    </row>
    <row r="693" spans="1:43" x14ac:dyDescent="0.2">
      <c r="A693" s="14" t="s">
        <v>500</v>
      </c>
      <c r="B693" s="17">
        <v>11739910</v>
      </c>
      <c r="C693" s="14" t="s">
        <v>338</v>
      </c>
      <c r="D693" s="9">
        <v>11739910</v>
      </c>
      <c r="E693" s="9" t="s">
        <v>338</v>
      </c>
      <c r="F693" s="7">
        <v>45689</v>
      </c>
      <c r="G693" s="20" t="s">
        <v>36</v>
      </c>
      <c r="H693" s="8">
        <v>765348486</v>
      </c>
      <c r="I693" s="19">
        <v>765348486</v>
      </c>
      <c r="J693" s="10">
        <v>35923</v>
      </c>
      <c r="K693" s="10">
        <v>25147</v>
      </c>
      <c r="L693" s="10">
        <v>10776</v>
      </c>
      <c r="M693" s="10">
        <v>0</v>
      </c>
      <c r="N693" s="11">
        <v>10776</v>
      </c>
      <c r="O693" s="12">
        <v>765348486</v>
      </c>
      <c r="P693" s="9">
        <v>285123</v>
      </c>
      <c r="Q693" s="9" t="s">
        <v>37</v>
      </c>
      <c r="R693" s="13">
        <v>45689</v>
      </c>
      <c r="S693" s="22">
        <v>45689</v>
      </c>
      <c r="T693" s="13">
        <v>45689</v>
      </c>
      <c r="U693" s="13">
        <v>45689</v>
      </c>
      <c r="V693" s="9" t="s">
        <v>47</v>
      </c>
      <c r="W693" s="9">
        <v>22566098</v>
      </c>
      <c r="X693" s="9">
        <v>2101551</v>
      </c>
      <c r="Y693" s="9">
        <v>68819550</v>
      </c>
      <c r="Z693" s="9" t="s">
        <v>39</v>
      </c>
      <c r="AA693" s="9">
        <v>9022025</v>
      </c>
      <c r="AB693" s="9">
        <v>77586</v>
      </c>
      <c r="AC693" s="9" t="s">
        <v>41</v>
      </c>
      <c r="AD693" s="9" t="s">
        <v>132</v>
      </c>
      <c r="AE693" s="9" t="s">
        <v>133</v>
      </c>
      <c r="AF693" s="9" t="s">
        <v>133</v>
      </c>
      <c r="AG693" s="14" t="str">
        <f t="shared" si="24"/>
        <v>EXAMENES DE LABORATORIO</v>
      </c>
      <c r="AH693" s="9" t="s">
        <v>758</v>
      </c>
      <c r="AI693" s="9">
        <v>0</v>
      </c>
      <c r="AJ693" s="9">
        <v>78053560</v>
      </c>
      <c r="AK693" s="9">
        <v>1</v>
      </c>
      <c r="AL693" s="26" t="s">
        <v>86</v>
      </c>
      <c r="AM693" s="14" t="s">
        <v>640</v>
      </c>
      <c r="AN693" s="27" t="str">
        <f t="shared" si="23"/>
        <v>11739910|78053560|765348486|765348486</v>
      </c>
      <c r="AO693" t="s">
        <v>758</v>
      </c>
      <c r="AP693" t="b">
        <v>1</v>
      </c>
      <c r="AQ693" t="s">
        <v>764</v>
      </c>
    </row>
    <row r="694" spans="1:43" x14ac:dyDescent="0.2">
      <c r="A694" s="14" t="s">
        <v>500</v>
      </c>
      <c r="B694" s="17">
        <v>11739910</v>
      </c>
      <c r="C694" s="14" t="s">
        <v>338</v>
      </c>
      <c r="D694" s="9">
        <v>11739910</v>
      </c>
      <c r="E694" s="9" t="s">
        <v>338</v>
      </c>
      <c r="F694" s="7">
        <v>45717</v>
      </c>
      <c r="G694" s="20" t="s">
        <v>46</v>
      </c>
      <c r="H694" s="8">
        <v>765348486</v>
      </c>
      <c r="I694" s="19">
        <v>65383956</v>
      </c>
      <c r="J694" s="10">
        <v>10746</v>
      </c>
      <c r="K694" s="10">
        <v>0</v>
      </c>
      <c r="L694" s="10">
        <v>10746</v>
      </c>
      <c r="M694" s="10">
        <v>0</v>
      </c>
      <c r="N694" s="11">
        <v>10746</v>
      </c>
      <c r="O694" s="12">
        <v>765348486</v>
      </c>
      <c r="P694" s="9">
        <v>285123</v>
      </c>
      <c r="Q694" s="9" t="s">
        <v>37</v>
      </c>
      <c r="R694" s="13">
        <v>45717</v>
      </c>
      <c r="S694" s="22">
        <v>45742</v>
      </c>
      <c r="T694" s="13">
        <v>45689</v>
      </c>
      <c r="U694" s="13">
        <v>45689</v>
      </c>
      <c r="V694" s="9" t="s">
        <v>47</v>
      </c>
      <c r="W694" s="9">
        <v>22770504</v>
      </c>
      <c r="X694" s="9">
        <v>3311105</v>
      </c>
      <c r="Y694" s="9">
        <v>69250844</v>
      </c>
      <c r="Z694" s="9" t="s">
        <v>39</v>
      </c>
      <c r="AA694" s="9">
        <v>2650102250127</v>
      </c>
      <c r="AB694" s="9">
        <v>78070</v>
      </c>
      <c r="AC694" s="9" t="s">
        <v>41</v>
      </c>
      <c r="AD694" s="9" t="s">
        <v>132</v>
      </c>
      <c r="AE694" s="9" t="s">
        <v>133</v>
      </c>
      <c r="AF694" s="9" t="s">
        <v>133</v>
      </c>
      <c r="AG694" s="14" t="str">
        <f t="shared" si="24"/>
        <v>EXAMENES DE LABORATORIO</v>
      </c>
      <c r="AH694" s="9">
        <v>0</v>
      </c>
      <c r="AI694" s="9">
        <v>0</v>
      </c>
      <c r="AJ694" s="9">
        <v>78053560</v>
      </c>
      <c r="AK694" s="9">
        <v>1</v>
      </c>
      <c r="AL694" s="26" t="s">
        <v>52</v>
      </c>
      <c r="AM694" s="14" t="s">
        <v>640</v>
      </c>
      <c r="AN694" s="27" t="str">
        <f t="shared" si="23"/>
        <v>11739910|78053560|765348486|65383956</v>
      </c>
      <c r="AO694" t="s">
        <v>44</v>
      </c>
      <c r="AP694" t="b">
        <v>0</v>
      </c>
      <c r="AQ694" t="s">
        <v>763</v>
      </c>
    </row>
    <row r="695" spans="1:43" x14ac:dyDescent="0.2">
      <c r="A695" s="14" t="s">
        <v>500</v>
      </c>
      <c r="B695" s="17">
        <v>11739910</v>
      </c>
      <c r="C695" s="14" t="s">
        <v>338</v>
      </c>
      <c r="D695" s="9">
        <v>11739910</v>
      </c>
      <c r="E695" s="9" t="s">
        <v>338</v>
      </c>
      <c r="F695" s="7">
        <v>45689</v>
      </c>
      <c r="G695" s="20" t="s">
        <v>36</v>
      </c>
      <c r="H695" s="8">
        <v>765353794</v>
      </c>
      <c r="I695" s="19">
        <v>765353794</v>
      </c>
      <c r="J695" s="10">
        <v>377495</v>
      </c>
      <c r="K695" s="10">
        <v>364288</v>
      </c>
      <c r="L695" s="10">
        <v>13207</v>
      </c>
      <c r="M695" s="10">
        <v>0</v>
      </c>
      <c r="N695" s="11">
        <v>13207</v>
      </c>
      <c r="O695" s="12">
        <v>765353794</v>
      </c>
      <c r="P695" s="9">
        <v>285123</v>
      </c>
      <c r="Q695" s="9" t="s">
        <v>37</v>
      </c>
      <c r="R695" s="13">
        <v>45689</v>
      </c>
      <c r="S695" s="22">
        <v>45689</v>
      </c>
      <c r="T695" s="13">
        <v>45689</v>
      </c>
      <c r="U695" s="13">
        <v>45689</v>
      </c>
      <c r="V695" s="9" t="s">
        <v>47</v>
      </c>
      <c r="W695" s="9">
        <v>22566098</v>
      </c>
      <c r="X695" s="9">
        <v>2101551</v>
      </c>
      <c r="Y695" s="9">
        <v>68819901</v>
      </c>
      <c r="Z695" s="9" t="s">
        <v>39</v>
      </c>
      <c r="AA695" s="9">
        <v>9022025</v>
      </c>
      <c r="AB695" s="9">
        <v>77586</v>
      </c>
      <c r="AC695" s="9" t="s">
        <v>41</v>
      </c>
      <c r="AD695" s="9" t="s">
        <v>134</v>
      </c>
      <c r="AE695" s="9" t="s">
        <v>135</v>
      </c>
      <c r="AF695" s="9" t="s">
        <v>135</v>
      </c>
      <c r="AG695" s="14" t="str">
        <f t="shared" si="24"/>
        <v>EXAMENES RADIOLOGICOS</v>
      </c>
      <c r="AH695" s="9" t="s">
        <v>758</v>
      </c>
      <c r="AI695" s="9">
        <v>0</v>
      </c>
      <c r="AJ695" s="9">
        <v>96923250</v>
      </c>
      <c r="AK695" s="9">
        <v>2</v>
      </c>
      <c r="AL695" s="26" t="s">
        <v>86</v>
      </c>
      <c r="AM695" s="14" t="s">
        <v>640</v>
      </c>
      <c r="AN695" s="27" t="str">
        <f t="shared" si="23"/>
        <v>11739910|96923250|765353794|765353794</v>
      </c>
      <c r="AO695" t="s">
        <v>758</v>
      </c>
      <c r="AP695" t="b">
        <v>1</v>
      </c>
      <c r="AQ695" t="s">
        <v>764</v>
      </c>
    </row>
    <row r="696" spans="1:43" x14ac:dyDescent="0.2">
      <c r="A696" s="14" t="s">
        <v>500</v>
      </c>
      <c r="B696" s="17">
        <v>11739910</v>
      </c>
      <c r="C696" s="14" t="s">
        <v>338</v>
      </c>
      <c r="D696" s="9">
        <v>11739910</v>
      </c>
      <c r="E696" s="9" t="s">
        <v>338</v>
      </c>
      <c r="F696" s="7">
        <v>45717</v>
      </c>
      <c r="G696" s="20" t="s">
        <v>46</v>
      </c>
      <c r="H696" s="8">
        <v>765353794</v>
      </c>
      <c r="I696" s="19">
        <v>65383957</v>
      </c>
      <c r="J696" s="10">
        <v>57956</v>
      </c>
      <c r="K696" s="10">
        <v>0</v>
      </c>
      <c r="L696" s="10">
        <v>57956</v>
      </c>
      <c r="M696" s="10">
        <v>0</v>
      </c>
      <c r="N696" s="11">
        <v>57956</v>
      </c>
      <c r="O696" s="12">
        <v>765353794</v>
      </c>
      <c r="P696" s="9">
        <v>285123</v>
      </c>
      <c r="Q696" s="9" t="s">
        <v>37</v>
      </c>
      <c r="R696" s="13">
        <v>45717</v>
      </c>
      <c r="S696" s="22">
        <v>45742</v>
      </c>
      <c r="T696" s="13">
        <v>45689</v>
      </c>
      <c r="U696" s="13">
        <v>45689</v>
      </c>
      <c r="V696" s="9" t="s">
        <v>47</v>
      </c>
      <c r="W696" s="9">
        <v>22770504</v>
      </c>
      <c r="X696" s="9">
        <v>3311105</v>
      </c>
      <c r="Y696" s="9">
        <v>69250845</v>
      </c>
      <c r="Z696" s="9" t="s">
        <v>39</v>
      </c>
      <c r="AA696" s="9">
        <v>2650102250127</v>
      </c>
      <c r="AB696" s="9">
        <v>78070</v>
      </c>
      <c r="AC696" s="9" t="s">
        <v>41</v>
      </c>
      <c r="AD696" s="9" t="s">
        <v>134</v>
      </c>
      <c r="AE696" s="9" t="s">
        <v>135</v>
      </c>
      <c r="AF696" s="9" t="s">
        <v>135</v>
      </c>
      <c r="AG696" s="14" t="str">
        <f t="shared" si="24"/>
        <v>EXAMENES RADIOLOGICOS</v>
      </c>
      <c r="AH696" s="9">
        <v>0</v>
      </c>
      <c r="AI696" s="9">
        <v>0</v>
      </c>
      <c r="AJ696" s="9">
        <v>96923250</v>
      </c>
      <c r="AK696" s="9">
        <v>2</v>
      </c>
      <c r="AL696" s="26" t="s">
        <v>52</v>
      </c>
      <c r="AM696" s="14" t="s">
        <v>640</v>
      </c>
      <c r="AN696" s="27" t="str">
        <f t="shared" si="23"/>
        <v>11739910|96923250|765353794|65383957</v>
      </c>
      <c r="AO696" t="s">
        <v>44</v>
      </c>
      <c r="AP696" t="b">
        <v>0</v>
      </c>
      <c r="AQ696" t="s">
        <v>763</v>
      </c>
    </row>
    <row r="697" spans="1:43" x14ac:dyDescent="0.2">
      <c r="A697" s="14" t="s">
        <v>500</v>
      </c>
      <c r="B697" s="17">
        <v>5666964</v>
      </c>
      <c r="C697" s="14" t="s">
        <v>339</v>
      </c>
      <c r="D697" s="9">
        <v>5666964</v>
      </c>
      <c r="E697" s="9" t="s">
        <v>339</v>
      </c>
      <c r="F697" s="7">
        <v>45689</v>
      </c>
      <c r="G697" s="20" t="s">
        <v>36</v>
      </c>
      <c r="H697" s="8">
        <v>765359753</v>
      </c>
      <c r="I697" s="19">
        <v>765359753</v>
      </c>
      <c r="J697" s="10">
        <v>23200</v>
      </c>
      <c r="K697" s="10">
        <v>16240</v>
      </c>
      <c r="L697" s="10">
        <v>6960</v>
      </c>
      <c r="M697" s="10">
        <v>0</v>
      </c>
      <c r="N697" s="11">
        <v>6960</v>
      </c>
      <c r="O697" s="12">
        <v>765359753</v>
      </c>
      <c r="P697" s="9">
        <v>285123</v>
      </c>
      <c r="Q697" s="9" t="s">
        <v>37</v>
      </c>
      <c r="R697" s="13">
        <v>45691</v>
      </c>
      <c r="S697" s="22">
        <v>45691</v>
      </c>
      <c r="T697" s="13">
        <v>45691</v>
      </c>
      <c r="U697" s="13">
        <v>45691</v>
      </c>
      <c r="V697" s="9" t="s">
        <v>47</v>
      </c>
      <c r="W697" s="9">
        <v>22566112</v>
      </c>
      <c r="X697" s="9">
        <v>2101551</v>
      </c>
      <c r="Y697" s="9">
        <v>68820165</v>
      </c>
      <c r="Z697" s="9" t="s">
        <v>39</v>
      </c>
      <c r="AA697" s="9">
        <v>9022025</v>
      </c>
      <c r="AB697" s="9">
        <v>77586</v>
      </c>
      <c r="AC697" s="9" t="s">
        <v>41</v>
      </c>
      <c r="AD697" s="9" t="s">
        <v>65</v>
      </c>
      <c r="AE697" s="9" t="s">
        <v>66</v>
      </c>
      <c r="AF697" s="9" t="s">
        <v>66</v>
      </c>
      <c r="AG697" s="14" t="str">
        <f t="shared" si="24"/>
        <v>PROCEDIMIENTOS TERAPEUTICOS</v>
      </c>
      <c r="AH697" s="9" t="s">
        <v>758</v>
      </c>
      <c r="AI697" s="9">
        <v>0</v>
      </c>
      <c r="AJ697" s="9">
        <v>96942400</v>
      </c>
      <c r="AK697" s="9">
        <v>2</v>
      </c>
      <c r="AL697" s="26" t="s">
        <v>86</v>
      </c>
      <c r="AM697" s="14" t="s">
        <v>641</v>
      </c>
      <c r="AN697" s="27" t="str">
        <f t="shared" si="23"/>
        <v>5666964|96942400|765359753|765359753</v>
      </c>
      <c r="AO697" t="s">
        <v>758</v>
      </c>
      <c r="AP697" t="b">
        <v>1</v>
      </c>
      <c r="AQ697" t="s">
        <v>764</v>
      </c>
    </row>
    <row r="698" spans="1:43" x14ac:dyDescent="0.2">
      <c r="A698" s="14" t="s">
        <v>500</v>
      </c>
      <c r="B698" s="17">
        <v>5666964</v>
      </c>
      <c r="C698" s="14" t="s">
        <v>339</v>
      </c>
      <c r="D698" s="9">
        <v>5666964</v>
      </c>
      <c r="E698" s="9" t="s">
        <v>339</v>
      </c>
      <c r="F698" s="7">
        <v>45717</v>
      </c>
      <c r="G698" s="20" t="s">
        <v>46</v>
      </c>
      <c r="H698" s="8">
        <v>765359753</v>
      </c>
      <c r="I698" s="19">
        <v>65383581</v>
      </c>
      <c r="J698" s="10">
        <v>6907</v>
      </c>
      <c r="K698" s="10">
        <v>0</v>
      </c>
      <c r="L698" s="10">
        <v>6907</v>
      </c>
      <c r="M698" s="10">
        <v>0</v>
      </c>
      <c r="N698" s="11">
        <v>6907</v>
      </c>
      <c r="O698" s="12">
        <v>765359753</v>
      </c>
      <c r="P698" s="9">
        <v>285123</v>
      </c>
      <c r="Q698" s="9" t="s">
        <v>37</v>
      </c>
      <c r="R698" s="13">
        <v>45717</v>
      </c>
      <c r="S698" s="22">
        <v>45742</v>
      </c>
      <c r="T698" s="13">
        <v>45691</v>
      </c>
      <c r="U698" s="13">
        <v>45691</v>
      </c>
      <c r="V698" s="9" t="s">
        <v>47</v>
      </c>
      <c r="W698" s="9">
        <v>22770510</v>
      </c>
      <c r="X698" s="9">
        <v>3311105</v>
      </c>
      <c r="Y698" s="9">
        <v>69250472</v>
      </c>
      <c r="Z698" s="9" t="s">
        <v>39</v>
      </c>
      <c r="AA698" s="9">
        <v>1592172209</v>
      </c>
      <c r="AB698" s="9">
        <v>78070</v>
      </c>
      <c r="AC698" s="9" t="s">
        <v>41</v>
      </c>
      <c r="AD698" s="9" t="s">
        <v>65</v>
      </c>
      <c r="AE698" s="9" t="s">
        <v>66</v>
      </c>
      <c r="AF698" s="9" t="s">
        <v>66</v>
      </c>
      <c r="AG698" s="14" t="str">
        <f t="shared" si="24"/>
        <v>PROCEDIMIENTOS TERAPEUTICOS</v>
      </c>
      <c r="AH698" s="9">
        <v>0</v>
      </c>
      <c r="AI698" s="9">
        <v>0</v>
      </c>
      <c r="AJ698" s="9">
        <v>96942400</v>
      </c>
      <c r="AK698" s="9">
        <v>2</v>
      </c>
      <c r="AL698" s="26" t="s">
        <v>52</v>
      </c>
      <c r="AM698" s="14" t="s">
        <v>641</v>
      </c>
      <c r="AN698" s="27" t="str">
        <f t="shared" si="23"/>
        <v>5666964|96942400|765359753|65383581</v>
      </c>
      <c r="AO698" t="s">
        <v>44</v>
      </c>
      <c r="AP698" t="b">
        <v>0</v>
      </c>
      <c r="AQ698" t="s">
        <v>763</v>
      </c>
    </row>
    <row r="699" spans="1:43" x14ac:dyDescent="0.2">
      <c r="A699" s="14" t="s">
        <v>500</v>
      </c>
      <c r="B699" s="17">
        <v>9484485</v>
      </c>
      <c r="C699" s="14" t="s">
        <v>340</v>
      </c>
      <c r="D699" s="9">
        <v>9484485</v>
      </c>
      <c r="E699" s="9" t="s">
        <v>340</v>
      </c>
      <c r="F699" s="7">
        <v>45689</v>
      </c>
      <c r="G699" s="20" t="s">
        <v>36</v>
      </c>
      <c r="H699" s="8">
        <v>765367934</v>
      </c>
      <c r="I699" s="19">
        <v>765367934</v>
      </c>
      <c r="J699" s="10">
        <v>18375</v>
      </c>
      <c r="K699" s="10">
        <v>8763</v>
      </c>
      <c r="L699" s="10">
        <v>9612</v>
      </c>
      <c r="M699" s="10">
        <v>0</v>
      </c>
      <c r="N699" s="11">
        <v>9612</v>
      </c>
      <c r="O699" s="12">
        <v>765367934</v>
      </c>
      <c r="P699" s="9">
        <v>285123</v>
      </c>
      <c r="Q699" s="9" t="s">
        <v>37</v>
      </c>
      <c r="R699" s="13">
        <v>45691</v>
      </c>
      <c r="S699" s="22">
        <v>45691</v>
      </c>
      <c r="T699" s="13">
        <v>45691</v>
      </c>
      <c r="U699" s="13">
        <v>45691</v>
      </c>
      <c r="V699" s="9" t="s">
        <v>47</v>
      </c>
      <c r="W699" s="9">
        <v>22566115</v>
      </c>
      <c r="X699" s="9">
        <v>2101551</v>
      </c>
      <c r="Y699" s="9">
        <v>68820575</v>
      </c>
      <c r="Z699" s="9" t="s">
        <v>39</v>
      </c>
      <c r="AA699" s="9">
        <v>9022025</v>
      </c>
      <c r="AB699" s="9">
        <v>77586</v>
      </c>
      <c r="AC699" s="9" t="s">
        <v>41</v>
      </c>
      <c r="AD699" s="9" t="s">
        <v>65</v>
      </c>
      <c r="AE699" s="9" t="s">
        <v>66</v>
      </c>
      <c r="AF699" s="9" t="s">
        <v>66</v>
      </c>
      <c r="AG699" s="14" t="str">
        <f t="shared" si="24"/>
        <v>PROCEDIMIENTOS TERAPEUTICOS</v>
      </c>
      <c r="AH699" s="9" t="s">
        <v>758</v>
      </c>
      <c r="AI699" s="9">
        <v>0</v>
      </c>
      <c r="AJ699" s="9">
        <v>71023600</v>
      </c>
      <c r="AK699" s="9">
        <v>3</v>
      </c>
      <c r="AL699" s="26" t="s">
        <v>86</v>
      </c>
      <c r="AM699" s="14" t="s">
        <v>642</v>
      </c>
      <c r="AN699" s="27" t="str">
        <f t="shared" si="23"/>
        <v>9484485|71023600|765367934|765367934</v>
      </c>
      <c r="AO699" t="s">
        <v>758</v>
      </c>
      <c r="AP699" t="b">
        <v>1</v>
      </c>
      <c r="AQ699" t="s">
        <v>764</v>
      </c>
    </row>
    <row r="700" spans="1:43" x14ac:dyDescent="0.2">
      <c r="A700" s="14" t="s">
        <v>500</v>
      </c>
      <c r="B700" s="17">
        <v>9484485</v>
      </c>
      <c r="C700" s="14" t="s">
        <v>340</v>
      </c>
      <c r="D700" s="9">
        <v>9484485</v>
      </c>
      <c r="E700" s="9" t="s">
        <v>340</v>
      </c>
      <c r="F700" s="7">
        <v>45717</v>
      </c>
      <c r="G700" s="20" t="s">
        <v>46</v>
      </c>
      <c r="H700" s="8">
        <v>765367934</v>
      </c>
      <c r="I700" s="19">
        <v>65383739</v>
      </c>
      <c r="J700" s="10">
        <v>8826</v>
      </c>
      <c r="K700" s="10">
        <v>0</v>
      </c>
      <c r="L700" s="10">
        <v>8826</v>
      </c>
      <c r="M700" s="10">
        <v>0</v>
      </c>
      <c r="N700" s="11">
        <v>8826</v>
      </c>
      <c r="O700" s="12">
        <v>765367934</v>
      </c>
      <c r="P700" s="9">
        <v>285123</v>
      </c>
      <c r="Q700" s="9" t="s">
        <v>37</v>
      </c>
      <c r="R700" s="13">
        <v>45717</v>
      </c>
      <c r="S700" s="22">
        <v>45742</v>
      </c>
      <c r="T700" s="13">
        <v>45691</v>
      </c>
      <c r="U700" s="13">
        <v>45691</v>
      </c>
      <c r="V700" s="9" t="s">
        <v>47</v>
      </c>
      <c r="W700" s="9">
        <v>22770511</v>
      </c>
      <c r="X700" s="9">
        <v>3311105</v>
      </c>
      <c r="Y700" s="9">
        <v>69250629</v>
      </c>
      <c r="Z700" s="9" t="s">
        <v>39</v>
      </c>
      <c r="AA700" s="9">
        <v>1702833996</v>
      </c>
      <c r="AB700" s="9">
        <v>78070</v>
      </c>
      <c r="AC700" s="9" t="s">
        <v>41</v>
      </c>
      <c r="AD700" s="9" t="s">
        <v>65</v>
      </c>
      <c r="AE700" s="9" t="s">
        <v>66</v>
      </c>
      <c r="AF700" s="9" t="s">
        <v>66</v>
      </c>
      <c r="AG700" s="14" t="str">
        <f t="shared" si="24"/>
        <v>PROCEDIMIENTOS TERAPEUTICOS</v>
      </c>
      <c r="AH700" s="9">
        <v>0</v>
      </c>
      <c r="AI700" s="9">
        <v>0</v>
      </c>
      <c r="AJ700" s="9">
        <v>71023600</v>
      </c>
      <c r="AK700" s="9">
        <v>3</v>
      </c>
      <c r="AL700" s="26" t="s">
        <v>52</v>
      </c>
      <c r="AM700" s="14" t="s">
        <v>642</v>
      </c>
      <c r="AN700" s="27" t="str">
        <f t="shared" si="23"/>
        <v>9484485|71023600|765367934|65383739</v>
      </c>
      <c r="AO700" t="s">
        <v>44</v>
      </c>
      <c r="AP700" t="b">
        <v>0</v>
      </c>
      <c r="AQ700" t="s">
        <v>763</v>
      </c>
    </row>
    <row r="701" spans="1:43" x14ac:dyDescent="0.2">
      <c r="A701" s="14" t="s">
        <v>500</v>
      </c>
      <c r="B701" s="17">
        <v>15889855</v>
      </c>
      <c r="C701" s="14" t="s">
        <v>313</v>
      </c>
      <c r="D701" s="9">
        <v>15889855</v>
      </c>
      <c r="E701" s="9" t="s">
        <v>313</v>
      </c>
      <c r="F701" s="7">
        <v>45689</v>
      </c>
      <c r="G701" s="20" t="s">
        <v>36</v>
      </c>
      <c r="H701" s="8">
        <v>765377100</v>
      </c>
      <c r="I701" s="19">
        <v>765377100</v>
      </c>
      <c r="J701" s="10">
        <v>28086</v>
      </c>
      <c r="K701" s="10">
        <v>22469</v>
      </c>
      <c r="L701" s="10">
        <v>5617</v>
      </c>
      <c r="M701" s="10">
        <v>0</v>
      </c>
      <c r="N701" s="11">
        <v>5617</v>
      </c>
      <c r="O701" s="12">
        <v>765377100</v>
      </c>
      <c r="P701" s="9">
        <v>285123</v>
      </c>
      <c r="Q701" s="9" t="s">
        <v>37</v>
      </c>
      <c r="R701" s="13">
        <v>45692</v>
      </c>
      <c r="S701" s="22">
        <v>45692</v>
      </c>
      <c r="T701" s="13">
        <v>45692</v>
      </c>
      <c r="U701" s="13">
        <v>45692</v>
      </c>
      <c r="V701" s="9" t="s">
        <v>47</v>
      </c>
      <c r="W701" s="9">
        <v>22566181</v>
      </c>
      <c r="X701" s="9">
        <v>2101551</v>
      </c>
      <c r="Y701" s="9">
        <v>68821074</v>
      </c>
      <c r="Z701" s="9" t="s">
        <v>39</v>
      </c>
      <c r="AA701" s="9">
        <v>9022025</v>
      </c>
      <c r="AB701" s="9">
        <v>77586</v>
      </c>
      <c r="AC701" s="9" t="s">
        <v>41</v>
      </c>
      <c r="AD701" s="9" t="s">
        <v>134</v>
      </c>
      <c r="AE701" s="9" t="s">
        <v>135</v>
      </c>
      <c r="AF701" s="9" t="s">
        <v>135</v>
      </c>
      <c r="AG701" s="14" t="str">
        <f t="shared" si="24"/>
        <v>EXAMENES RADIOLOGICOS</v>
      </c>
      <c r="AH701" s="9" t="s">
        <v>758</v>
      </c>
      <c r="AI701" s="9">
        <v>0</v>
      </c>
      <c r="AJ701" s="9">
        <v>76098454</v>
      </c>
      <c r="AK701" s="9" t="s">
        <v>161</v>
      </c>
      <c r="AL701" s="26" t="s">
        <v>86</v>
      </c>
      <c r="AM701" s="14" t="s">
        <v>623</v>
      </c>
      <c r="AN701" s="27" t="str">
        <f t="shared" si="23"/>
        <v>15889855|76098454|765377100|765377100</v>
      </c>
      <c r="AO701" t="s">
        <v>758</v>
      </c>
      <c r="AP701" t="b">
        <v>1</v>
      </c>
      <c r="AQ701" t="s">
        <v>764</v>
      </c>
    </row>
    <row r="702" spans="1:43" x14ac:dyDescent="0.2">
      <c r="A702" s="14" t="s">
        <v>500</v>
      </c>
      <c r="B702" s="17">
        <v>15889855</v>
      </c>
      <c r="C702" s="14" t="s">
        <v>313</v>
      </c>
      <c r="D702" s="9">
        <v>15889855</v>
      </c>
      <c r="E702" s="9" t="s">
        <v>313</v>
      </c>
      <c r="F702" s="7">
        <v>45717</v>
      </c>
      <c r="G702" s="20" t="s">
        <v>46</v>
      </c>
      <c r="H702" s="8">
        <v>765377100</v>
      </c>
      <c r="I702" s="19">
        <v>65384338</v>
      </c>
      <c r="J702" s="10">
        <v>5756</v>
      </c>
      <c r="K702" s="10">
        <v>0</v>
      </c>
      <c r="L702" s="10">
        <v>5756</v>
      </c>
      <c r="M702" s="10">
        <v>0</v>
      </c>
      <c r="N702" s="11">
        <v>5756</v>
      </c>
      <c r="O702" s="12">
        <v>765377100</v>
      </c>
      <c r="P702" s="9">
        <v>285123</v>
      </c>
      <c r="Q702" s="9" t="s">
        <v>37</v>
      </c>
      <c r="R702" s="13">
        <v>45717</v>
      </c>
      <c r="S702" s="22">
        <v>45742</v>
      </c>
      <c r="T702" s="13">
        <v>45692</v>
      </c>
      <c r="U702" s="13">
        <v>45692</v>
      </c>
      <c r="V702" s="9" t="s">
        <v>47</v>
      </c>
      <c r="W702" s="9">
        <v>22770534</v>
      </c>
      <c r="X702" s="9">
        <v>3311105</v>
      </c>
      <c r="Y702" s="9">
        <v>69251221</v>
      </c>
      <c r="Z702" s="9" t="s">
        <v>39</v>
      </c>
      <c r="AA702" s="9">
        <v>976121708</v>
      </c>
      <c r="AB702" s="9">
        <v>78070</v>
      </c>
      <c r="AC702" s="9" t="s">
        <v>41</v>
      </c>
      <c r="AD702" s="9" t="s">
        <v>134</v>
      </c>
      <c r="AE702" s="9" t="s">
        <v>135</v>
      </c>
      <c r="AF702" s="9" t="s">
        <v>135</v>
      </c>
      <c r="AG702" s="14" t="str">
        <f t="shared" si="24"/>
        <v>EXAMENES RADIOLOGICOS</v>
      </c>
      <c r="AH702" s="9">
        <v>0</v>
      </c>
      <c r="AI702" s="9">
        <v>0</v>
      </c>
      <c r="AJ702" s="9">
        <v>76098454</v>
      </c>
      <c r="AK702" s="9" t="s">
        <v>161</v>
      </c>
      <c r="AL702" s="26" t="s">
        <v>52</v>
      </c>
      <c r="AM702" s="14" t="s">
        <v>623</v>
      </c>
      <c r="AN702" s="27" t="str">
        <f t="shared" si="23"/>
        <v>15889855|76098454|765377100|65384338</v>
      </c>
      <c r="AO702" t="s">
        <v>44</v>
      </c>
      <c r="AP702" t="b">
        <v>0</v>
      </c>
      <c r="AQ702" t="s">
        <v>763</v>
      </c>
    </row>
    <row r="703" spans="1:43" x14ac:dyDescent="0.2">
      <c r="A703" s="14" t="s">
        <v>500</v>
      </c>
      <c r="B703" s="17">
        <v>15889855</v>
      </c>
      <c r="C703" s="14" t="s">
        <v>313</v>
      </c>
      <c r="D703" s="9">
        <v>15889855</v>
      </c>
      <c r="E703" s="9" t="s">
        <v>313</v>
      </c>
      <c r="F703" s="7">
        <v>45689</v>
      </c>
      <c r="G703" s="20" t="s">
        <v>36</v>
      </c>
      <c r="H703" s="8">
        <v>765377138</v>
      </c>
      <c r="I703" s="19">
        <v>765377138</v>
      </c>
      <c r="J703" s="10">
        <v>34348</v>
      </c>
      <c r="K703" s="10">
        <v>27478</v>
      </c>
      <c r="L703" s="10">
        <v>6870</v>
      </c>
      <c r="M703" s="10">
        <v>0</v>
      </c>
      <c r="N703" s="11">
        <v>6870</v>
      </c>
      <c r="O703" s="12">
        <v>765377138</v>
      </c>
      <c r="P703" s="9">
        <v>285123</v>
      </c>
      <c r="Q703" s="9" t="s">
        <v>37</v>
      </c>
      <c r="R703" s="13">
        <v>45692</v>
      </c>
      <c r="S703" s="22">
        <v>45692</v>
      </c>
      <c r="T703" s="13">
        <v>45692</v>
      </c>
      <c r="U703" s="13">
        <v>45692</v>
      </c>
      <c r="V703" s="9" t="s">
        <v>47</v>
      </c>
      <c r="W703" s="9">
        <v>22566181</v>
      </c>
      <c r="X703" s="9">
        <v>2101551</v>
      </c>
      <c r="Y703" s="9">
        <v>68821075</v>
      </c>
      <c r="Z703" s="9" t="s">
        <v>39</v>
      </c>
      <c r="AA703" s="9">
        <v>9022025</v>
      </c>
      <c r="AB703" s="9">
        <v>77586</v>
      </c>
      <c r="AC703" s="9" t="s">
        <v>41</v>
      </c>
      <c r="AD703" s="9" t="s">
        <v>134</v>
      </c>
      <c r="AE703" s="9" t="s">
        <v>135</v>
      </c>
      <c r="AF703" s="9" t="s">
        <v>135</v>
      </c>
      <c r="AG703" s="14" t="str">
        <f t="shared" si="24"/>
        <v>EXAMENES RADIOLOGICOS</v>
      </c>
      <c r="AH703" s="9" t="s">
        <v>758</v>
      </c>
      <c r="AI703" s="9">
        <v>0</v>
      </c>
      <c r="AJ703" s="9">
        <v>76098454</v>
      </c>
      <c r="AK703" s="9" t="s">
        <v>161</v>
      </c>
      <c r="AL703" s="26" t="s">
        <v>86</v>
      </c>
      <c r="AM703" s="14" t="s">
        <v>623</v>
      </c>
      <c r="AN703" s="27" t="str">
        <f t="shared" si="23"/>
        <v>15889855|76098454|765377138|765377138</v>
      </c>
      <c r="AO703" t="s">
        <v>758</v>
      </c>
      <c r="AP703" t="b">
        <v>1</v>
      </c>
      <c r="AQ703" t="s">
        <v>764</v>
      </c>
    </row>
    <row r="704" spans="1:43" x14ac:dyDescent="0.2">
      <c r="A704" s="14" t="s">
        <v>500</v>
      </c>
      <c r="B704" s="17">
        <v>15889855</v>
      </c>
      <c r="C704" s="14" t="s">
        <v>313</v>
      </c>
      <c r="D704" s="9">
        <v>15889855</v>
      </c>
      <c r="E704" s="9" t="s">
        <v>313</v>
      </c>
      <c r="F704" s="7">
        <v>45717</v>
      </c>
      <c r="G704" s="20" t="s">
        <v>46</v>
      </c>
      <c r="H704" s="8">
        <v>765377138</v>
      </c>
      <c r="I704" s="19">
        <v>65384339</v>
      </c>
      <c r="J704" s="10">
        <v>6907</v>
      </c>
      <c r="K704" s="10">
        <v>0</v>
      </c>
      <c r="L704" s="10">
        <v>6907</v>
      </c>
      <c r="M704" s="10">
        <v>0</v>
      </c>
      <c r="N704" s="11">
        <v>6907</v>
      </c>
      <c r="O704" s="12">
        <v>765377138</v>
      </c>
      <c r="P704" s="9">
        <v>285123</v>
      </c>
      <c r="Q704" s="9" t="s">
        <v>37</v>
      </c>
      <c r="R704" s="13">
        <v>45717</v>
      </c>
      <c r="S704" s="22">
        <v>45742</v>
      </c>
      <c r="T704" s="13">
        <v>45692</v>
      </c>
      <c r="U704" s="13">
        <v>45692</v>
      </c>
      <c r="V704" s="9" t="s">
        <v>47</v>
      </c>
      <c r="W704" s="9">
        <v>22770534</v>
      </c>
      <c r="X704" s="9">
        <v>3311105</v>
      </c>
      <c r="Y704" s="9">
        <v>69251222</v>
      </c>
      <c r="Z704" s="9" t="s">
        <v>39</v>
      </c>
      <c r="AA704" s="9">
        <v>976121708</v>
      </c>
      <c r="AB704" s="9">
        <v>78070</v>
      </c>
      <c r="AC704" s="9" t="s">
        <v>41</v>
      </c>
      <c r="AD704" s="9" t="s">
        <v>134</v>
      </c>
      <c r="AE704" s="9" t="s">
        <v>135</v>
      </c>
      <c r="AF704" s="9" t="s">
        <v>135</v>
      </c>
      <c r="AG704" s="14" t="str">
        <f t="shared" si="24"/>
        <v>EXAMENES RADIOLOGICOS</v>
      </c>
      <c r="AH704" s="9">
        <v>0</v>
      </c>
      <c r="AI704" s="9">
        <v>0</v>
      </c>
      <c r="AJ704" s="9">
        <v>76098454</v>
      </c>
      <c r="AK704" s="9" t="s">
        <v>161</v>
      </c>
      <c r="AL704" s="26" t="s">
        <v>52</v>
      </c>
      <c r="AM704" s="14" t="s">
        <v>623</v>
      </c>
      <c r="AN704" s="27" t="str">
        <f t="shared" si="23"/>
        <v>15889855|76098454|765377138|65384339</v>
      </c>
      <c r="AO704" t="s">
        <v>44</v>
      </c>
      <c r="AP704" t="b">
        <v>0</v>
      </c>
      <c r="AQ704" t="s">
        <v>763</v>
      </c>
    </row>
    <row r="705" spans="1:43" x14ac:dyDescent="0.2">
      <c r="A705" s="14" t="s">
        <v>500</v>
      </c>
      <c r="B705" s="17">
        <v>11166332</v>
      </c>
      <c r="C705" s="14" t="s">
        <v>341</v>
      </c>
      <c r="D705" s="9">
        <v>11166332</v>
      </c>
      <c r="E705" s="9" t="s">
        <v>341</v>
      </c>
      <c r="F705" s="7">
        <v>45689</v>
      </c>
      <c r="G705" s="20" t="s">
        <v>36</v>
      </c>
      <c r="H705" s="8">
        <v>765377929</v>
      </c>
      <c r="I705" s="19">
        <v>765377929</v>
      </c>
      <c r="J705" s="10">
        <v>7059</v>
      </c>
      <c r="K705" s="10">
        <v>4942</v>
      </c>
      <c r="L705" s="10">
        <v>2117</v>
      </c>
      <c r="M705" s="10">
        <v>0</v>
      </c>
      <c r="N705" s="11">
        <v>2117</v>
      </c>
      <c r="O705" s="12">
        <v>765377929</v>
      </c>
      <c r="P705" s="9">
        <v>285123</v>
      </c>
      <c r="Q705" s="9" t="s">
        <v>37</v>
      </c>
      <c r="R705" s="13">
        <v>45692</v>
      </c>
      <c r="S705" s="22">
        <v>45692</v>
      </c>
      <c r="T705" s="13">
        <v>45692</v>
      </c>
      <c r="U705" s="13">
        <v>45692</v>
      </c>
      <c r="V705" s="9" t="s">
        <v>47</v>
      </c>
      <c r="W705" s="9">
        <v>22566162</v>
      </c>
      <c r="X705" s="9">
        <v>2101551</v>
      </c>
      <c r="Y705" s="9">
        <v>68821108</v>
      </c>
      <c r="Z705" s="9" t="s">
        <v>39</v>
      </c>
      <c r="AA705" s="9">
        <v>9022025</v>
      </c>
      <c r="AB705" s="9">
        <v>77586</v>
      </c>
      <c r="AC705" s="9" t="s">
        <v>41</v>
      </c>
      <c r="AD705" s="9" t="s">
        <v>132</v>
      </c>
      <c r="AE705" s="9" t="s">
        <v>133</v>
      </c>
      <c r="AF705" s="9" t="s">
        <v>133</v>
      </c>
      <c r="AG705" s="14" t="str">
        <f t="shared" si="24"/>
        <v>EXAMENES DE LABORATORIO</v>
      </c>
      <c r="AH705" s="9" t="s">
        <v>758</v>
      </c>
      <c r="AI705" s="9">
        <v>0</v>
      </c>
      <c r="AJ705" s="9">
        <v>96942400</v>
      </c>
      <c r="AK705" s="9">
        <v>2</v>
      </c>
      <c r="AL705" s="26" t="s">
        <v>86</v>
      </c>
      <c r="AM705" s="14" t="s">
        <v>643</v>
      </c>
      <c r="AN705" s="27" t="str">
        <f t="shared" si="23"/>
        <v>11166332|96942400|765377929|765377929</v>
      </c>
      <c r="AO705" t="s">
        <v>758</v>
      </c>
      <c r="AP705" t="b">
        <v>1</v>
      </c>
      <c r="AQ705" t="s">
        <v>764</v>
      </c>
    </row>
    <row r="706" spans="1:43" x14ac:dyDescent="0.2">
      <c r="A706" s="14" t="s">
        <v>500</v>
      </c>
      <c r="B706" s="17">
        <v>11166332</v>
      </c>
      <c r="C706" s="14" t="s">
        <v>341</v>
      </c>
      <c r="D706" s="9">
        <v>11166332</v>
      </c>
      <c r="E706" s="9" t="s">
        <v>341</v>
      </c>
      <c r="F706" s="7">
        <v>45717</v>
      </c>
      <c r="G706" s="20" t="s">
        <v>46</v>
      </c>
      <c r="H706" s="8">
        <v>765377929</v>
      </c>
      <c r="I706" s="19">
        <v>65383915</v>
      </c>
      <c r="J706" s="10">
        <v>2301</v>
      </c>
      <c r="K706" s="10">
        <v>0</v>
      </c>
      <c r="L706" s="10">
        <v>2301</v>
      </c>
      <c r="M706" s="10">
        <v>0</v>
      </c>
      <c r="N706" s="11">
        <v>2301</v>
      </c>
      <c r="O706" s="12">
        <v>765377929</v>
      </c>
      <c r="P706" s="9">
        <v>285123</v>
      </c>
      <c r="Q706" s="9" t="s">
        <v>37</v>
      </c>
      <c r="R706" s="13">
        <v>45717</v>
      </c>
      <c r="S706" s="22">
        <v>45742</v>
      </c>
      <c r="T706" s="13">
        <v>45692</v>
      </c>
      <c r="U706" s="13">
        <v>45692</v>
      </c>
      <c r="V706" s="9" t="s">
        <v>47</v>
      </c>
      <c r="W706" s="9">
        <v>22770528</v>
      </c>
      <c r="X706" s="9">
        <v>3311105</v>
      </c>
      <c r="Y706" s="9">
        <v>69250804</v>
      </c>
      <c r="Z706" s="9" t="s">
        <v>39</v>
      </c>
      <c r="AA706" s="9">
        <v>67296303</v>
      </c>
      <c r="AB706" s="9">
        <v>78070</v>
      </c>
      <c r="AC706" s="9" t="s">
        <v>41</v>
      </c>
      <c r="AD706" s="9" t="s">
        <v>132</v>
      </c>
      <c r="AE706" s="9" t="s">
        <v>133</v>
      </c>
      <c r="AF706" s="9" t="s">
        <v>133</v>
      </c>
      <c r="AG706" s="14" t="str">
        <f t="shared" si="24"/>
        <v>EXAMENES DE LABORATORIO</v>
      </c>
      <c r="AH706" s="9">
        <v>0</v>
      </c>
      <c r="AI706" s="9">
        <v>0</v>
      </c>
      <c r="AJ706" s="9">
        <v>96942400</v>
      </c>
      <c r="AK706" s="9">
        <v>2</v>
      </c>
      <c r="AL706" s="26" t="s">
        <v>52</v>
      </c>
      <c r="AM706" s="14" t="s">
        <v>643</v>
      </c>
      <c r="AN706" s="27" t="str">
        <f t="shared" si="23"/>
        <v>11166332|96942400|765377929|65383915</v>
      </c>
      <c r="AO706" t="s">
        <v>44</v>
      </c>
      <c r="AP706" t="b">
        <v>0</v>
      </c>
      <c r="AQ706" t="s">
        <v>763</v>
      </c>
    </row>
    <row r="707" spans="1:43" x14ac:dyDescent="0.2">
      <c r="A707" s="14" t="s">
        <v>500</v>
      </c>
      <c r="B707" s="17">
        <v>19745778</v>
      </c>
      <c r="C707" s="14" t="s">
        <v>342</v>
      </c>
      <c r="D707" s="9">
        <v>19745778</v>
      </c>
      <c r="E707" s="9" t="s">
        <v>342</v>
      </c>
      <c r="F707" s="7">
        <v>45689</v>
      </c>
      <c r="G707" s="20" t="s">
        <v>36</v>
      </c>
      <c r="H707" s="8">
        <v>765404428</v>
      </c>
      <c r="I707" s="19">
        <v>765404428</v>
      </c>
      <c r="J707" s="10">
        <v>198891</v>
      </c>
      <c r="K707" s="10">
        <v>188947</v>
      </c>
      <c r="L707" s="10">
        <v>9944</v>
      </c>
      <c r="M707" s="10">
        <v>0</v>
      </c>
      <c r="N707" s="11">
        <v>9944</v>
      </c>
      <c r="O707" s="12">
        <v>765404428</v>
      </c>
      <c r="P707" s="9">
        <v>285123</v>
      </c>
      <c r="Q707" s="9" t="s">
        <v>37</v>
      </c>
      <c r="R707" s="13">
        <v>45694</v>
      </c>
      <c r="S707" s="22">
        <v>45694</v>
      </c>
      <c r="T707" s="13">
        <v>45694</v>
      </c>
      <c r="U707" s="13">
        <v>45694</v>
      </c>
      <c r="V707" s="9" t="s">
        <v>47</v>
      </c>
      <c r="W707" s="9">
        <v>22566274</v>
      </c>
      <c r="X707" s="9">
        <v>2101551</v>
      </c>
      <c r="Y707" s="9">
        <v>68822469</v>
      </c>
      <c r="Z707" s="9" t="s">
        <v>39</v>
      </c>
      <c r="AA707" s="9">
        <v>9022025</v>
      </c>
      <c r="AB707" s="9">
        <v>77586</v>
      </c>
      <c r="AC707" s="9" t="s">
        <v>41</v>
      </c>
      <c r="AD707" s="9" t="s">
        <v>134</v>
      </c>
      <c r="AE707" s="9" t="s">
        <v>135</v>
      </c>
      <c r="AF707" s="9" t="s">
        <v>135</v>
      </c>
      <c r="AG707" s="14" t="str">
        <f t="shared" si="24"/>
        <v>EXAMENES RADIOLOGICOS</v>
      </c>
      <c r="AH707" s="9" t="s">
        <v>758</v>
      </c>
      <c r="AI707" s="9">
        <v>0</v>
      </c>
      <c r="AJ707" s="9">
        <v>96942400</v>
      </c>
      <c r="AK707" s="9">
        <v>2</v>
      </c>
      <c r="AL707" s="26" t="s">
        <v>86</v>
      </c>
      <c r="AM707" s="14" t="s">
        <v>644</v>
      </c>
      <c r="AN707" s="27" t="str">
        <f t="shared" ref="AN707:AN770" si="25">B707&amp;"|"&amp;AJ707&amp;"|"&amp;H707&amp;"|"&amp;I707</f>
        <v>19745778|96942400|765404428|765404428</v>
      </c>
      <c r="AO707" t="s">
        <v>758</v>
      </c>
      <c r="AP707" t="b">
        <v>1</v>
      </c>
      <c r="AQ707" t="s">
        <v>764</v>
      </c>
    </row>
    <row r="708" spans="1:43" x14ac:dyDescent="0.2">
      <c r="A708" s="14" t="s">
        <v>500</v>
      </c>
      <c r="B708" s="17">
        <v>19745778</v>
      </c>
      <c r="C708" s="14" t="s">
        <v>342</v>
      </c>
      <c r="D708" s="9">
        <v>19745778</v>
      </c>
      <c r="E708" s="9" t="s">
        <v>342</v>
      </c>
      <c r="F708" s="7">
        <v>45717</v>
      </c>
      <c r="G708" s="20" t="s">
        <v>46</v>
      </c>
      <c r="H708" s="8">
        <v>765404428</v>
      </c>
      <c r="I708" s="19">
        <v>65384493</v>
      </c>
      <c r="J708" s="10">
        <v>9976</v>
      </c>
      <c r="K708" s="10">
        <v>0</v>
      </c>
      <c r="L708" s="10">
        <v>9976</v>
      </c>
      <c r="M708" s="10">
        <v>0</v>
      </c>
      <c r="N708" s="11">
        <v>9976</v>
      </c>
      <c r="O708" s="12">
        <v>765404428</v>
      </c>
      <c r="P708" s="9">
        <v>285123</v>
      </c>
      <c r="Q708" s="9" t="s">
        <v>37</v>
      </c>
      <c r="R708" s="13">
        <v>45717</v>
      </c>
      <c r="S708" s="22">
        <v>45742</v>
      </c>
      <c r="T708" s="13">
        <v>45694</v>
      </c>
      <c r="U708" s="13">
        <v>45694</v>
      </c>
      <c r="V708" s="9" t="s">
        <v>47</v>
      </c>
      <c r="W708" s="9">
        <v>22770553</v>
      </c>
      <c r="X708" s="9">
        <v>3311105</v>
      </c>
      <c r="Y708" s="9">
        <v>69251359</v>
      </c>
      <c r="Z708" s="9" t="s">
        <v>39</v>
      </c>
      <c r="AA708" s="9">
        <v>4461488202</v>
      </c>
      <c r="AB708" s="9">
        <v>78070</v>
      </c>
      <c r="AC708" s="9" t="s">
        <v>41</v>
      </c>
      <c r="AD708" s="9" t="s">
        <v>134</v>
      </c>
      <c r="AE708" s="9" t="s">
        <v>135</v>
      </c>
      <c r="AF708" s="9" t="s">
        <v>135</v>
      </c>
      <c r="AG708" s="14" t="str">
        <f t="shared" si="24"/>
        <v>EXAMENES RADIOLOGICOS</v>
      </c>
      <c r="AH708" s="9">
        <v>0</v>
      </c>
      <c r="AI708" s="9">
        <v>0</v>
      </c>
      <c r="AJ708" s="9">
        <v>96942400</v>
      </c>
      <c r="AK708" s="9">
        <v>2</v>
      </c>
      <c r="AL708" s="26" t="s">
        <v>52</v>
      </c>
      <c r="AM708" s="14" t="s">
        <v>644</v>
      </c>
      <c r="AN708" s="27" t="str">
        <f t="shared" si="25"/>
        <v>19745778|96942400|765404428|65384493</v>
      </c>
      <c r="AO708" t="s">
        <v>44</v>
      </c>
      <c r="AP708" t="b">
        <v>0</v>
      </c>
      <c r="AQ708" t="s">
        <v>763</v>
      </c>
    </row>
    <row r="709" spans="1:43" x14ac:dyDescent="0.2">
      <c r="A709" s="14" t="s">
        <v>500</v>
      </c>
      <c r="B709" s="17">
        <v>16807810</v>
      </c>
      <c r="C709" s="14" t="s">
        <v>343</v>
      </c>
      <c r="D709" s="9">
        <v>16807810</v>
      </c>
      <c r="E709" s="9" t="s">
        <v>343</v>
      </c>
      <c r="F709" s="7">
        <v>45689</v>
      </c>
      <c r="G709" s="20" t="s">
        <v>36</v>
      </c>
      <c r="H709" s="8">
        <v>765422295</v>
      </c>
      <c r="I709" s="19">
        <v>765422295</v>
      </c>
      <c r="J709" s="10">
        <v>19400</v>
      </c>
      <c r="K709" s="10">
        <v>13580</v>
      </c>
      <c r="L709" s="10">
        <v>5820</v>
      </c>
      <c r="M709" s="10">
        <v>0</v>
      </c>
      <c r="N709" s="11">
        <v>5820</v>
      </c>
      <c r="O709" s="12">
        <v>765422295</v>
      </c>
      <c r="P709" s="9">
        <v>285123</v>
      </c>
      <c r="Q709" s="9" t="s">
        <v>37</v>
      </c>
      <c r="R709" s="13">
        <v>45695</v>
      </c>
      <c r="S709" s="22">
        <v>45695</v>
      </c>
      <c r="T709" s="13">
        <v>45695</v>
      </c>
      <c r="U709" s="13">
        <v>45695</v>
      </c>
      <c r="V709" s="9" t="s">
        <v>47</v>
      </c>
      <c r="W709" s="9">
        <v>22566303</v>
      </c>
      <c r="X709" s="9">
        <v>2101551</v>
      </c>
      <c r="Y709" s="9">
        <v>68823406</v>
      </c>
      <c r="Z709" s="9" t="s">
        <v>39</v>
      </c>
      <c r="AA709" s="9">
        <v>9022025</v>
      </c>
      <c r="AB709" s="9">
        <v>77586</v>
      </c>
      <c r="AC709" s="9" t="s">
        <v>41</v>
      </c>
      <c r="AD709" s="9" t="s">
        <v>65</v>
      </c>
      <c r="AE709" s="9" t="s">
        <v>66</v>
      </c>
      <c r="AF709" s="9" t="s">
        <v>66</v>
      </c>
      <c r="AG709" s="14" t="str">
        <f t="shared" si="24"/>
        <v>PROCEDIMIENTOS TERAPEUTICOS</v>
      </c>
      <c r="AH709" s="9" t="s">
        <v>758</v>
      </c>
      <c r="AI709" s="9">
        <v>0</v>
      </c>
      <c r="AJ709" s="9">
        <v>77200240</v>
      </c>
      <c r="AK709" s="9">
        <v>8</v>
      </c>
      <c r="AL709" s="26" t="s">
        <v>86</v>
      </c>
      <c r="AM709" s="14" t="s">
        <v>645</v>
      </c>
      <c r="AN709" s="27" t="str">
        <f t="shared" si="25"/>
        <v>16807810|77200240|765422295|765422295</v>
      </c>
      <c r="AO709" t="s">
        <v>758</v>
      </c>
      <c r="AP709" t="b">
        <v>1</v>
      </c>
      <c r="AQ709" t="s">
        <v>764</v>
      </c>
    </row>
    <row r="710" spans="1:43" x14ac:dyDescent="0.2">
      <c r="A710" s="14" t="s">
        <v>500</v>
      </c>
      <c r="B710" s="17">
        <v>16807810</v>
      </c>
      <c r="C710" s="14" t="s">
        <v>343</v>
      </c>
      <c r="D710" s="9">
        <v>16807810</v>
      </c>
      <c r="E710" s="9" t="s">
        <v>343</v>
      </c>
      <c r="F710" s="7">
        <v>45717</v>
      </c>
      <c r="G710" s="20" t="s">
        <v>46</v>
      </c>
      <c r="H710" s="8">
        <v>765422295</v>
      </c>
      <c r="I710" s="19">
        <v>65384389</v>
      </c>
      <c r="J710" s="10">
        <v>5755</v>
      </c>
      <c r="K710" s="10">
        <v>0</v>
      </c>
      <c r="L710" s="10">
        <v>5755</v>
      </c>
      <c r="M710" s="10">
        <v>0</v>
      </c>
      <c r="N710" s="11">
        <v>5755</v>
      </c>
      <c r="O710" s="12">
        <v>765422295</v>
      </c>
      <c r="P710" s="9">
        <v>285123</v>
      </c>
      <c r="Q710" s="9" t="s">
        <v>37</v>
      </c>
      <c r="R710" s="13">
        <v>45717</v>
      </c>
      <c r="S710" s="22">
        <v>45742</v>
      </c>
      <c r="T710" s="13">
        <v>45695</v>
      </c>
      <c r="U710" s="13">
        <v>45695</v>
      </c>
      <c r="V710" s="9" t="s">
        <v>47</v>
      </c>
      <c r="W710" s="9">
        <v>22770562</v>
      </c>
      <c r="X710" s="9">
        <v>3311105</v>
      </c>
      <c r="Y710" s="9">
        <v>69251267</v>
      </c>
      <c r="Z710" s="9" t="s">
        <v>39</v>
      </c>
      <c r="AA710" s="9">
        <v>360100786296</v>
      </c>
      <c r="AB710" s="9">
        <v>78070</v>
      </c>
      <c r="AC710" s="9" t="s">
        <v>41</v>
      </c>
      <c r="AD710" s="9" t="s">
        <v>65</v>
      </c>
      <c r="AE710" s="9" t="s">
        <v>66</v>
      </c>
      <c r="AF710" s="9" t="s">
        <v>66</v>
      </c>
      <c r="AG710" s="14" t="str">
        <f t="shared" si="24"/>
        <v>PROCEDIMIENTOS TERAPEUTICOS</v>
      </c>
      <c r="AH710" s="9">
        <v>0</v>
      </c>
      <c r="AI710" s="9">
        <v>0</v>
      </c>
      <c r="AJ710" s="9">
        <v>77200240</v>
      </c>
      <c r="AK710" s="9">
        <v>8</v>
      </c>
      <c r="AL710" s="26" t="s">
        <v>52</v>
      </c>
      <c r="AM710" s="14" t="s">
        <v>645</v>
      </c>
      <c r="AN710" s="27" t="str">
        <f t="shared" si="25"/>
        <v>16807810|77200240|765422295|65384389</v>
      </c>
      <c r="AO710" t="s">
        <v>44</v>
      </c>
      <c r="AP710" t="b">
        <v>0</v>
      </c>
      <c r="AQ710" t="s">
        <v>763</v>
      </c>
    </row>
    <row r="711" spans="1:43" x14ac:dyDescent="0.2">
      <c r="A711" s="14" t="s">
        <v>500</v>
      </c>
      <c r="B711" s="17">
        <v>15889855</v>
      </c>
      <c r="C711" s="14" t="s">
        <v>313</v>
      </c>
      <c r="D711" s="9">
        <v>15889855</v>
      </c>
      <c r="E711" s="9" t="s">
        <v>313</v>
      </c>
      <c r="F711" s="7">
        <v>45689</v>
      </c>
      <c r="G711" s="20" t="s">
        <v>36</v>
      </c>
      <c r="H711" s="8">
        <v>765424776</v>
      </c>
      <c r="I711" s="19">
        <v>765424776</v>
      </c>
      <c r="J711" s="10">
        <v>33800</v>
      </c>
      <c r="K711" s="10">
        <v>27040</v>
      </c>
      <c r="L711" s="10">
        <v>6760</v>
      </c>
      <c r="M711" s="10">
        <v>0</v>
      </c>
      <c r="N711" s="11">
        <v>6760</v>
      </c>
      <c r="O711" s="12">
        <v>765424776</v>
      </c>
      <c r="P711" s="9">
        <v>285123</v>
      </c>
      <c r="Q711" s="9" t="s">
        <v>37</v>
      </c>
      <c r="R711" s="13">
        <v>45696</v>
      </c>
      <c r="S711" s="22">
        <v>45696</v>
      </c>
      <c r="T711" s="13">
        <v>45696</v>
      </c>
      <c r="U711" s="13">
        <v>45696</v>
      </c>
      <c r="V711" s="9" t="s">
        <v>47</v>
      </c>
      <c r="W711" s="9">
        <v>22598305</v>
      </c>
      <c r="X711" s="9">
        <v>2171709</v>
      </c>
      <c r="Y711" s="9">
        <v>68875253</v>
      </c>
      <c r="Z711" s="9" t="s">
        <v>39</v>
      </c>
      <c r="AA711" s="9">
        <v>16022025</v>
      </c>
      <c r="AB711" s="9">
        <v>77646</v>
      </c>
      <c r="AC711" s="9" t="s">
        <v>41</v>
      </c>
      <c r="AD711" s="9" t="s">
        <v>134</v>
      </c>
      <c r="AE711" s="9" t="s">
        <v>135</v>
      </c>
      <c r="AF711" s="9" t="s">
        <v>135</v>
      </c>
      <c r="AG711" s="14" t="str">
        <f t="shared" si="24"/>
        <v>EXAMENES RADIOLOGICOS</v>
      </c>
      <c r="AH711" s="9" t="s">
        <v>758</v>
      </c>
      <c r="AI711" s="9">
        <v>0</v>
      </c>
      <c r="AJ711" s="9">
        <v>76098454</v>
      </c>
      <c r="AK711" s="9" t="s">
        <v>161</v>
      </c>
      <c r="AL711" s="26" t="s">
        <v>86</v>
      </c>
      <c r="AM711" s="14" t="s">
        <v>623</v>
      </c>
      <c r="AN711" s="27" t="str">
        <f t="shared" si="25"/>
        <v>15889855|76098454|765424776|765424776</v>
      </c>
      <c r="AO711" t="s">
        <v>758</v>
      </c>
      <c r="AP711" t="b">
        <v>1</v>
      </c>
      <c r="AQ711" t="s">
        <v>764</v>
      </c>
    </row>
    <row r="712" spans="1:43" x14ac:dyDescent="0.2">
      <c r="A712" s="14" t="s">
        <v>500</v>
      </c>
      <c r="B712" s="17">
        <v>15889855</v>
      </c>
      <c r="C712" s="14" t="s">
        <v>313</v>
      </c>
      <c r="D712" s="9">
        <v>15889855</v>
      </c>
      <c r="E712" s="9" t="s">
        <v>313</v>
      </c>
      <c r="F712" s="7">
        <v>45717</v>
      </c>
      <c r="G712" s="20" t="s">
        <v>46</v>
      </c>
      <c r="H712" s="8">
        <v>765424776</v>
      </c>
      <c r="I712" s="19">
        <v>65384340</v>
      </c>
      <c r="J712" s="10">
        <v>6905</v>
      </c>
      <c r="K712" s="10">
        <v>0</v>
      </c>
      <c r="L712" s="10">
        <v>6905</v>
      </c>
      <c r="M712" s="10">
        <v>0</v>
      </c>
      <c r="N712" s="11">
        <v>6905</v>
      </c>
      <c r="O712" s="12">
        <v>765424776</v>
      </c>
      <c r="P712" s="9">
        <v>285123</v>
      </c>
      <c r="Q712" s="9" t="s">
        <v>37</v>
      </c>
      <c r="R712" s="13">
        <v>45717</v>
      </c>
      <c r="S712" s="22">
        <v>45742</v>
      </c>
      <c r="T712" s="13">
        <v>45696</v>
      </c>
      <c r="U712" s="13">
        <v>45696</v>
      </c>
      <c r="V712" s="9" t="s">
        <v>47</v>
      </c>
      <c r="W712" s="9">
        <v>22770569</v>
      </c>
      <c r="X712" s="9">
        <v>3311105</v>
      </c>
      <c r="Y712" s="9">
        <v>69251223</v>
      </c>
      <c r="Z712" s="9" t="s">
        <v>39</v>
      </c>
      <c r="AA712" s="9">
        <v>976121708</v>
      </c>
      <c r="AB712" s="9">
        <v>78070</v>
      </c>
      <c r="AC712" s="9" t="s">
        <v>41</v>
      </c>
      <c r="AD712" s="9" t="s">
        <v>134</v>
      </c>
      <c r="AE712" s="9" t="s">
        <v>135</v>
      </c>
      <c r="AF712" s="9" t="s">
        <v>135</v>
      </c>
      <c r="AG712" s="14" t="str">
        <f t="shared" si="24"/>
        <v>EXAMENES RADIOLOGICOS</v>
      </c>
      <c r="AH712" s="9">
        <v>0</v>
      </c>
      <c r="AI712" s="9">
        <v>0</v>
      </c>
      <c r="AJ712" s="9">
        <v>76098454</v>
      </c>
      <c r="AK712" s="9" t="s">
        <v>161</v>
      </c>
      <c r="AL712" s="26" t="s">
        <v>52</v>
      </c>
      <c r="AM712" s="14" t="s">
        <v>623</v>
      </c>
      <c r="AN712" s="27" t="str">
        <f t="shared" si="25"/>
        <v>15889855|76098454|765424776|65384340</v>
      </c>
      <c r="AO712" t="s">
        <v>44</v>
      </c>
      <c r="AP712" t="b">
        <v>0</v>
      </c>
      <c r="AQ712" t="s">
        <v>763</v>
      </c>
    </row>
    <row r="713" spans="1:43" x14ac:dyDescent="0.2">
      <c r="A713" s="14" t="s">
        <v>500</v>
      </c>
      <c r="B713" s="17">
        <v>7443214</v>
      </c>
      <c r="C713" s="14" t="s">
        <v>344</v>
      </c>
      <c r="D713" s="9">
        <v>9612779</v>
      </c>
      <c r="E713" s="9" t="s">
        <v>345</v>
      </c>
      <c r="F713" s="7">
        <v>45689</v>
      </c>
      <c r="G713" s="20" t="s">
        <v>36</v>
      </c>
      <c r="H713" s="8">
        <v>765451326</v>
      </c>
      <c r="I713" s="19">
        <v>765451326</v>
      </c>
      <c r="J713" s="10">
        <v>25090</v>
      </c>
      <c r="K713" s="10">
        <v>17563</v>
      </c>
      <c r="L713" s="10">
        <v>7527</v>
      </c>
      <c r="M713" s="10">
        <v>0</v>
      </c>
      <c r="N713" s="11">
        <v>7527</v>
      </c>
      <c r="O713" s="12">
        <v>765451326</v>
      </c>
      <c r="P713" s="9">
        <v>285123</v>
      </c>
      <c r="Q713" s="9" t="s">
        <v>37</v>
      </c>
      <c r="R713" s="13">
        <v>45699</v>
      </c>
      <c r="S713" s="22">
        <v>45699</v>
      </c>
      <c r="T713" s="13">
        <v>45699</v>
      </c>
      <c r="U713" s="13">
        <v>45699</v>
      </c>
      <c r="V713" s="9" t="s">
        <v>47</v>
      </c>
      <c r="W713" s="9">
        <v>22598348</v>
      </c>
      <c r="X713" s="9">
        <v>2171709</v>
      </c>
      <c r="Y713" s="9">
        <v>68876651</v>
      </c>
      <c r="Z713" s="9" t="s">
        <v>39</v>
      </c>
      <c r="AA713" s="9">
        <v>16022025</v>
      </c>
      <c r="AB713" s="9">
        <v>77646</v>
      </c>
      <c r="AC713" s="9" t="s">
        <v>41</v>
      </c>
      <c r="AD713" s="9" t="s">
        <v>132</v>
      </c>
      <c r="AE713" s="9" t="s">
        <v>133</v>
      </c>
      <c r="AF713" s="9" t="s">
        <v>133</v>
      </c>
      <c r="AG713" s="14" t="str">
        <f t="shared" si="24"/>
        <v>EXAMENES DE LABORATORIO</v>
      </c>
      <c r="AH713" s="9" t="s">
        <v>758</v>
      </c>
      <c r="AI713" s="9">
        <v>0</v>
      </c>
      <c r="AJ713" s="9">
        <v>96942400</v>
      </c>
      <c r="AK713" s="9">
        <v>2</v>
      </c>
      <c r="AL713" s="26" t="s">
        <v>86</v>
      </c>
      <c r="AM713" s="14" t="s">
        <v>646</v>
      </c>
      <c r="AN713" s="27" t="str">
        <f t="shared" si="25"/>
        <v>7443214|96942400|765451326|765451326</v>
      </c>
      <c r="AO713" t="s">
        <v>758</v>
      </c>
      <c r="AP713" t="b">
        <v>1</v>
      </c>
      <c r="AQ713" t="s">
        <v>764</v>
      </c>
    </row>
    <row r="714" spans="1:43" x14ac:dyDescent="0.2">
      <c r="A714" s="14" t="s">
        <v>500</v>
      </c>
      <c r="B714" s="17">
        <v>7443214</v>
      </c>
      <c r="C714" s="14" t="s">
        <v>344</v>
      </c>
      <c r="D714" s="9">
        <v>9612779</v>
      </c>
      <c r="E714" s="9" t="s">
        <v>345</v>
      </c>
      <c r="F714" s="7">
        <v>45717</v>
      </c>
      <c r="G714" s="20" t="s">
        <v>46</v>
      </c>
      <c r="H714" s="8">
        <v>765451326</v>
      </c>
      <c r="I714" s="19">
        <v>65383611</v>
      </c>
      <c r="J714" s="10">
        <v>6907</v>
      </c>
      <c r="K714" s="10">
        <v>0</v>
      </c>
      <c r="L714" s="10">
        <v>6907</v>
      </c>
      <c r="M714" s="10">
        <v>0</v>
      </c>
      <c r="N714" s="11">
        <v>6907</v>
      </c>
      <c r="O714" s="12">
        <v>765451326</v>
      </c>
      <c r="P714" s="9">
        <v>285123</v>
      </c>
      <c r="Q714" s="9" t="s">
        <v>37</v>
      </c>
      <c r="R714" s="13">
        <v>45717</v>
      </c>
      <c r="S714" s="22">
        <v>45742</v>
      </c>
      <c r="T714" s="13">
        <v>45699</v>
      </c>
      <c r="U714" s="13">
        <v>45699</v>
      </c>
      <c r="V714" s="9" t="s">
        <v>47</v>
      </c>
      <c r="W714" s="9">
        <v>22770583</v>
      </c>
      <c r="X714" s="9">
        <v>3311105</v>
      </c>
      <c r="Y714" s="9">
        <v>69250502</v>
      </c>
      <c r="Z714" s="9" t="s">
        <v>39</v>
      </c>
      <c r="AA714" s="9">
        <v>975328287</v>
      </c>
      <c r="AB714" s="9">
        <v>78070</v>
      </c>
      <c r="AC714" s="9" t="s">
        <v>41</v>
      </c>
      <c r="AD714" s="9" t="s">
        <v>132</v>
      </c>
      <c r="AE714" s="9" t="s">
        <v>133</v>
      </c>
      <c r="AF714" s="9" t="s">
        <v>133</v>
      </c>
      <c r="AG714" s="14" t="str">
        <f t="shared" si="24"/>
        <v>EXAMENES DE LABORATORIO</v>
      </c>
      <c r="AH714" s="9">
        <v>0</v>
      </c>
      <c r="AI714" s="9">
        <v>0</v>
      </c>
      <c r="AJ714" s="9">
        <v>96942400</v>
      </c>
      <c r="AK714" s="9">
        <v>2</v>
      </c>
      <c r="AL714" s="26" t="s">
        <v>52</v>
      </c>
      <c r="AM714" s="14" t="s">
        <v>646</v>
      </c>
      <c r="AN714" s="27" t="str">
        <f t="shared" si="25"/>
        <v>7443214|96942400|765451326|65383611</v>
      </c>
      <c r="AO714" t="s">
        <v>44</v>
      </c>
      <c r="AP714" t="b">
        <v>0</v>
      </c>
      <c r="AQ714" t="s">
        <v>763</v>
      </c>
    </row>
    <row r="715" spans="1:43" x14ac:dyDescent="0.2">
      <c r="A715" s="14" t="s">
        <v>500</v>
      </c>
      <c r="B715" s="17">
        <v>7443214</v>
      </c>
      <c r="C715" s="14" t="s">
        <v>344</v>
      </c>
      <c r="D715" s="9">
        <v>9612779</v>
      </c>
      <c r="E715" s="9" t="s">
        <v>345</v>
      </c>
      <c r="F715" s="7">
        <v>45689</v>
      </c>
      <c r="G715" s="20" t="s">
        <v>36</v>
      </c>
      <c r="H715" s="8">
        <v>765451327</v>
      </c>
      <c r="I715" s="19">
        <v>765451327</v>
      </c>
      <c r="J715" s="10">
        <v>45279</v>
      </c>
      <c r="K715" s="10">
        <v>25013</v>
      </c>
      <c r="L715" s="10">
        <v>20266</v>
      </c>
      <c r="M715" s="10">
        <v>0</v>
      </c>
      <c r="N715" s="11">
        <v>20266</v>
      </c>
      <c r="O715" s="12">
        <v>765451327</v>
      </c>
      <c r="P715" s="9">
        <v>285123</v>
      </c>
      <c r="Q715" s="9" t="s">
        <v>37</v>
      </c>
      <c r="R715" s="13">
        <v>45699</v>
      </c>
      <c r="S715" s="22">
        <v>45699</v>
      </c>
      <c r="T715" s="13">
        <v>45699</v>
      </c>
      <c r="U715" s="13">
        <v>45699</v>
      </c>
      <c r="V715" s="9" t="s">
        <v>47</v>
      </c>
      <c r="W715" s="9">
        <v>22598348</v>
      </c>
      <c r="X715" s="9">
        <v>2171709</v>
      </c>
      <c r="Y715" s="9">
        <v>68876650</v>
      </c>
      <c r="Z715" s="9" t="s">
        <v>39</v>
      </c>
      <c r="AA715" s="9">
        <v>16022025</v>
      </c>
      <c r="AB715" s="9">
        <v>77646</v>
      </c>
      <c r="AC715" s="9" t="s">
        <v>41</v>
      </c>
      <c r="AD715" s="9" t="s">
        <v>132</v>
      </c>
      <c r="AE715" s="9" t="s">
        <v>133</v>
      </c>
      <c r="AF715" s="9" t="s">
        <v>133</v>
      </c>
      <c r="AG715" s="14" t="str">
        <f t="shared" si="24"/>
        <v>EXAMENES DE LABORATORIO</v>
      </c>
      <c r="AH715" s="9" t="s">
        <v>758</v>
      </c>
      <c r="AI715" s="9">
        <v>0</v>
      </c>
      <c r="AJ715" s="9">
        <v>96942400</v>
      </c>
      <c r="AK715" s="9">
        <v>2</v>
      </c>
      <c r="AL715" s="26" t="s">
        <v>86</v>
      </c>
      <c r="AM715" s="14" t="s">
        <v>646</v>
      </c>
      <c r="AN715" s="27" t="str">
        <f t="shared" si="25"/>
        <v>7443214|96942400|765451327|765451327</v>
      </c>
      <c r="AO715" t="s">
        <v>758</v>
      </c>
      <c r="AP715" t="b">
        <v>1</v>
      </c>
      <c r="AQ715" t="s">
        <v>764</v>
      </c>
    </row>
    <row r="716" spans="1:43" x14ac:dyDescent="0.2">
      <c r="A716" s="14" t="s">
        <v>500</v>
      </c>
      <c r="B716" s="17">
        <v>7443214</v>
      </c>
      <c r="C716" s="14" t="s">
        <v>344</v>
      </c>
      <c r="D716" s="9">
        <v>9612779</v>
      </c>
      <c r="E716" s="9" t="s">
        <v>345</v>
      </c>
      <c r="F716" s="7">
        <v>45717</v>
      </c>
      <c r="G716" s="20" t="s">
        <v>46</v>
      </c>
      <c r="H716" s="8">
        <v>765451327</v>
      </c>
      <c r="I716" s="19">
        <v>65383612</v>
      </c>
      <c r="J716" s="10">
        <v>19193</v>
      </c>
      <c r="K716" s="10">
        <v>0</v>
      </c>
      <c r="L716" s="10">
        <v>19193</v>
      </c>
      <c r="M716" s="10">
        <v>0</v>
      </c>
      <c r="N716" s="11">
        <v>19193</v>
      </c>
      <c r="O716" s="12">
        <v>765451327</v>
      </c>
      <c r="P716" s="9">
        <v>285123</v>
      </c>
      <c r="Q716" s="9" t="s">
        <v>37</v>
      </c>
      <c r="R716" s="13">
        <v>45717</v>
      </c>
      <c r="S716" s="22">
        <v>45742</v>
      </c>
      <c r="T716" s="13">
        <v>45699</v>
      </c>
      <c r="U716" s="13">
        <v>45699</v>
      </c>
      <c r="V716" s="9" t="s">
        <v>47</v>
      </c>
      <c r="W716" s="9">
        <v>22770583</v>
      </c>
      <c r="X716" s="9">
        <v>3311105</v>
      </c>
      <c r="Y716" s="9">
        <v>69250503</v>
      </c>
      <c r="Z716" s="9" t="s">
        <v>39</v>
      </c>
      <c r="AA716" s="9">
        <v>975328287</v>
      </c>
      <c r="AB716" s="9">
        <v>78070</v>
      </c>
      <c r="AC716" s="9" t="s">
        <v>41</v>
      </c>
      <c r="AD716" s="9" t="s">
        <v>132</v>
      </c>
      <c r="AE716" s="9" t="s">
        <v>133</v>
      </c>
      <c r="AF716" s="9" t="s">
        <v>133</v>
      </c>
      <c r="AG716" s="14" t="str">
        <f t="shared" si="24"/>
        <v>EXAMENES DE LABORATORIO</v>
      </c>
      <c r="AH716" s="9">
        <v>0</v>
      </c>
      <c r="AI716" s="9">
        <v>0</v>
      </c>
      <c r="AJ716" s="9">
        <v>96942400</v>
      </c>
      <c r="AK716" s="9">
        <v>2</v>
      </c>
      <c r="AL716" s="26" t="s">
        <v>52</v>
      </c>
      <c r="AM716" s="14" t="s">
        <v>646</v>
      </c>
      <c r="AN716" s="27" t="str">
        <f t="shared" si="25"/>
        <v>7443214|96942400|765451327|65383612</v>
      </c>
      <c r="AO716" t="s">
        <v>44</v>
      </c>
      <c r="AP716" t="b">
        <v>0</v>
      </c>
      <c r="AQ716" t="s">
        <v>763</v>
      </c>
    </row>
    <row r="717" spans="1:43" x14ac:dyDescent="0.2">
      <c r="A717" s="14" t="s">
        <v>500</v>
      </c>
      <c r="B717" s="17">
        <v>7443214</v>
      </c>
      <c r="C717" s="14" t="s">
        <v>344</v>
      </c>
      <c r="D717" s="9">
        <v>9612779</v>
      </c>
      <c r="E717" s="9" t="s">
        <v>345</v>
      </c>
      <c r="F717" s="7">
        <v>45689</v>
      </c>
      <c r="G717" s="20" t="s">
        <v>36</v>
      </c>
      <c r="H717" s="8">
        <v>765451328</v>
      </c>
      <c r="I717" s="19">
        <v>765451328</v>
      </c>
      <c r="J717" s="10">
        <v>17745</v>
      </c>
      <c r="K717" s="10">
        <v>12389</v>
      </c>
      <c r="L717" s="10">
        <v>5356</v>
      </c>
      <c r="M717" s="10">
        <v>0</v>
      </c>
      <c r="N717" s="11">
        <v>5356</v>
      </c>
      <c r="O717" s="12">
        <v>765451328</v>
      </c>
      <c r="P717" s="9">
        <v>285123</v>
      </c>
      <c r="Q717" s="9" t="s">
        <v>37</v>
      </c>
      <c r="R717" s="13">
        <v>45699</v>
      </c>
      <c r="S717" s="22">
        <v>45699</v>
      </c>
      <c r="T717" s="13">
        <v>45699</v>
      </c>
      <c r="U717" s="13">
        <v>45699</v>
      </c>
      <c r="V717" s="9" t="s">
        <v>47</v>
      </c>
      <c r="W717" s="9">
        <v>22598348</v>
      </c>
      <c r="X717" s="9">
        <v>2171709</v>
      </c>
      <c r="Y717" s="9">
        <v>68876649</v>
      </c>
      <c r="Z717" s="9" t="s">
        <v>39</v>
      </c>
      <c r="AA717" s="9">
        <v>16022025</v>
      </c>
      <c r="AB717" s="9">
        <v>77646</v>
      </c>
      <c r="AC717" s="9" t="s">
        <v>41</v>
      </c>
      <c r="AD717" s="9" t="s">
        <v>132</v>
      </c>
      <c r="AE717" s="9" t="s">
        <v>133</v>
      </c>
      <c r="AF717" s="9" t="s">
        <v>133</v>
      </c>
      <c r="AG717" s="14" t="str">
        <f t="shared" si="24"/>
        <v>EXAMENES DE LABORATORIO</v>
      </c>
      <c r="AH717" s="9" t="s">
        <v>758</v>
      </c>
      <c r="AI717" s="9">
        <v>0</v>
      </c>
      <c r="AJ717" s="9">
        <v>96942400</v>
      </c>
      <c r="AK717" s="9">
        <v>2</v>
      </c>
      <c r="AL717" s="26" t="s">
        <v>86</v>
      </c>
      <c r="AM717" s="14" t="s">
        <v>646</v>
      </c>
      <c r="AN717" s="27" t="str">
        <f t="shared" si="25"/>
        <v>7443214|96942400|765451328|765451328</v>
      </c>
      <c r="AO717" t="s">
        <v>758</v>
      </c>
      <c r="AP717" t="b">
        <v>1</v>
      </c>
      <c r="AQ717" t="s">
        <v>764</v>
      </c>
    </row>
    <row r="718" spans="1:43" x14ac:dyDescent="0.2">
      <c r="A718" s="14" t="s">
        <v>500</v>
      </c>
      <c r="B718" s="17">
        <v>7443214</v>
      </c>
      <c r="C718" s="14" t="s">
        <v>344</v>
      </c>
      <c r="D718" s="9">
        <v>9612779</v>
      </c>
      <c r="E718" s="9" t="s">
        <v>345</v>
      </c>
      <c r="F718" s="7">
        <v>45717</v>
      </c>
      <c r="G718" s="20" t="s">
        <v>46</v>
      </c>
      <c r="H718" s="8">
        <v>765451328</v>
      </c>
      <c r="I718" s="19">
        <v>65383613</v>
      </c>
      <c r="J718" s="10">
        <v>5371</v>
      </c>
      <c r="K718" s="10">
        <v>0</v>
      </c>
      <c r="L718" s="10">
        <v>5371</v>
      </c>
      <c r="M718" s="10">
        <v>0</v>
      </c>
      <c r="N718" s="11">
        <v>5371</v>
      </c>
      <c r="O718" s="12">
        <v>765451328</v>
      </c>
      <c r="P718" s="9">
        <v>285123</v>
      </c>
      <c r="Q718" s="9" t="s">
        <v>37</v>
      </c>
      <c r="R718" s="13">
        <v>45717</v>
      </c>
      <c r="S718" s="22">
        <v>45742</v>
      </c>
      <c r="T718" s="13">
        <v>45699</v>
      </c>
      <c r="U718" s="13">
        <v>45699</v>
      </c>
      <c r="V718" s="9" t="s">
        <v>47</v>
      </c>
      <c r="W718" s="9">
        <v>22770583</v>
      </c>
      <c r="X718" s="9">
        <v>3311105</v>
      </c>
      <c r="Y718" s="9">
        <v>69250504</v>
      </c>
      <c r="Z718" s="9" t="s">
        <v>39</v>
      </c>
      <c r="AA718" s="9">
        <v>975328287</v>
      </c>
      <c r="AB718" s="9">
        <v>78070</v>
      </c>
      <c r="AC718" s="9" t="s">
        <v>41</v>
      </c>
      <c r="AD718" s="9" t="s">
        <v>132</v>
      </c>
      <c r="AE718" s="9" t="s">
        <v>133</v>
      </c>
      <c r="AF718" s="9" t="s">
        <v>133</v>
      </c>
      <c r="AG718" s="14" t="str">
        <f t="shared" si="24"/>
        <v>EXAMENES DE LABORATORIO</v>
      </c>
      <c r="AH718" s="9">
        <v>0</v>
      </c>
      <c r="AI718" s="9">
        <v>0</v>
      </c>
      <c r="AJ718" s="9">
        <v>96942400</v>
      </c>
      <c r="AK718" s="9">
        <v>2</v>
      </c>
      <c r="AL718" s="26" t="s">
        <v>52</v>
      </c>
      <c r="AM718" s="14" t="s">
        <v>646</v>
      </c>
      <c r="AN718" s="27" t="str">
        <f t="shared" si="25"/>
        <v>7443214|96942400|765451328|65383613</v>
      </c>
      <c r="AO718" t="s">
        <v>44</v>
      </c>
      <c r="AP718" t="b">
        <v>0</v>
      </c>
      <c r="AQ718" t="s">
        <v>763</v>
      </c>
    </row>
    <row r="719" spans="1:43" x14ac:dyDescent="0.2">
      <c r="A719" s="14" t="s">
        <v>500</v>
      </c>
      <c r="B719" s="17">
        <v>7443214</v>
      </c>
      <c r="C719" s="14" t="s">
        <v>344</v>
      </c>
      <c r="D719" s="9">
        <v>9612779</v>
      </c>
      <c r="E719" s="9" t="s">
        <v>345</v>
      </c>
      <c r="F719" s="7">
        <v>45689</v>
      </c>
      <c r="G719" s="20" t="s">
        <v>36</v>
      </c>
      <c r="H719" s="8">
        <v>765451329</v>
      </c>
      <c r="I719" s="19">
        <v>765451329</v>
      </c>
      <c r="J719" s="10">
        <v>16731</v>
      </c>
      <c r="K719" s="10">
        <v>11712</v>
      </c>
      <c r="L719" s="10">
        <v>5019</v>
      </c>
      <c r="M719" s="10">
        <v>0</v>
      </c>
      <c r="N719" s="11">
        <v>5019</v>
      </c>
      <c r="O719" s="12">
        <v>765451329</v>
      </c>
      <c r="P719" s="9">
        <v>285123</v>
      </c>
      <c r="Q719" s="9" t="s">
        <v>37</v>
      </c>
      <c r="R719" s="13">
        <v>45699</v>
      </c>
      <c r="S719" s="22">
        <v>45699</v>
      </c>
      <c r="T719" s="13">
        <v>45699</v>
      </c>
      <c r="U719" s="13">
        <v>45699</v>
      </c>
      <c r="V719" s="9" t="s">
        <v>47</v>
      </c>
      <c r="W719" s="9">
        <v>22598348</v>
      </c>
      <c r="X719" s="9">
        <v>2171709</v>
      </c>
      <c r="Y719" s="9">
        <v>68876648</v>
      </c>
      <c r="Z719" s="9" t="s">
        <v>39</v>
      </c>
      <c r="AA719" s="9">
        <v>16022025</v>
      </c>
      <c r="AB719" s="9">
        <v>77646</v>
      </c>
      <c r="AC719" s="9" t="s">
        <v>41</v>
      </c>
      <c r="AD719" s="9" t="s">
        <v>132</v>
      </c>
      <c r="AE719" s="9" t="s">
        <v>133</v>
      </c>
      <c r="AF719" s="9" t="s">
        <v>133</v>
      </c>
      <c r="AG719" s="14" t="str">
        <f t="shared" si="24"/>
        <v>EXAMENES DE LABORATORIO</v>
      </c>
      <c r="AH719" s="9" t="s">
        <v>758</v>
      </c>
      <c r="AI719" s="9">
        <v>0</v>
      </c>
      <c r="AJ719" s="9">
        <v>96942400</v>
      </c>
      <c r="AK719" s="9">
        <v>2</v>
      </c>
      <c r="AL719" s="26" t="s">
        <v>86</v>
      </c>
      <c r="AM719" s="14" t="s">
        <v>646</v>
      </c>
      <c r="AN719" s="27" t="str">
        <f t="shared" si="25"/>
        <v>7443214|96942400|765451329|765451329</v>
      </c>
      <c r="AO719" t="s">
        <v>758</v>
      </c>
      <c r="AP719" t="b">
        <v>1</v>
      </c>
      <c r="AQ719" t="s">
        <v>764</v>
      </c>
    </row>
    <row r="720" spans="1:43" x14ac:dyDescent="0.2">
      <c r="A720" s="14" t="s">
        <v>500</v>
      </c>
      <c r="B720" s="17">
        <v>7443214</v>
      </c>
      <c r="C720" s="14" t="s">
        <v>344</v>
      </c>
      <c r="D720" s="9">
        <v>9612779</v>
      </c>
      <c r="E720" s="9" t="s">
        <v>345</v>
      </c>
      <c r="F720" s="7">
        <v>45717</v>
      </c>
      <c r="G720" s="20" t="s">
        <v>46</v>
      </c>
      <c r="H720" s="8">
        <v>765451329</v>
      </c>
      <c r="I720" s="19">
        <v>65383614</v>
      </c>
      <c r="J720" s="10">
        <v>4990</v>
      </c>
      <c r="K720" s="10">
        <v>0</v>
      </c>
      <c r="L720" s="10">
        <v>4990</v>
      </c>
      <c r="M720" s="10">
        <v>0</v>
      </c>
      <c r="N720" s="11">
        <v>4990</v>
      </c>
      <c r="O720" s="12">
        <v>765451329</v>
      </c>
      <c r="P720" s="9">
        <v>285123</v>
      </c>
      <c r="Q720" s="9" t="s">
        <v>37</v>
      </c>
      <c r="R720" s="13">
        <v>45717</v>
      </c>
      <c r="S720" s="22">
        <v>45742</v>
      </c>
      <c r="T720" s="13">
        <v>45699</v>
      </c>
      <c r="U720" s="13">
        <v>45699</v>
      </c>
      <c r="V720" s="9" t="s">
        <v>47</v>
      </c>
      <c r="W720" s="9">
        <v>22770583</v>
      </c>
      <c r="X720" s="9">
        <v>3311105</v>
      </c>
      <c r="Y720" s="9">
        <v>69250505</v>
      </c>
      <c r="Z720" s="9" t="s">
        <v>39</v>
      </c>
      <c r="AA720" s="9">
        <v>975328287</v>
      </c>
      <c r="AB720" s="9">
        <v>78070</v>
      </c>
      <c r="AC720" s="9" t="s">
        <v>41</v>
      </c>
      <c r="AD720" s="9" t="s">
        <v>132</v>
      </c>
      <c r="AE720" s="9" t="s">
        <v>133</v>
      </c>
      <c r="AF720" s="9" t="s">
        <v>133</v>
      </c>
      <c r="AG720" s="14" t="str">
        <f t="shared" si="24"/>
        <v>EXAMENES DE LABORATORIO</v>
      </c>
      <c r="AH720" s="9">
        <v>0</v>
      </c>
      <c r="AI720" s="9">
        <v>0</v>
      </c>
      <c r="AJ720" s="9">
        <v>96942400</v>
      </c>
      <c r="AK720" s="9">
        <v>2</v>
      </c>
      <c r="AL720" s="26" t="s">
        <v>52</v>
      </c>
      <c r="AM720" s="14" t="s">
        <v>646</v>
      </c>
      <c r="AN720" s="27" t="str">
        <f t="shared" si="25"/>
        <v>7443214|96942400|765451329|65383614</v>
      </c>
      <c r="AO720" t="s">
        <v>44</v>
      </c>
      <c r="AP720" t="b">
        <v>0</v>
      </c>
      <c r="AQ720" t="s">
        <v>763</v>
      </c>
    </row>
    <row r="721" spans="1:43" x14ac:dyDescent="0.2">
      <c r="A721" s="14" t="s">
        <v>500</v>
      </c>
      <c r="B721" s="17">
        <v>15889855</v>
      </c>
      <c r="C721" s="14" t="s">
        <v>313</v>
      </c>
      <c r="D721" s="9">
        <v>15889855</v>
      </c>
      <c r="E721" s="9" t="s">
        <v>313</v>
      </c>
      <c r="F721" s="7">
        <v>45689</v>
      </c>
      <c r="G721" s="20" t="s">
        <v>36</v>
      </c>
      <c r="H721" s="8">
        <v>765454622</v>
      </c>
      <c r="I721" s="19">
        <v>765454622</v>
      </c>
      <c r="J721" s="10">
        <v>28086</v>
      </c>
      <c r="K721" s="10">
        <v>22469</v>
      </c>
      <c r="L721" s="10">
        <v>5617</v>
      </c>
      <c r="M721" s="10">
        <v>0</v>
      </c>
      <c r="N721" s="11">
        <v>5617</v>
      </c>
      <c r="O721" s="12">
        <v>765454622</v>
      </c>
      <c r="P721" s="9">
        <v>285123</v>
      </c>
      <c r="Q721" s="9" t="s">
        <v>37</v>
      </c>
      <c r="R721" s="13">
        <v>45699</v>
      </c>
      <c r="S721" s="22">
        <v>45699</v>
      </c>
      <c r="T721" s="13">
        <v>45699</v>
      </c>
      <c r="U721" s="13">
        <v>45699</v>
      </c>
      <c r="V721" s="9" t="s">
        <v>47</v>
      </c>
      <c r="W721" s="9">
        <v>22598367</v>
      </c>
      <c r="X721" s="9">
        <v>2171709</v>
      </c>
      <c r="Y721" s="9">
        <v>68876770</v>
      </c>
      <c r="Z721" s="9" t="s">
        <v>39</v>
      </c>
      <c r="AA721" s="9">
        <v>16022025</v>
      </c>
      <c r="AB721" s="9">
        <v>77646</v>
      </c>
      <c r="AC721" s="9" t="s">
        <v>41</v>
      </c>
      <c r="AD721" s="9" t="s">
        <v>134</v>
      </c>
      <c r="AE721" s="9" t="s">
        <v>135</v>
      </c>
      <c r="AF721" s="9" t="s">
        <v>135</v>
      </c>
      <c r="AG721" s="14" t="str">
        <f t="shared" si="24"/>
        <v>EXAMENES RADIOLOGICOS</v>
      </c>
      <c r="AH721" s="9" t="s">
        <v>758</v>
      </c>
      <c r="AI721" s="9">
        <v>0</v>
      </c>
      <c r="AJ721" s="9">
        <v>76098454</v>
      </c>
      <c r="AK721" s="9" t="s">
        <v>161</v>
      </c>
      <c r="AL721" s="26" t="s">
        <v>86</v>
      </c>
      <c r="AM721" s="14" t="s">
        <v>623</v>
      </c>
      <c r="AN721" s="27" t="str">
        <f t="shared" si="25"/>
        <v>15889855|76098454|765454622|765454622</v>
      </c>
      <c r="AO721" t="s">
        <v>758</v>
      </c>
      <c r="AP721" t="b">
        <v>1</v>
      </c>
      <c r="AQ721" t="s">
        <v>764</v>
      </c>
    </row>
    <row r="722" spans="1:43" x14ac:dyDescent="0.2">
      <c r="A722" s="14" t="s">
        <v>500</v>
      </c>
      <c r="B722" s="17">
        <v>15889855</v>
      </c>
      <c r="C722" s="14" t="s">
        <v>313</v>
      </c>
      <c r="D722" s="9">
        <v>15889855</v>
      </c>
      <c r="E722" s="9" t="s">
        <v>313</v>
      </c>
      <c r="F722" s="7">
        <v>45717</v>
      </c>
      <c r="G722" s="20" t="s">
        <v>46</v>
      </c>
      <c r="H722" s="8">
        <v>765454622</v>
      </c>
      <c r="I722" s="19">
        <v>65384341</v>
      </c>
      <c r="J722" s="10">
        <v>5758</v>
      </c>
      <c r="K722" s="10">
        <v>0</v>
      </c>
      <c r="L722" s="10">
        <v>5758</v>
      </c>
      <c r="M722" s="10">
        <v>0</v>
      </c>
      <c r="N722" s="11">
        <v>5758</v>
      </c>
      <c r="O722" s="12">
        <v>765454622</v>
      </c>
      <c r="P722" s="9">
        <v>285123</v>
      </c>
      <c r="Q722" s="9" t="s">
        <v>37</v>
      </c>
      <c r="R722" s="13">
        <v>45717</v>
      </c>
      <c r="S722" s="22">
        <v>45742</v>
      </c>
      <c r="T722" s="13">
        <v>45699</v>
      </c>
      <c r="U722" s="13">
        <v>45699</v>
      </c>
      <c r="V722" s="9" t="s">
        <v>47</v>
      </c>
      <c r="W722" s="9">
        <v>22770591</v>
      </c>
      <c r="X722" s="9">
        <v>3311105</v>
      </c>
      <c r="Y722" s="9">
        <v>69251224</v>
      </c>
      <c r="Z722" s="9" t="s">
        <v>39</v>
      </c>
      <c r="AA722" s="9">
        <v>976121708</v>
      </c>
      <c r="AB722" s="9">
        <v>78070</v>
      </c>
      <c r="AC722" s="9" t="s">
        <v>41</v>
      </c>
      <c r="AD722" s="9" t="s">
        <v>134</v>
      </c>
      <c r="AE722" s="9" t="s">
        <v>135</v>
      </c>
      <c r="AF722" s="9" t="s">
        <v>135</v>
      </c>
      <c r="AG722" s="14" t="str">
        <f t="shared" si="24"/>
        <v>EXAMENES RADIOLOGICOS</v>
      </c>
      <c r="AH722" s="9">
        <v>0</v>
      </c>
      <c r="AI722" s="9">
        <v>0</v>
      </c>
      <c r="AJ722" s="9">
        <v>76098454</v>
      </c>
      <c r="AK722" s="9" t="s">
        <v>161</v>
      </c>
      <c r="AL722" s="26" t="s">
        <v>52</v>
      </c>
      <c r="AM722" s="14" t="s">
        <v>623</v>
      </c>
      <c r="AN722" s="27" t="str">
        <f t="shared" si="25"/>
        <v>15889855|76098454|765454622|65384341</v>
      </c>
      <c r="AO722" t="s">
        <v>44</v>
      </c>
      <c r="AP722" t="b">
        <v>0</v>
      </c>
      <c r="AQ722" t="s">
        <v>763</v>
      </c>
    </row>
    <row r="723" spans="1:43" x14ac:dyDescent="0.2">
      <c r="A723" s="14" t="s">
        <v>500</v>
      </c>
      <c r="B723" s="17">
        <v>15889855</v>
      </c>
      <c r="C723" s="14" t="s">
        <v>313</v>
      </c>
      <c r="D723" s="9">
        <v>15889855</v>
      </c>
      <c r="E723" s="9" t="s">
        <v>313</v>
      </c>
      <c r="F723" s="7">
        <v>45689</v>
      </c>
      <c r="G723" s="20" t="s">
        <v>36</v>
      </c>
      <c r="H723" s="8">
        <v>765454679</v>
      </c>
      <c r="I723" s="19">
        <v>765454679</v>
      </c>
      <c r="J723" s="10">
        <v>27878</v>
      </c>
      <c r="K723" s="10">
        <v>22302</v>
      </c>
      <c r="L723" s="10">
        <v>5576</v>
      </c>
      <c r="M723" s="10">
        <v>0</v>
      </c>
      <c r="N723" s="11">
        <v>5576</v>
      </c>
      <c r="O723" s="12">
        <v>765454679</v>
      </c>
      <c r="P723" s="9">
        <v>285123</v>
      </c>
      <c r="Q723" s="9" t="s">
        <v>37</v>
      </c>
      <c r="R723" s="13">
        <v>45699</v>
      </c>
      <c r="S723" s="22">
        <v>45699</v>
      </c>
      <c r="T723" s="13">
        <v>45699</v>
      </c>
      <c r="U723" s="13">
        <v>45699</v>
      </c>
      <c r="V723" s="9" t="s">
        <v>47</v>
      </c>
      <c r="W723" s="9">
        <v>22598367</v>
      </c>
      <c r="X723" s="9">
        <v>2171709</v>
      </c>
      <c r="Y723" s="9">
        <v>68876774</v>
      </c>
      <c r="Z723" s="9" t="s">
        <v>39</v>
      </c>
      <c r="AA723" s="9">
        <v>16022025</v>
      </c>
      <c r="AB723" s="9">
        <v>77646</v>
      </c>
      <c r="AC723" s="9" t="s">
        <v>41</v>
      </c>
      <c r="AD723" s="9" t="s">
        <v>134</v>
      </c>
      <c r="AE723" s="9" t="s">
        <v>135</v>
      </c>
      <c r="AF723" s="9" t="s">
        <v>135</v>
      </c>
      <c r="AG723" s="14" t="str">
        <f t="shared" si="24"/>
        <v>EXAMENES RADIOLOGICOS</v>
      </c>
      <c r="AH723" s="9" t="s">
        <v>758</v>
      </c>
      <c r="AI723" s="9">
        <v>0</v>
      </c>
      <c r="AJ723" s="9">
        <v>76098454</v>
      </c>
      <c r="AK723" s="9" t="s">
        <v>161</v>
      </c>
      <c r="AL723" s="26" t="s">
        <v>86</v>
      </c>
      <c r="AM723" s="14" t="s">
        <v>623</v>
      </c>
      <c r="AN723" s="27" t="str">
        <f t="shared" si="25"/>
        <v>15889855|76098454|765454679|765454679</v>
      </c>
      <c r="AO723" t="s">
        <v>758</v>
      </c>
      <c r="AP723" t="b">
        <v>1</v>
      </c>
      <c r="AQ723" t="s">
        <v>764</v>
      </c>
    </row>
    <row r="724" spans="1:43" x14ac:dyDescent="0.2">
      <c r="A724" s="14" t="s">
        <v>500</v>
      </c>
      <c r="B724" s="17">
        <v>15889855</v>
      </c>
      <c r="C724" s="14" t="s">
        <v>313</v>
      </c>
      <c r="D724" s="9">
        <v>15889855</v>
      </c>
      <c r="E724" s="9" t="s">
        <v>313</v>
      </c>
      <c r="F724" s="7">
        <v>45717</v>
      </c>
      <c r="G724" s="20" t="s">
        <v>46</v>
      </c>
      <c r="H724" s="8">
        <v>765454679</v>
      </c>
      <c r="I724" s="19">
        <v>65384342</v>
      </c>
      <c r="J724" s="10">
        <v>5758</v>
      </c>
      <c r="K724" s="10">
        <v>0</v>
      </c>
      <c r="L724" s="10">
        <v>5758</v>
      </c>
      <c r="M724" s="10">
        <v>0</v>
      </c>
      <c r="N724" s="11">
        <v>5758</v>
      </c>
      <c r="O724" s="12">
        <v>765454679</v>
      </c>
      <c r="P724" s="9">
        <v>285123</v>
      </c>
      <c r="Q724" s="9" t="s">
        <v>37</v>
      </c>
      <c r="R724" s="13">
        <v>45717</v>
      </c>
      <c r="S724" s="22">
        <v>45742</v>
      </c>
      <c r="T724" s="13">
        <v>45699</v>
      </c>
      <c r="U724" s="13">
        <v>45699</v>
      </c>
      <c r="V724" s="9" t="s">
        <v>47</v>
      </c>
      <c r="W724" s="9">
        <v>22770591</v>
      </c>
      <c r="X724" s="9">
        <v>3311105</v>
      </c>
      <c r="Y724" s="9">
        <v>69251225</v>
      </c>
      <c r="Z724" s="9" t="s">
        <v>39</v>
      </c>
      <c r="AA724" s="9">
        <v>976121708</v>
      </c>
      <c r="AB724" s="9">
        <v>78070</v>
      </c>
      <c r="AC724" s="9" t="s">
        <v>41</v>
      </c>
      <c r="AD724" s="9" t="s">
        <v>134</v>
      </c>
      <c r="AE724" s="9" t="s">
        <v>135</v>
      </c>
      <c r="AF724" s="9" t="s">
        <v>135</v>
      </c>
      <c r="AG724" s="14" t="str">
        <f t="shared" si="24"/>
        <v>EXAMENES RADIOLOGICOS</v>
      </c>
      <c r="AH724" s="9">
        <v>0</v>
      </c>
      <c r="AI724" s="9">
        <v>0</v>
      </c>
      <c r="AJ724" s="9">
        <v>76098454</v>
      </c>
      <c r="AK724" s="9" t="s">
        <v>161</v>
      </c>
      <c r="AL724" s="26" t="s">
        <v>52</v>
      </c>
      <c r="AM724" s="14" t="s">
        <v>623</v>
      </c>
      <c r="AN724" s="27" t="str">
        <f t="shared" si="25"/>
        <v>15889855|76098454|765454679|65384342</v>
      </c>
      <c r="AO724" t="s">
        <v>44</v>
      </c>
      <c r="AP724" t="b">
        <v>0</v>
      </c>
      <c r="AQ724" t="s">
        <v>763</v>
      </c>
    </row>
    <row r="725" spans="1:43" x14ac:dyDescent="0.2">
      <c r="A725" s="14" t="s">
        <v>500</v>
      </c>
      <c r="B725" s="17">
        <v>7443214</v>
      </c>
      <c r="C725" s="14" t="s">
        <v>344</v>
      </c>
      <c r="D725" s="9">
        <v>9612779</v>
      </c>
      <c r="E725" s="9" t="s">
        <v>345</v>
      </c>
      <c r="F725" s="7">
        <v>45689</v>
      </c>
      <c r="G725" s="20" t="s">
        <v>36</v>
      </c>
      <c r="H725" s="8">
        <v>765455439</v>
      </c>
      <c r="I725" s="19">
        <v>765455439</v>
      </c>
      <c r="J725" s="10">
        <v>28808</v>
      </c>
      <c r="K725" s="10">
        <v>20166</v>
      </c>
      <c r="L725" s="10">
        <v>8642</v>
      </c>
      <c r="M725" s="10">
        <v>0</v>
      </c>
      <c r="N725" s="11">
        <v>8642</v>
      </c>
      <c r="O725" s="12">
        <v>765455439</v>
      </c>
      <c r="P725" s="9">
        <v>285123</v>
      </c>
      <c r="Q725" s="9" t="s">
        <v>37</v>
      </c>
      <c r="R725" s="13">
        <v>45699</v>
      </c>
      <c r="S725" s="22">
        <v>45699</v>
      </c>
      <c r="T725" s="13">
        <v>45699</v>
      </c>
      <c r="U725" s="13">
        <v>45699</v>
      </c>
      <c r="V725" s="9" t="s">
        <v>47</v>
      </c>
      <c r="W725" s="9">
        <v>22598348</v>
      </c>
      <c r="X725" s="9">
        <v>2171709</v>
      </c>
      <c r="Y725" s="9">
        <v>68876813</v>
      </c>
      <c r="Z725" s="9" t="s">
        <v>39</v>
      </c>
      <c r="AA725" s="9">
        <v>16022025</v>
      </c>
      <c r="AB725" s="9">
        <v>77646</v>
      </c>
      <c r="AC725" s="9" t="s">
        <v>41</v>
      </c>
      <c r="AD725" s="9" t="s">
        <v>134</v>
      </c>
      <c r="AE725" s="9" t="s">
        <v>135</v>
      </c>
      <c r="AF725" s="9" t="s">
        <v>135</v>
      </c>
      <c r="AG725" s="14" t="str">
        <f t="shared" ref="AG725:AG788" si="26">+AF725</f>
        <v>EXAMENES RADIOLOGICOS</v>
      </c>
      <c r="AH725" s="9" t="s">
        <v>758</v>
      </c>
      <c r="AI725" s="9">
        <v>0</v>
      </c>
      <c r="AJ725" s="9">
        <v>96942400</v>
      </c>
      <c r="AK725" s="9">
        <v>2</v>
      </c>
      <c r="AL725" s="26" t="s">
        <v>86</v>
      </c>
      <c r="AM725" s="14" t="s">
        <v>646</v>
      </c>
      <c r="AN725" s="27" t="str">
        <f t="shared" si="25"/>
        <v>7443214|96942400|765455439|765455439</v>
      </c>
      <c r="AO725" t="s">
        <v>758</v>
      </c>
      <c r="AP725" t="b">
        <v>1</v>
      </c>
      <c r="AQ725" t="s">
        <v>764</v>
      </c>
    </row>
    <row r="726" spans="1:43" x14ac:dyDescent="0.2">
      <c r="A726" s="14" t="s">
        <v>500</v>
      </c>
      <c r="B726" s="17">
        <v>7443214</v>
      </c>
      <c r="C726" s="14" t="s">
        <v>344</v>
      </c>
      <c r="D726" s="9">
        <v>9612779</v>
      </c>
      <c r="E726" s="9" t="s">
        <v>345</v>
      </c>
      <c r="F726" s="7">
        <v>45717</v>
      </c>
      <c r="G726" s="20" t="s">
        <v>46</v>
      </c>
      <c r="H726" s="8">
        <v>765455439</v>
      </c>
      <c r="I726" s="19">
        <v>65383615</v>
      </c>
      <c r="J726" s="10">
        <v>8830</v>
      </c>
      <c r="K726" s="10">
        <v>0</v>
      </c>
      <c r="L726" s="10">
        <v>8830</v>
      </c>
      <c r="M726" s="10">
        <v>0</v>
      </c>
      <c r="N726" s="11">
        <v>8830</v>
      </c>
      <c r="O726" s="12">
        <v>765455439</v>
      </c>
      <c r="P726" s="9">
        <v>285123</v>
      </c>
      <c r="Q726" s="9" t="s">
        <v>37</v>
      </c>
      <c r="R726" s="13">
        <v>45717</v>
      </c>
      <c r="S726" s="22">
        <v>45742</v>
      </c>
      <c r="T726" s="13">
        <v>45699</v>
      </c>
      <c r="U726" s="13">
        <v>45699</v>
      </c>
      <c r="V726" s="9" t="s">
        <v>47</v>
      </c>
      <c r="W726" s="9">
        <v>22770583</v>
      </c>
      <c r="X726" s="9">
        <v>3311105</v>
      </c>
      <c r="Y726" s="9">
        <v>69250506</v>
      </c>
      <c r="Z726" s="9" t="s">
        <v>39</v>
      </c>
      <c r="AA726" s="9">
        <v>975328287</v>
      </c>
      <c r="AB726" s="9">
        <v>78070</v>
      </c>
      <c r="AC726" s="9" t="s">
        <v>41</v>
      </c>
      <c r="AD726" s="9" t="s">
        <v>134</v>
      </c>
      <c r="AE726" s="9" t="s">
        <v>135</v>
      </c>
      <c r="AF726" s="9" t="s">
        <v>135</v>
      </c>
      <c r="AG726" s="14" t="str">
        <f t="shared" si="26"/>
        <v>EXAMENES RADIOLOGICOS</v>
      </c>
      <c r="AH726" s="9">
        <v>0</v>
      </c>
      <c r="AI726" s="9">
        <v>0</v>
      </c>
      <c r="AJ726" s="9">
        <v>96942400</v>
      </c>
      <c r="AK726" s="9">
        <v>2</v>
      </c>
      <c r="AL726" s="26" t="s">
        <v>52</v>
      </c>
      <c r="AM726" s="14" t="s">
        <v>646</v>
      </c>
      <c r="AN726" s="27" t="str">
        <f t="shared" si="25"/>
        <v>7443214|96942400|765455439|65383615</v>
      </c>
      <c r="AO726" t="s">
        <v>44</v>
      </c>
      <c r="AP726" t="b">
        <v>0</v>
      </c>
      <c r="AQ726" t="s">
        <v>763</v>
      </c>
    </row>
    <row r="727" spans="1:43" x14ac:dyDescent="0.2">
      <c r="A727" s="14" t="s">
        <v>500</v>
      </c>
      <c r="B727" s="17">
        <v>7443214</v>
      </c>
      <c r="C727" s="14" t="s">
        <v>344</v>
      </c>
      <c r="D727" s="9">
        <v>9612779</v>
      </c>
      <c r="E727" s="9" t="s">
        <v>345</v>
      </c>
      <c r="F727" s="7">
        <v>45689</v>
      </c>
      <c r="G727" s="20" t="s">
        <v>36</v>
      </c>
      <c r="H727" s="8">
        <v>765455450</v>
      </c>
      <c r="I727" s="19">
        <v>765455450</v>
      </c>
      <c r="J727" s="10">
        <v>23556</v>
      </c>
      <c r="K727" s="10">
        <v>16489</v>
      </c>
      <c r="L727" s="10">
        <v>7067</v>
      </c>
      <c r="M727" s="10">
        <v>0</v>
      </c>
      <c r="N727" s="11">
        <v>7067</v>
      </c>
      <c r="O727" s="12">
        <v>765455450</v>
      </c>
      <c r="P727" s="9">
        <v>285123</v>
      </c>
      <c r="Q727" s="9" t="s">
        <v>37</v>
      </c>
      <c r="R727" s="13">
        <v>45699</v>
      </c>
      <c r="S727" s="22">
        <v>45699</v>
      </c>
      <c r="T727" s="13">
        <v>45699</v>
      </c>
      <c r="U727" s="13">
        <v>45699</v>
      </c>
      <c r="V727" s="9" t="s">
        <v>47</v>
      </c>
      <c r="W727" s="9">
        <v>22598348</v>
      </c>
      <c r="X727" s="9">
        <v>2171709</v>
      </c>
      <c r="Y727" s="9">
        <v>68876814</v>
      </c>
      <c r="Z727" s="9" t="s">
        <v>39</v>
      </c>
      <c r="AA727" s="9">
        <v>16022025</v>
      </c>
      <c r="AB727" s="9">
        <v>77646</v>
      </c>
      <c r="AC727" s="9" t="s">
        <v>41</v>
      </c>
      <c r="AD727" s="9" t="s">
        <v>134</v>
      </c>
      <c r="AE727" s="9" t="s">
        <v>135</v>
      </c>
      <c r="AF727" s="9" t="s">
        <v>135</v>
      </c>
      <c r="AG727" s="14" t="str">
        <f t="shared" si="26"/>
        <v>EXAMENES RADIOLOGICOS</v>
      </c>
      <c r="AH727" s="9" t="s">
        <v>758</v>
      </c>
      <c r="AI727" s="9">
        <v>0</v>
      </c>
      <c r="AJ727" s="9">
        <v>96942400</v>
      </c>
      <c r="AK727" s="9">
        <v>2</v>
      </c>
      <c r="AL727" s="26" t="s">
        <v>86</v>
      </c>
      <c r="AM727" s="14" t="s">
        <v>646</v>
      </c>
      <c r="AN727" s="27" t="str">
        <f t="shared" si="25"/>
        <v>7443214|96942400|765455450|765455450</v>
      </c>
      <c r="AO727" t="s">
        <v>758</v>
      </c>
      <c r="AP727" t="b">
        <v>1</v>
      </c>
      <c r="AQ727" t="s">
        <v>764</v>
      </c>
    </row>
    <row r="728" spans="1:43" x14ac:dyDescent="0.2">
      <c r="A728" s="14" t="s">
        <v>500</v>
      </c>
      <c r="B728" s="17">
        <v>7443214</v>
      </c>
      <c r="C728" s="14" t="s">
        <v>344</v>
      </c>
      <c r="D728" s="9">
        <v>9612779</v>
      </c>
      <c r="E728" s="9" t="s">
        <v>345</v>
      </c>
      <c r="F728" s="7">
        <v>45717</v>
      </c>
      <c r="G728" s="20" t="s">
        <v>46</v>
      </c>
      <c r="H728" s="8">
        <v>765455450</v>
      </c>
      <c r="I728" s="19">
        <v>65383616</v>
      </c>
      <c r="J728" s="10">
        <v>6910</v>
      </c>
      <c r="K728" s="10">
        <v>0</v>
      </c>
      <c r="L728" s="10">
        <v>6910</v>
      </c>
      <c r="M728" s="10">
        <v>0</v>
      </c>
      <c r="N728" s="11">
        <v>6910</v>
      </c>
      <c r="O728" s="12">
        <v>765455450</v>
      </c>
      <c r="P728" s="9">
        <v>285123</v>
      </c>
      <c r="Q728" s="9" t="s">
        <v>37</v>
      </c>
      <c r="R728" s="13">
        <v>45717</v>
      </c>
      <c r="S728" s="22">
        <v>45742</v>
      </c>
      <c r="T728" s="13">
        <v>45699</v>
      </c>
      <c r="U728" s="13">
        <v>45699</v>
      </c>
      <c r="V728" s="9" t="s">
        <v>47</v>
      </c>
      <c r="W728" s="9">
        <v>22770583</v>
      </c>
      <c r="X728" s="9">
        <v>3311105</v>
      </c>
      <c r="Y728" s="9">
        <v>69250507</v>
      </c>
      <c r="Z728" s="9" t="s">
        <v>39</v>
      </c>
      <c r="AA728" s="9">
        <v>975328287</v>
      </c>
      <c r="AB728" s="9">
        <v>78070</v>
      </c>
      <c r="AC728" s="9" t="s">
        <v>41</v>
      </c>
      <c r="AD728" s="9" t="s">
        <v>134</v>
      </c>
      <c r="AE728" s="9" t="s">
        <v>135</v>
      </c>
      <c r="AF728" s="9" t="s">
        <v>135</v>
      </c>
      <c r="AG728" s="14" t="str">
        <f t="shared" si="26"/>
        <v>EXAMENES RADIOLOGICOS</v>
      </c>
      <c r="AH728" s="9">
        <v>0</v>
      </c>
      <c r="AI728" s="9">
        <v>0</v>
      </c>
      <c r="AJ728" s="9">
        <v>96942400</v>
      </c>
      <c r="AK728" s="9">
        <v>2</v>
      </c>
      <c r="AL728" s="26" t="s">
        <v>52</v>
      </c>
      <c r="AM728" s="14" t="s">
        <v>646</v>
      </c>
      <c r="AN728" s="27" t="str">
        <f t="shared" si="25"/>
        <v>7443214|96942400|765455450|65383616</v>
      </c>
      <c r="AO728" t="s">
        <v>44</v>
      </c>
      <c r="AP728" t="b">
        <v>0</v>
      </c>
      <c r="AQ728" t="s">
        <v>763</v>
      </c>
    </row>
    <row r="729" spans="1:43" x14ac:dyDescent="0.2">
      <c r="A729" s="14" t="s">
        <v>500</v>
      </c>
      <c r="B729" s="17">
        <v>9643668</v>
      </c>
      <c r="C729" s="14" t="s">
        <v>324</v>
      </c>
      <c r="D729" s="9">
        <v>9643668</v>
      </c>
      <c r="E729" s="9" t="s">
        <v>324</v>
      </c>
      <c r="F729" s="7">
        <v>45689</v>
      </c>
      <c r="G729" s="20" t="s">
        <v>36</v>
      </c>
      <c r="H729" s="8">
        <v>765461284</v>
      </c>
      <c r="I729" s="19">
        <v>765461284</v>
      </c>
      <c r="J729" s="10">
        <v>16430</v>
      </c>
      <c r="K729" s="10">
        <v>9711</v>
      </c>
      <c r="L729" s="10">
        <v>6719</v>
      </c>
      <c r="M729" s="10">
        <v>0</v>
      </c>
      <c r="N729" s="11">
        <v>6719</v>
      </c>
      <c r="O729" s="12">
        <v>765461284</v>
      </c>
      <c r="P729" s="9">
        <v>285123</v>
      </c>
      <c r="Q729" s="9" t="s">
        <v>37</v>
      </c>
      <c r="R729" s="13">
        <v>45700</v>
      </c>
      <c r="S729" s="22">
        <v>45700</v>
      </c>
      <c r="T729" s="13">
        <v>45700</v>
      </c>
      <c r="U729" s="13">
        <v>45700</v>
      </c>
      <c r="V729" s="9" t="s">
        <v>47</v>
      </c>
      <c r="W729" s="9">
        <v>22598392</v>
      </c>
      <c r="X729" s="9">
        <v>2171709</v>
      </c>
      <c r="Y729" s="9">
        <v>68877173</v>
      </c>
      <c r="Z729" s="9" t="s">
        <v>39</v>
      </c>
      <c r="AA729" s="9">
        <v>16022025</v>
      </c>
      <c r="AB729" s="9">
        <v>77646</v>
      </c>
      <c r="AC729" s="9" t="s">
        <v>41</v>
      </c>
      <c r="AD729" s="9" t="s">
        <v>132</v>
      </c>
      <c r="AE729" s="9" t="s">
        <v>133</v>
      </c>
      <c r="AF729" s="9" t="s">
        <v>133</v>
      </c>
      <c r="AG729" s="14" t="str">
        <f t="shared" si="26"/>
        <v>EXAMENES DE LABORATORIO</v>
      </c>
      <c r="AH729" s="9" t="s">
        <v>758</v>
      </c>
      <c r="AI729" s="9">
        <v>0</v>
      </c>
      <c r="AJ729" s="9">
        <v>79749170</v>
      </c>
      <c r="AK729" s="9">
        <v>5</v>
      </c>
      <c r="AL729" s="26" t="s">
        <v>86</v>
      </c>
      <c r="AM729" s="14" t="s">
        <v>630</v>
      </c>
      <c r="AN729" s="27" t="str">
        <f t="shared" si="25"/>
        <v>9643668|79749170|765461284|765461284</v>
      </c>
      <c r="AO729" t="s">
        <v>758</v>
      </c>
      <c r="AP729" t="b">
        <v>1</v>
      </c>
      <c r="AQ729" t="s">
        <v>764</v>
      </c>
    </row>
    <row r="730" spans="1:43" x14ac:dyDescent="0.2">
      <c r="A730" s="14" t="s">
        <v>500</v>
      </c>
      <c r="B730" s="17">
        <v>9643668</v>
      </c>
      <c r="C730" s="14" t="s">
        <v>324</v>
      </c>
      <c r="D730" s="9">
        <v>9643668</v>
      </c>
      <c r="E730" s="9" t="s">
        <v>324</v>
      </c>
      <c r="F730" s="7">
        <v>45717</v>
      </c>
      <c r="G730" s="20" t="s">
        <v>46</v>
      </c>
      <c r="H730" s="8">
        <v>765461284</v>
      </c>
      <c r="I730" s="19">
        <v>65383756</v>
      </c>
      <c r="J730" s="10">
        <v>6912</v>
      </c>
      <c r="K730" s="10">
        <v>0</v>
      </c>
      <c r="L730" s="10">
        <v>6912</v>
      </c>
      <c r="M730" s="10">
        <v>0</v>
      </c>
      <c r="N730" s="11">
        <v>6912</v>
      </c>
      <c r="O730" s="12">
        <v>765461284</v>
      </c>
      <c r="P730" s="9">
        <v>285123</v>
      </c>
      <c r="Q730" s="9" t="s">
        <v>37</v>
      </c>
      <c r="R730" s="13">
        <v>45717</v>
      </c>
      <c r="S730" s="22">
        <v>45742</v>
      </c>
      <c r="T730" s="13">
        <v>45700</v>
      </c>
      <c r="U730" s="13">
        <v>45700</v>
      </c>
      <c r="V730" s="9" t="s">
        <v>47</v>
      </c>
      <c r="W730" s="9">
        <v>22770599</v>
      </c>
      <c r="X730" s="9">
        <v>3311105</v>
      </c>
      <c r="Y730" s="9">
        <v>69250646</v>
      </c>
      <c r="Z730" s="9" t="s">
        <v>39</v>
      </c>
      <c r="AA730" s="9">
        <v>580360901</v>
      </c>
      <c r="AB730" s="9">
        <v>78070</v>
      </c>
      <c r="AC730" s="9" t="s">
        <v>41</v>
      </c>
      <c r="AD730" s="9" t="s">
        <v>132</v>
      </c>
      <c r="AE730" s="9" t="s">
        <v>133</v>
      </c>
      <c r="AF730" s="9" t="s">
        <v>133</v>
      </c>
      <c r="AG730" s="14" t="str">
        <f t="shared" si="26"/>
        <v>EXAMENES DE LABORATORIO</v>
      </c>
      <c r="AH730" s="9">
        <v>0</v>
      </c>
      <c r="AI730" s="9">
        <v>0</v>
      </c>
      <c r="AJ730" s="9">
        <v>79749170</v>
      </c>
      <c r="AK730" s="9">
        <v>5</v>
      </c>
      <c r="AL730" s="26" t="s">
        <v>52</v>
      </c>
      <c r="AM730" s="14" t="s">
        <v>630</v>
      </c>
      <c r="AN730" s="27" t="str">
        <f t="shared" si="25"/>
        <v>9643668|79749170|765461284|65383756</v>
      </c>
      <c r="AO730" t="s">
        <v>44</v>
      </c>
      <c r="AP730" t="b">
        <v>0</v>
      </c>
      <c r="AQ730" t="s">
        <v>763</v>
      </c>
    </row>
    <row r="731" spans="1:43" x14ac:dyDescent="0.2">
      <c r="A731" s="14" t="s">
        <v>500</v>
      </c>
      <c r="B731" s="17">
        <v>12892012</v>
      </c>
      <c r="C731" s="14" t="s">
        <v>323</v>
      </c>
      <c r="D731" s="9">
        <v>12892012</v>
      </c>
      <c r="E731" s="9" t="s">
        <v>323</v>
      </c>
      <c r="F731" s="7">
        <v>45689</v>
      </c>
      <c r="G731" s="20" t="s">
        <v>36</v>
      </c>
      <c r="H731" s="8">
        <v>765462191</v>
      </c>
      <c r="I731" s="19">
        <v>765462191</v>
      </c>
      <c r="J731" s="10">
        <v>11504</v>
      </c>
      <c r="K731" s="10">
        <v>8053</v>
      </c>
      <c r="L731" s="10">
        <v>3451</v>
      </c>
      <c r="M731" s="10">
        <v>0</v>
      </c>
      <c r="N731" s="11">
        <v>3451</v>
      </c>
      <c r="O731" s="12">
        <v>765462191</v>
      </c>
      <c r="P731" s="9">
        <v>285123</v>
      </c>
      <c r="Q731" s="9" t="s">
        <v>37</v>
      </c>
      <c r="R731" s="13">
        <v>45700</v>
      </c>
      <c r="S731" s="22">
        <v>45700</v>
      </c>
      <c r="T731" s="13">
        <v>45700</v>
      </c>
      <c r="U731" s="13">
        <v>45700</v>
      </c>
      <c r="V731" s="9" t="s">
        <v>47</v>
      </c>
      <c r="W731" s="9">
        <v>22598402</v>
      </c>
      <c r="X731" s="9">
        <v>2171709</v>
      </c>
      <c r="Y731" s="9">
        <v>68877230</v>
      </c>
      <c r="Z731" s="9" t="s">
        <v>39</v>
      </c>
      <c r="AA731" s="9">
        <v>16022025</v>
      </c>
      <c r="AB731" s="9">
        <v>77646</v>
      </c>
      <c r="AC731" s="9" t="s">
        <v>41</v>
      </c>
      <c r="AD731" s="9" t="s">
        <v>65</v>
      </c>
      <c r="AE731" s="9" t="s">
        <v>66</v>
      </c>
      <c r="AF731" s="9" t="s">
        <v>66</v>
      </c>
      <c r="AG731" s="14" t="str">
        <f t="shared" si="26"/>
        <v>PROCEDIMIENTOS TERAPEUTICOS</v>
      </c>
      <c r="AH731" s="9" t="s">
        <v>758</v>
      </c>
      <c r="AI731" s="9">
        <v>0</v>
      </c>
      <c r="AJ731" s="9">
        <v>96942400</v>
      </c>
      <c r="AK731" s="9">
        <v>2</v>
      </c>
      <c r="AL731" s="26" t="s">
        <v>86</v>
      </c>
      <c r="AM731" s="14" t="s">
        <v>629</v>
      </c>
      <c r="AN731" s="27" t="str">
        <f t="shared" si="25"/>
        <v>12892012|96942400|765462191|765462191</v>
      </c>
      <c r="AO731" t="s">
        <v>758</v>
      </c>
      <c r="AP731" t="b">
        <v>1</v>
      </c>
      <c r="AQ731" t="s">
        <v>764</v>
      </c>
    </row>
    <row r="732" spans="1:43" x14ac:dyDescent="0.2">
      <c r="A732" s="14" t="s">
        <v>500</v>
      </c>
      <c r="B732" s="17">
        <v>12892012</v>
      </c>
      <c r="C732" s="14" t="s">
        <v>323</v>
      </c>
      <c r="D732" s="9">
        <v>12892012</v>
      </c>
      <c r="E732" s="9" t="s">
        <v>323</v>
      </c>
      <c r="F732" s="7">
        <v>45717</v>
      </c>
      <c r="G732" s="20" t="s">
        <v>46</v>
      </c>
      <c r="H732" s="8">
        <v>765462191</v>
      </c>
      <c r="I732" s="19">
        <v>65384051</v>
      </c>
      <c r="J732" s="10">
        <v>3456</v>
      </c>
      <c r="K732" s="10">
        <v>0</v>
      </c>
      <c r="L732" s="10">
        <v>3456</v>
      </c>
      <c r="M732" s="10">
        <v>0</v>
      </c>
      <c r="N732" s="11">
        <v>3456</v>
      </c>
      <c r="O732" s="12">
        <v>765462191</v>
      </c>
      <c r="P732" s="9">
        <v>285123</v>
      </c>
      <c r="Q732" s="9" t="s">
        <v>37</v>
      </c>
      <c r="R732" s="13">
        <v>45717</v>
      </c>
      <c r="S732" s="22">
        <v>45742</v>
      </c>
      <c r="T732" s="13">
        <v>45700</v>
      </c>
      <c r="U732" s="13">
        <v>45700</v>
      </c>
      <c r="V732" s="9" t="s">
        <v>47</v>
      </c>
      <c r="W732" s="9">
        <v>22770603</v>
      </c>
      <c r="X732" s="9">
        <v>3311105</v>
      </c>
      <c r="Y732" s="9">
        <v>69250939</v>
      </c>
      <c r="Z732" s="9" t="s">
        <v>39</v>
      </c>
      <c r="AA732" s="9">
        <v>207546631</v>
      </c>
      <c r="AB732" s="9">
        <v>78070</v>
      </c>
      <c r="AC732" s="9" t="s">
        <v>41</v>
      </c>
      <c r="AD732" s="9" t="s">
        <v>65</v>
      </c>
      <c r="AE732" s="9" t="s">
        <v>66</v>
      </c>
      <c r="AF732" s="9" t="s">
        <v>66</v>
      </c>
      <c r="AG732" s="14" t="str">
        <f t="shared" si="26"/>
        <v>PROCEDIMIENTOS TERAPEUTICOS</v>
      </c>
      <c r="AH732" s="9">
        <v>0</v>
      </c>
      <c r="AI732" s="9">
        <v>0</v>
      </c>
      <c r="AJ732" s="9">
        <v>96942400</v>
      </c>
      <c r="AK732" s="9">
        <v>2</v>
      </c>
      <c r="AL732" s="26" t="s">
        <v>52</v>
      </c>
      <c r="AM732" s="14" t="s">
        <v>629</v>
      </c>
      <c r="AN732" s="27" t="str">
        <f t="shared" si="25"/>
        <v>12892012|96942400|765462191|65384051</v>
      </c>
      <c r="AO732" t="s">
        <v>44</v>
      </c>
      <c r="AP732" t="b">
        <v>0</v>
      </c>
      <c r="AQ732" t="s">
        <v>763</v>
      </c>
    </row>
    <row r="733" spans="1:43" x14ac:dyDescent="0.2">
      <c r="A733" s="14" t="s">
        <v>500</v>
      </c>
      <c r="B733" s="17">
        <v>9571406</v>
      </c>
      <c r="C733" s="14" t="s">
        <v>346</v>
      </c>
      <c r="D733" s="9">
        <v>9571406</v>
      </c>
      <c r="E733" s="9" t="s">
        <v>346</v>
      </c>
      <c r="F733" s="7">
        <v>45689</v>
      </c>
      <c r="G733" s="20" t="s">
        <v>36</v>
      </c>
      <c r="H733" s="8">
        <v>765472066</v>
      </c>
      <c r="I733" s="19">
        <v>765472066</v>
      </c>
      <c r="J733" s="10">
        <v>172610</v>
      </c>
      <c r="K733" s="10">
        <v>152610</v>
      </c>
      <c r="L733" s="10">
        <v>20000</v>
      </c>
      <c r="M733" s="10">
        <v>0</v>
      </c>
      <c r="N733" s="11">
        <v>20000</v>
      </c>
      <c r="O733" s="12">
        <v>765472066</v>
      </c>
      <c r="P733" s="9">
        <v>285123</v>
      </c>
      <c r="Q733" s="9" t="s">
        <v>37</v>
      </c>
      <c r="R733" s="13">
        <v>45700</v>
      </c>
      <c r="S733" s="22">
        <v>45700</v>
      </c>
      <c r="T733" s="13">
        <v>45700</v>
      </c>
      <c r="U733" s="13">
        <v>45700</v>
      </c>
      <c r="V733" s="9" t="s">
        <v>47</v>
      </c>
      <c r="W733" s="9">
        <v>22598391</v>
      </c>
      <c r="X733" s="9">
        <v>2171709</v>
      </c>
      <c r="Y733" s="9">
        <v>68877781</v>
      </c>
      <c r="Z733" s="9" t="s">
        <v>39</v>
      </c>
      <c r="AA733" s="9">
        <v>16022025</v>
      </c>
      <c r="AB733" s="9">
        <v>77646</v>
      </c>
      <c r="AC733" s="9" t="s">
        <v>41</v>
      </c>
      <c r="AD733" s="9" t="s">
        <v>134</v>
      </c>
      <c r="AE733" s="9" t="s">
        <v>135</v>
      </c>
      <c r="AF733" s="9" t="s">
        <v>135</v>
      </c>
      <c r="AG733" s="14" t="str">
        <f t="shared" si="26"/>
        <v>EXAMENES RADIOLOGICOS</v>
      </c>
      <c r="AH733" s="9" t="s">
        <v>758</v>
      </c>
      <c r="AI733" s="9">
        <v>0</v>
      </c>
      <c r="AJ733" s="9">
        <v>96942400</v>
      </c>
      <c r="AK733" s="9">
        <v>2</v>
      </c>
      <c r="AL733" s="26" t="s">
        <v>86</v>
      </c>
      <c r="AM733" s="14" t="s">
        <v>647</v>
      </c>
      <c r="AN733" s="27" t="str">
        <f t="shared" si="25"/>
        <v>9571406|96942400|765472066|765472066</v>
      </c>
      <c r="AO733" t="s">
        <v>758</v>
      </c>
      <c r="AP733" t="b">
        <v>1</v>
      </c>
      <c r="AQ733" t="s">
        <v>764</v>
      </c>
    </row>
    <row r="734" spans="1:43" x14ac:dyDescent="0.2">
      <c r="A734" s="14" t="s">
        <v>500</v>
      </c>
      <c r="B734" s="17">
        <v>9571406</v>
      </c>
      <c r="C734" s="14" t="s">
        <v>346</v>
      </c>
      <c r="D734" s="9">
        <v>9571406</v>
      </c>
      <c r="E734" s="9" t="s">
        <v>346</v>
      </c>
      <c r="F734" s="7">
        <v>45717</v>
      </c>
      <c r="G734" s="20" t="s">
        <v>46</v>
      </c>
      <c r="H734" s="8">
        <v>765472066</v>
      </c>
      <c r="I734" s="19">
        <v>65383744</v>
      </c>
      <c r="J734" s="10">
        <v>19971</v>
      </c>
      <c r="K734" s="10">
        <v>0</v>
      </c>
      <c r="L734" s="10">
        <v>19971</v>
      </c>
      <c r="M734" s="10">
        <v>0</v>
      </c>
      <c r="N734" s="11">
        <v>19971</v>
      </c>
      <c r="O734" s="12">
        <v>765472066</v>
      </c>
      <c r="P734" s="9">
        <v>285123</v>
      </c>
      <c r="Q734" s="9" t="s">
        <v>37</v>
      </c>
      <c r="R734" s="13">
        <v>45717</v>
      </c>
      <c r="S734" s="22">
        <v>45742</v>
      </c>
      <c r="T734" s="13">
        <v>45700</v>
      </c>
      <c r="U734" s="13">
        <v>45700</v>
      </c>
      <c r="V734" s="9" t="s">
        <v>47</v>
      </c>
      <c r="W734" s="9">
        <v>22770598</v>
      </c>
      <c r="X734" s="9">
        <v>3311105</v>
      </c>
      <c r="Y734" s="9">
        <v>69250634</v>
      </c>
      <c r="Z734" s="9" t="s">
        <v>39</v>
      </c>
      <c r="AA734" s="9">
        <v>82199489</v>
      </c>
      <c r="AB734" s="9">
        <v>78070</v>
      </c>
      <c r="AC734" s="9" t="s">
        <v>41</v>
      </c>
      <c r="AD734" s="9" t="s">
        <v>134</v>
      </c>
      <c r="AE734" s="9" t="s">
        <v>135</v>
      </c>
      <c r="AF734" s="9" t="s">
        <v>135</v>
      </c>
      <c r="AG734" s="14" t="str">
        <f t="shared" si="26"/>
        <v>EXAMENES RADIOLOGICOS</v>
      </c>
      <c r="AH734" s="9">
        <v>0</v>
      </c>
      <c r="AI734" s="9">
        <v>0</v>
      </c>
      <c r="AJ734" s="9">
        <v>96942400</v>
      </c>
      <c r="AK734" s="9">
        <v>2</v>
      </c>
      <c r="AL734" s="26" t="s">
        <v>52</v>
      </c>
      <c r="AM734" s="14" t="s">
        <v>647</v>
      </c>
      <c r="AN734" s="27" t="str">
        <f t="shared" si="25"/>
        <v>9571406|96942400|765472066|65383744</v>
      </c>
      <c r="AO734" t="s">
        <v>44</v>
      </c>
      <c r="AP734" t="b">
        <v>0</v>
      </c>
      <c r="AQ734" t="s">
        <v>763</v>
      </c>
    </row>
    <row r="735" spans="1:43" x14ac:dyDescent="0.2">
      <c r="A735" s="14" t="s">
        <v>500</v>
      </c>
      <c r="B735" s="17">
        <v>12892012</v>
      </c>
      <c r="C735" s="14" t="s">
        <v>323</v>
      </c>
      <c r="D735" s="9">
        <v>12892012</v>
      </c>
      <c r="E735" s="9" t="s">
        <v>323</v>
      </c>
      <c r="F735" s="7">
        <v>45689</v>
      </c>
      <c r="G735" s="20" t="s">
        <v>36</v>
      </c>
      <c r="H735" s="8">
        <v>765472299</v>
      </c>
      <c r="I735" s="19">
        <v>765472299</v>
      </c>
      <c r="J735" s="10">
        <v>126192</v>
      </c>
      <c r="K735" s="10">
        <v>88334</v>
      </c>
      <c r="L735" s="10">
        <v>37858</v>
      </c>
      <c r="M735" s="10">
        <v>0</v>
      </c>
      <c r="N735" s="11">
        <v>37858</v>
      </c>
      <c r="O735" s="12">
        <v>765472299</v>
      </c>
      <c r="P735" s="9">
        <v>285123</v>
      </c>
      <c r="Q735" s="9" t="s">
        <v>37</v>
      </c>
      <c r="R735" s="13">
        <v>45700</v>
      </c>
      <c r="S735" s="22">
        <v>45700</v>
      </c>
      <c r="T735" s="13">
        <v>45700</v>
      </c>
      <c r="U735" s="13">
        <v>45700</v>
      </c>
      <c r="V735" s="9" t="s">
        <v>47</v>
      </c>
      <c r="W735" s="9">
        <v>22598402</v>
      </c>
      <c r="X735" s="9">
        <v>2171709</v>
      </c>
      <c r="Y735" s="9">
        <v>68877794</v>
      </c>
      <c r="Z735" s="9" t="s">
        <v>39</v>
      </c>
      <c r="AA735" s="9">
        <v>16022025</v>
      </c>
      <c r="AB735" s="9">
        <v>77646</v>
      </c>
      <c r="AC735" s="9" t="s">
        <v>41</v>
      </c>
      <c r="AD735" s="9" t="s">
        <v>65</v>
      </c>
      <c r="AE735" s="9" t="s">
        <v>66</v>
      </c>
      <c r="AF735" s="9" t="s">
        <v>66</v>
      </c>
      <c r="AG735" s="14" t="str">
        <f t="shared" si="26"/>
        <v>PROCEDIMIENTOS TERAPEUTICOS</v>
      </c>
      <c r="AH735" s="9" t="s">
        <v>758</v>
      </c>
      <c r="AI735" s="9">
        <v>0</v>
      </c>
      <c r="AJ735" s="9">
        <v>96942400</v>
      </c>
      <c r="AK735" s="9">
        <v>2</v>
      </c>
      <c r="AL735" s="26" t="s">
        <v>86</v>
      </c>
      <c r="AM735" s="14" t="s">
        <v>629</v>
      </c>
      <c r="AN735" s="27" t="str">
        <f t="shared" si="25"/>
        <v>12892012|96942400|765472299|765472299</v>
      </c>
      <c r="AO735" t="s">
        <v>758</v>
      </c>
      <c r="AP735" t="b">
        <v>1</v>
      </c>
      <c r="AQ735" t="s">
        <v>764</v>
      </c>
    </row>
    <row r="736" spans="1:43" x14ac:dyDescent="0.2">
      <c r="A736" s="14" t="s">
        <v>500</v>
      </c>
      <c r="B736" s="17">
        <v>12892012</v>
      </c>
      <c r="C736" s="14" t="s">
        <v>323</v>
      </c>
      <c r="D736" s="9">
        <v>12892012</v>
      </c>
      <c r="E736" s="9" t="s">
        <v>323</v>
      </c>
      <c r="F736" s="7">
        <v>45717</v>
      </c>
      <c r="G736" s="20" t="s">
        <v>46</v>
      </c>
      <c r="H736" s="8">
        <v>765472299</v>
      </c>
      <c r="I736" s="19">
        <v>65384052</v>
      </c>
      <c r="J736" s="10">
        <v>38023</v>
      </c>
      <c r="K736" s="10">
        <v>0</v>
      </c>
      <c r="L736" s="10">
        <v>38023</v>
      </c>
      <c r="M736" s="10">
        <v>0</v>
      </c>
      <c r="N736" s="11">
        <v>38023</v>
      </c>
      <c r="O736" s="12">
        <v>765472299</v>
      </c>
      <c r="P736" s="9">
        <v>285123</v>
      </c>
      <c r="Q736" s="9" t="s">
        <v>37</v>
      </c>
      <c r="R736" s="13">
        <v>45717</v>
      </c>
      <c r="S736" s="22">
        <v>45742</v>
      </c>
      <c r="T736" s="13">
        <v>45700</v>
      </c>
      <c r="U736" s="13">
        <v>45700</v>
      </c>
      <c r="V736" s="9" t="s">
        <v>47</v>
      </c>
      <c r="W736" s="9">
        <v>22770603</v>
      </c>
      <c r="X736" s="9">
        <v>3311105</v>
      </c>
      <c r="Y736" s="9">
        <v>69250940</v>
      </c>
      <c r="Z736" s="9" t="s">
        <v>39</v>
      </c>
      <c r="AA736" s="9">
        <v>207546631</v>
      </c>
      <c r="AB736" s="9">
        <v>78070</v>
      </c>
      <c r="AC736" s="9" t="s">
        <v>41</v>
      </c>
      <c r="AD736" s="9" t="s">
        <v>65</v>
      </c>
      <c r="AE736" s="9" t="s">
        <v>66</v>
      </c>
      <c r="AF736" s="9" t="s">
        <v>66</v>
      </c>
      <c r="AG736" s="14" t="str">
        <f t="shared" si="26"/>
        <v>PROCEDIMIENTOS TERAPEUTICOS</v>
      </c>
      <c r="AH736" s="9">
        <v>0</v>
      </c>
      <c r="AI736" s="9">
        <v>0</v>
      </c>
      <c r="AJ736" s="9">
        <v>96942400</v>
      </c>
      <c r="AK736" s="9">
        <v>2</v>
      </c>
      <c r="AL736" s="26" t="s">
        <v>52</v>
      </c>
      <c r="AM736" s="14" t="s">
        <v>629</v>
      </c>
      <c r="AN736" s="27" t="str">
        <f t="shared" si="25"/>
        <v>12892012|96942400|765472299|65384052</v>
      </c>
      <c r="AO736" t="s">
        <v>44</v>
      </c>
      <c r="AP736" t="b">
        <v>0</v>
      </c>
      <c r="AQ736" t="s">
        <v>763</v>
      </c>
    </row>
    <row r="737" spans="1:43" x14ac:dyDescent="0.2">
      <c r="A737" s="14" t="s">
        <v>500</v>
      </c>
      <c r="B737" s="17">
        <v>12892012</v>
      </c>
      <c r="C737" s="14" t="s">
        <v>323</v>
      </c>
      <c r="D737" s="9">
        <v>12892012</v>
      </c>
      <c r="E737" s="9" t="s">
        <v>323</v>
      </c>
      <c r="F737" s="7">
        <v>45689</v>
      </c>
      <c r="G737" s="20" t="s">
        <v>36</v>
      </c>
      <c r="H737" s="8">
        <v>765476755</v>
      </c>
      <c r="I737" s="19">
        <v>765476755</v>
      </c>
      <c r="J737" s="10">
        <v>41093</v>
      </c>
      <c r="K737" s="10">
        <v>28765</v>
      </c>
      <c r="L737" s="10">
        <v>12328</v>
      </c>
      <c r="M737" s="10">
        <v>0</v>
      </c>
      <c r="N737" s="11">
        <v>12328</v>
      </c>
      <c r="O737" s="12">
        <v>765476755</v>
      </c>
      <c r="P737" s="9">
        <v>285123</v>
      </c>
      <c r="Q737" s="9" t="s">
        <v>37</v>
      </c>
      <c r="R737" s="13">
        <v>45701</v>
      </c>
      <c r="S737" s="22">
        <v>45701</v>
      </c>
      <c r="T737" s="13">
        <v>45701</v>
      </c>
      <c r="U737" s="13">
        <v>45701</v>
      </c>
      <c r="V737" s="9" t="s">
        <v>47</v>
      </c>
      <c r="W737" s="9">
        <v>22598451</v>
      </c>
      <c r="X737" s="9">
        <v>2171709</v>
      </c>
      <c r="Y737" s="9">
        <v>68878097</v>
      </c>
      <c r="Z737" s="9" t="s">
        <v>39</v>
      </c>
      <c r="AA737" s="9">
        <v>16022025</v>
      </c>
      <c r="AB737" s="9">
        <v>77646</v>
      </c>
      <c r="AC737" s="9" t="s">
        <v>41</v>
      </c>
      <c r="AD737" s="9" t="s">
        <v>132</v>
      </c>
      <c r="AE737" s="9" t="s">
        <v>133</v>
      </c>
      <c r="AF737" s="9" t="s">
        <v>133</v>
      </c>
      <c r="AG737" s="14" t="str">
        <f t="shared" si="26"/>
        <v>EXAMENES DE LABORATORIO</v>
      </c>
      <c r="AH737" s="9" t="s">
        <v>758</v>
      </c>
      <c r="AI737" s="9">
        <v>0</v>
      </c>
      <c r="AJ737" s="9">
        <v>96942400</v>
      </c>
      <c r="AK737" s="9">
        <v>2</v>
      </c>
      <c r="AL737" s="26" t="s">
        <v>86</v>
      </c>
      <c r="AM737" s="14" t="s">
        <v>629</v>
      </c>
      <c r="AN737" s="27" t="str">
        <f t="shared" si="25"/>
        <v>12892012|96942400|765476755|765476755</v>
      </c>
      <c r="AO737" t="s">
        <v>758</v>
      </c>
      <c r="AP737" t="b">
        <v>1</v>
      </c>
      <c r="AQ737" t="s">
        <v>764</v>
      </c>
    </row>
    <row r="738" spans="1:43" x14ac:dyDescent="0.2">
      <c r="A738" s="14" t="s">
        <v>500</v>
      </c>
      <c r="B738" s="17">
        <v>12892012</v>
      </c>
      <c r="C738" s="14" t="s">
        <v>323</v>
      </c>
      <c r="D738" s="9">
        <v>12892012</v>
      </c>
      <c r="E738" s="9" t="s">
        <v>323</v>
      </c>
      <c r="F738" s="7">
        <v>45717</v>
      </c>
      <c r="G738" s="20" t="s">
        <v>46</v>
      </c>
      <c r="H738" s="8">
        <v>765476755</v>
      </c>
      <c r="I738" s="19">
        <v>65384053</v>
      </c>
      <c r="J738" s="10">
        <v>12293</v>
      </c>
      <c r="K738" s="10">
        <v>0</v>
      </c>
      <c r="L738" s="10">
        <v>12293</v>
      </c>
      <c r="M738" s="10">
        <v>0</v>
      </c>
      <c r="N738" s="11">
        <v>12293</v>
      </c>
      <c r="O738" s="12">
        <v>765476755</v>
      </c>
      <c r="P738" s="9">
        <v>285123</v>
      </c>
      <c r="Q738" s="9" t="s">
        <v>37</v>
      </c>
      <c r="R738" s="13">
        <v>45717</v>
      </c>
      <c r="S738" s="22">
        <v>45742</v>
      </c>
      <c r="T738" s="13">
        <v>45701</v>
      </c>
      <c r="U738" s="13">
        <v>45701</v>
      </c>
      <c r="V738" s="9" t="s">
        <v>47</v>
      </c>
      <c r="W738" s="9">
        <v>22770614</v>
      </c>
      <c r="X738" s="9">
        <v>3311105</v>
      </c>
      <c r="Y738" s="9">
        <v>69250941</v>
      </c>
      <c r="Z738" s="9" t="s">
        <v>39</v>
      </c>
      <c r="AA738" s="9">
        <v>207546631</v>
      </c>
      <c r="AB738" s="9">
        <v>78070</v>
      </c>
      <c r="AC738" s="9" t="s">
        <v>41</v>
      </c>
      <c r="AD738" s="9" t="s">
        <v>132</v>
      </c>
      <c r="AE738" s="9" t="s">
        <v>133</v>
      </c>
      <c r="AF738" s="9" t="s">
        <v>133</v>
      </c>
      <c r="AG738" s="14" t="str">
        <f t="shared" si="26"/>
        <v>EXAMENES DE LABORATORIO</v>
      </c>
      <c r="AH738" s="9">
        <v>0</v>
      </c>
      <c r="AI738" s="9">
        <v>0</v>
      </c>
      <c r="AJ738" s="9">
        <v>96942400</v>
      </c>
      <c r="AK738" s="9">
        <v>2</v>
      </c>
      <c r="AL738" s="26" t="s">
        <v>52</v>
      </c>
      <c r="AM738" s="14" t="s">
        <v>629</v>
      </c>
      <c r="AN738" s="27" t="str">
        <f t="shared" si="25"/>
        <v>12892012|96942400|765476755|65384053</v>
      </c>
      <c r="AO738" t="s">
        <v>44</v>
      </c>
      <c r="AP738" t="b">
        <v>0</v>
      </c>
      <c r="AQ738" t="s">
        <v>763</v>
      </c>
    </row>
    <row r="739" spans="1:43" x14ac:dyDescent="0.2">
      <c r="A739" s="14" t="s">
        <v>500</v>
      </c>
      <c r="B739" s="17">
        <v>12892012</v>
      </c>
      <c r="C739" s="14" t="s">
        <v>323</v>
      </c>
      <c r="D739" s="9">
        <v>12892012</v>
      </c>
      <c r="E739" s="9" t="s">
        <v>323</v>
      </c>
      <c r="F739" s="7">
        <v>45689</v>
      </c>
      <c r="G739" s="20" t="s">
        <v>36</v>
      </c>
      <c r="H739" s="8">
        <v>765476756</v>
      </c>
      <c r="I739" s="19">
        <v>765476756</v>
      </c>
      <c r="J739" s="10">
        <v>34814</v>
      </c>
      <c r="K739" s="10">
        <v>24615</v>
      </c>
      <c r="L739" s="10">
        <v>10199</v>
      </c>
      <c r="M739" s="10">
        <v>0</v>
      </c>
      <c r="N739" s="11">
        <v>10199</v>
      </c>
      <c r="O739" s="12">
        <v>765476756</v>
      </c>
      <c r="P739" s="9">
        <v>285123</v>
      </c>
      <c r="Q739" s="9" t="s">
        <v>37</v>
      </c>
      <c r="R739" s="13">
        <v>45701</v>
      </c>
      <c r="S739" s="22">
        <v>45701</v>
      </c>
      <c r="T739" s="13">
        <v>45701</v>
      </c>
      <c r="U739" s="13">
        <v>45701</v>
      </c>
      <c r="V739" s="9" t="s">
        <v>47</v>
      </c>
      <c r="W739" s="9">
        <v>22598451</v>
      </c>
      <c r="X739" s="9">
        <v>2171709</v>
      </c>
      <c r="Y739" s="9">
        <v>68878096</v>
      </c>
      <c r="Z739" s="9" t="s">
        <v>39</v>
      </c>
      <c r="AA739" s="9">
        <v>16022025</v>
      </c>
      <c r="AB739" s="9">
        <v>77646</v>
      </c>
      <c r="AC739" s="9" t="s">
        <v>41</v>
      </c>
      <c r="AD739" s="9" t="s">
        <v>132</v>
      </c>
      <c r="AE739" s="9" t="s">
        <v>133</v>
      </c>
      <c r="AF739" s="9" t="s">
        <v>133</v>
      </c>
      <c r="AG739" s="14" t="str">
        <f t="shared" si="26"/>
        <v>EXAMENES DE LABORATORIO</v>
      </c>
      <c r="AH739" s="9" t="s">
        <v>758</v>
      </c>
      <c r="AI739" s="9">
        <v>0</v>
      </c>
      <c r="AJ739" s="9">
        <v>96942400</v>
      </c>
      <c r="AK739" s="9">
        <v>2</v>
      </c>
      <c r="AL739" s="26" t="s">
        <v>86</v>
      </c>
      <c r="AM739" s="14" t="s">
        <v>629</v>
      </c>
      <c r="AN739" s="27" t="str">
        <f t="shared" si="25"/>
        <v>12892012|96942400|765476756|765476756</v>
      </c>
      <c r="AO739" t="s">
        <v>758</v>
      </c>
      <c r="AP739" t="b">
        <v>1</v>
      </c>
      <c r="AQ739" t="s">
        <v>764</v>
      </c>
    </row>
    <row r="740" spans="1:43" x14ac:dyDescent="0.2">
      <c r="A740" s="14" t="s">
        <v>500</v>
      </c>
      <c r="B740" s="17">
        <v>12892012</v>
      </c>
      <c r="C740" s="14" t="s">
        <v>323</v>
      </c>
      <c r="D740" s="9">
        <v>12892012</v>
      </c>
      <c r="E740" s="9" t="s">
        <v>323</v>
      </c>
      <c r="F740" s="7">
        <v>45717</v>
      </c>
      <c r="G740" s="20" t="s">
        <v>46</v>
      </c>
      <c r="H740" s="8">
        <v>765476756</v>
      </c>
      <c r="I740" s="19">
        <v>65384054</v>
      </c>
      <c r="J740" s="10">
        <v>9988</v>
      </c>
      <c r="K740" s="10">
        <v>0</v>
      </c>
      <c r="L740" s="10">
        <v>9988</v>
      </c>
      <c r="M740" s="10">
        <v>0</v>
      </c>
      <c r="N740" s="11">
        <v>9988</v>
      </c>
      <c r="O740" s="12">
        <v>765476756</v>
      </c>
      <c r="P740" s="9">
        <v>285123</v>
      </c>
      <c r="Q740" s="9" t="s">
        <v>37</v>
      </c>
      <c r="R740" s="13">
        <v>45717</v>
      </c>
      <c r="S740" s="22">
        <v>45742</v>
      </c>
      <c r="T740" s="13">
        <v>45701</v>
      </c>
      <c r="U740" s="13">
        <v>45701</v>
      </c>
      <c r="V740" s="9" t="s">
        <v>47</v>
      </c>
      <c r="W740" s="9">
        <v>22770614</v>
      </c>
      <c r="X740" s="9">
        <v>3311105</v>
      </c>
      <c r="Y740" s="9">
        <v>69250942</v>
      </c>
      <c r="Z740" s="9" t="s">
        <v>39</v>
      </c>
      <c r="AA740" s="9">
        <v>207546631</v>
      </c>
      <c r="AB740" s="9">
        <v>78070</v>
      </c>
      <c r="AC740" s="9" t="s">
        <v>41</v>
      </c>
      <c r="AD740" s="9" t="s">
        <v>132</v>
      </c>
      <c r="AE740" s="9" t="s">
        <v>133</v>
      </c>
      <c r="AF740" s="9" t="s">
        <v>133</v>
      </c>
      <c r="AG740" s="14" t="str">
        <f t="shared" si="26"/>
        <v>EXAMENES DE LABORATORIO</v>
      </c>
      <c r="AH740" s="9">
        <v>0</v>
      </c>
      <c r="AI740" s="9">
        <v>0</v>
      </c>
      <c r="AJ740" s="9">
        <v>96942400</v>
      </c>
      <c r="AK740" s="9">
        <v>2</v>
      </c>
      <c r="AL740" s="26" t="s">
        <v>52</v>
      </c>
      <c r="AM740" s="14" t="s">
        <v>629</v>
      </c>
      <c r="AN740" s="27" t="str">
        <f t="shared" si="25"/>
        <v>12892012|96942400|765476756|65384054</v>
      </c>
      <c r="AO740" t="s">
        <v>44</v>
      </c>
      <c r="AP740" t="b">
        <v>0</v>
      </c>
      <c r="AQ740" t="s">
        <v>763</v>
      </c>
    </row>
    <row r="741" spans="1:43" x14ac:dyDescent="0.2">
      <c r="A741" s="14" t="s">
        <v>500</v>
      </c>
      <c r="B741" s="17">
        <v>12892012</v>
      </c>
      <c r="C741" s="14" t="s">
        <v>323</v>
      </c>
      <c r="D741" s="9">
        <v>12892012</v>
      </c>
      <c r="E741" s="9" t="s">
        <v>323</v>
      </c>
      <c r="F741" s="7">
        <v>45689</v>
      </c>
      <c r="G741" s="20" t="s">
        <v>36</v>
      </c>
      <c r="H741" s="8">
        <v>765476757</v>
      </c>
      <c r="I741" s="19">
        <v>765476757</v>
      </c>
      <c r="J741" s="10">
        <v>29458</v>
      </c>
      <c r="K741" s="10">
        <v>24286</v>
      </c>
      <c r="L741" s="10">
        <v>5172</v>
      </c>
      <c r="M741" s="10">
        <v>0</v>
      </c>
      <c r="N741" s="11">
        <v>5172</v>
      </c>
      <c r="O741" s="12">
        <v>765476757</v>
      </c>
      <c r="P741" s="9">
        <v>285123</v>
      </c>
      <c r="Q741" s="9" t="s">
        <v>37</v>
      </c>
      <c r="R741" s="13">
        <v>45701</v>
      </c>
      <c r="S741" s="22">
        <v>45701</v>
      </c>
      <c r="T741" s="13">
        <v>45701</v>
      </c>
      <c r="U741" s="13">
        <v>45701</v>
      </c>
      <c r="V741" s="9" t="s">
        <v>47</v>
      </c>
      <c r="W741" s="9">
        <v>22598451</v>
      </c>
      <c r="X741" s="9">
        <v>2171709</v>
      </c>
      <c r="Y741" s="9">
        <v>68878095</v>
      </c>
      <c r="Z741" s="9" t="s">
        <v>39</v>
      </c>
      <c r="AA741" s="9">
        <v>16022025</v>
      </c>
      <c r="AB741" s="9">
        <v>77646</v>
      </c>
      <c r="AC741" s="9" t="s">
        <v>41</v>
      </c>
      <c r="AD741" s="9" t="s">
        <v>132</v>
      </c>
      <c r="AE741" s="9" t="s">
        <v>133</v>
      </c>
      <c r="AF741" s="9" t="s">
        <v>133</v>
      </c>
      <c r="AG741" s="14" t="str">
        <f t="shared" si="26"/>
        <v>EXAMENES DE LABORATORIO</v>
      </c>
      <c r="AH741" s="9" t="s">
        <v>758</v>
      </c>
      <c r="AI741" s="9">
        <v>0</v>
      </c>
      <c r="AJ741" s="9">
        <v>96942400</v>
      </c>
      <c r="AK741" s="9">
        <v>2</v>
      </c>
      <c r="AL741" s="26" t="s">
        <v>86</v>
      </c>
      <c r="AM741" s="14" t="s">
        <v>629</v>
      </c>
      <c r="AN741" s="27" t="str">
        <f t="shared" si="25"/>
        <v>12892012|96942400|765476757|765476757</v>
      </c>
      <c r="AO741" t="s">
        <v>758</v>
      </c>
      <c r="AP741" t="b">
        <v>1</v>
      </c>
      <c r="AQ741" t="s">
        <v>764</v>
      </c>
    </row>
    <row r="742" spans="1:43" x14ac:dyDescent="0.2">
      <c r="A742" s="14" t="s">
        <v>500</v>
      </c>
      <c r="B742" s="17">
        <v>12892012</v>
      </c>
      <c r="C742" s="14" t="s">
        <v>323</v>
      </c>
      <c r="D742" s="9">
        <v>12892012</v>
      </c>
      <c r="E742" s="9" t="s">
        <v>323</v>
      </c>
      <c r="F742" s="7">
        <v>45717</v>
      </c>
      <c r="G742" s="20" t="s">
        <v>46</v>
      </c>
      <c r="H742" s="8">
        <v>765476757</v>
      </c>
      <c r="I742" s="19">
        <v>65384055</v>
      </c>
      <c r="J742" s="10">
        <v>4225</v>
      </c>
      <c r="K742" s="10">
        <v>0</v>
      </c>
      <c r="L742" s="10">
        <v>4225</v>
      </c>
      <c r="M742" s="10">
        <v>0</v>
      </c>
      <c r="N742" s="11">
        <v>4225</v>
      </c>
      <c r="O742" s="12">
        <v>765476757</v>
      </c>
      <c r="P742" s="9">
        <v>285123</v>
      </c>
      <c r="Q742" s="9" t="s">
        <v>37</v>
      </c>
      <c r="R742" s="13">
        <v>45717</v>
      </c>
      <c r="S742" s="22">
        <v>45742</v>
      </c>
      <c r="T742" s="13">
        <v>45701</v>
      </c>
      <c r="U742" s="13">
        <v>45701</v>
      </c>
      <c r="V742" s="9" t="s">
        <v>47</v>
      </c>
      <c r="W742" s="9">
        <v>22770614</v>
      </c>
      <c r="X742" s="9">
        <v>3311105</v>
      </c>
      <c r="Y742" s="9">
        <v>69250943</v>
      </c>
      <c r="Z742" s="9" t="s">
        <v>39</v>
      </c>
      <c r="AA742" s="9">
        <v>207546631</v>
      </c>
      <c r="AB742" s="9">
        <v>78070</v>
      </c>
      <c r="AC742" s="9" t="s">
        <v>41</v>
      </c>
      <c r="AD742" s="9" t="s">
        <v>132</v>
      </c>
      <c r="AE742" s="9" t="s">
        <v>133</v>
      </c>
      <c r="AF742" s="9" t="s">
        <v>133</v>
      </c>
      <c r="AG742" s="14" t="str">
        <f t="shared" si="26"/>
        <v>EXAMENES DE LABORATORIO</v>
      </c>
      <c r="AH742" s="9">
        <v>0</v>
      </c>
      <c r="AI742" s="9">
        <v>0</v>
      </c>
      <c r="AJ742" s="9">
        <v>96942400</v>
      </c>
      <c r="AK742" s="9">
        <v>2</v>
      </c>
      <c r="AL742" s="26" t="s">
        <v>52</v>
      </c>
      <c r="AM742" s="14" t="s">
        <v>629</v>
      </c>
      <c r="AN742" s="27" t="str">
        <f t="shared" si="25"/>
        <v>12892012|96942400|765476757|65384055</v>
      </c>
      <c r="AO742" t="s">
        <v>44</v>
      </c>
      <c r="AP742" t="b">
        <v>0</v>
      </c>
      <c r="AQ742" t="s">
        <v>763</v>
      </c>
    </row>
    <row r="743" spans="1:43" x14ac:dyDescent="0.2">
      <c r="A743" s="14" t="s">
        <v>500</v>
      </c>
      <c r="B743" s="17">
        <v>12892012</v>
      </c>
      <c r="C743" s="14" t="s">
        <v>323</v>
      </c>
      <c r="D743" s="9">
        <v>12892012</v>
      </c>
      <c r="E743" s="9" t="s">
        <v>323</v>
      </c>
      <c r="F743" s="7">
        <v>45689</v>
      </c>
      <c r="G743" s="20" t="s">
        <v>36</v>
      </c>
      <c r="H743" s="8">
        <v>765476758</v>
      </c>
      <c r="I743" s="19">
        <v>765476758</v>
      </c>
      <c r="J743" s="10">
        <v>10478</v>
      </c>
      <c r="K743" s="10">
        <v>8907</v>
      </c>
      <c r="L743" s="10">
        <v>1571</v>
      </c>
      <c r="M743" s="10">
        <v>0</v>
      </c>
      <c r="N743" s="11">
        <v>1571</v>
      </c>
      <c r="O743" s="12">
        <v>765476758</v>
      </c>
      <c r="P743" s="9">
        <v>285123</v>
      </c>
      <c r="Q743" s="9" t="s">
        <v>37</v>
      </c>
      <c r="R743" s="13">
        <v>45701</v>
      </c>
      <c r="S743" s="22">
        <v>45701</v>
      </c>
      <c r="T743" s="13">
        <v>45701</v>
      </c>
      <c r="U743" s="13">
        <v>45701</v>
      </c>
      <c r="V743" s="9" t="s">
        <v>47</v>
      </c>
      <c r="W743" s="9">
        <v>22598451</v>
      </c>
      <c r="X743" s="9">
        <v>2171709</v>
      </c>
      <c r="Y743" s="9">
        <v>68878094</v>
      </c>
      <c r="Z743" s="9" t="s">
        <v>39</v>
      </c>
      <c r="AA743" s="9">
        <v>16022025</v>
      </c>
      <c r="AB743" s="9">
        <v>77646</v>
      </c>
      <c r="AC743" s="9" t="s">
        <v>41</v>
      </c>
      <c r="AD743" s="9" t="s">
        <v>132</v>
      </c>
      <c r="AE743" s="9" t="s">
        <v>133</v>
      </c>
      <c r="AF743" s="9" t="s">
        <v>133</v>
      </c>
      <c r="AG743" s="14" t="str">
        <f t="shared" si="26"/>
        <v>EXAMENES DE LABORATORIO</v>
      </c>
      <c r="AH743" s="9" t="s">
        <v>758</v>
      </c>
      <c r="AI743" s="9">
        <v>0</v>
      </c>
      <c r="AJ743" s="9">
        <v>96942400</v>
      </c>
      <c r="AK743" s="9">
        <v>2</v>
      </c>
      <c r="AL743" s="26" t="s">
        <v>86</v>
      </c>
      <c r="AM743" s="14" t="s">
        <v>629</v>
      </c>
      <c r="AN743" s="27" t="str">
        <f t="shared" si="25"/>
        <v>12892012|96942400|765476758|765476758</v>
      </c>
      <c r="AO743" t="s">
        <v>758</v>
      </c>
      <c r="AP743" t="b">
        <v>1</v>
      </c>
      <c r="AQ743" t="s">
        <v>764</v>
      </c>
    </row>
    <row r="744" spans="1:43" x14ac:dyDescent="0.2">
      <c r="A744" s="14" t="s">
        <v>500</v>
      </c>
      <c r="B744" s="17">
        <v>12892012</v>
      </c>
      <c r="C744" s="14" t="s">
        <v>323</v>
      </c>
      <c r="D744" s="9">
        <v>12892012</v>
      </c>
      <c r="E744" s="9" t="s">
        <v>323</v>
      </c>
      <c r="F744" s="7">
        <v>45717</v>
      </c>
      <c r="G744" s="20" t="s">
        <v>46</v>
      </c>
      <c r="H744" s="8">
        <v>765476758</v>
      </c>
      <c r="I744" s="19">
        <v>65384056</v>
      </c>
      <c r="J744" s="10">
        <v>1536</v>
      </c>
      <c r="K744" s="10">
        <v>0</v>
      </c>
      <c r="L744" s="10">
        <v>1536</v>
      </c>
      <c r="M744" s="10">
        <v>0</v>
      </c>
      <c r="N744" s="11">
        <v>1536</v>
      </c>
      <c r="O744" s="12">
        <v>765476758</v>
      </c>
      <c r="P744" s="9">
        <v>285123</v>
      </c>
      <c r="Q744" s="9" t="s">
        <v>37</v>
      </c>
      <c r="R744" s="13">
        <v>45717</v>
      </c>
      <c r="S744" s="22">
        <v>45742</v>
      </c>
      <c r="T744" s="13">
        <v>45701</v>
      </c>
      <c r="U744" s="13">
        <v>45701</v>
      </c>
      <c r="V744" s="9" t="s">
        <v>47</v>
      </c>
      <c r="W744" s="9">
        <v>22770614</v>
      </c>
      <c r="X744" s="9">
        <v>3311105</v>
      </c>
      <c r="Y744" s="9">
        <v>69250944</v>
      </c>
      <c r="Z744" s="9" t="s">
        <v>39</v>
      </c>
      <c r="AA744" s="9">
        <v>207546631</v>
      </c>
      <c r="AB744" s="9">
        <v>78070</v>
      </c>
      <c r="AC744" s="9" t="s">
        <v>41</v>
      </c>
      <c r="AD744" s="9" t="s">
        <v>132</v>
      </c>
      <c r="AE744" s="9" t="s">
        <v>133</v>
      </c>
      <c r="AF744" s="9" t="s">
        <v>133</v>
      </c>
      <c r="AG744" s="14" t="str">
        <f t="shared" si="26"/>
        <v>EXAMENES DE LABORATORIO</v>
      </c>
      <c r="AH744" s="9">
        <v>0</v>
      </c>
      <c r="AI744" s="9">
        <v>0</v>
      </c>
      <c r="AJ744" s="9">
        <v>96942400</v>
      </c>
      <c r="AK744" s="9">
        <v>2</v>
      </c>
      <c r="AL744" s="26" t="s">
        <v>52</v>
      </c>
      <c r="AM744" s="14" t="s">
        <v>629</v>
      </c>
      <c r="AN744" s="27" t="str">
        <f t="shared" si="25"/>
        <v>12892012|96942400|765476758|65384056</v>
      </c>
      <c r="AO744" t="s">
        <v>44</v>
      </c>
      <c r="AP744" t="b">
        <v>0</v>
      </c>
      <c r="AQ744" t="s">
        <v>763</v>
      </c>
    </row>
    <row r="745" spans="1:43" x14ac:dyDescent="0.2">
      <c r="A745" s="14" t="s">
        <v>500</v>
      </c>
      <c r="B745" s="17">
        <v>10458253</v>
      </c>
      <c r="C745" s="14" t="s">
        <v>347</v>
      </c>
      <c r="D745" s="9">
        <v>10458253</v>
      </c>
      <c r="E745" s="9" t="s">
        <v>347</v>
      </c>
      <c r="F745" s="7">
        <v>45689</v>
      </c>
      <c r="G745" s="20" t="s">
        <v>36</v>
      </c>
      <c r="H745" s="8">
        <v>765480130</v>
      </c>
      <c r="I745" s="19">
        <v>765480130</v>
      </c>
      <c r="J745" s="10">
        <v>11504</v>
      </c>
      <c r="K745" s="10">
        <v>8053</v>
      </c>
      <c r="L745" s="10">
        <v>3451</v>
      </c>
      <c r="M745" s="10">
        <v>0</v>
      </c>
      <c r="N745" s="11">
        <v>3451</v>
      </c>
      <c r="O745" s="12">
        <v>765480130</v>
      </c>
      <c r="P745" s="9">
        <v>285123</v>
      </c>
      <c r="Q745" s="9" t="s">
        <v>37</v>
      </c>
      <c r="R745" s="13">
        <v>45701</v>
      </c>
      <c r="S745" s="22">
        <v>45701</v>
      </c>
      <c r="T745" s="13">
        <v>45701</v>
      </c>
      <c r="U745" s="13">
        <v>45701</v>
      </c>
      <c r="V745" s="9" t="s">
        <v>47</v>
      </c>
      <c r="W745" s="9">
        <v>22598442</v>
      </c>
      <c r="X745" s="9">
        <v>2171709</v>
      </c>
      <c r="Y745" s="9">
        <v>68878302</v>
      </c>
      <c r="Z745" s="9" t="s">
        <v>39</v>
      </c>
      <c r="AA745" s="9">
        <v>16022025</v>
      </c>
      <c r="AB745" s="9">
        <v>77646</v>
      </c>
      <c r="AC745" s="9" t="s">
        <v>41</v>
      </c>
      <c r="AD745" s="9" t="s">
        <v>65</v>
      </c>
      <c r="AE745" s="9" t="s">
        <v>66</v>
      </c>
      <c r="AF745" s="9" t="s">
        <v>66</v>
      </c>
      <c r="AG745" s="14" t="str">
        <f t="shared" si="26"/>
        <v>PROCEDIMIENTOS TERAPEUTICOS</v>
      </c>
      <c r="AH745" s="9" t="s">
        <v>758</v>
      </c>
      <c r="AI745" s="9">
        <v>0</v>
      </c>
      <c r="AJ745" s="9">
        <v>96942400</v>
      </c>
      <c r="AK745" s="9">
        <v>2</v>
      </c>
      <c r="AL745" s="26" t="s">
        <v>86</v>
      </c>
      <c r="AM745" s="14" t="s">
        <v>648</v>
      </c>
      <c r="AN745" s="27" t="str">
        <f t="shared" si="25"/>
        <v>10458253|96942400|765480130|765480130</v>
      </c>
      <c r="AO745" t="s">
        <v>758</v>
      </c>
      <c r="AP745" t="b">
        <v>1</v>
      </c>
      <c r="AQ745" t="s">
        <v>764</v>
      </c>
    </row>
    <row r="746" spans="1:43" x14ac:dyDescent="0.2">
      <c r="A746" s="14" t="s">
        <v>500</v>
      </c>
      <c r="B746" s="17">
        <v>10458253</v>
      </c>
      <c r="C746" s="14" t="s">
        <v>347</v>
      </c>
      <c r="D746" s="9">
        <v>10458253</v>
      </c>
      <c r="E746" s="9" t="s">
        <v>347</v>
      </c>
      <c r="F746" s="7">
        <v>45717</v>
      </c>
      <c r="G746" s="20" t="s">
        <v>46</v>
      </c>
      <c r="H746" s="8">
        <v>765480130</v>
      </c>
      <c r="I746" s="19">
        <v>65383848</v>
      </c>
      <c r="J746" s="10">
        <v>3457</v>
      </c>
      <c r="K746" s="10">
        <v>0</v>
      </c>
      <c r="L746" s="10">
        <v>3457</v>
      </c>
      <c r="M746" s="10">
        <v>0</v>
      </c>
      <c r="N746" s="11">
        <v>3457</v>
      </c>
      <c r="O746" s="12">
        <v>765480130</v>
      </c>
      <c r="P746" s="9">
        <v>285123</v>
      </c>
      <c r="Q746" s="9" t="s">
        <v>37</v>
      </c>
      <c r="R746" s="13">
        <v>45717</v>
      </c>
      <c r="S746" s="22">
        <v>45742</v>
      </c>
      <c r="T746" s="13">
        <v>45701</v>
      </c>
      <c r="U746" s="13">
        <v>45701</v>
      </c>
      <c r="V746" s="9" t="s">
        <v>47</v>
      </c>
      <c r="W746" s="9">
        <v>22770609</v>
      </c>
      <c r="X746" s="9">
        <v>3311105</v>
      </c>
      <c r="Y746" s="9">
        <v>69250737</v>
      </c>
      <c r="Z746" s="9" t="s">
        <v>39</v>
      </c>
      <c r="AA746" s="9">
        <v>1702834992</v>
      </c>
      <c r="AB746" s="9">
        <v>78070</v>
      </c>
      <c r="AC746" s="9" t="s">
        <v>41</v>
      </c>
      <c r="AD746" s="9" t="s">
        <v>65</v>
      </c>
      <c r="AE746" s="9" t="s">
        <v>66</v>
      </c>
      <c r="AF746" s="9" t="s">
        <v>66</v>
      </c>
      <c r="AG746" s="14" t="str">
        <f t="shared" si="26"/>
        <v>PROCEDIMIENTOS TERAPEUTICOS</v>
      </c>
      <c r="AH746" s="9">
        <v>0</v>
      </c>
      <c r="AI746" s="9">
        <v>0</v>
      </c>
      <c r="AJ746" s="9">
        <v>96942400</v>
      </c>
      <c r="AK746" s="9">
        <v>2</v>
      </c>
      <c r="AL746" s="26" t="s">
        <v>52</v>
      </c>
      <c r="AM746" s="14" t="s">
        <v>648</v>
      </c>
      <c r="AN746" s="27" t="str">
        <f t="shared" si="25"/>
        <v>10458253|96942400|765480130|65383848</v>
      </c>
      <c r="AO746" t="s">
        <v>44</v>
      </c>
      <c r="AP746" t="b">
        <v>0</v>
      </c>
      <c r="AQ746" t="s">
        <v>763</v>
      </c>
    </row>
    <row r="747" spans="1:43" x14ac:dyDescent="0.2">
      <c r="A747" s="14" t="s">
        <v>500</v>
      </c>
      <c r="B747" s="17">
        <v>11854294</v>
      </c>
      <c r="C747" s="14" t="s">
        <v>348</v>
      </c>
      <c r="D747" s="9">
        <v>11854294</v>
      </c>
      <c r="E747" s="9" t="s">
        <v>348</v>
      </c>
      <c r="F747" s="7">
        <v>45689</v>
      </c>
      <c r="G747" s="20" t="s">
        <v>36</v>
      </c>
      <c r="H747" s="8">
        <v>765480576</v>
      </c>
      <c r="I747" s="19">
        <v>765480576</v>
      </c>
      <c r="J747" s="10">
        <v>235767</v>
      </c>
      <c r="K747" s="10">
        <v>133309</v>
      </c>
      <c r="L747" s="10">
        <v>102458</v>
      </c>
      <c r="M747" s="10">
        <v>0</v>
      </c>
      <c r="N747" s="11">
        <v>102458</v>
      </c>
      <c r="O747" s="12">
        <v>765480576</v>
      </c>
      <c r="P747" s="9">
        <v>285123</v>
      </c>
      <c r="Q747" s="9" t="s">
        <v>37</v>
      </c>
      <c r="R747" s="13">
        <v>45701</v>
      </c>
      <c r="S747" s="22">
        <v>45701</v>
      </c>
      <c r="T747" s="13">
        <v>45701</v>
      </c>
      <c r="U747" s="13">
        <v>45701</v>
      </c>
      <c r="V747" s="9" t="s">
        <v>47</v>
      </c>
      <c r="W747" s="9">
        <v>22598448</v>
      </c>
      <c r="X747" s="9">
        <v>2171709</v>
      </c>
      <c r="Y747" s="9">
        <v>68878327</v>
      </c>
      <c r="Z747" s="9" t="s">
        <v>39</v>
      </c>
      <c r="AA747" s="9">
        <v>16022025</v>
      </c>
      <c r="AB747" s="9">
        <v>77646</v>
      </c>
      <c r="AC747" s="9" t="s">
        <v>41</v>
      </c>
      <c r="AD747" s="9" t="s">
        <v>134</v>
      </c>
      <c r="AE747" s="9" t="s">
        <v>135</v>
      </c>
      <c r="AF747" s="9" t="s">
        <v>135</v>
      </c>
      <c r="AG747" s="14" t="str">
        <f t="shared" si="26"/>
        <v>EXAMENES RADIOLOGICOS</v>
      </c>
      <c r="AH747" s="9" t="s">
        <v>758</v>
      </c>
      <c r="AI747" s="9">
        <v>0</v>
      </c>
      <c r="AJ747" s="9">
        <v>76098454</v>
      </c>
      <c r="AK747" s="9" t="s">
        <v>161</v>
      </c>
      <c r="AL747" s="26" t="s">
        <v>86</v>
      </c>
      <c r="AM747" s="14" t="s">
        <v>649</v>
      </c>
      <c r="AN747" s="27" t="str">
        <f t="shared" si="25"/>
        <v>11854294|76098454|765480576|765480576</v>
      </c>
      <c r="AO747" t="s">
        <v>758</v>
      </c>
      <c r="AP747" t="b">
        <v>1</v>
      </c>
      <c r="AQ747" t="s">
        <v>764</v>
      </c>
    </row>
    <row r="748" spans="1:43" x14ac:dyDescent="0.2">
      <c r="A748" s="14" t="s">
        <v>500</v>
      </c>
      <c r="B748" s="17">
        <v>11854294</v>
      </c>
      <c r="C748" s="14" t="s">
        <v>348</v>
      </c>
      <c r="D748" s="9">
        <v>11854294</v>
      </c>
      <c r="E748" s="9" t="s">
        <v>348</v>
      </c>
      <c r="F748" s="7">
        <v>45717</v>
      </c>
      <c r="G748" s="20" t="s">
        <v>46</v>
      </c>
      <c r="H748" s="8">
        <v>765480576</v>
      </c>
      <c r="I748" s="19">
        <v>65383967</v>
      </c>
      <c r="J748" s="10">
        <v>96439</v>
      </c>
      <c r="K748" s="10">
        <v>0</v>
      </c>
      <c r="L748" s="10">
        <v>96439</v>
      </c>
      <c r="M748" s="10">
        <v>0</v>
      </c>
      <c r="N748" s="11">
        <v>96439</v>
      </c>
      <c r="O748" s="12">
        <v>765480576</v>
      </c>
      <c r="P748" s="9">
        <v>285123</v>
      </c>
      <c r="Q748" s="9" t="s">
        <v>37</v>
      </c>
      <c r="R748" s="13">
        <v>45717</v>
      </c>
      <c r="S748" s="22">
        <v>45742</v>
      </c>
      <c r="T748" s="13">
        <v>45701</v>
      </c>
      <c r="U748" s="13">
        <v>45701</v>
      </c>
      <c r="V748" s="9" t="s">
        <v>47</v>
      </c>
      <c r="W748" s="9">
        <v>22770612</v>
      </c>
      <c r="X748" s="9">
        <v>3311105</v>
      </c>
      <c r="Y748" s="9">
        <v>69250855</v>
      </c>
      <c r="Z748" s="9" t="s">
        <v>39</v>
      </c>
      <c r="AA748" s="9">
        <v>18800209401</v>
      </c>
      <c r="AB748" s="9">
        <v>78070</v>
      </c>
      <c r="AC748" s="9" t="s">
        <v>41</v>
      </c>
      <c r="AD748" s="9" t="s">
        <v>134</v>
      </c>
      <c r="AE748" s="9" t="s">
        <v>135</v>
      </c>
      <c r="AF748" s="9" t="s">
        <v>135</v>
      </c>
      <c r="AG748" s="14" t="str">
        <f t="shared" si="26"/>
        <v>EXAMENES RADIOLOGICOS</v>
      </c>
      <c r="AH748" s="9">
        <v>0</v>
      </c>
      <c r="AI748" s="9">
        <v>0</v>
      </c>
      <c r="AJ748" s="9">
        <v>76098454</v>
      </c>
      <c r="AK748" s="9" t="s">
        <v>161</v>
      </c>
      <c r="AL748" s="26" t="s">
        <v>52</v>
      </c>
      <c r="AM748" s="14" t="s">
        <v>649</v>
      </c>
      <c r="AN748" s="27" t="str">
        <f t="shared" si="25"/>
        <v>11854294|76098454|765480576|65383967</v>
      </c>
      <c r="AO748" t="s">
        <v>44</v>
      </c>
      <c r="AP748" t="b">
        <v>0</v>
      </c>
      <c r="AQ748" t="s">
        <v>763</v>
      </c>
    </row>
    <row r="749" spans="1:43" x14ac:dyDescent="0.2">
      <c r="A749" s="14" t="s">
        <v>500</v>
      </c>
      <c r="B749" s="17">
        <v>17833560</v>
      </c>
      <c r="C749" s="14" t="s">
        <v>315</v>
      </c>
      <c r="D749" s="9">
        <v>28560684</v>
      </c>
      <c r="E749" s="9" t="s">
        <v>317</v>
      </c>
      <c r="F749" s="7">
        <v>45689</v>
      </c>
      <c r="G749" s="20" t="s">
        <v>36</v>
      </c>
      <c r="H749" s="8">
        <v>765483697</v>
      </c>
      <c r="I749" s="19">
        <v>765483697</v>
      </c>
      <c r="J749" s="10">
        <v>18533</v>
      </c>
      <c r="K749" s="10">
        <v>11120</v>
      </c>
      <c r="L749" s="10">
        <v>7413</v>
      </c>
      <c r="M749" s="10">
        <v>0</v>
      </c>
      <c r="N749" s="11">
        <v>7413</v>
      </c>
      <c r="O749" s="12">
        <v>765483697</v>
      </c>
      <c r="P749" s="9">
        <v>285123</v>
      </c>
      <c r="Q749" s="9" t="s">
        <v>37</v>
      </c>
      <c r="R749" s="13">
        <v>45701</v>
      </c>
      <c r="S749" s="22">
        <v>45701</v>
      </c>
      <c r="T749" s="13">
        <v>45701</v>
      </c>
      <c r="U749" s="13">
        <v>45701</v>
      </c>
      <c r="V749" s="9" t="s">
        <v>47</v>
      </c>
      <c r="W749" s="9">
        <v>22598471</v>
      </c>
      <c r="X749" s="9">
        <v>2171709</v>
      </c>
      <c r="Y749" s="9">
        <v>68878480</v>
      </c>
      <c r="Z749" s="9" t="s">
        <v>39</v>
      </c>
      <c r="AA749" s="9">
        <v>16022025</v>
      </c>
      <c r="AB749" s="9">
        <v>77646</v>
      </c>
      <c r="AC749" s="9" t="s">
        <v>41</v>
      </c>
      <c r="AD749" s="9" t="s">
        <v>132</v>
      </c>
      <c r="AE749" s="9" t="s">
        <v>133</v>
      </c>
      <c r="AF749" s="9" t="s">
        <v>133</v>
      </c>
      <c r="AG749" s="14" t="str">
        <f t="shared" si="26"/>
        <v>EXAMENES DE LABORATORIO</v>
      </c>
      <c r="AH749" s="9" t="s">
        <v>758</v>
      </c>
      <c r="AI749" s="9">
        <v>0</v>
      </c>
      <c r="AJ749" s="9">
        <v>79576810</v>
      </c>
      <c r="AK749" s="9">
        <v>6</v>
      </c>
      <c r="AL749" s="26" t="s">
        <v>86</v>
      </c>
      <c r="AM749" s="14" t="s">
        <v>624</v>
      </c>
      <c r="AN749" s="27" t="str">
        <f t="shared" si="25"/>
        <v>17833560|79576810|765483697|765483697</v>
      </c>
      <c r="AO749" t="s">
        <v>758</v>
      </c>
      <c r="AP749" t="b">
        <v>1</v>
      </c>
      <c r="AQ749" t="s">
        <v>764</v>
      </c>
    </row>
    <row r="750" spans="1:43" x14ac:dyDescent="0.2">
      <c r="A750" s="14" t="s">
        <v>500</v>
      </c>
      <c r="B750" s="17">
        <v>17833560</v>
      </c>
      <c r="C750" s="14" t="s">
        <v>315</v>
      </c>
      <c r="D750" s="9">
        <v>28560684</v>
      </c>
      <c r="E750" s="9" t="s">
        <v>317</v>
      </c>
      <c r="F750" s="7">
        <v>45717</v>
      </c>
      <c r="G750" s="20" t="s">
        <v>46</v>
      </c>
      <c r="H750" s="8">
        <v>765483697</v>
      </c>
      <c r="I750" s="19">
        <v>65384444</v>
      </c>
      <c r="J750" s="10">
        <v>7299</v>
      </c>
      <c r="K750" s="10">
        <v>0</v>
      </c>
      <c r="L750" s="10">
        <v>7299</v>
      </c>
      <c r="M750" s="10">
        <v>0</v>
      </c>
      <c r="N750" s="11">
        <v>7299</v>
      </c>
      <c r="O750" s="12">
        <v>765483697</v>
      </c>
      <c r="P750" s="9">
        <v>285123</v>
      </c>
      <c r="Q750" s="9" t="s">
        <v>37</v>
      </c>
      <c r="R750" s="13">
        <v>45717</v>
      </c>
      <c r="S750" s="22">
        <v>45742</v>
      </c>
      <c r="T750" s="13">
        <v>45701</v>
      </c>
      <c r="U750" s="13">
        <v>45701</v>
      </c>
      <c r="V750" s="9" t="s">
        <v>47</v>
      </c>
      <c r="W750" s="9">
        <v>22770620</v>
      </c>
      <c r="X750" s="9">
        <v>3311105</v>
      </c>
      <c r="Y750" s="9">
        <v>69251312</v>
      </c>
      <c r="Z750" s="9" t="s">
        <v>39</v>
      </c>
      <c r="AA750" s="9">
        <v>71936473</v>
      </c>
      <c r="AB750" s="9">
        <v>78070</v>
      </c>
      <c r="AC750" s="9" t="s">
        <v>41</v>
      </c>
      <c r="AD750" s="9" t="s">
        <v>132</v>
      </c>
      <c r="AE750" s="9" t="s">
        <v>133</v>
      </c>
      <c r="AF750" s="9" t="s">
        <v>133</v>
      </c>
      <c r="AG750" s="14" t="str">
        <f t="shared" si="26"/>
        <v>EXAMENES DE LABORATORIO</v>
      </c>
      <c r="AH750" s="9">
        <v>0</v>
      </c>
      <c r="AI750" s="9">
        <v>0</v>
      </c>
      <c r="AJ750" s="9">
        <v>79576810</v>
      </c>
      <c r="AK750" s="9">
        <v>6</v>
      </c>
      <c r="AL750" s="26" t="s">
        <v>52</v>
      </c>
      <c r="AM750" s="14" t="s">
        <v>624</v>
      </c>
      <c r="AN750" s="27" t="str">
        <f t="shared" si="25"/>
        <v>17833560|79576810|765483697|65384444</v>
      </c>
      <c r="AO750" t="s">
        <v>44</v>
      </c>
      <c r="AP750" t="b">
        <v>0</v>
      </c>
      <c r="AQ750" t="s">
        <v>763</v>
      </c>
    </row>
    <row r="751" spans="1:43" x14ac:dyDescent="0.2">
      <c r="A751" s="14" t="s">
        <v>500</v>
      </c>
      <c r="B751" s="17">
        <v>10458253</v>
      </c>
      <c r="C751" s="14" t="s">
        <v>347</v>
      </c>
      <c r="D751" s="9">
        <v>10458253</v>
      </c>
      <c r="E751" s="9" t="s">
        <v>347</v>
      </c>
      <c r="F751" s="7">
        <v>45689</v>
      </c>
      <c r="G751" s="20" t="s">
        <v>36</v>
      </c>
      <c r="H751" s="8">
        <v>765487432</v>
      </c>
      <c r="I751" s="19">
        <v>765487432</v>
      </c>
      <c r="J751" s="10">
        <v>24167</v>
      </c>
      <c r="K751" s="10">
        <v>16917</v>
      </c>
      <c r="L751" s="10">
        <v>7250</v>
      </c>
      <c r="M751" s="10">
        <v>0</v>
      </c>
      <c r="N751" s="11">
        <v>7250</v>
      </c>
      <c r="O751" s="12">
        <v>765487432</v>
      </c>
      <c r="P751" s="9">
        <v>285123</v>
      </c>
      <c r="Q751" s="9" t="s">
        <v>37</v>
      </c>
      <c r="R751" s="13">
        <v>45702</v>
      </c>
      <c r="S751" s="22">
        <v>45702</v>
      </c>
      <c r="T751" s="13">
        <v>45702</v>
      </c>
      <c r="U751" s="13">
        <v>45702</v>
      </c>
      <c r="V751" s="9" t="s">
        <v>47</v>
      </c>
      <c r="W751" s="9">
        <v>22598483</v>
      </c>
      <c r="X751" s="9">
        <v>2171709</v>
      </c>
      <c r="Y751" s="9">
        <v>68878711</v>
      </c>
      <c r="Z751" s="9" t="s">
        <v>39</v>
      </c>
      <c r="AA751" s="9">
        <v>16022025</v>
      </c>
      <c r="AB751" s="9">
        <v>77646</v>
      </c>
      <c r="AC751" s="9" t="s">
        <v>41</v>
      </c>
      <c r="AD751" s="9" t="s">
        <v>132</v>
      </c>
      <c r="AE751" s="9" t="s">
        <v>133</v>
      </c>
      <c r="AF751" s="9" t="s">
        <v>133</v>
      </c>
      <c r="AG751" s="14" t="str">
        <f t="shared" si="26"/>
        <v>EXAMENES DE LABORATORIO</v>
      </c>
      <c r="AH751" s="9" t="s">
        <v>758</v>
      </c>
      <c r="AI751" s="9">
        <v>0</v>
      </c>
      <c r="AJ751" s="9">
        <v>96942400</v>
      </c>
      <c r="AK751" s="9">
        <v>2</v>
      </c>
      <c r="AL751" s="26" t="s">
        <v>86</v>
      </c>
      <c r="AM751" s="14" t="s">
        <v>648</v>
      </c>
      <c r="AN751" s="27" t="str">
        <f t="shared" si="25"/>
        <v>10458253|96942400|765487432|765487432</v>
      </c>
      <c r="AO751" t="s">
        <v>758</v>
      </c>
      <c r="AP751" t="b">
        <v>1</v>
      </c>
      <c r="AQ751" t="s">
        <v>764</v>
      </c>
    </row>
    <row r="752" spans="1:43" x14ac:dyDescent="0.2">
      <c r="A752" s="14" t="s">
        <v>500</v>
      </c>
      <c r="B752" s="17">
        <v>10458253</v>
      </c>
      <c r="C752" s="14" t="s">
        <v>347</v>
      </c>
      <c r="D752" s="9">
        <v>10458253</v>
      </c>
      <c r="E752" s="9" t="s">
        <v>347</v>
      </c>
      <c r="F752" s="7">
        <v>45717</v>
      </c>
      <c r="G752" s="20" t="s">
        <v>46</v>
      </c>
      <c r="H752" s="8">
        <v>765487432</v>
      </c>
      <c r="I752" s="19">
        <v>65383849</v>
      </c>
      <c r="J752" s="10">
        <v>6916</v>
      </c>
      <c r="K752" s="10">
        <v>0</v>
      </c>
      <c r="L752" s="10">
        <v>6916</v>
      </c>
      <c r="M752" s="10">
        <v>0</v>
      </c>
      <c r="N752" s="11">
        <v>6916</v>
      </c>
      <c r="O752" s="12">
        <v>765487432</v>
      </c>
      <c r="P752" s="9">
        <v>285123</v>
      </c>
      <c r="Q752" s="9" t="s">
        <v>37</v>
      </c>
      <c r="R752" s="13">
        <v>45717</v>
      </c>
      <c r="S752" s="22">
        <v>45742</v>
      </c>
      <c r="T752" s="13">
        <v>45702</v>
      </c>
      <c r="U752" s="13">
        <v>45702</v>
      </c>
      <c r="V752" s="9" t="s">
        <v>47</v>
      </c>
      <c r="W752" s="9">
        <v>22770625</v>
      </c>
      <c r="X752" s="9">
        <v>3311105</v>
      </c>
      <c r="Y752" s="9">
        <v>69250738</v>
      </c>
      <c r="Z752" s="9" t="s">
        <v>39</v>
      </c>
      <c r="AA752" s="9">
        <v>1702834992</v>
      </c>
      <c r="AB752" s="9">
        <v>78070</v>
      </c>
      <c r="AC752" s="9" t="s">
        <v>41</v>
      </c>
      <c r="AD752" s="9" t="s">
        <v>132</v>
      </c>
      <c r="AE752" s="9" t="s">
        <v>133</v>
      </c>
      <c r="AF752" s="9" t="s">
        <v>133</v>
      </c>
      <c r="AG752" s="14" t="str">
        <f t="shared" si="26"/>
        <v>EXAMENES DE LABORATORIO</v>
      </c>
      <c r="AH752" s="9">
        <v>0</v>
      </c>
      <c r="AI752" s="9">
        <v>0</v>
      </c>
      <c r="AJ752" s="9">
        <v>96942400</v>
      </c>
      <c r="AK752" s="9">
        <v>2</v>
      </c>
      <c r="AL752" s="26" t="s">
        <v>52</v>
      </c>
      <c r="AM752" s="14" t="s">
        <v>648</v>
      </c>
      <c r="AN752" s="27" t="str">
        <f t="shared" si="25"/>
        <v>10458253|96942400|765487432|65383849</v>
      </c>
      <c r="AO752" t="s">
        <v>44</v>
      </c>
      <c r="AP752" t="b">
        <v>0</v>
      </c>
      <c r="AQ752" t="s">
        <v>763</v>
      </c>
    </row>
    <row r="753" spans="1:43" x14ac:dyDescent="0.2">
      <c r="A753" s="14" t="s">
        <v>500</v>
      </c>
      <c r="B753" s="17">
        <v>10458253</v>
      </c>
      <c r="C753" s="14" t="s">
        <v>347</v>
      </c>
      <c r="D753" s="9">
        <v>10458253</v>
      </c>
      <c r="E753" s="9" t="s">
        <v>347</v>
      </c>
      <c r="F753" s="7">
        <v>45689</v>
      </c>
      <c r="G753" s="20" t="s">
        <v>36</v>
      </c>
      <c r="H753" s="8">
        <v>765487433</v>
      </c>
      <c r="I753" s="19">
        <v>765487433</v>
      </c>
      <c r="J753" s="10">
        <v>37596</v>
      </c>
      <c r="K753" s="10">
        <v>26319</v>
      </c>
      <c r="L753" s="10">
        <v>11277</v>
      </c>
      <c r="M753" s="10">
        <v>0</v>
      </c>
      <c r="N753" s="11">
        <v>11277</v>
      </c>
      <c r="O753" s="12">
        <v>765487433</v>
      </c>
      <c r="P753" s="9">
        <v>285123</v>
      </c>
      <c r="Q753" s="9" t="s">
        <v>37</v>
      </c>
      <c r="R753" s="13">
        <v>45702</v>
      </c>
      <c r="S753" s="22">
        <v>45702</v>
      </c>
      <c r="T753" s="13">
        <v>45702</v>
      </c>
      <c r="U753" s="13">
        <v>45702</v>
      </c>
      <c r="V753" s="9" t="s">
        <v>47</v>
      </c>
      <c r="W753" s="9">
        <v>22598483</v>
      </c>
      <c r="X753" s="9">
        <v>2171709</v>
      </c>
      <c r="Y753" s="9">
        <v>68878710</v>
      </c>
      <c r="Z753" s="9" t="s">
        <v>39</v>
      </c>
      <c r="AA753" s="9">
        <v>16022025</v>
      </c>
      <c r="AB753" s="9">
        <v>77646</v>
      </c>
      <c r="AC753" s="9" t="s">
        <v>41</v>
      </c>
      <c r="AD753" s="9" t="s">
        <v>132</v>
      </c>
      <c r="AE753" s="9" t="s">
        <v>133</v>
      </c>
      <c r="AF753" s="9" t="s">
        <v>133</v>
      </c>
      <c r="AG753" s="14" t="str">
        <f t="shared" si="26"/>
        <v>EXAMENES DE LABORATORIO</v>
      </c>
      <c r="AH753" s="9" t="s">
        <v>758</v>
      </c>
      <c r="AI753" s="9">
        <v>0</v>
      </c>
      <c r="AJ753" s="9">
        <v>96942400</v>
      </c>
      <c r="AK753" s="9">
        <v>2</v>
      </c>
      <c r="AL753" s="26" t="s">
        <v>86</v>
      </c>
      <c r="AM753" s="14" t="s">
        <v>648</v>
      </c>
      <c r="AN753" s="27" t="str">
        <f t="shared" si="25"/>
        <v>10458253|96942400|765487433|765487433</v>
      </c>
      <c r="AO753" t="s">
        <v>758</v>
      </c>
      <c r="AP753" t="b">
        <v>1</v>
      </c>
      <c r="AQ753" t="s">
        <v>764</v>
      </c>
    </row>
    <row r="754" spans="1:43" x14ac:dyDescent="0.2">
      <c r="A754" s="14" t="s">
        <v>500</v>
      </c>
      <c r="B754" s="17">
        <v>10458253</v>
      </c>
      <c r="C754" s="14" t="s">
        <v>347</v>
      </c>
      <c r="D754" s="9">
        <v>10458253</v>
      </c>
      <c r="E754" s="9" t="s">
        <v>347</v>
      </c>
      <c r="F754" s="7">
        <v>45717</v>
      </c>
      <c r="G754" s="20" t="s">
        <v>46</v>
      </c>
      <c r="H754" s="8">
        <v>765487433</v>
      </c>
      <c r="I754" s="19">
        <v>65383850</v>
      </c>
      <c r="J754" s="10">
        <v>11144</v>
      </c>
      <c r="K754" s="10">
        <v>0</v>
      </c>
      <c r="L754" s="10">
        <v>11144</v>
      </c>
      <c r="M754" s="10">
        <v>0</v>
      </c>
      <c r="N754" s="11">
        <v>11144</v>
      </c>
      <c r="O754" s="12">
        <v>765487433</v>
      </c>
      <c r="P754" s="9">
        <v>285123</v>
      </c>
      <c r="Q754" s="9" t="s">
        <v>37</v>
      </c>
      <c r="R754" s="13">
        <v>45717</v>
      </c>
      <c r="S754" s="22">
        <v>45742</v>
      </c>
      <c r="T754" s="13">
        <v>45702</v>
      </c>
      <c r="U754" s="13">
        <v>45702</v>
      </c>
      <c r="V754" s="9" t="s">
        <v>47</v>
      </c>
      <c r="W754" s="9">
        <v>22770625</v>
      </c>
      <c r="X754" s="9">
        <v>3311105</v>
      </c>
      <c r="Y754" s="9">
        <v>69250739</v>
      </c>
      <c r="Z754" s="9" t="s">
        <v>39</v>
      </c>
      <c r="AA754" s="9">
        <v>1702834992</v>
      </c>
      <c r="AB754" s="9">
        <v>78070</v>
      </c>
      <c r="AC754" s="9" t="s">
        <v>41</v>
      </c>
      <c r="AD754" s="9" t="s">
        <v>132</v>
      </c>
      <c r="AE754" s="9" t="s">
        <v>133</v>
      </c>
      <c r="AF754" s="9" t="s">
        <v>133</v>
      </c>
      <c r="AG754" s="14" t="str">
        <f t="shared" si="26"/>
        <v>EXAMENES DE LABORATORIO</v>
      </c>
      <c r="AH754" s="9">
        <v>0</v>
      </c>
      <c r="AI754" s="9">
        <v>0</v>
      </c>
      <c r="AJ754" s="9">
        <v>96942400</v>
      </c>
      <c r="AK754" s="9">
        <v>2</v>
      </c>
      <c r="AL754" s="26" t="s">
        <v>52</v>
      </c>
      <c r="AM754" s="14" t="s">
        <v>648</v>
      </c>
      <c r="AN754" s="27" t="str">
        <f t="shared" si="25"/>
        <v>10458253|96942400|765487433|65383850</v>
      </c>
      <c r="AO754" t="s">
        <v>44</v>
      </c>
      <c r="AP754" t="b">
        <v>0</v>
      </c>
      <c r="AQ754" t="s">
        <v>763</v>
      </c>
    </row>
    <row r="755" spans="1:43" x14ac:dyDescent="0.2">
      <c r="A755" s="14" t="s">
        <v>500</v>
      </c>
      <c r="B755" s="17">
        <v>10458253</v>
      </c>
      <c r="C755" s="14" t="s">
        <v>347</v>
      </c>
      <c r="D755" s="9">
        <v>10458253</v>
      </c>
      <c r="E755" s="9" t="s">
        <v>347</v>
      </c>
      <c r="F755" s="7">
        <v>45689</v>
      </c>
      <c r="G755" s="20" t="s">
        <v>36</v>
      </c>
      <c r="H755" s="8">
        <v>765487434</v>
      </c>
      <c r="I755" s="19">
        <v>765487434</v>
      </c>
      <c r="J755" s="10">
        <v>31460</v>
      </c>
      <c r="K755" s="10">
        <v>22024</v>
      </c>
      <c r="L755" s="10">
        <v>9436</v>
      </c>
      <c r="M755" s="10">
        <v>0</v>
      </c>
      <c r="N755" s="11">
        <v>9436</v>
      </c>
      <c r="O755" s="12">
        <v>765487434</v>
      </c>
      <c r="P755" s="9">
        <v>285123</v>
      </c>
      <c r="Q755" s="9" t="s">
        <v>37</v>
      </c>
      <c r="R755" s="13">
        <v>45702</v>
      </c>
      <c r="S755" s="22">
        <v>45702</v>
      </c>
      <c r="T755" s="13">
        <v>45702</v>
      </c>
      <c r="U755" s="13">
        <v>45702</v>
      </c>
      <c r="V755" s="9" t="s">
        <v>47</v>
      </c>
      <c r="W755" s="9">
        <v>22598483</v>
      </c>
      <c r="X755" s="9">
        <v>2171709</v>
      </c>
      <c r="Y755" s="9">
        <v>68878709</v>
      </c>
      <c r="Z755" s="9" t="s">
        <v>39</v>
      </c>
      <c r="AA755" s="9">
        <v>16022025</v>
      </c>
      <c r="AB755" s="9">
        <v>77646</v>
      </c>
      <c r="AC755" s="9" t="s">
        <v>41</v>
      </c>
      <c r="AD755" s="9" t="s">
        <v>132</v>
      </c>
      <c r="AE755" s="9" t="s">
        <v>133</v>
      </c>
      <c r="AF755" s="9" t="s">
        <v>133</v>
      </c>
      <c r="AG755" s="14" t="str">
        <f t="shared" si="26"/>
        <v>EXAMENES DE LABORATORIO</v>
      </c>
      <c r="AH755" s="9" t="s">
        <v>758</v>
      </c>
      <c r="AI755" s="9">
        <v>0</v>
      </c>
      <c r="AJ755" s="9">
        <v>96942400</v>
      </c>
      <c r="AK755" s="9">
        <v>2</v>
      </c>
      <c r="AL755" s="26" t="s">
        <v>86</v>
      </c>
      <c r="AM755" s="14" t="s">
        <v>648</v>
      </c>
      <c r="AN755" s="27" t="str">
        <f t="shared" si="25"/>
        <v>10458253|96942400|765487434|765487434</v>
      </c>
      <c r="AO755" t="s">
        <v>758</v>
      </c>
      <c r="AP755" t="b">
        <v>1</v>
      </c>
      <c r="AQ755" t="s">
        <v>764</v>
      </c>
    </row>
    <row r="756" spans="1:43" x14ac:dyDescent="0.2">
      <c r="A756" s="14" t="s">
        <v>500</v>
      </c>
      <c r="B756" s="17">
        <v>10458253</v>
      </c>
      <c r="C756" s="14" t="s">
        <v>347</v>
      </c>
      <c r="D756" s="9">
        <v>10458253</v>
      </c>
      <c r="E756" s="9" t="s">
        <v>347</v>
      </c>
      <c r="F756" s="7">
        <v>45717</v>
      </c>
      <c r="G756" s="20" t="s">
        <v>46</v>
      </c>
      <c r="H756" s="8">
        <v>765487434</v>
      </c>
      <c r="I756" s="19">
        <v>65383851</v>
      </c>
      <c r="J756" s="10">
        <v>9607</v>
      </c>
      <c r="K756" s="10">
        <v>0</v>
      </c>
      <c r="L756" s="10">
        <v>9607</v>
      </c>
      <c r="M756" s="10">
        <v>0</v>
      </c>
      <c r="N756" s="11">
        <v>9607</v>
      </c>
      <c r="O756" s="12">
        <v>765487434</v>
      </c>
      <c r="P756" s="9">
        <v>285123</v>
      </c>
      <c r="Q756" s="9" t="s">
        <v>37</v>
      </c>
      <c r="R756" s="13">
        <v>45717</v>
      </c>
      <c r="S756" s="22">
        <v>45742</v>
      </c>
      <c r="T756" s="13">
        <v>45702</v>
      </c>
      <c r="U756" s="13">
        <v>45702</v>
      </c>
      <c r="V756" s="9" t="s">
        <v>47</v>
      </c>
      <c r="W756" s="9">
        <v>22770625</v>
      </c>
      <c r="X756" s="9">
        <v>3311105</v>
      </c>
      <c r="Y756" s="9">
        <v>69250740</v>
      </c>
      <c r="Z756" s="9" t="s">
        <v>39</v>
      </c>
      <c r="AA756" s="9">
        <v>1702834992</v>
      </c>
      <c r="AB756" s="9">
        <v>78070</v>
      </c>
      <c r="AC756" s="9" t="s">
        <v>41</v>
      </c>
      <c r="AD756" s="9" t="s">
        <v>132</v>
      </c>
      <c r="AE756" s="9" t="s">
        <v>133</v>
      </c>
      <c r="AF756" s="9" t="s">
        <v>133</v>
      </c>
      <c r="AG756" s="14" t="str">
        <f t="shared" si="26"/>
        <v>EXAMENES DE LABORATORIO</v>
      </c>
      <c r="AH756" s="9">
        <v>0</v>
      </c>
      <c r="AI756" s="9">
        <v>0</v>
      </c>
      <c r="AJ756" s="9">
        <v>96942400</v>
      </c>
      <c r="AK756" s="9">
        <v>2</v>
      </c>
      <c r="AL756" s="26" t="s">
        <v>52</v>
      </c>
      <c r="AM756" s="14" t="s">
        <v>648</v>
      </c>
      <c r="AN756" s="27" t="str">
        <f t="shared" si="25"/>
        <v>10458253|96942400|765487434|65383851</v>
      </c>
      <c r="AO756" t="s">
        <v>44</v>
      </c>
      <c r="AP756" t="b">
        <v>0</v>
      </c>
      <c r="AQ756" t="s">
        <v>763</v>
      </c>
    </row>
    <row r="757" spans="1:43" x14ac:dyDescent="0.2">
      <c r="A757" s="14" t="s">
        <v>500</v>
      </c>
      <c r="B757" s="17">
        <v>10458253</v>
      </c>
      <c r="C757" s="14" t="s">
        <v>347</v>
      </c>
      <c r="D757" s="9">
        <v>10458253</v>
      </c>
      <c r="E757" s="9" t="s">
        <v>347</v>
      </c>
      <c r="F757" s="7">
        <v>45689</v>
      </c>
      <c r="G757" s="20" t="s">
        <v>36</v>
      </c>
      <c r="H757" s="8">
        <v>765487435</v>
      </c>
      <c r="I757" s="19">
        <v>765487435</v>
      </c>
      <c r="J757" s="10">
        <v>19097</v>
      </c>
      <c r="K757" s="10">
        <v>13368</v>
      </c>
      <c r="L757" s="10">
        <v>5729</v>
      </c>
      <c r="M757" s="10">
        <v>0</v>
      </c>
      <c r="N757" s="11">
        <v>5729</v>
      </c>
      <c r="O757" s="12">
        <v>765487435</v>
      </c>
      <c r="P757" s="9">
        <v>285123</v>
      </c>
      <c r="Q757" s="9" t="s">
        <v>37</v>
      </c>
      <c r="R757" s="13">
        <v>45702</v>
      </c>
      <c r="S757" s="22">
        <v>45702</v>
      </c>
      <c r="T757" s="13">
        <v>45702</v>
      </c>
      <c r="U757" s="13">
        <v>45702</v>
      </c>
      <c r="V757" s="9" t="s">
        <v>47</v>
      </c>
      <c r="W757" s="9">
        <v>22598483</v>
      </c>
      <c r="X757" s="9">
        <v>2171709</v>
      </c>
      <c r="Y757" s="9">
        <v>68878708</v>
      </c>
      <c r="Z757" s="9" t="s">
        <v>39</v>
      </c>
      <c r="AA757" s="9">
        <v>16022025</v>
      </c>
      <c r="AB757" s="9">
        <v>77646</v>
      </c>
      <c r="AC757" s="9" t="s">
        <v>41</v>
      </c>
      <c r="AD757" s="9" t="s">
        <v>132</v>
      </c>
      <c r="AE757" s="9" t="s">
        <v>133</v>
      </c>
      <c r="AF757" s="9" t="s">
        <v>133</v>
      </c>
      <c r="AG757" s="14" t="str">
        <f t="shared" si="26"/>
        <v>EXAMENES DE LABORATORIO</v>
      </c>
      <c r="AH757" s="9" t="s">
        <v>758</v>
      </c>
      <c r="AI757" s="9">
        <v>0</v>
      </c>
      <c r="AJ757" s="9">
        <v>96942400</v>
      </c>
      <c r="AK757" s="9">
        <v>2</v>
      </c>
      <c r="AL757" s="26" t="s">
        <v>86</v>
      </c>
      <c r="AM757" s="14" t="s">
        <v>648</v>
      </c>
      <c r="AN757" s="27" t="str">
        <f t="shared" si="25"/>
        <v>10458253|96942400|765487435|765487435</v>
      </c>
      <c r="AO757" t="s">
        <v>758</v>
      </c>
      <c r="AP757" t="b">
        <v>1</v>
      </c>
      <c r="AQ757" t="s">
        <v>764</v>
      </c>
    </row>
    <row r="758" spans="1:43" x14ac:dyDescent="0.2">
      <c r="A758" s="14" t="s">
        <v>500</v>
      </c>
      <c r="B758" s="17">
        <v>10458253</v>
      </c>
      <c r="C758" s="14" t="s">
        <v>347</v>
      </c>
      <c r="D758" s="9">
        <v>10458253</v>
      </c>
      <c r="E758" s="9" t="s">
        <v>347</v>
      </c>
      <c r="F758" s="7">
        <v>45717</v>
      </c>
      <c r="G758" s="20" t="s">
        <v>46</v>
      </c>
      <c r="H758" s="8">
        <v>765487435</v>
      </c>
      <c r="I758" s="19">
        <v>65383852</v>
      </c>
      <c r="J758" s="10">
        <v>5380</v>
      </c>
      <c r="K758" s="10">
        <v>0</v>
      </c>
      <c r="L758" s="10">
        <v>5380</v>
      </c>
      <c r="M758" s="10">
        <v>0</v>
      </c>
      <c r="N758" s="11">
        <v>5380</v>
      </c>
      <c r="O758" s="12">
        <v>765487435</v>
      </c>
      <c r="P758" s="9">
        <v>285123</v>
      </c>
      <c r="Q758" s="9" t="s">
        <v>37</v>
      </c>
      <c r="R758" s="13">
        <v>45717</v>
      </c>
      <c r="S758" s="22">
        <v>45742</v>
      </c>
      <c r="T758" s="13">
        <v>45702</v>
      </c>
      <c r="U758" s="13">
        <v>45702</v>
      </c>
      <c r="V758" s="9" t="s">
        <v>47</v>
      </c>
      <c r="W758" s="9">
        <v>22770625</v>
      </c>
      <c r="X758" s="9">
        <v>3311105</v>
      </c>
      <c r="Y758" s="9">
        <v>69250741</v>
      </c>
      <c r="Z758" s="9" t="s">
        <v>39</v>
      </c>
      <c r="AA758" s="9">
        <v>1702834992</v>
      </c>
      <c r="AB758" s="9">
        <v>78070</v>
      </c>
      <c r="AC758" s="9" t="s">
        <v>41</v>
      </c>
      <c r="AD758" s="9" t="s">
        <v>132</v>
      </c>
      <c r="AE758" s="9" t="s">
        <v>133</v>
      </c>
      <c r="AF758" s="9" t="s">
        <v>133</v>
      </c>
      <c r="AG758" s="14" t="str">
        <f t="shared" si="26"/>
        <v>EXAMENES DE LABORATORIO</v>
      </c>
      <c r="AH758" s="9">
        <v>0</v>
      </c>
      <c r="AI758" s="9">
        <v>0</v>
      </c>
      <c r="AJ758" s="9">
        <v>96942400</v>
      </c>
      <c r="AK758" s="9">
        <v>2</v>
      </c>
      <c r="AL758" s="26" t="s">
        <v>52</v>
      </c>
      <c r="AM758" s="14" t="s">
        <v>648</v>
      </c>
      <c r="AN758" s="27" t="str">
        <f t="shared" si="25"/>
        <v>10458253|96942400|765487435|65383852</v>
      </c>
      <c r="AO758" t="s">
        <v>44</v>
      </c>
      <c r="AP758" t="b">
        <v>0</v>
      </c>
      <c r="AQ758" t="s">
        <v>763</v>
      </c>
    </row>
    <row r="759" spans="1:43" x14ac:dyDescent="0.2">
      <c r="A759" s="14" t="s">
        <v>500</v>
      </c>
      <c r="B759" s="17">
        <v>11739910</v>
      </c>
      <c r="C759" s="14" t="s">
        <v>338</v>
      </c>
      <c r="D759" s="9">
        <v>11739910</v>
      </c>
      <c r="E759" s="9" t="s">
        <v>338</v>
      </c>
      <c r="F759" s="7">
        <v>45689</v>
      </c>
      <c r="G759" s="20" t="s">
        <v>36</v>
      </c>
      <c r="H759" s="8">
        <v>765503086</v>
      </c>
      <c r="I759" s="19">
        <v>765503086</v>
      </c>
      <c r="J759" s="10">
        <v>114720</v>
      </c>
      <c r="K759" s="10">
        <v>112426</v>
      </c>
      <c r="L759" s="10">
        <v>2294</v>
      </c>
      <c r="M759" s="10">
        <v>0</v>
      </c>
      <c r="N759" s="11">
        <v>2294</v>
      </c>
      <c r="O759" s="12">
        <v>765503086</v>
      </c>
      <c r="P759" s="9">
        <v>285123</v>
      </c>
      <c r="Q759" s="9" t="s">
        <v>37</v>
      </c>
      <c r="R759" s="13">
        <v>45703</v>
      </c>
      <c r="S759" s="22">
        <v>45703</v>
      </c>
      <c r="T759" s="13">
        <v>45703</v>
      </c>
      <c r="U759" s="13">
        <v>45703</v>
      </c>
      <c r="V759" s="9" t="s">
        <v>47</v>
      </c>
      <c r="W759" s="9">
        <v>22621710</v>
      </c>
      <c r="X759" s="9">
        <v>2250942</v>
      </c>
      <c r="Y759" s="9">
        <v>68909080</v>
      </c>
      <c r="Z759" s="9" t="s">
        <v>39</v>
      </c>
      <c r="AA759" s="9">
        <v>23022025</v>
      </c>
      <c r="AB759" s="9">
        <v>77703</v>
      </c>
      <c r="AC759" s="9" t="s">
        <v>41</v>
      </c>
      <c r="AD759" s="9" t="s">
        <v>65</v>
      </c>
      <c r="AE759" s="9" t="s">
        <v>66</v>
      </c>
      <c r="AF759" s="9" t="s">
        <v>66</v>
      </c>
      <c r="AG759" s="14" t="str">
        <f t="shared" si="26"/>
        <v>PROCEDIMIENTOS TERAPEUTICOS</v>
      </c>
      <c r="AH759" s="9" t="s">
        <v>758</v>
      </c>
      <c r="AI759" s="9">
        <v>0</v>
      </c>
      <c r="AJ759" s="9">
        <v>96942400</v>
      </c>
      <c r="AK759" s="9">
        <v>2</v>
      </c>
      <c r="AL759" s="26" t="s">
        <v>86</v>
      </c>
      <c r="AM759" s="14" t="s">
        <v>640</v>
      </c>
      <c r="AN759" s="27" t="str">
        <f t="shared" si="25"/>
        <v>11739910|96942400|765503086|765503086</v>
      </c>
      <c r="AO759" t="s">
        <v>758</v>
      </c>
      <c r="AP759" t="b">
        <v>1</v>
      </c>
      <c r="AQ759" t="s">
        <v>764</v>
      </c>
    </row>
    <row r="760" spans="1:43" x14ac:dyDescent="0.2">
      <c r="A760" s="14" t="s">
        <v>500</v>
      </c>
      <c r="B760" s="17">
        <v>11739910</v>
      </c>
      <c r="C760" s="14" t="s">
        <v>338</v>
      </c>
      <c r="D760" s="9">
        <v>11739910</v>
      </c>
      <c r="E760" s="9" t="s">
        <v>338</v>
      </c>
      <c r="F760" s="7">
        <v>45717</v>
      </c>
      <c r="G760" s="20" t="s">
        <v>46</v>
      </c>
      <c r="H760" s="8">
        <v>765503086</v>
      </c>
      <c r="I760" s="19">
        <v>65383958</v>
      </c>
      <c r="J760" s="10">
        <v>11535</v>
      </c>
      <c r="K760" s="10">
        <v>0</v>
      </c>
      <c r="L760" s="10">
        <v>11535</v>
      </c>
      <c r="M760" s="10">
        <v>0</v>
      </c>
      <c r="N760" s="11">
        <v>11535</v>
      </c>
      <c r="O760" s="12">
        <v>765503086</v>
      </c>
      <c r="P760" s="9">
        <v>285123</v>
      </c>
      <c r="Q760" s="9" t="s">
        <v>37</v>
      </c>
      <c r="R760" s="13">
        <v>45717</v>
      </c>
      <c r="S760" s="22">
        <v>45742</v>
      </c>
      <c r="T760" s="13">
        <v>45703</v>
      </c>
      <c r="U760" s="13">
        <v>45703</v>
      </c>
      <c r="V760" s="9" t="s">
        <v>47</v>
      </c>
      <c r="W760" s="9">
        <v>22770636</v>
      </c>
      <c r="X760" s="9">
        <v>3311105</v>
      </c>
      <c r="Y760" s="9">
        <v>69250846</v>
      </c>
      <c r="Z760" s="9" t="s">
        <v>39</v>
      </c>
      <c r="AA760" s="9">
        <v>2650102250127</v>
      </c>
      <c r="AB760" s="9">
        <v>78070</v>
      </c>
      <c r="AC760" s="9" t="s">
        <v>41</v>
      </c>
      <c r="AD760" s="9" t="s">
        <v>65</v>
      </c>
      <c r="AE760" s="9" t="s">
        <v>66</v>
      </c>
      <c r="AF760" s="9" t="s">
        <v>66</v>
      </c>
      <c r="AG760" s="14" t="str">
        <f t="shared" si="26"/>
        <v>PROCEDIMIENTOS TERAPEUTICOS</v>
      </c>
      <c r="AH760" s="9">
        <v>0</v>
      </c>
      <c r="AI760" s="9">
        <v>0</v>
      </c>
      <c r="AJ760" s="9">
        <v>96942400</v>
      </c>
      <c r="AK760" s="9">
        <v>2</v>
      </c>
      <c r="AL760" s="26" t="s">
        <v>52</v>
      </c>
      <c r="AM760" s="14" t="s">
        <v>640</v>
      </c>
      <c r="AN760" s="27" t="str">
        <f t="shared" si="25"/>
        <v>11739910|96942400|765503086|65383958</v>
      </c>
      <c r="AO760" t="s">
        <v>44</v>
      </c>
      <c r="AP760" t="b">
        <v>0</v>
      </c>
      <c r="AQ760" t="s">
        <v>763</v>
      </c>
    </row>
    <row r="761" spans="1:43" x14ac:dyDescent="0.2">
      <c r="A761" s="14" t="s">
        <v>500</v>
      </c>
      <c r="B761" s="17">
        <v>9643668</v>
      </c>
      <c r="C761" s="14" t="s">
        <v>324</v>
      </c>
      <c r="D761" s="9">
        <v>9643668</v>
      </c>
      <c r="E761" s="9" t="s">
        <v>324</v>
      </c>
      <c r="F761" s="7">
        <v>45689</v>
      </c>
      <c r="G761" s="20" t="s">
        <v>36</v>
      </c>
      <c r="H761" s="8">
        <v>765509052</v>
      </c>
      <c r="I761" s="19">
        <v>765509052</v>
      </c>
      <c r="J761" s="10">
        <v>31666</v>
      </c>
      <c r="K761" s="10">
        <v>16283</v>
      </c>
      <c r="L761" s="10">
        <v>15383</v>
      </c>
      <c r="M761" s="10">
        <v>0</v>
      </c>
      <c r="N761" s="11">
        <v>15383</v>
      </c>
      <c r="O761" s="12">
        <v>765509052</v>
      </c>
      <c r="P761" s="9">
        <v>285123</v>
      </c>
      <c r="Q761" s="9" t="s">
        <v>37</v>
      </c>
      <c r="R761" s="13">
        <v>45705</v>
      </c>
      <c r="S761" s="22">
        <v>45705</v>
      </c>
      <c r="T761" s="13">
        <v>45705</v>
      </c>
      <c r="U761" s="13">
        <v>45705</v>
      </c>
      <c r="V761" s="9" t="s">
        <v>47</v>
      </c>
      <c r="W761" s="9">
        <v>22621723</v>
      </c>
      <c r="X761" s="9">
        <v>2250942</v>
      </c>
      <c r="Y761" s="9">
        <v>68909391</v>
      </c>
      <c r="Z761" s="9" t="s">
        <v>39</v>
      </c>
      <c r="AA761" s="9">
        <v>23022025</v>
      </c>
      <c r="AB761" s="9">
        <v>77703</v>
      </c>
      <c r="AC761" s="9" t="s">
        <v>41</v>
      </c>
      <c r="AD761" s="9" t="s">
        <v>134</v>
      </c>
      <c r="AE761" s="9" t="s">
        <v>135</v>
      </c>
      <c r="AF761" s="9" t="s">
        <v>135</v>
      </c>
      <c r="AG761" s="14" t="str">
        <f t="shared" si="26"/>
        <v>EXAMENES RADIOLOGICOS</v>
      </c>
      <c r="AH761" s="9" t="s">
        <v>758</v>
      </c>
      <c r="AI761" s="9">
        <v>0</v>
      </c>
      <c r="AJ761" s="9">
        <v>76055963</v>
      </c>
      <c r="AK761" s="9">
        <v>6</v>
      </c>
      <c r="AL761" s="26" t="s">
        <v>86</v>
      </c>
      <c r="AM761" s="14" t="s">
        <v>630</v>
      </c>
      <c r="AN761" s="27" t="str">
        <f t="shared" si="25"/>
        <v>9643668|76055963|765509052|765509052</v>
      </c>
      <c r="AO761" t="s">
        <v>758</v>
      </c>
      <c r="AP761" t="b">
        <v>1</v>
      </c>
      <c r="AQ761" t="s">
        <v>764</v>
      </c>
    </row>
    <row r="762" spans="1:43" x14ac:dyDescent="0.2">
      <c r="A762" s="14" t="s">
        <v>500</v>
      </c>
      <c r="B762" s="17">
        <v>9643668</v>
      </c>
      <c r="C762" s="14" t="s">
        <v>324</v>
      </c>
      <c r="D762" s="9">
        <v>9643668</v>
      </c>
      <c r="E762" s="9" t="s">
        <v>324</v>
      </c>
      <c r="F762" s="7">
        <v>45717</v>
      </c>
      <c r="G762" s="20" t="s">
        <v>46</v>
      </c>
      <c r="H762" s="8">
        <v>765509052</v>
      </c>
      <c r="I762" s="19">
        <v>65383757</v>
      </c>
      <c r="J762" s="10">
        <v>15392</v>
      </c>
      <c r="K762" s="10">
        <v>0</v>
      </c>
      <c r="L762" s="10">
        <v>15392</v>
      </c>
      <c r="M762" s="10">
        <v>0</v>
      </c>
      <c r="N762" s="11">
        <v>15392</v>
      </c>
      <c r="O762" s="12">
        <v>765509052</v>
      </c>
      <c r="P762" s="9">
        <v>285123</v>
      </c>
      <c r="Q762" s="9" t="s">
        <v>37</v>
      </c>
      <c r="R762" s="13">
        <v>45717</v>
      </c>
      <c r="S762" s="22">
        <v>45742</v>
      </c>
      <c r="T762" s="13">
        <v>45705</v>
      </c>
      <c r="U762" s="13">
        <v>45705</v>
      </c>
      <c r="V762" s="9" t="s">
        <v>47</v>
      </c>
      <c r="W762" s="9">
        <v>22770641</v>
      </c>
      <c r="X762" s="9">
        <v>3311105</v>
      </c>
      <c r="Y762" s="9">
        <v>69250647</v>
      </c>
      <c r="Z762" s="9" t="s">
        <v>39</v>
      </c>
      <c r="AA762" s="9">
        <v>580360901</v>
      </c>
      <c r="AB762" s="9">
        <v>78070</v>
      </c>
      <c r="AC762" s="9" t="s">
        <v>41</v>
      </c>
      <c r="AD762" s="9" t="s">
        <v>134</v>
      </c>
      <c r="AE762" s="9" t="s">
        <v>135</v>
      </c>
      <c r="AF762" s="9" t="s">
        <v>135</v>
      </c>
      <c r="AG762" s="14" t="str">
        <f t="shared" si="26"/>
        <v>EXAMENES RADIOLOGICOS</v>
      </c>
      <c r="AH762" s="9">
        <v>0</v>
      </c>
      <c r="AI762" s="9">
        <v>0</v>
      </c>
      <c r="AJ762" s="9">
        <v>76055963</v>
      </c>
      <c r="AK762" s="9">
        <v>6</v>
      </c>
      <c r="AL762" s="26" t="s">
        <v>52</v>
      </c>
      <c r="AM762" s="14" t="s">
        <v>630</v>
      </c>
      <c r="AN762" s="27" t="str">
        <f t="shared" si="25"/>
        <v>9643668|76055963|765509052|65383757</v>
      </c>
      <c r="AO762" t="s">
        <v>44</v>
      </c>
      <c r="AP762" t="b">
        <v>0</v>
      </c>
      <c r="AQ762" t="s">
        <v>763</v>
      </c>
    </row>
    <row r="763" spans="1:43" x14ac:dyDescent="0.2">
      <c r="A763" s="14" t="s">
        <v>500</v>
      </c>
      <c r="B763" s="17">
        <v>13228306</v>
      </c>
      <c r="C763" s="14" t="s">
        <v>233</v>
      </c>
      <c r="D763" s="9">
        <v>13228306</v>
      </c>
      <c r="E763" s="9" t="s">
        <v>233</v>
      </c>
      <c r="F763" s="7">
        <v>45689</v>
      </c>
      <c r="G763" s="20" t="s">
        <v>36</v>
      </c>
      <c r="H763" s="8">
        <v>765521912</v>
      </c>
      <c r="I763" s="19">
        <v>765521912</v>
      </c>
      <c r="J763" s="10">
        <v>14833</v>
      </c>
      <c r="K763" s="10">
        <v>8150</v>
      </c>
      <c r="L763" s="10">
        <v>6683</v>
      </c>
      <c r="M763" s="10">
        <v>0</v>
      </c>
      <c r="N763" s="11">
        <v>6683</v>
      </c>
      <c r="O763" s="12">
        <v>765521912</v>
      </c>
      <c r="P763" s="9">
        <v>285123</v>
      </c>
      <c r="Q763" s="9" t="s">
        <v>37</v>
      </c>
      <c r="R763" s="13">
        <v>45706</v>
      </c>
      <c r="S763" s="22">
        <v>45706</v>
      </c>
      <c r="T763" s="13">
        <v>45706</v>
      </c>
      <c r="U763" s="13">
        <v>45706</v>
      </c>
      <c r="V763" s="9" t="s">
        <v>47</v>
      </c>
      <c r="W763" s="9">
        <v>22621781</v>
      </c>
      <c r="X763" s="9">
        <v>2250942</v>
      </c>
      <c r="Y763" s="9">
        <v>68910014</v>
      </c>
      <c r="Z763" s="9" t="s">
        <v>39</v>
      </c>
      <c r="AA763" s="9">
        <v>23022025</v>
      </c>
      <c r="AB763" s="9">
        <v>77703</v>
      </c>
      <c r="AC763" s="9" t="s">
        <v>41</v>
      </c>
      <c r="AD763" s="9" t="s">
        <v>132</v>
      </c>
      <c r="AE763" s="9" t="s">
        <v>133</v>
      </c>
      <c r="AF763" s="9" t="s">
        <v>133</v>
      </c>
      <c r="AG763" s="14" t="str">
        <f t="shared" si="26"/>
        <v>EXAMENES DE LABORATORIO</v>
      </c>
      <c r="AH763" s="9" t="s">
        <v>758</v>
      </c>
      <c r="AI763" s="9">
        <v>0</v>
      </c>
      <c r="AJ763" s="9">
        <v>96951870</v>
      </c>
      <c r="AK763" s="9">
        <v>8</v>
      </c>
      <c r="AL763" s="26" t="s">
        <v>86</v>
      </c>
      <c r="AM763" s="14" t="s">
        <v>573</v>
      </c>
      <c r="AN763" s="27" t="str">
        <f t="shared" si="25"/>
        <v>13228306|96951870|765521912|765521912</v>
      </c>
      <c r="AO763" t="s">
        <v>758</v>
      </c>
      <c r="AP763" t="b">
        <v>1</v>
      </c>
      <c r="AQ763" t="s">
        <v>764</v>
      </c>
    </row>
    <row r="764" spans="1:43" x14ac:dyDescent="0.2">
      <c r="A764" s="14" t="s">
        <v>500</v>
      </c>
      <c r="B764" s="17">
        <v>13228306</v>
      </c>
      <c r="C764" s="14" t="s">
        <v>233</v>
      </c>
      <c r="D764" s="9">
        <v>13228306</v>
      </c>
      <c r="E764" s="9" t="s">
        <v>233</v>
      </c>
      <c r="F764" s="7">
        <v>45717</v>
      </c>
      <c r="G764" s="20" t="s">
        <v>46</v>
      </c>
      <c r="H764" s="8">
        <v>765521912</v>
      </c>
      <c r="I764" s="19">
        <v>65384087</v>
      </c>
      <c r="J764" s="10">
        <v>6544</v>
      </c>
      <c r="K764" s="10">
        <v>0</v>
      </c>
      <c r="L764" s="10">
        <v>6544</v>
      </c>
      <c r="M764" s="10">
        <v>0</v>
      </c>
      <c r="N764" s="11">
        <v>6544</v>
      </c>
      <c r="O764" s="12">
        <v>765521912</v>
      </c>
      <c r="P764" s="9">
        <v>285123</v>
      </c>
      <c r="Q764" s="9" t="s">
        <v>37</v>
      </c>
      <c r="R764" s="13">
        <v>45717</v>
      </c>
      <c r="S764" s="22">
        <v>45742</v>
      </c>
      <c r="T764" s="13">
        <v>45706</v>
      </c>
      <c r="U764" s="13">
        <v>45706</v>
      </c>
      <c r="V764" s="9" t="s">
        <v>47</v>
      </c>
      <c r="W764" s="9">
        <v>22770654</v>
      </c>
      <c r="X764" s="9">
        <v>3311105</v>
      </c>
      <c r="Y764" s="9">
        <v>69250974</v>
      </c>
      <c r="Z764" s="9" t="s">
        <v>39</v>
      </c>
      <c r="AA764" s="9">
        <v>14070048661</v>
      </c>
      <c r="AB764" s="9">
        <v>78070</v>
      </c>
      <c r="AC764" s="9" t="s">
        <v>41</v>
      </c>
      <c r="AD764" s="9" t="s">
        <v>132</v>
      </c>
      <c r="AE764" s="9" t="s">
        <v>133</v>
      </c>
      <c r="AF764" s="9" t="s">
        <v>133</v>
      </c>
      <c r="AG764" s="14" t="str">
        <f t="shared" si="26"/>
        <v>EXAMENES DE LABORATORIO</v>
      </c>
      <c r="AH764" s="9">
        <v>0</v>
      </c>
      <c r="AI764" s="9">
        <v>0</v>
      </c>
      <c r="AJ764" s="9">
        <v>96951870</v>
      </c>
      <c r="AK764" s="9">
        <v>8</v>
      </c>
      <c r="AL764" s="26" t="s">
        <v>52</v>
      </c>
      <c r="AM764" s="14" t="s">
        <v>573</v>
      </c>
      <c r="AN764" s="27" t="str">
        <f t="shared" si="25"/>
        <v>13228306|96951870|765521912|65384087</v>
      </c>
      <c r="AO764" t="s">
        <v>44</v>
      </c>
      <c r="AP764" t="b">
        <v>0</v>
      </c>
      <c r="AQ764" t="s">
        <v>763</v>
      </c>
    </row>
    <row r="765" spans="1:43" x14ac:dyDescent="0.2">
      <c r="A765" s="14" t="s">
        <v>500</v>
      </c>
      <c r="B765" s="17">
        <v>6871191</v>
      </c>
      <c r="C765" s="14" t="s">
        <v>349</v>
      </c>
      <c r="D765" s="9">
        <v>8230711</v>
      </c>
      <c r="E765" s="9" t="s">
        <v>350</v>
      </c>
      <c r="F765" s="7">
        <v>45689</v>
      </c>
      <c r="G765" s="20" t="s">
        <v>36</v>
      </c>
      <c r="H765" s="8">
        <v>765525239</v>
      </c>
      <c r="I765" s="19">
        <v>765525239</v>
      </c>
      <c r="J765" s="10">
        <v>13280</v>
      </c>
      <c r="K765" s="10">
        <v>9077</v>
      </c>
      <c r="L765" s="10">
        <v>4203</v>
      </c>
      <c r="M765" s="10">
        <v>0</v>
      </c>
      <c r="N765" s="11">
        <v>4203</v>
      </c>
      <c r="O765" s="12">
        <v>765525239</v>
      </c>
      <c r="P765" s="9">
        <v>285123</v>
      </c>
      <c r="Q765" s="9" t="s">
        <v>37</v>
      </c>
      <c r="R765" s="13">
        <v>45706</v>
      </c>
      <c r="S765" s="22">
        <v>45706</v>
      </c>
      <c r="T765" s="13">
        <v>45706</v>
      </c>
      <c r="U765" s="13">
        <v>45706</v>
      </c>
      <c r="V765" s="9" t="s">
        <v>47</v>
      </c>
      <c r="W765" s="9">
        <v>22621764</v>
      </c>
      <c r="X765" s="9">
        <v>2250942</v>
      </c>
      <c r="Y765" s="9">
        <v>68910156</v>
      </c>
      <c r="Z765" s="9" t="s">
        <v>39</v>
      </c>
      <c r="AA765" s="9">
        <v>23022025</v>
      </c>
      <c r="AB765" s="9">
        <v>77703</v>
      </c>
      <c r="AC765" s="9" t="s">
        <v>41</v>
      </c>
      <c r="AD765" s="9" t="s">
        <v>65</v>
      </c>
      <c r="AE765" s="9" t="s">
        <v>66</v>
      </c>
      <c r="AF765" s="9" t="s">
        <v>66</v>
      </c>
      <c r="AG765" s="14" t="str">
        <f t="shared" si="26"/>
        <v>PROCEDIMIENTOS TERAPEUTICOS</v>
      </c>
      <c r="AH765" s="9" t="s">
        <v>758</v>
      </c>
      <c r="AI765" s="9">
        <v>0</v>
      </c>
      <c r="AJ765" s="9">
        <v>96942400</v>
      </c>
      <c r="AK765" s="9">
        <v>2</v>
      </c>
      <c r="AL765" s="26" t="s">
        <v>86</v>
      </c>
      <c r="AM765" s="14" t="s">
        <v>650</v>
      </c>
      <c r="AN765" s="27" t="str">
        <f t="shared" si="25"/>
        <v>6871191|96942400|765525239|765525239</v>
      </c>
      <c r="AO765" t="s">
        <v>758</v>
      </c>
      <c r="AP765" t="b">
        <v>1</v>
      </c>
      <c r="AQ765" t="s">
        <v>764</v>
      </c>
    </row>
    <row r="766" spans="1:43" x14ac:dyDescent="0.2">
      <c r="A766" s="14" t="s">
        <v>500</v>
      </c>
      <c r="B766" s="17">
        <v>6871191</v>
      </c>
      <c r="C766" s="14" t="s">
        <v>349</v>
      </c>
      <c r="D766" s="9">
        <v>8230711</v>
      </c>
      <c r="E766" s="9" t="s">
        <v>350</v>
      </c>
      <c r="F766" s="7">
        <v>45717</v>
      </c>
      <c r="G766" s="20" t="s">
        <v>46</v>
      </c>
      <c r="H766" s="8">
        <v>765525239</v>
      </c>
      <c r="I766" s="19">
        <v>65383597</v>
      </c>
      <c r="J766" s="10">
        <v>4234</v>
      </c>
      <c r="K766" s="10">
        <v>0</v>
      </c>
      <c r="L766" s="10">
        <v>4234</v>
      </c>
      <c r="M766" s="10">
        <v>0</v>
      </c>
      <c r="N766" s="11">
        <v>4234</v>
      </c>
      <c r="O766" s="12">
        <v>765525239</v>
      </c>
      <c r="P766" s="9">
        <v>285123</v>
      </c>
      <c r="Q766" s="9" t="s">
        <v>37</v>
      </c>
      <c r="R766" s="13">
        <v>45717</v>
      </c>
      <c r="S766" s="22">
        <v>45742</v>
      </c>
      <c r="T766" s="13">
        <v>45706</v>
      </c>
      <c r="U766" s="13">
        <v>45706</v>
      </c>
      <c r="V766" s="9" t="s">
        <v>47</v>
      </c>
      <c r="W766" s="9">
        <v>22770650</v>
      </c>
      <c r="X766" s="9">
        <v>3311105</v>
      </c>
      <c r="Y766" s="9">
        <v>69250488</v>
      </c>
      <c r="Z766" s="9" t="s">
        <v>39</v>
      </c>
      <c r="AA766" s="9">
        <v>36681938</v>
      </c>
      <c r="AB766" s="9">
        <v>78070</v>
      </c>
      <c r="AC766" s="9" t="s">
        <v>41</v>
      </c>
      <c r="AD766" s="9" t="s">
        <v>65</v>
      </c>
      <c r="AE766" s="9" t="s">
        <v>66</v>
      </c>
      <c r="AF766" s="9" t="s">
        <v>66</v>
      </c>
      <c r="AG766" s="14" t="str">
        <f t="shared" si="26"/>
        <v>PROCEDIMIENTOS TERAPEUTICOS</v>
      </c>
      <c r="AH766" s="9">
        <v>0</v>
      </c>
      <c r="AI766" s="9">
        <v>0</v>
      </c>
      <c r="AJ766" s="9">
        <v>96942400</v>
      </c>
      <c r="AK766" s="9">
        <v>2</v>
      </c>
      <c r="AL766" s="26" t="s">
        <v>52</v>
      </c>
      <c r="AM766" s="14" t="s">
        <v>650</v>
      </c>
      <c r="AN766" s="27" t="str">
        <f t="shared" si="25"/>
        <v>6871191|96942400|765525239|65383597</v>
      </c>
      <c r="AO766" t="s">
        <v>44</v>
      </c>
      <c r="AP766" t="b">
        <v>0</v>
      </c>
      <c r="AQ766" t="s">
        <v>763</v>
      </c>
    </row>
    <row r="767" spans="1:43" x14ac:dyDescent="0.2">
      <c r="A767" s="14" t="s">
        <v>500</v>
      </c>
      <c r="B767" s="17">
        <v>12892012</v>
      </c>
      <c r="C767" s="14" t="s">
        <v>323</v>
      </c>
      <c r="D767" s="9">
        <v>12892012</v>
      </c>
      <c r="E767" s="9" t="s">
        <v>323</v>
      </c>
      <c r="F767" s="7">
        <v>45689</v>
      </c>
      <c r="G767" s="20" t="s">
        <v>36</v>
      </c>
      <c r="H767" s="8">
        <v>765542192</v>
      </c>
      <c r="I767" s="19">
        <v>765542192</v>
      </c>
      <c r="J767" s="10">
        <v>33800</v>
      </c>
      <c r="K767" s="10">
        <v>28486</v>
      </c>
      <c r="L767" s="10">
        <v>5314</v>
      </c>
      <c r="M767" s="10">
        <v>0</v>
      </c>
      <c r="N767" s="11">
        <v>5314</v>
      </c>
      <c r="O767" s="12">
        <v>765542192</v>
      </c>
      <c r="P767" s="9">
        <v>285123</v>
      </c>
      <c r="Q767" s="9" t="s">
        <v>37</v>
      </c>
      <c r="R767" s="13">
        <v>45707</v>
      </c>
      <c r="S767" s="22">
        <v>45707</v>
      </c>
      <c r="T767" s="13">
        <v>45707</v>
      </c>
      <c r="U767" s="13">
        <v>45707</v>
      </c>
      <c r="V767" s="9" t="s">
        <v>47</v>
      </c>
      <c r="W767" s="9">
        <v>22621826</v>
      </c>
      <c r="X767" s="9">
        <v>2250942</v>
      </c>
      <c r="Y767" s="9">
        <v>68911042</v>
      </c>
      <c r="Z767" s="9" t="s">
        <v>39</v>
      </c>
      <c r="AA767" s="9">
        <v>23022025</v>
      </c>
      <c r="AB767" s="9">
        <v>77703</v>
      </c>
      <c r="AC767" s="9" t="s">
        <v>41</v>
      </c>
      <c r="AD767" s="9" t="s">
        <v>134</v>
      </c>
      <c r="AE767" s="9" t="s">
        <v>135</v>
      </c>
      <c r="AF767" s="9" t="s">
        <v>135</v>
      </c>
      <c r="AG767" s="14" t="str">
        <f t="shared" si="26"/>
        <v>EXAMENES RADIOLOGICOS</v>
      </c>
      <c r="AH767" s="9" t="s">
        <v>758</v>
      </c>
      <c r="AI767" s="9">
        <v>0</v>
      </c>
      <c r="AJ767" s="9">
        <v>96942400</v>
      </c>
      <c r="AK767" s="9">
        <v>2</v>
      </c>
      <c r="AL767" s="26" t="s">
        <v>86</v>
      </c>
      <c r="AM767" s="14" t="s">
        <v>629</v>
      </c>
      <c r="AN767" s="27" t="str">
        <f t="shared" si="25"/>
        <v>12892012|96942400|765542192|765542192</v>
      </c>
      <c r="AO767" t="s">
        <v>758</v>
      </c>
      <c r="AP767" t="b">
        <v>1</v>
      </c>
      <c r="AQ767" t="s">
        <v>764</v>
      </c>
    </row>
    <row r="768" spans="1:43" x14ac:dyDescent="0.2">
      <c r="A768" s="14" t="s">
        <v>500</v>
      </c>
      <c r="B768" s="17">
        <v>12892012</v>
      </c>
      <c r="C768" s="14" t="s">
        <v>323</v>
      </c>
      <c r="D768" s="9">
        <v>12892012</v>
      </c>
      <c r="E768" s="9" t="s">
        <v>323</v>
      </c>
      <c r="F768" s="7">
        <v>45717</v>
      </c>
      <c r="G768" s="20" t="s">
        <v>46</v>
      </c>
      <c r="H768" s="8">
        <v>765542192</v>
      </c>
      <c r="I768" s="19">
        <v>65384057</v>
      </c>
      <c r="J768" s="10">
        <v>5391</v>
      </c>
      <c r="K768" s="10">
        <v>0</v>
      </c>
      <c r="L768" s="10">
        <v>5391</v>
      </c>
      <c r="M768" s="10">
        <v>0</v>
      </c>
      <c r="N768" s="11">
        <v>5391</v>
      </c>
      <c r="O768" s="12">
        <v>765542192</v>
      </c>
      <c r="P768" s="9">
        <v>285123</v>
      </c>
      <c r="Q768" s="9" t="s">
        <v>37</v>
      </c>
      <c r="R768" s="13">
        <v>45717</v>
      </c>
      <c r="S768" s="22">
        <v>45742</v>
      </c>
      <c r="T768" s="13">
        <v>45707</v>
      </c>
      <c r="U768" s="13">
        <v>45707</v>
      </c>
      <c r="V768" s="9" t="s">
        <v>47</v>
      </c>
      <c r="W768" s="9">
        <v>22770668</v>
      </c>
      <c r="X768" s="9">
        <v>3311105</v>
      </c>
      <c r="Y768" s="9">
        <v>69250945</v>
      </c>
      <c r="Z768" s="9" t="s">
        <v>39</v>
      </c>
      <c r="AA768" s="9">
        <v>207546631</v>
      </c>
      <c r="AB768" s="9">
        <v>78070</v>
      </c>
      <c r="AC768" s="9" t="s">
        <v>41</v>
      </c>
      <c r="AD768" s="9" t="s">
        <v>134</v>
      </c>
      <c r="AE768" s="9" t="s">
        <v>135</v>
      </c>
      <c r="AF768" s="9" t="s">
        <v>135</v>
      </c>
      <c r="AG768" s="14" t="str">
        <f t="shared" si="26"/>
        <v>EXAMENES RADIOLOGICOS</v>
      </c>
      <c r="AH768" s="9">
        <v>0</v>
      </c>
      <c r="AI768" s="9">
        <v>0</v>
      </c>
      <c r="AJ768" s="9">
        <v>96942400</v>
      </c>
      <c r="AK768" s="9">
        <v>2</v>
      </c>
      <c r="AL768" s="26" t="s">
        <v>52</v>
      </c>
      <c r="AM768" s="14" t="s">
        <v>629</v>
      </c>
      <c r="AN768" s="27" t="str">
        <f t="shared" si="25"/>
        <v>12892012|96942400|765542192|65384057</v>
      </c>
      <c r="AO768" t="s">
        <v>44</v>
      </c>
      <c r="AP768" t="b">
        <v>0</v>
      </c>
      <c r="AQ768" t="s">
        <v>763</v>
      </c>
    </row>
    <row r="769" spans="1:43" x14ac:dyDescent="0.2">
      <c r="A769" s="14" t="s">
        <v>500</v>
      </c>
      <c r="B769" s="17">
        <v>12892012</v>
      </c>
      <c r="C769" s="14" t="s">
        <v>323</v>
      </c>
      <c r="D769" s="9">
        <v>12892012</v>
      </c>
      <c r="E769" s="9" t="s">
        <v>323</v>
      </c>
      <c r="F769" s="7">
        <v>45689</v>
      </c>
      <c r="G769" s="20" t="s">
        <v>36</v>
      </c>
      <c r="H769" s="8">
        <v>765542496</v>
      </c>
      <c r="I769" s="19">
        <v>765542496</v>
      </c>
      <c r="J769" s="10">
        <v>18785</v>
      </c>
      <c r="K769" s="10">
        <v>15968</v>
      </c>
      <c r="L769" s="10">
        <v>2817</v>
      </c>
      <c r="M769" s="10">
        <v>0</v>
      </c>
      <c r="N769" s="11">
        <v>2817</v>
      </c>
      <c r="O769" s="12">
        <v>765542496</v>
      </c>
      <c r="P769" s="9">
        <v>285123</v>
      </c>
      <c r="Q769" s="9" t="s">
        <v>37</v>
      </c>
      <c r="R769" s="13">
        <v>45707</v>
      </c>
      <c r="S769" s="22">
        <v>45707</v>
      </c>
      <c r="T769" s="13">
        <v>45707</v>
      </c>
      <c r="U769" s="13">
        <v>45707</v>
      </c>
      <c r="V769" s="9" t="s">
        <v>47</v>
      </c>
      <c r="W769" s="9">
        <v>22621826</v>
      </c>
      <c r="X769" s="9">
        <v>2250942</v>
      </c>
      <c r="Y769" s="9">
        <v>68911053</v>
      </c>
      <c r="Z769" s="9" t="s">
        <v>39</v>
      </c>
      <c r="AA769" s="9">
        <v>23022025</v>
      </c>
      <c r="AB769" s="9">
        <v>77703</v>
      </c>
      <c r="AC769" s="9" t="s">
        <v>41</v>
      </c>
      <c r="AD769" s="9" t="s">
        <v>134</v>
      </c>
      <c r="AE769" s="9" t="s">
        <v>135</v>
      </c>
      <c r="AF769" s="9" t="s">
        <v>135</v>
      </c>
      <c r="AG769" s="14" t="str">
        <f t="shared" si="26"/>
        <v>EXAMENES RADIOLOGICOS</v>
      </c>
      <c r="AH769" s="9" t="s">
        <v>758</v>
      </c>
      <c r="AI769" s="9">
        <v>0</v>
      </c>
      <c r="AJ769" s="9">
        <v>96942400</v>
      </c>
      <c r="AK769" s="9">
        <v>2</v>
      </c>
      <c r="AL769" s="26" t="s">
        <v>86</v>
      </c>
      <c r="AM769" s="14" t="s">
        <v>629</v>
      </c>
      <c r="AN769" s="27" t="str">
        <f t="shared" si="25"/>
        <v>12892012|96942400|765542496|765542496</v>
      </c>
      <c r="AO769" t="s">
        <v>758</v>
      </c>
      <c r="AP769" t="b">
        <v>1</v>
      </c>
      <c r="AQ769" t="s">
        <v>764</v>
      </c>
    </row>
    <row r="770" spans="1:43" x14ac:dyDescent="0.2">
      <c r="A770" s="14" t="s">
        <v>500</v>
      </c>
      <c r="B770" s="17">
        <v>12892012</v>
      </c>
      <c r="C770" s="14" t="s">
        <v>323</v>
      </c>
      <c r="D770" s="9">
        <v>12892012</v>
      </c>
      <c r="E770" s="9" t="s">
        <v>323</v>
      </c>
      <c r="F770" s="7">
        <v>45717</v>
      </c>
      <c r="G770" s="20" t="s">
        <v>46</v>
      </c>
      <c r="H770" s="8">
        <v>765542496</v>
      </c>
      <c r="I770" s="19">
        <v>65384058</v>
      </c>
      <c r="J770" s="10">
        <v>3080</v>
      </c>
      <c r="K770" s="10">
        <v>0</v>
      </c>
      <c r="L770" s="10">
        <v>3080</v>
      </c>
      <c r="M770" s="10">
        <v>0</v>
      </c>
      <c r="N770" s="11">
        <v>3080</v>
      </c>
      <c r="O770" s="12">
        <v>765542496</v>
      </c>
      <c r="P770" s="9">
        <v>285123</v>
      </c>
      <c r="Q770" s="9" t="s">
        <v>37</v>
      </c>
      <c r="R770" s="13">
        <v>45717</v>
      </c>
      <c r="S770" s="22">
        <v>45742</v>
      </c>
      <c r="T770" s="13">
        <v>45707</v>
      </c>
      <c r="U770" s="13">
        <v>45707</v>
      </c>
      <c r="V770" s="9" t="s">
        <v>47</v>
      </c>
      <c r="W770" s="9">
        <v>22770668</v>
      </c>
      <c r="X770" s="9">
        <v>3311105</v>
      </c>
      <c r="Y770" s="9">
        <v>69250946</v>
      </c>
      <c r="Z770" s="9" t="s">
        <v>39</v>
      </c>
      <c r="AA770" s="9">
        <v>207546631</v>
      </c>
      <c r="AB770" s="9">
        <v>78070</v>
      </c>
      <c r="AC770" s="9" t="s">
        <v>41</v>
      </c>
      <c r="AD770" s="9" t="s">
        <v>134</v>
      </c>
      <c r="AE770" s="9" t="s">
        <v>135</v>
      </c>
      <c r="AF770" s="9" t="s">
        <v>135</v>
      </c>
      <c r="AG770" s="14" t="str">
        <f t="shared" si="26"/>
        <v>EXAMENES RADIOLOGICOS</v>
      </c>
      <c r="AH770" s="9">
        <v>0</v>
      </c>
      <c r="AI770" s="9">
        <v>0</v>
      </c>
      <c r="AJ770" s="9">
        <v>96942400</v>
      </c>
      <c r="AK770" s="9">
        <v>2</v>
      </c>
      <c r="AL770" s="26" t="s">
        <v>52</v>
      </c>
      <c r="AM770" s="14" t="s">
        <v>629</v>
      </c>
      <c r="AN770" s="27" t="str">
        <f t="shared" si="25"/>
        <v>12892012|96942400|765542496|65384058</v>
      </c>
      <c r="AO770" t="s">
        <v>44</v>
      </c>
      <c r="AP770" t="b">
        <v>0</v>
      </c>
      <c r="AQ770" t="s">
        <v>763</v>
      </c>
    </row>
    <row r="771" spans="1:43" x14ac:dyDescent="0.2">
      <c r="A771" s="14" t="s">
        <v>500</v>
      </c>
      <c r="B771" s="17">
        <v>9484485</v>
      </c>
      <c r="C771" s="14" t="s">
        <v>340</v>
      </c>
      <c r="D771" s="9">
        <v>9484485</v>
      </c>
      <c r="E771" s="9" t="s">
        <v>340</v>
      </c>
      <c r="F771" s="7">
        <v>45689</v>
      </c>
      <c r="G771" s="20" t="s">
        <v>36</v>
      </c>
      <c r="H771" s="8">
        <v>765547220</v>
      </c>
      <c r="I771" s="19">
        <v>765547220</v>
      </c>
      <c r="J771" s="10">
        <v>159900</v>
      </c>
      <c r="K771" s="10">
        <v>82167</v>
      </c>
      <c r="L771" s="10">
        <v>77733</v>
      </c>
      <c r="M771" s="10">
        <v>0</v>
      </c>
      <c r="N771" s="11">
        <v>77733</v>
      </c>
      <c r="O771" s="12">
        <v>765547220</v>
      </c>
      <c r="P771" s="9">
        <v>285123</v>
      </c>
      <c r="Q771" s="9" t="s">
        <v>37</v>
      </c>
      <c r="R771" s="13">
        <v>45707</v>
      </c>
      <c r="S771" s="22">
        <v>45707</v>
      </c>
      <c r="T771" s="13">
        <v>45707</v>
      </c>
      <c r="U771" s="13">
        <v>45707</v>
      </c>
      <c r="V771" s="9" t="s">
        <v>118</v>
      </c>
      <c r="W771" s="9">
        <v>22621813</v>
      </c>
      <c r="X771" s="9">
        <v>2250942</v>
      </c>
      <c r="Y771" s="9">
        <v>68911284</v>
      </c>
      <c r="Z771" s="9" t="s">
        <v>39</v>
      </c>
      <c r="AA771" s="9">
        <v>23022025</v>
      </c>
      <c r="AB771" s="9">
        <v>77703</v>
      </c>
      <c r="AC771" s="9" t="s">
        <v>41</v>
      </c>
      <c r="AD771" s="9" t="s">
        <v>114</v>
      </c>
      <c r="AE771" s="9" t="s">
        <v>121</v>
      </c>
      <c r="AF771" s="9" t="s">
        <v>115</v>
      </c>
      <c r="AG771" s="14" t="str">
        <f t="shared" si="26"/>
        <v>CRISTALES OPTICOS ( GRUPO )</v>
      </c>
      <c r="AH771" s="9" t="s">
        <v>758</v>
      </c>
      <c r="AI771" s="9">
        <v>0</v>
      </c>
      <c r="AJ771" s="9">
        <v>82332100</v>
      </c>
      <c r="AK771" s="9">
        <v>7</v>
      </c>
      <c r="AL771" s="26" t="s">
        <v>86</v>
      </c>
      <c r="AM771" s="14" t="s">
        <v>642</v>
      </c>
      <c r="AN771" s="27" t="str">
        <f t="shared" ref="AN771:AN834" si="27">B771&amp;"|"&amp;AJ771&amp;"|"&amp;H771&amp;"|"&amp;I771</f>
        <v>9484485|82332100|765547220|765547220</v>
      </c>
      <c r="AO771" t="s">
        <v>758</v>
      </c>
      <c r="AP771" t="b">
        <v>1</v>
      </c>
      <c r="AQ771" t="s">
        <v>764</v>
      </c>
    </row>
    <row r="772" spans="1:43" x14ac:dyDescent="0.2">
      <c r="A772" s="14" t="s">
        <v>500</v>
      </c>
      <c r="B772" s="17">
        <v>9484485</v>
      </c>
      <c r="C772" s="14" t="s">
        <v>340</v>
      </c>
      <c r="D772" s="9">
        <v>9484485</v>
      </c>
      <c r="E772" s="9" t="s">
        <v>340</v>
      </c>
      <c r="F772" s="7">
        <v>45717</v>
      </c>
      <c r="G772" s="20" t="s">
        <v>46</v>
      </c>
      <c r="H772" s="8">
        <v>765547220</v>
      </c>
      <c r="I772" s="19">
        <v>65383740</v>
      </c>
      <c r="J772" s="10">
        <v>77794</v>
      </c>
      <c r="K772" s="10">
        <v>0</v>
      </c>
      <c r="L772" s="10">
        <v>77794</v>
      </c>
      <c r="M772" s="10">
        <v>0</v>
      </c>
      <c r="N772" s="11">
        <v>37742</v>
      </c>
      <c r="O772" s="12">
        <v>765547220</v>
      </c>
      <c r="P772" s="9">
        <v>285123</v>
      </c>
      <c r="Q772" s="9" t="s">
        <v>37</v>
      </c>
      <c r="R772" s="13">
        <v>45717</v>
      </c>
      <c r="S772" s="22">
        <v>45742</v>
      </c>
      <c r="T772" s="13">
        <v>45707</v>
      </c>
      <c r="U772" s="13">
        <v>45707</v>
      </c>
      <c r="V772" s="9" t="s">
        <v>118</v>
      </c>
      <c r="W772" s="9">
        <v>22770662</v>
      </c>
      <c r="X772" s="9">
        <v>3311105</v>
      </c>
      <c r="Y772" s="9">
        <v>69250630</v>
      </c>
      <c r="Z772" s="9" t="s">
        <v>39</v>
      </c>
      <c r="AA772" s="9">
        <v>1702833996</v>
      </c>
      <c r="AB772" s="9">
        <v>78070</v>
      </c>
      <c r="AC772" s="9" t="s">
        <v>41</v>
      </c>
      <c r="AD772" s="9" t="s">
        <v>114</v>
      </c>
      <c r="AE772" s="9" t="s">
        <v>121</v>
      </c>
      <c r="AF772" s="9" t="s">
        <v>115</v>
      </c>
      <c r="AG772" s="14" t="str">
        <f t="shared" si="26"/>
        <v>CRISTALES OPTICOS ( GRUPO )</v>
      </c>
      <c r="AH772" s="9">
        <v>0</v>
      </c>
      <c r="AI772" s="9">
        <v>0</v>
      </c>
      <c r="AJ772" s="9">
        <v>82332100</v>
      </c>
      <c r="AK772" s="9">
        <v>7</v>
      </c>
      <c r="AL772" s="26" t="s">
        <v>52</v>
      </c>
      <c r="AM772" s="14" t="s">
        <v>642</v>
      </c>
      <c r="AN772" s="27" t="str">
        <f t="shared" si="27"/>
        <v>9484485|82332100|765547220|65383740</v>
      </c>
      <c r="AO772" t="s">
        <v>44</v>
      </c>
      <c r="AP772" t="b">
        <v>0</v>
      </c>
      <c r="AQ772" t="s">
        <v>763</v>
      </c>
    </row>
    <row r="773" spans="1:43" x14ac:dyDescent="0.2">
      <c r="A773" s="14" t="s">
        <v>500</v>
      </c>
      <c r="B773" s="17">
        <v>9643668</v>
      </c>
      <c r="C773" s="14" t="s">
        <v>324</v>
      </c>
      <c r="D773" s="9">
        <v>9643668</v>
      </c>
      <c r="E773" s="9" t="s">
        <v>324</v>
      </c>
      <c r="F773" s="7">
        <v>45689</v>
      </c>
      <c r="G773" s="20" t="s">
        <v>36</v>
      </c>
      <c r="H773" s="8">
        <v>765562729</v>
      </c>
      <c r="I773" s="19">
        <v>765562729</v>
      </c>
      <c r="J773" s="10">
        <v>3440</v>
      </c>
      <c r="K773" s="10">
        <v>1962</v>
      </c>
      <c r="L773" s="10">
        <v>1478</v>
      </c>
      <c r="M773" s="10">
        <v>0</v>
      </c>
      <c r="N773" s="11">
        <v>1478</v>
      </c>
      <c r="O773" s="12">
        <v>765562729</v>
      </c>
      <c r="P773" s="9">
        <v>285123</v>
      </c>
      <c r="Q773" s="9" t="s">
        <v>37</v>
      </c>
      <c r="R773" s="13">
        <v>45709</v>
      </c>
      <c r="S773" s="22">
        <v>45709</v>
      </c>
      <c r="T773" s="13">
        <v>45709</v>
      </c>
      <c r="U773" s="13">
        <v>45709</v>
      </c>
      <c r="V773" s="9" t="s">
        <v>47</v>
      </c>
      <c r="W773" s="9">
        <v>22621899</v>
      </c>
      <c r="X773" s="9">
        <v>2250942</v>
      </c>
      <c r="Y773" s="9">
        <v>68912032</v>
      </c>
      <c r="Z773" s="9" t="s">
        <v>39</v>
      </c>
      <c r="AA773" s="9">
        <v>23022025</v>
      </c>
      <c r="AB773" s="9">
        <v>77703</v>
      </c>
      <c r="AC773" s="9" t="s">
        <v>41</v>
      </c>
      <c r="AD773" s="9" t="s">
        <v>132</v>
      </c>
      <c r="AE773" s="9" t="s">
        <v>133</v>
      </c>
      <c r="AF773" s="9" t="s">
        <v>133</v>
      </c>
      <c r="AG773" s="14" t="str">
        <f t="shared" si="26"/>
        <v>EXAMENES DE LABORATORIO</v>
      </c>
      <c r="AH773" s="9" t="s">
        <v>758</v>
      </c>
      <c r="AI773" s="9">
        <v>0</v>
      </c>
      <c r="AJ773" s="9">
        <v>79749170</v>
      </c>
      <c r="AK773" s="9">
        <v>5</v>
      </c>
      <c r="AL773" s="26" t="s">
        <v>86</v>
      </c>
      <c r="AM773" s="14" t="s">
        <v>630</v>
      </c>
      <c r="AN773" s="27" t="str">
        <f t="shared" si="27"/>
        <v>9643668|79749170|765562729|765562729</v>
      </c>
      <c r="AO773" t="s">
        <v>758</v>
      </c>
      <c r="AP773" t="b">
        <v>1</v>
      </c>
      <c r="AQ773" t="s">
        <v>764</v>
      </c>
    </row>
    <row r="774" spans="1:43" x14ac:dyDescent="0.2">
      <c r="A774" s="14" t="s">
        <v>500</v>
      </c>
      <c r="B774" s="17">
        <v>9643668</v>
      </c>
      <c r="C774" s="14" t="s">
        <v>324</v>
      </c>
      <c r="D774" s="9">
        <v>9643668</v>
      </c>
      <c r="E774" s="9" t="s">
        <v>324</v>
      </c>
      <c r="F774" s="7">
        <v>45717</v>
      </c>
      <c r="G774" s="20" t="s">
        <v>46</v>
      </c>
      <c r="H774" s="8">
        <v>765562729</v>
      </c>
      <c r="I774" s="19">
        <v>65383758</v>
      </c>
      <c r="J774" s="10">
        <v>1540</v>
      </c>
      <c r="K774" s="10">
        <v>0</v>
      </c>
      <c r="L774" s="10">
        <v>1540</v>
      </c>
      <c r="M774" s="10">
        <v>0</v>
      </c>
      <c r="N774" s="11">
        <v>1540</v>
      </c>
      <c r="O774" s="12">
        <v>765562729</v>
      </c>
      <c r="P774" s="9">
        <v>285123</v>
      </c>
      <c r="Q774" s="9" t="s">
        <v>37</v>
      </c>
      <c r="R774" s="13">
        <v>45717</v>
      </c>
      <c r="S774" s="22">
        <v>45742</v>
      </c>
      <c r="T774" s="13">
        <v>45709</v>
      </c>
      <c r="U774" s="13">
        <v>45709</v>
      </c>
      <c r="V774" s="9" t="s">
        <v>47</v>
      </c>
      <c r="W774" s="9">
        <v>22770682</v>
      </c>
      <c r="X774" s="9">
        <v>3311105</v>
      </c>
      <c r="Y774" s="9">
        <v>69250648</v>
      </c>
      <c r="Z774" s="9" t="s">
        <v>39</v>
      </c>
      <c r="AA774" s="9">
        <v>580360901</v>
      </c>
      <c r="AB774" s="9">
        <v>78070</v>
      </c>
      <c r="AC774" s="9" t="s">
        <v>41</v>
      </c>
      <c r="AD774" s="9" t="s">
        <v>132</v>
      </c>
      <c r="AE774" s="9" t="s">
        <v>133</v>
      </c>
      <c r="AF774" s="9" t="s">
        <v>133</v>
      </c>
      <c r="AG774" s="14" t="str">
        <f t="shared" si="26"/>
        <v>EXAMENES DE LABORATORIO</v>
      </c>
      <c r="AH774" s="9">
        <v>0</v>
      </c>
      <c r="AI774" s="9">
        <v>0</v>
      </c>
      <c r="AJ774" s="9">
        <v>79749170</v>
      </c>
      <c r="AK774" s="9">
        <v>5</v>
      </c>
      <c r="AL774" s="26" t="s">
        <v>52</v>
      </c>
      <c r="AM774" s="14" t="s">
        <v>630</v>
      </c>
      <c r="AN774" s="27" t="str">
        <f t="shared" si="27"/>
        <v>9643668|79749170|765562729|65383758</v>
      </c>
      <c r="AO774" t="s">
        <v>44</v>
      </c>
      <c r="AP774" t="b">
        <v>0</v>
      </c>
      <c r="AQ774" t="s">
        <v>763</v>
      </c>
    </row>
    <row r="775" spans="1:43" x14ac:dyDescent="0.2">
      <c r="A775" s="14" t="s">
        <v>500</v>
      </c>
      <c r="B775" s="17">
        <v>11739910</v>
      </c>
      <c r="C775" s="14" t="s">
        <v>338</v>
      </c>
      <c r="D775" s="9">
        <v>11739910</v>
      </c>
      <c r="E775" s="9" t="s">
        <v>338</v>
      </c>
      <c r="F775" s="7">
        <v>45689</v>
      </c>
      <c r="G775" s="20" t="s">
        <v>36</v>
      </c>
      <c r="H775" s="8">
        <v>765562903</v>
      </c>
      <c r="I775" s="19">
        <v>765562903</v>
      </c>
      <c r="J775" s="10">
        <v>35222</v>
      </c>
      <c r="K775" s="10">
        <v>34518</v>
      </c>
      <c r="L775" s="10">
        <v>704</v>
      </c>
      <c r="M775" s="10">
        <v>0</v>
      </c>
      <c r="N775" s="11">
        <v>704</v>
      </c>
      <c r="O775" s="12">
        <v>765562903</v>
      </c>
      <c r="P775" s="9">
        <v>285123</v>
      </c>
      <c r="Q775" s="9" t="s">
        <v>37</v>
      </c>
      <c r="R775" s="13">
        <v>45709</v>
      </c>
      <c r="S775" s="22">
        <v>45709</v>
      </c>
      <c r="T775" s="13">
        <v>45709</v>
      </c>
      <c r="U775" s="13">
        <v>45709</v>
      </c>
      <c r="V775" s="9" t="s">
        <v>47</v>
      </c>
      <c r="W775" s="9">
        <v>22621905</v>
      </c>
      <c r="X775" s="9">
        <v>2250942</v>
      </c>
      <c r="Y775" s="9">
        <v>68912038</v>
      </c>
      <c r="Z775" s="9" t="s">
        <v>39</v>
      </c>
      <c r="AA775" s="9">
        <v>23022025</v>
      </c>
      <c r="AB775" s="9">
        <v>77703</v>
      </c>
      <c r="AC775" s="9" t="s">
        <v>41</v>
      </c>
      <c r="AD775" s="9" t="s">
        <v>65</v>
      </c>
      <c r="AE775" s="9" t="s">
        <v>66</v>
      </c>
      <c r="AF775" s="9" t="s">
        <v>66</v>
      </c>
      <c r="AG775" s="14" t="str">
        <f t="shared" si="26"/>
        <v>PROCEDIMIENTOS TERAPEUTICOS</v>
      </c>
      <c r="AH775" s="9" t="s">
        <v>758</v>
      </c>
      <c r="AI775" s="9">
        <v>0</v>
      </c>
      <c r="AJ775" s="9">
        <v>96942400</v>
      </c>
      <c r="AK775" s="9">
        <v>2</v>
      </c>
      <c r="AL775" s="26" t="s">
        <v>86</v>
      </c>
      <c r="AM775" s="14" t="s">
        <v>640</v>
      </c>
      <c r="AN775" s="27" t="str">
        <f t="shared" si="27"/>
        <v>11739910|96942400|765562903|765562903</v>
      </c>
      <c r="AO775" t="s">
        <v>758</v>
      </c>
      <c r="AP775" t="b">
        <v>1</v>
      </c>
      <c r="AQ775" t="s">
        <v>764</v>
      </c>
    </row>
    <row r="776" spans="1:43" x14ac:dyDescent="0.2">
      <c r="A776" s="14" t="s">
        <v>500</v>
      </c>
      <c r="B776" s="17">
        <v>11739910</v>
      </c>
      <c r="C776" s="14" t="s">
        <v>338</v>
      </c>
      <c r="D776" s="9">
        <v>11739910</v>
      </c>
      <c r="E776" s="9" t="s">
        <v>338</v>
      </c>
      <c r="F776" s="7">
        <v>45717</v>
      </c>
      <c r="G776" s="20" t="s">
        <v>46</v>
      </c>
      <c r="H776" s="8">
        <v>765562903</v>
      </c>
      <c r="I776" s="19">
        <v>65383959</v>
      </c>
      <c r="J776" s="10">
        <v>3468</v>
      </c>
      <c r="K776" s="10">
        <v>0</v>
      </c>
      <c r="L776" s="10">
        <v>3468</v>
      </c>
      <c r="M776" s="10">
        <v>0</v>
      </c>
      <c r="N776" s="11">
        <v>3468</v>
      </c>
      <c r="O776" s="12">
        <v>765562903</v>
      </c>
      <c r="P776" s="9">
        <v>285123</v>
      </c>
      <c r="Q776" s="9" t="s">
        <v>37</v>
      </c>
      <c r="R776" s="13">
        <v>45717</v>
      </c>
      <c r="S776" s="22">
        <v>45742</v>
      </c>
      <c r="T776" s="13">
        <v>45709</v>
      </c>
      <c r="U776" s="13">
        <v>45709</v>
      </c>
      <c r="V776" s="9" t="s">
        <v>47</v>
      </c>
      <c r="W776" s="9">
        <v>22770684</v>
      </c>
      <c r="X776" s="9">
        <v>3311105</v>
      </c>
      <c r="Y776" s="9">
        <v>69250847</v>
      </c>
      <c r="Z776" s="9" t="s">
        <v>39</v>
      </c>
      <c r="AA776" s="9">
        <v>2650102250127</v>
      </c>
      <c r="AB776" s="9">
        <v>78070</v>
      </c>
      <c r="AC776" s="9" t="s">
        <v>41</v>
      </c>
      <c r="AD776" s="9" t="s">
        <v>65</v>
      </c>
      <c r="AE776" s="9" t="s">
        <v>66</v>
      </c>
      <c r="AF776" s="9" t="s">
        <v>66</v>
      </c>
      <c r="AG776" s="14" t="str">
        <f t="shared" si="26"/>
        <v>PROCEDIMIENTOS TERAPEUTICOS</v>
      </c>
      <c r="AH776" s="9">
        <v>0</v>
      </c>
      <c r="AI776" s="9">
        <v>0</v>
      </c>
      <c r="AJ776" s="9">
        <v>96942400</v>
      </c>
      <c r="AK776" s="9">
        <v>2</v>
      </c>
      <c r="AL776" s="26" t="s">
        <v>52</v>
      </c>
      <c r="AM776" s="14" t="s">
        <v>640</v>
      </c>
      <c r="AN776" s="27" t="str">
        <f t="shared" si="27"/>
        <v>11739910|96942400|765562903|65383959</v>
      </c>
      <c r="AO776" t="s">
        <v>44</v>
      </c>
      <c r="AP776" t="b">
        <v>0</v>
      </c>
      <c r="AQ776" t="s">
        <v>763</v>
      </c>
    </row>
    <row r="777" spans="1:43" x14ac:dyDescent="0.2">
      <c r="A777" s="14" t="s">
        <v>500</v>
      </c>
      <c r="B777" s="17">
        <v>10458253</v>
      </c>
      <c r="C777" s="14" t="s">
        <v>347</v>
      </c>
      <c r="D777" s="9">
        <v>10458253</v>
      </c>
      <c r="E777" s="9" t="s">
        <v>347</v>
      </c>
      <c r="F777" s="7">
        <v>45689</v>
      </c>
      <c r="G777" s="20" t="s">
        <v>36</v>
      </c>
      <c r="H777" s="8">
        <v>765577753</v>
      </c>
      <c r="I777" s="19">
        <v>765577753</v>
      </c>
      <c r="J777" s="10">
        <v>33329</v>
      </c>
      <c r="K777" s="10">
        <v>27329</v>
      </c>
      <c r="L777" s="10">
        <v>6000</v>
      </c>
      <c r="M777" s="10">
        <v>0</v>
      </c>
      <c r="N777" s="11">
        <v>6000</v>
      </c>
      <c r="O777" s="12">
        <v>765577753</v>
      </c>
      <c r="P777" s="9">
        <v>285123</v>
      </c>
      <c r="Q777" s="9" t="s">
        <v>37</v>
      </c>
      <c r="R777" s="13">
        <v>45710</v>
      </c>
      <c r="S777" s="22">
        <v>45710</v>
      </c>
      <c r="T777" s="13">
        <v>45710</v>
      </c>
      <c r="U777" s="13">
        <v>45710</v>
      </c>
      <c r="V777" s="9" t="s">
        <v>47</v>
      </c>
      <c r="W777" s="9">
        <v>22646284</v>
      </c>
      <c r="X777" s="9">
        <v>3041018</v>
      </c>
      <c r="Y777" s="9">
        <v>68950307</v>
      </c>
      <c r="Z777" s="9" t="s">
        <v>39</v>
      </c>
      <c r="AA777" s="9">
        <v>2032025</v>
      </c>
      <c r="AB777" s="9">
        <v>77760</v>
      </c>
      <c r="AC777" s="9" t="s">
        <v>41</v>
      </c>
      <c r="AD777" s="9" t="s">
        <v>134</v>
      </c>
      <c r="AE777" s="9" t="s">
        <v>135</v>
      </c>
      <c r="AF777" s="9" t="s">
        <v>135</v>
      </c>
      <c r="AG777" s="14" t="str">
        <f t="shared" si="26"/>
        <v>EXAMENES RADIOLOGICOS</v>
      </c>
      <c r="AH777" s="9" t="s">
        <v>758</v>
      </c>
      <c r="AI777" s="9">
        <v>0</v>
      </c>
      <c r="AJ777" s="9">
        <v>96942400</v>
      </c>
      <c r="AK777" s="9">
        <v>2</v>
      </c>
      <c r="AL777" s="26" t="s">
        <v>86</v>
      </c>
      <c r="AM777" s="14" t="s">
        <v>648</v>
      </c>
      <c r="AN777" s="27" t="str">
        <f t="shared" si="27"/>
        <v>10458253|96942400|765577753|765577753</v>
      </c>
      <c r="AO777" t="s">
        <v>758</v>
      </c>
      <c r="AP777" t="b">
        <v>1</v>
      </c>
      <c r="AQ777" t="s">
        <v>764</v>
      </c>
    </row>
    <row r="778" spans="1:43" x14ac:dyDescent="0.2">
      <c r="A778" s="14" t="s">
        <v>500</v>
      </c>
      <c r="B778" s="17">
        <v>10458253</v>
      </c>
      <c r="C778" s="14" t="s">
        <v>347</v>
      </c>
      <c r="D778" s="9">
        <v>10458253</v>
      </c>
      <c r="E778" s="9" t="s">
        <v>347</v>
      </c>
      <c r="F778" s="7">
        <v>45717</v>
      </c>
      <c r="G778" s="20" t="s">
        <v>46</v>
      </c>
      <c r="H778" s="8">
        <v>765577753</v>
      </c>
      <c r="I778" s="19">
        <v>65383853</v>
      </c>
      <c r="J778" s="10">
        <v>6169</v>
      </c>
      <c r="K778" s="10">
        <v>0</v>
      </c>
      <c r="L778" s="10">
        <v>6169</v>
      </c>
      <c r="M778" s="10">
        <v>0</v>
      </c>
      <c r="N778" s="11">
        <v>6169</v>
      </c>
      <c r="O778" s="12">
        <v>765577753</v>
      </c>
      <c r="P778" s="9">
        <v>285123</v>
      </c>
      <c r="Q778" s="9" t="s">
        <v>37</v>
      </c>
      <c r="R778" s="13">
        <v>45717</v>
      </c>
      <c r="S778" s="22">
        <v>45742</v>
      </c>
      <c r="T778" s="13">
        <v>45710</v>
      </c>
      <c r="U778" s="13">
        <v>45710</v>
      </c>
      <c r="V778" s="9" t="s">
        <v>47</v>
      </c>
      <c r="W778" s="9">
        <v>22770688</v>
      </c>
      <c r="X778" s="9">
        <v>3311105</v>
      </c>
      <c r="Y778" s="9">
        <v>69250742</v>
      </c>
      <c r="Z778" s="9" t="s">
        <v>39</v>
      </c>
      <c r="AA778" s="9">
        <v>1702834992</v>
      </c>
      <c r="AB778" s="9">
        <v>78070</v>
      </c>
      <c r="AC778" s="9" t="s">
        <v>41</v>
      </c>
      <c r="AD778" s="9" t="s">
        <v>134</v>
      </c>
      <c r="AE778" s="9" t="s">
        <v>135</v>
      </c>
      <c r="AF778" s="9" t="s">
        <v>135</v>
      </c>
      <c r="AG778" s="14" t="str">
        <f t="shared" si="26"/>
        <v>EXAMENES RADIOLOGICOS</v>
      </c>
      <c r="AH778" s="9">
        <v>0</v>
      </c>
      <c r="AI778" s="9">
        <v>0</v>
      </c>
      <c r="AJ778" s="9">
        <v>96942400</v>
      </c>
      <c r="AK778" s="9">
        <v>2</v>
      </c>
      <c r="AL778" s="26" t="s">
        <v>52</v>
      </c>
      <c r="AM778" s="14" t="s">
        <v>648</v>
      </c>
      <c r="AN778" s="27" t="str">
        <f t="shared" si="27"/>
        <v>10458253|96942400|765577753|65383853</v>
      </c>
      <c r="AO778" t="s">
        <v>44</v>
      </c>
      <c r="AP778" t="b">
        <v>0</v>
      </c>
      <c r="AQ778" t="s">
        <v>763</v>
      </c>
    </row>
    <row r="779" spans="1:43" x14ac:dyDescent="0.2">
      <c r="A779" s="14" t="s">
        <v>500</v>
      </c>
      <c r="B779" s="17">
        <v>10458253</v>
      </c>
      <c r="C779" s="14" t="s">
        <v>347</v>
      </c>
      <c r="D779" s="9">
        <v>10458253</v>
      </c>
      <c r="E779" s="9" t="s">
        <v>347</v>
      </c>
      <c r="F779" s="7">
        <v>45689</v>
      </c>
      <c r="G779" s="20" t="s">
        <v>36</v>
      </c>
      <c r="H779" s="8">
        <v>765577844</v>
      </c>
      <c r="I779" s="19">
        <v>765577844</v>
      </c>
      <c r="J779" s="10">
        <v>28992</v>
      </c>
      <c r="K779" s="10">
        <v>20294</v>
      </c>
      <c r="L779" s="10">
        <v>8698</v>
      </c>
      <c r="M779" s="10">
        <v>0</v>
      </c>
      <c r="N779" s="11">
        <v>8698</v>
      </c>
      <c r="O779" s="12">
        <v>765577844</v>
      </c>
      <c r="P779" s="9">
        <v>285123</v>
      </c>
      <c r="Q779" s="9" t="s">
        <v>37</v>
      </c>
      <c r="R779" s="13">
        <v>45710</v>
      </c>
      <c r="S779" s="22">
        <v>45710</v>
      </c>
      <c r="T779" s="13">
        <v>45710</v>
      </c>
      <c r="U779" s="13">
        <v>45710</v>
      </c>
      <c r="V779" s="9" t="s">
        <v>47</v>
      </c>
      <c r="W779" s="9">
        <v>22646284</v>
      </c>
      <c r="X779" s="9">
        <v>3041018</v>
      </c>
      <c r="Y779" s="9">
        <v>68950308</v>
      </c>
      <c r="Z779" s="9" t="s">
        <v>39</v>
      </c>
      <c r="AA779" s="9">
        <v>2032025</v>
      </c>
      <c r="AB779" s="9">
        <v>77760</v>
      </c>
      <c r="AC779" s="9" t="s">
        <v>41</v>
      </c>
      <c r="AD779" s="9" t="s">
        <v>134</v>
      </c>
      <c r="AE779" s="9" t="s">
        <v>135</v>
      </c>
      <c r="AF779" s="9" t="s">
        <v>135</v>
      </c>
      <c r="AG779" s="14" t="str">
        <f t="shared" si="26"/>
        <v>EXAMENES RADIOLOGICOS</v>
      </c>
      <c r="AH779" s="9" t="s">
        <v>758</v>
      </c>
      <c r="AI779" s="9">
        <v>0</v>
      </c>
      <c r="AJ779" s="9">
        <v>96942400</v>
      </c>
      <c r="AK779" s="9">
        <v>2</v>
      </c>
      <c r="AL779" s="26" t="s">
        <v>86</v>
      </c>
      <c r="AM779" s="14" t="s">
        <v>648</v>
      </c>
      <c r="AN779" s="27" t="str">
        <f t="shared" si="27"/>
        <v>10458253|96942400|765577844|765577844</v>
      </c>
      <c r="AO779" t="s">
        <v>758</v>
      </c>
      <c r="AP779" t="b">
        <v>1</v>
      </c>
      <c r="AQ779" t="s">
        <v>764</v>
      </c>
    </row>
    <row r="780" spans="1:43" x14ac:dyDescent="0.2">
      <c r="A780" s="14" t="s">
        <v>500</v>
      </c>
      <c r="B780" s="17">
        <v>10458253</v>
      </c>
      <c r="C780" s="14" t="s">
        <v>347</v>
      </c>
      <c r="D780" s="9">
        <v>10458253</v>
      </c>
      <c r="E780" s="9" t="s">
        <v>347</v>
      </c>
      <c r="F780" s="7">
        <v>45717</v>
      </c>
      <c r="G780" s="20" t="s">
        <v>46</v>
      </c>
      <c r="H780" s="8">
        <v>765577844</v>
      </c>
      <c r="I780" s="19">
        <v>65383854</v>
      </c>
      <c r="J780" s="10">
        <v>8868</v>
      </c>
      <c r="K780" s="10">
        <v>0</v>
      </c>
      <c r="L780" s="10">
        <v>8868</v>
      </c>
      <c r="M780" s="10">
        <v>0</v>
      </c>
      <c r="N780" s="11">
        <v>8868</v>
      </c>
      <c r="O780" s="12">
        <v>765577844</v>
      </c>
      <c r="P780" s="9">
        <v>285123</v>
      </c>
      <c r="Q780" s="9" t="s">
        <v>37</v>
      </c>
      <c r="R780" s="13">
        <v>45717</v>
      </c>
      <c r="S780" s="22">
        <v>45742</v>
      </c>
      <c r="T780" s="13">
        <v>45710</v>
      </c>
      <c r="U780" s="13">
        <v>45710</v>
      </c>
      <c r="V780" s="9" t="s">
        <v>47</v>
      </c>
      <c r="W780" s="9">
        <v>22770688</v>
      </c>
      <c r="X780" s="9">
        <v>3311105</v>
      </c>
      <c r="Y780" s="9">
        <v>69250743</v>
      </c>
      <c r="Z780" s="9" t="s">
        <v>39</v>
      </c>
      <c r="AA780" s="9">
        <v>1702834992</v>
      </c>
      <c r="AB780" s="9">
        <v>78070</v>
      </c>
      <c r="AC780" s="9" t="s">
        <v>41</v>
      </c>
      <c r="AD780" s="9" t="s">
        <v>134</v>
      </c>
      <c r="AE780" s="9" t="s">
        <v>135</v>
      </c>
      <c r="AF780" s="9" t="s">
        <v>135</v>
      </c>
      <c r="AG780" s="14" t="str">
        <f t="shared" si="26"/>
        <v>EXAMENES RADIOLOGICOS</v>
      </c>
      <c r="AH780" s="9">
        <v>0</v>
      </c>
      <c r="AI780" s="9">
        <v>0</v>
      </c>
      <c r="AJ780" s="9">
        <v>96942400</v>
      </c>
      <c r="AK780" s="9">
        <v>2</v>
      </c>
      <c r="AL780" s="26" t="s">
        <v>52</v>
      </c>
      <c r="AM780" s="14" t="s">
        <v>648</v>
      </c>
      <c r="AN780" s="27" t="str">
        <f t="shared" si="27"/>
        <v>10458253|96942400|765577844|65383854</v>
      </c>
      <c r="AO780" t="s">
        <v>44</v>
      </c>
      <c r="AP780" t="b">
        <v>0</v>
      </c>
      <c r="AQ780" t="s">
        <v>763</v>
      </c>
    </row>
    <row r="781" spans="1:43" x14ac:dyDescent="0.2">
      <c r="A781" s="14" t="s">
        <v>500</v>
      </c>
      <c r="B781" s="17">
        <v>11739910</v>
      </c>
      <c r="C781" s="14" t="s">
        <v>338</v>
      </c>
      <c r="D781" s="9">
        <v>11739910</v>
      </c>
      <c r="E781" s="9" t="s">
        <v>338</v>
      </c>
      <c r="F781" s="7">
        <v>45689</v>
      </c>
      <c r="G781" s="20" t="s">
        <v>36</v>
      </c>
      <c r="H781" s="8">
        <v>765577902</v>
      </c>
      <c r="I781" s="19">
        <v>765577902</v>
      </c>
      <c r="J781" s="10">
        <v>11504</v>
      </c>
      <c r="K781" s="10">
        <v>11274</v>
      </c>
      <c r="L781" s="10">
        <v>230</v>
      </c>
      <c r="M781" s="10">
        <v>0</v>
      </c>
      <c r="N781" s="11">
        <v>230</v>
      </c>
      <c r="O781" s="12">
        <v>765577902</v>
      </c>
      <c r="P781" s="9">
        <v>285123</v>
      </c>
      <c r="Q781" s="9" t="s">
        <v>37</v>
      </c>
      <c r="R781" s="13">
        <v>45710</v>
      </c>
      <c r="S781" s="22">
        <v>45710</v>
      </c>
      <c r="T781" s="13">
        <v>45710</v>
      </c>
      <c r="U781" s="13">
        <v>45710</v>
      </c>
      <c r="V781" s="9" t="s">
        <v>47</v>
      </c>
      <c r="W781" s="9">
        <v>22646285</v>
      </c>
      <c r="X781" s="9">
        <v>3041018</v>
      </c>
      <c r="Y781" s="9">
        <v>68950312</v>
      </c>
      <c r="Z781" s="9" t="s">
        <v>39</v>
      </c>
      <c r="AA781" s="9">
        <v>2032025</v>
      </c>
      <c r="AB781" s="9">
        <v>77760</v>
      </c>
      <c r="AC781" s="9" t="s">
        <v>41</v>
      </c>
      <c r="AD781" s="9" t="s">
        <v>65</v>
      </c>
      <c r="AE781" s="9" t="s">
        <v>66</v>
      </c>
      <c r="AF781" s="9" t="s">
        <v>66</v>
      </c>
      <c r="AG781" s="14" t="str">
        <f t="shared" si="26"/>
        <v>PROCEDIMIENTOS TERAPEUTICOS</v>
      </c>
      <c r="AH781" s="9" t="s">
        <v>758</v>
      </c>
      <c r="AI781" s="9">
        <v>0</v>
      </c>
      <c r="AJ781" s="9">
        <v>96942400</v>
      </c>
      <c r="AK781" s="9">
        <v>2</v>
      </c>
      <c r="AL781" s="26" t="s">
        <v>86</v>
      </c>
      <c r="AM781" s="14" t="s">
        <v>640</v>
      </c>
      <c r="AN781" s="27" t="str">
        <f t="shared" si="27"/>
        <v>11739910|96942400|765577902|765577902</v>
      </c>
      <c r="AO781" t="s">
        <v>758</v>
      </c>
      <c r="AP781" t="b">
        <v>1</v>
      </c>
      <c r="AQ781" t="s">
        <v>764</v>
      </c>
    </row>
    <row r="782" spans="1:43" x14ac:dyDescent="0.2">
      <c r="A782" s="14" t="s">
        <v>500</v>
      </c>
      <c r="B782" s="17">
        <v>11739910</v>
      </c>
      <c r="C782" s="14" t="s">
        <v>338</v>
      </c>
      <c r="D782" s="9">
        <v>11739910</v>
      </c>
      <c r="E782" s="9" t="s">
        <v>338</v>
      </c>
      <c r="F782" s="7">
        <v>45717</v>
      </c>
      <c r="G782" s="20" t="s">
        <v>46</v>
      </c>
      <c r="H782" s="8">
        <v>765577902</v>
      </c>
      <c r="I782" s="19">
        <v>65383960</v>
      </c>
      <c r="J782" s="10">
        <v>1156</v>
      </c>
      <c r="K782" s="10">
        <v>0</v>
      </c>
      <c r="L782" s="10">
        <v>1156</v>
      </c>
      <c r="M782" s="10">
        <v>0</v>
      </c>
      <c r="N782" s="11">
        <v>1156</v>
      </c>
      <c r="O782" s="12">
        <v>765577902</v>
      </c>
      <c r="P782" s="9">
        <v>285123</v>
      </c>
      <c r="Q782" s="9" t="s">
        <v>37</v>
      </c>
      <c r="R782" s="13">
        <v>45717</v>
      </c>
      <c r="S782" s="22">
        <v>45742</v>
      </c>
      <c r="T782" s="13">
        <v>45710</v>
      </c>
      <c r="U782" s="13">
        <v>45710</v>
      </c>
      <c r="V782" s="9" t="s">
        <v>47</v>
      </c>
      <c r="W782" s="9">
        <v>22770689</v>
      </c>
      <c r="X782" s="9">
        <v>3311105</v>
      </c>
      <c r="Y782" s="9">
        <v>69250848</v>
      </c>
      <c r="Z782" s="9" t="s">
        <v>39</v>
      </c>
      <c r="AA782" s="9">
        <v>2650102250127</v>
      </c>
      <c r="AB782" s="9">
        <v>78070</v>
      </c>
      <c r="AC782" s="9" t="s">
        <v>41</v>
      </c>
      <c r="AD782" s="9" t="s">
        <v>65</v>
      </c>
      <c r="AE782" s="9" t="s">
        <v>66</v>
      </c>
      <c r="AF782" s="9" t="s">
        <v>66</v>
      </c>
      <c r="AG782" s="14" t="str">
        <f t="shared" si="26"/>
        <v>PROCEDIMIENTOS TERAPEUTICOS</v>
      </c>
      <c r="AH782" s="9">
        <v>0</v>
      </c>
      <c r="AI782" s="9">
        <v>0</v>
      </c>
      <c r="AJ782" s="9">
        <v>96942400</v>
      </c>
      <c r="AK782" s="9">
        <v>2</v>
      </c>
      <c r="AL782" s="26" t="s">
        <v>52</v>
      </c>
      <c r="AM782" s="14" t="s">
        <v>640</v>
      </c>
      <c r="AN782" s="27" t="str">
        <f t="shared" si="27"/>
        <v>11739910|96942400|765577902|65383960</v>
      </c>
      <c r="AO782" t="s">
        <v>44</v>
      </c>
      <c r="AP782" t="b">
        <v>0</v>
      </c>
      <c r="AQ782" t="s">
        <v>763</v>
      </c>
    </row>
    <row r="783" spans="1:43" x14ac:dyDescent="0.2">
      <c r="A783" s="14" t="s">
        <v>500</v>
      </c>
      <c r="B783" s="17">
        <v>11739910</v>
      </c>
      <c r="C783" s="14" t="s">
        <v>338</v>
      </c>
      <c r="D783" s="9">
        <v>11739910</v>
      </c>
      <c r="E783" s="9" t="s">
        <v>338</v>
      </c>
      <c r="F783" s="7">
        <v>45689</v>
      </c>
      <c r="G783" s="20" t="s">
        <v>36</v>
      </c>
      <c r="H783" s="8">
        <v>765579441</v>
      </c>
      <c r="I783" s="19">
        <v>765579441</v>
      </c>
      <c r="J783" s="10">
        <v>23556</v>
      </c>
      <c r="K783" s="10">
        <v>23010</v>
      </c>
      <c r="L783" s="10">
        <v>546</v>
      </c>
      <c r="M783" s="10">
        <v>0</v>
      </c>
      <c r="N783" s="11">
        <v>546</v>
      </c>
      <c r="O783" s="12">
        <v>765579441</v>
      </c>
      <c r="P783" s="9">
        <v>285123</v>
      </c>
      <c r="Q783" s="9" t="s">
        <v>37</v>
      </c>
      <c r="R783" s="13">
        <v>45710</v>
      </c>
      <c r="S783" s="22">
        <v>45710</v>
      </c>
      <c r="T783" s="13">
        <v>45710</v>
      </c>
      <c r="U783" s="13">
        <v>45710</v>
      </c>
      <c r="V783" s="9" t="s">
        <v>47</v>
      </c>
      <c r="W783" s="9">
        <v>22646285</v>
      </c>
      <c r="X783" s="9">
        <v>3041018</v>
      </c>
      <c r="Y783" s="9">
        <v>68950397</v>
      </c>
      <c r="Z783" s="9" t="s">
        <v>39</v>
      </c>
      <c r="AA783" s="9">
        <v>2032025</v>
      </c>
      <c r="AB783" s="9">
        <v>77760</v>
      </c>
      <c r="AC783" s="9" t="s">
        <v>41</v>
      </c>
      <c r="AD783" s="9" t="s">
        <v>134</v>
      </c>
      <c r="AE783" s="9" t="s">
        <v>135</v>
      </c>
      <c r="AF783" s="9" t="s">
        <v>135</v>
      </c>
      <c r="AG783" s="14" t="str">
        <f t="shared" si="26"/>
        <v>EXAMENES RADIOLOGICOS</v>
      </c>
      <c r="AH783" s="9" t="s">
        <v>758</v>
      </c>
      <c r="AI783" s="9">
        <v>0</v>
      </c>
      <c r="AJ783" s="9">
        <v>96942400</v>
      </c>
      <c r="AK783" s="9">
        <v>2</v>
      </c>
      <c r="AL783" s="26" t="s">
        <v>86</v>
      </c>
      <c r="AM783" s="14" t="s">
        <v>640</v>
      </c>
      <c r="AN783" s="27" t="str">
        <f t="shared" si="27"/>
        <v>11739910|96942400|765579441|765579441</v>
      </c>
      <c r="AO783" t="s">
        <v>758</v>
      </c>
      <c r="AP783" t="b">
        <v>1</v>
      </c>
      <c r="AQ783" t="s">
        <v>764</v>
      </c>
    </row>
    <row r="784" spans="1:43" x14ac:dyDescent="0.2">
      <c r="A784" s="14" t="s">
        <v>500</v>
      </c>
      <c r="B784" s="17">
        <v>11739910</v>
      </c>
      <c r="C784" s="14" t="s">
        <v>338</v>
      </c>
      <c r="D784" s="9">
        <v>11739910</v>
      </c>
      <c r="E784" s="9" t="s">
        <v>338</v>
      </c>
      <c r="F784" s="7">
        <v>45717</v>
      </c>
      <c r="G784" s="20" t="s">
        <v>46</v>
      </c>
      <c r="H784" s="8">
        <v>765579441</v>
      </c>
      <c r="I784" s="19">
        <v>65383961</v>
      </c>
      <c r="J784" s="10">
        <v>2699</v>
      </c>
      <c r="K784" s="10">
        <v>0</v>
      </c>
      <c r="L784" s="10">
        <v>2699</v>
      </c>
      <c r="M784" s="10">
        <v>0</v>
      </c>
      <c r="N784" s="11">
        <v>2699</v>
      </c>
      <c r="O784" s="12">
        <v>765579441</v>
      </c>
      <c r="P784" s="9">
        <v>285123</v>
      </c>
      <c r="Q784" s="9" t="s">
        <v>37</v>
      </c>
      <c r="R784" s="13">
        <v>45717</v>
      </c>
      <c r="S784" s="22">
        <v>45742</v>
      </c>
      <c r="T784" s="13">
        <v>45710</v>
      </c>
      <c r="U784" s="13">
        <v>45710</v>
      </c>
      <c r="V784" s="9" t="s">
        <v>47</v>
      </c>
      <c r="W784" s="9">
        <v>22770689</v>
      </c>
      <c r="X784" s="9">
        <v>3311105</v>
      </c>
      <c r="Y784" s="9">
        <v>69250849</v>
      </c>
      <c r="Z784" s="9" t="s">
        <v>39</v>
      </c>
      <c r="AA784" s="9">
        <v>2650102250127</v>
      </c>
      <c r="AB784" s="9">
        <v>78070</v>
      </c>
      <c r="AC784" s="9" t="s">
        <v>41</v>
      </c>
      <c r="AD784" s="9" t="s">
        <v>134</v>
      </c>
      <c r="AE784" s="9" t="s">
        <v>135</v>
      </c>
      <c r="AF784" s="9" t="s">
        <v>135</v>
      </c>
      <c r="AG784" s="14" t="str">
        <f t="shared" si="26"/>
        <v>EXAMENES RADIOLOGICOS</v>
      </c>
      <c r="AH784" s="9">
        <v>0</v>
      </c>
      <c r="AI784" s="9">
        <v>0</v>
      </c>
      <c r="AJ784" s="9">
        <v>96942400</v>
      </c>
      <c r="AK784" s="9">
        <v>2</v>
      </c>
      <c r="AL784" s="26" t="s">
        <v>52</v>
      </c>
      <c r="AM784" s="14" t="s">
        <v>640</v>
      </c>
      <c r="AN784" s="27" t="str">
        <f t="shared" si="27"/>
        <v>11739910|96942400|765579441|65383961</v>
      </c>
      <c r="AO784" t="s">
        <v>44</v>
      </c>
      <c r="AP784" t="b">
        <v>0</v>
      </c>
      <c r="AQ784" t="s">
        <v>763</v>
      </c>
    </row>
    <row r="785" spans="1:43" x14ac:dyDescent="0.2">
      <c r="A785" s="14" t="s">
        <v>500</v>
      </c>
      <c r="B785" s="17">
        <v>15622250</v>
      </c>
      <c r="C785" s="14" t="s">
        <v>320</v>
      </c>
      <c r="D785" s="9">
        <v>15622250</v>
      </c>
      <c r="E785" s="9" t="s">
        <v>320</v>
      </c>
      <c r="F785" s="7">
        <v>45717</v>
      </c>
      <c r="G785" s="20" t="s">
        <v>46</v>
      </c>
      <c r="H785" s="8">
        <v>765583778</v>
      </c>
      <c r="I785" s="19">
        <v>65384334</v>
      </c>
      <c r="J785" s="10">
        <v>109160</v>
      </c>
      <c r="K785" s="10">
        <v>0</v>
      </c>
      <c r="L785" s="10">
        <v>109160</v>
      </c>
      <c r="M785" s="10">
        <v>0</v>
      </c>
      <c r="N785" s="11">
        <v>109160</v>
      </c>
      <c r="O785" s="12">
        <v>765583778</v>
      </c>
      <c r="P785" s="9">
        <v>285123</v>
      </c>
      <c r="Q785" s="9" t="s">
        <v>37</v>
      </c>
      <c r="R785" s="13">
        <v>45717</v>
      </c>
      <c r="S785" s="22">
        <v>45742</v>
      </c>
      <c r="T785" s="13">
        <v>45711</v>
      </c>
      <c r="U785" s="13">
        <v>45711</v>
      </c>
      <c r="V785" s="9" t="s">
        <v>118</v>
      </c>
      <c r="W785" s="9">
        <v>22770694</v>
      </c>
      <c r="X785" s="9">
        <v>3311105</v>
      </c>
      <c r="Y785" s="9">
        <v>69251217</v>
      </c>
      <c r="Z785" s="9" t="s">
        <v>39</v>
      </c>
      <c r="AA785" s="9">
        <v>976468066</v>
      </c>
      <c r="AB785" s="9">
        <v>78070</v>
      </c>
      <c r="AC785" s="9" t="s">
        <v>41</v>
      </c>
      <c r="AD785" s="9" t="s">
        <v>114</v>
      </c>
      <c r="AE785" s="9" t="s">
        <v>121</v>
      </c>
      <c r="AF785" s="9" t="s">
        <v>115</v>
      </c>
      <c r="AG785" s="14" t="str">
        <f t="shared" si="26"/>
        <v>CRISTALES OPTICOS ( GRUPO )</v>
      </c>
      <c r="AH785" s="9">
        <v>0</v>
      </c>
      <c r="AI785" s="9">
        <v>0</v>
      </c>
      <c r="AJ785" s="9">
        <v>76025494</v>
      </c>
      <c r="AK785" s="9">
        <v>0</v>
      </c>
      <c r="AL785" s="26" t="s">
        <v>52</v>
      </c>
      <c r="AM785" s="14" t="s">
        <v>627</v>
      </c>
      <c r="AN785" s="27" t="str">
        <f t="shared" si="27"/>
        <v>15622250|76025494|765583778|65384334</v>
      </c>
      <c r="AO785" t="s">
        <v>44</v>
      </c>
      <c r="AP785" t="b">
        <v>0</v>
      </c>
      <c r="AQ785" t="s">
        <v>763</v>
      </c>
    </row>
    <row r="786" spans="1:43" x14ac:dyDescent="0.2">
      <c r="A786" s="14" t="s">
        <v>500</v>
      </c>
      <c r="B786" s="17">
        <v>14166339</v>
      </c>
      <c r="C786" s="14" t="s">
        <v>351</v>
      </c>
      <c r="D786" s="9">
        <v>23011444</v>
      </c>
      <c r="E786" s="9" t="s">
        <v>352</v>
      </c>
      <c r="F786" s="7">
        <v>45689</v>
      </c>
      <c r="G786" s="20" t="s">
        <v>36</v>
      </c>
      <c r="H786" s="8">
        <v>765594152</v>
      </c>
      <c r="I786" s="19">
        <v>765594152</v>
      </c>
      <c r="J786" s="10">
        <v>363118</v>
      </c>
      <c r="K786" s="10">
        <v>172098</v>
      </c>
      <c r="L786" s="10">
        <v>191020</v>
      </c>
      <c r="M786" s="10">
        <v>0</v>
      </c>
      <c r="N786" s="11">
        <v>191020</v>
      </c>
      <c r="O786" s="12">
        <v>765594152</v>
      </c>
      <c r="P786" s="9">
        <v>285123</v>
      </c>
      <c r="Q786" s="9" t="s">
        <v>37</v>
      </c>
      <c r="R786" s="13">
        <v>45712</v>
      </c>
      <c r="S786" s="22">
        <v>45712</v>
      </c>
      <c r="T786" s="13">
        <v>45712</v>
      </c>
      <c r="U786" s="13">
        <v>45712</v>
      </c>
      <c r="V786" s="9" t="s">
        <v>47</v>
      </c>
      <c r="W786" s="9">
        <v>22646324</v>
      </c>
      <c r="X786" s="9">
        <v>3041018</v>
      </c>
      <c r="Y786" s="9">
        <v>68951121</v>
      </c>
      <c r="Z786" s="9" t="s">
        <v>39</v>
      </c>
      <c r="AA786" s="9">
        <v>2032025</v>
      </c>
      <c r="AB786" s="9">
        <v>77760</v>
      </c>
      <c r="AC786" s="9" t="s">
        <v>41</v>
      </c>
      <c r="AD786" s="9" t="s">
        <v>134</v>
      </c>
      <c r="AE786" s="9" t="s">
        <v>135</v>
      </c>
      <c r="AF786" s="9" t="s">
        <v>135</v>
      </c>
      <c r="AG786" s="14" t="str">
        <f t="shared" si="26"/>
        <v>EXAMENES RADIOLOGICOS</v>
      </c>
      <c r="AH786" s="9" t="s">
        <v>758</v>
      </c>
      <c r="AI786" s="9">
        <v>0</v>
      </c>
      <c r="AJ786" s="9">
        <v>78317440</v>
      </c>
      <c r="AK786" s="9">
        <v>5</v>
      </c>
      <c r="AL786" s="26" t="s">
        <v>86</v>
      </c>
      <c r="AM786" s="14" t="s">
        <v>651</v>
      </c>
      <c r="AN786" s="27" t="str">
        <f t="shared" si="27"/>
        <v>14166339|78317440|765594152|765594152</v>
      </c>
      <c r="AO786" t="s">
        <v>758</v>
      </c>
      <c r="AP786" t="b">
        <v>1</v>
      </c>
      <c r="AQ786" t="s">
        <v>764</v>
      </c>
    </row>
    <row r="787" spans="1:43" x14ac:dyDescent="0.2">
      <c r="A787" s="14" t="s">
        <v>500</v>
      </c>
      <c r="B787" s="17">
        <v>14166339</v>
      </c>
      <c r="C787" s="14" t="s">
        <v>351</v>
      </c>
      <c r="D787" s="9">
        <v>23011444</v>
      </c>
      <c r="E787" s="9" t="s">
        <v>352</v>
      </c>
      <c r="F787" s="7">
        <v>45717</v>
      </c>
      <c r="G787" s="20" t="s">
        <v>46</v>
      </c>
      <c r="H787" s="8">
        <v>765594152</v>
      </c>
      <c r="I787" s="19">
        <v>65384211</v>
      </c>
      <c r="J787" s="10">
        <v>185992</v>
      </c>
      <c r="K787" s="10">
        <v>0</v>
      </c>
      <c r="L787" s="10">
        <v>185992</v>
      </c>
      <c r="M787" s="10">
        <v>0</v>
      </c>
      <c r="N787" s="11">
        <v>115901</v>
      </c>
      <c r="O787" s="12">
        <v>765594152</v>
      </c>
      <c r="P787" s="9">
        <v>285123</v>
      </c>
      <c r="Q787" s="9" t="s">
        <v>37</v>
      </c>
      <c r="R787" s="13">
        <v>45717</v>
      </c>
      <c r="S787" s="22">
        <v>45742</v>
      </c>
      <c r="T787" s="13">
        <v>45712</v>
      </c>
      <c r="U787" s="13">
        <v>45712</v>
      </c>
      <c r="V787" s="9" t="s">
        <v>47</v>
      </c>
      <c r="W787" s="9">
        <v>22770703</v>
      </c>
      <c r="X787" s="9">
        <v>3311105</v>
      </c>
      <c r="Y787" s="9">
        <v>69251086</v>
      </c>
      <c r="Z787" s="9" t="s">
        <v>39</v>
      </c>
      <c r="AA787" s="9">
        <v>988407011</v>
      </c>
      <c r="AB787" s="9">
        <v>78070</v>
      </c>
      <c r="AC787" s="9" t="s">
        <v>41</v>
      </c>
      <c r="AD787" s="9" t="s">
        <v>134</v>
      </c>
      <c r="AE787" s="9" t="s">
        <v>135</v>
      </c>
      <c r="AF787" s="9" t="s">
        <v>135</v>
      </c>
      <c r="AG787" s="14" t="str">
        <f t="shared" si="26"/>
        <v>EXAMENES RADIOLOGICOS</v>
      </c>
      <c r="AH787" s="9">
        <v>0</v>
      </c>
      <c r="AI787" s="9">
        <v>0</v>
      </c>
      <c r="AJ787" s="9">
        <v>78317440</v>
      </c>
      <c r="AK787" s="9">
        <v>5</v>
      </c>
      <c r="AL787" s="26" t="s">
        <v>52</v>
      </c>
      <c r="AM787" s="14" t="s">
        <v>651</v>
      </c>
      <c r="AN787" s="27" t="str">
        <f t="shared" si="27"/>
        <v>14166339|78317440|765594152|65384211</v>
      </c>
      <c r="AO787" t="s">
        <v>44</v>
      </c>
      <c r="AP787" t="b">
        <v>0</v>
      </c>
      <c r="AQ787" t="s">
        <v>763</v>
      </c>
    </row>
    <row r="788" spans="1:43" x14ac:dyDescent="0.2">
      <c r="A788" s="14" t="s">
        <v>500</v>
      </c>
      <c r="B788" s="17">
        <v>9486641</v>
      </c>
      <c r="C788" s="14" t="s">
        <v>353</v>
      </c>
      <c r="D788" s="9">
        <v>9486641</v>
      </c>
      <c r="E788" s="9" t="s">
        <v>353</v>
      </c>
      <c r="F788" s="7">
        <v>45689</v>
      </c>
      <c r="G788" s="20" t="s">
        <v>36</v>
      </c>
      <c r="H788" s="8">
        <v>765595226</v>
      </c>
      <c r="I788" s="19">
        <v>765595226</v>
      </c>
      <c r="J788" s="10">
        <v>32365</v>
      </c>
      <c r="K788" s="10">
        <v>29938</v>
      </c>
      <c r="L788" s="10">
        <v>2427</v>
      </c>
      <c r="M788" s="10">
        <v>0</v>
      </c>
      <c r="N788" s="11">
        <v>2427</v>
      </c>
      <c r="O788" s="12">
        <v>765595226</v>
      </c>
      <c r="P788" s="9">
        <v>285123</v>
      </c>
      <c r="Q788" s="9" t="s">
        <v>37</v>
      </c>
      <c r="R788" s="13">
        <v>45712</v>
      </c>
      <c r="S788" s="22">
        <v>45712</v>
      </c>
      <c r="T788" s="13">
        <v>45712</v>
      </c>
      <c r="U788" s="13">
        <v>45712</v>
      </c>
      <c r="V788" s="9" t="s">
        <v>47</v>
      </c>
      <c r="W788" s="9">
        <v>22646306</v>
      </c>
      <c r="X788" s="9">
        <v>3041018</v>
      </c>
      <c r="Y788" s="9">
        <v>68951187</v>
      </c>
      <c r="Z788" s="9" t="s">
        <v>39</v>
      </c>
      <c r="AA788" s="9">
        <v>2032025</v>
      </c>
      <c r="AB788" s="9">
        <v>77760</v>
      </c>
      <c r="AC788" s="9" t="s">
        <v>41</v>
      </c>
      <c r="AD788" s="9" t="s">
        <v>134</v>
      </c>
      <c r="AE788" s="9" t="s">
        <v>135</v>
      </c>
      <c r="AF788" s="9" t="s">
        <v>135</v>
      </c>
      <c r="AG788" s="14" t="str">
        <f t="shared" si="26"/>
        <v>EXAMENES RADIOLOGICOS</v>
      </c>
      <c r="AH788" s="9" t="s">
        <v>758</v>
      </c>
      <c r="AI788" s="9">
        <v>0</v>
      </c>
      <c r="AJ788" s="9">
        <v>96631140</v>
      </c>
      <c r="AK788" s="9">
        <v>1</v>
      </c>
      <c r="AL788" s="26" t="s">
        <v>86</v>
      </c>
      <c r="AM788" s="14" t="s">
        <v>652</v>
      </c>
      <c r="AN788" s="27" t="str">
        <f t="shared" si="27"/>
        <v>9486641|96631140|765595226|765595226</v>
      </c>
      <c r="AO788" t="s">
        <v>758</v>
      </c>
      <c r="AP788" t="b">
        <v>1</v>
      </c>
      <c r="AQ788" t="s">
        <v>764</v>
      </c>
    </row>
    <row r="789" spans="1:43" x14ac:dyDescent="0.2">
      <c r="A789" s="14" t="s">
        <v>500</v>
      </c>
      <c r="B789" s="17">
        <v>9486641</v>
      </c>
      <c r="C789" s="14" t="s">
        <v>353</v>
      </c>
      <c r="D789" s="9">
        <v>9486641</v>
      </c>
      <c r="E789" s="9" t="s">
        <v>353</v>
      </c>
      <c r="F789" s="7">
        <v>45717</v>
      </c>
      <c r="G789" s="20" t="s">
        <v>46</v>
      </c>
      <c r="H789" s="8">
        <v>765595226</v>
      </c>
      <c r="I789" s="19">
        <v>65383741</v>
      </c>
      <c r="J789" s="10">
        <v>2701</v>
      </c>
      <c r="K789" s="10">
        <v>0</v>
      </c>
      <c r="L789" s="10">
        <v>2701</v>
      </c>
      <c r="M789" s="10">
        <v>0</v>
      </c>
      <c r="N789" s="11">
        <v>2701</v>
      </c>
      <c r="O789" s="12">
        <v>765595226</v>
      </c>
      <c r="P789" s="9">
        <v>285123</v>
      </c>
      <c r="Q789" s="9" t="s">
        <v>37</v>
      </c>
      <c r="R789" s="13">
        <v>45717</v>
      </c>
      <c r="S789" s="22">
        <v>45742</v>
      </c>
      <c r="T789" s="13">
        <v>45712</v>
      </c>
      <c r="U789" s="13">
        <v>45712</v>
      </c>
      <c r="V789" s="9" t="s">
        <v>47</v>
      </c>
      <c r="W789" s="9">
        <v>22770697</v>
      </c>
      <c r="X789" s="9">
        <v>3311105</v>
      </c>
      <c r="Y789" s="9">
        <v>69250631</v>
      </c>
      <c r="Z789" s="9" t="s">
        <v>39</v>
      </c>
      <c r="AA789" s="9">
        <v>27656756</v>
      </c>
      <c r="AB789" s="9">
        <v>78070</v>
      </c>
      <c r="AC789" s="9" t="s">
        <v>41</v>
      </c>
      <c r="AD789" s="9" t="s">
        <v>134</v>
      </c>
      <c r="AE789" s="9" t="s">
        <v>135</v>
      </c>
      <c r="AF789" s="9" t="s">
        <v>135</v>
      </c>
      <c r="AG789" s="14" t="str">
        <f t="shared" ref="AG789:AG852" si="28">+AF789</f>
        <v>EXAMENES RADIOLOGICOS</v>
      </c>
      <c r="AH789" s="9">
        <v>0</v>
      </c>
      <c r="AI789" s="9">
        <v>0</v>
      </c>
      <c r="AJ789" s="9">
        <v>96631140</v>
      </c>
      <c r="AK789" s="9">
        <v>1</v>
      </c>
      <c r="AL789" s="26" t="s">
        <v>52</v>
      </c>
      <c r="AM789" s="14" t="s">
        <v>652</v>
      </c>
      <c r="AN789" s="27" t="str">
        <f t="shared" si="27"/>
        <v>9486641|96631140|765595226|65383741</v>
      </c>
      <c r="AO789" t="s">
        <v>44</v>
      </c>
      <c r="AP789" t="b">
        <v>0</v>
      </c>
      <c r="AQ789" t="s">
        <v>763</v>
      </c>
    </row>
    <row r="790" spans="1:43" x14ac:dyDescent="0.2">
      <c r="A790" s="14" t="s">
        <v>500</v>
      </c>
      <c r="B790" s="17">
        <v>26190532</v>
      </c>
      <c r="C790" s="14" t="s">
        <v>325</v>
      </c>
      <c r="D790" s="9">
        <v>26190532</v>
      </c>
      <c r="E790" s="9" t="s">
        <v>325</v>
      </c>
      <c r="F790" s="7">
        <v>45689</v>
      </c>
      <c r="G790" s="20" t="s">
        <v>36</v>
      </c>
      <c r="H790" s="8">
        <v>765603098</v>
      </c>
      <c r="I790" s="19">
        <v>765603098</v>
      </c>
      <c r="J790" s="10">
        <v>6941</v>
      </c>
      <c r="K790" s="10">
        <v>4859</v>
      </c>
      <c r="L790" s="10">
        <v>2082</v>
      </c>
      <c r="M790" s="10">
        <v>0</v>
      </c>
      <c r="N790" s="11">
        <v>2082</v>
      </c>
      <c r="O790" s="12">
        <v>765603098</v>
      </c>
      <c r="P790" s="9">
        <v>285123</v>
      </c>
      <c r="Q790" s="9" t="s">
        <v>37</v>
      </c>
      <c r="R790" s="13">
        <v>45713</v>
      </c>
      <c r="S790" s="22">
        <v>45713</v>
      </c>
      <c r="T790" s="13">
        <v>45713</v>
      </c>
      <c r="U790" s="13">
        <v>45713</v>
      </c>
      <c r="V790" s="9" t="s">
        <v>47</v>
      </c>
      <c r="W790" s="9">
        <v>22646380</v>
      </c>
      <c r="X790" s="9">
        <v>3041018</v>
      </c>
      <c r="Y790" s="9">
        <v>68951604</v>
      </c>
      <c r="Z790" s="9" t="s">
        <v>39</v>
      </c>
      <c r="AA790" s="9">
        <v>2032025</v>
      </c>
      <c r="AB790" s="9">
        <v>77760</v>
      </c>
      <c r="AC790" s="9" t="s">
        <v>41</v>
      </c>
      <c r="AD790" s="9" t="s">
        <v>132</v>
      </c>
      <c r="AE790" s="9" t="s">
        <v>133</v>
      </c>
      <c r="AF790" s="9" t="s">
        <v>133</v>
      </c>
      <c r="AG790" s="14" t="str">
        <f t="shared" si="28"/>
        <v>EXAMENES DE LABORATORIO</v>
      </c>
      <c r="AH790" s="9" t="s">
        <v>758</v>
      </c>
      <c r="AI790" s="9">
        <v>0</v>
      </c>
      <c r="AJ790" s="9">
        <v>96942400</v>
      </c>
      <c r="AK790" s="9">
        <v>2</v>
      </c>
      <c r="AL790" s="26" t="s">
        <v>86</v>
      </c>
      <c r="AM790" s="14" t="s">
        <v>631</v>
      </c>
      <c r="AN790" s="27" t="str">
        <f t="shared" si="27"/>
        <v>26190532|96942400|765603098|765603098</v>
      </c>
      <c r="AO790" t="s">
        <v>758</v>
      </c>
      <c r="AP790" t="b">
        <v>1</v>
      </c>
      <c r="AQ790" t="s">
        <v>764</v>
      </c>
    </row>
    <row r="791" spans="1:43" x14ac:dyDescent="0.2">
      <c r="A791" s="14" t="s">
        <v>500</v>
      </c>
      <c r="B791" s="17">
        <v>26190532</v>
      </c>
      <c r="C791" s="14" t="s">
        <v>325</v>
      </c>
      <c r="D791" s="9">
        <v>26190532</v>
      </c>
      <c r="E791" s="9" t="s">
        <v>325</v>
      </c>
      <c r="F791" s="7">
        <v>45717</v>
      </c>
      <c r="G791" s="20" t="s">
        <v>46</v>
      </c>
      <c r="H791" s="8">
        <v>765603098</v>
      </c>
      <c r="I791" s="19">
        <v>65384526</v>
      </c>
      <c r="J791" s="10">
        <v>1930</v>
      </c>
      <c r="K791" s="10">
        <v>0</v>
      </c>
      <c r="L791" s="10">
        <v>1930</v>
      </c>
      <c r="M791" s="10">
        <v>0</v>
      </c>
      <c r="N791" s="11">
        <v>1930</v>
      </c>
      <c r="O791" s="12">
        <v>765603098</v>
      </c>
      <c r="P791" s="9">
        <v>285123</v>
      </c>
      <c r="Q791" s="9" t="s">
        <v>37</v>
      </c>
      <c r="R791" s="13">
        <v>45717</v>
      </c>
      <c r="S791" s="22">
        <v>45742</v>
      </c>
      <c r="T791" s="13">
        <v>45713</v>
      </c>
      <c r="U791" s="13">
        <v>45713</v>
      </c>
      <c r="V791" s="9" t="s">
        <v>47</v>
      </c>
      <c r="W791" s="9">
        <v>22770719</v>
      </c>
      <c r="X791" s="9">
        <v>3311105</v>
      </c>
      <c r="Y791" s="9">
        <v>69251389</v>
      </c>
      <c r="Z791" s="9" t="s">
        <v>39</v>
      </c>
      <c r="AA791" s="9">
        <v>19811327393</v>
      </c>
      <c r="AB791" s="9">
        <v>78070</v>
      </c>
      <c r="AC791" s="9" t="s">
        <v>41</v>
      </c>
      <c r="AD791" s="9" t="s">
        <v>132</v>
      </c>
      <c r="AE791" s="9" t="s">
        <v>133</v>
      </c>
      <c r="AF791" s="9" t="s">
        <v>133</v>
      </c>
      <c r="AG791" s="14" t="str">
        <f t="shared" si="28"/>
        <v>EXAMENES DE LABORATORIO</v>
      </c>
      <c r="AH791" s="9">
        <v>0</v>
      </c>
      <c r="AI791" s="9">
        <v>0</v>
      </c>
      <c r="AJ791" s="9">
        <v>96942400</v>
      </c>
      <c r="AK791" s="9">
        <v>2</v>
      </c>
      <c r="AL791" s="26" t="s">
        <v>52</v>
      </c>
      <c r="AM791" s="14" t="s">
        <v>631</v>
      </c>
      <c r="AN791" s="27" t="str">
        <f t="shared" si="27"/>
        <v>26190532|96942400|765603098|65384526</v>
      </c>
      <c r="AO791" t="s">
        <v>44</v>
      </c>
      <c r="AP791" t="b">
        <v>0</v>
      </c>
      <c r="AQ791" t="s">
        <v>763</v>
      </c>
    </row>
    <row r="792" spans="1:43" x14ac:dyDescent="0.2">
      <c r="A792" s="14" t="s">
        <v>500</v>
      </c>
      <c r="B792" s="17">
        <v>26190532</v>
      </c>
      <c r="C792" s="14" t="s">
        <v>325</v>
      </c>
      <c r="D792" s="9">
        <v>26190532</v>
      </c>
      <c r="E792" s="9" t="s">
        <v>325</v>
      </c>
      <c r="F792" s="7">
        <v>45689</v>
      </c>
      <c r="G792" s="20" t="s">
        <v>36</v>
      </c>
      <c r="H792" s="8">
        <v>765603352</v>
      </c>
      <c r="I792" s="19">
        <v>765603352</v>
      </c>
      <c r="J792" s="10">
        <v>5965</v>
      </c>
      <c r="K792" s="10">
        <v>4176</v>
      </c>
      <c r="L792" s="10">
        <v>1789</v>
      </c>
      <c r="M792" s="10">
        <v>0</v>
      </c>
      <c r="N792" s="11">
        <v>1789</v>
      </c>
      <c r="O792" s="12">
        <v>765603352</v>
      </c>
      <c r="P792" s="9">
        <v>285123</v>
      </c>
      <c r="Q792" s="9" t="s">
        <v>37</v>
      </c>
      <c r="R792" s="13">
        <v>45713</v>
      </c>
      <c r="S792" s="22">
        <v>45713</v>
      </c>
      <c r="T792" s="13">
        <v>45713</v>
      </c>
      <c r="U792" s="13">
        <v>45713</v>
      </c>
      <c r="V792" s="9" t="s">
        <v>47</v>
      </c>
      <c r="W792" s="9">
        <v>22646380</v>
      </c>
      <c r="X792" s="9">
        <v>3041018</v>
      </c>
      <c r="Y792" s="9">
        <v>68951617</v>
      </c>
      <c r="Z792" s="9" t="s">
        <v>39</v>
      </c>
      <c r="AA792" s="9">
        <v>2032025</v>
      </c>
      <c r="AB792" s="9">
        <v>77760</v>
      </c>
      <c r="AC792" s="9" t="s">
        <v>41</v>
      </c>
      <c r="AD792" s="9" t="s">
        <v>132</v>
      </c>
      <c r="AE792" s="9" t="s">
        <v>133</v>
      </c>
      <c r="AF792" s="9" t="s">
        <v>133</v>
      </c>
      <c r="AG792" s="14" t="str">
        <f t="shared" si="28"/>
        <v>EXAMENES DE LABORATORIO</v>
      </c>
      <c r="AH792" s="9" t="s">
        <v>758</v>
      </c>
      <c r="AI792" s="9">
        <v>0</v>
      </c>
      <c r="AJ792" s="9">
        <v>96942400</v>
      </c>
      <c r="AK792" s="9">
        <v>2</v>
      </c>
      <c r="AL792" s="26" t="s">
        <v>86</v>
      </c>
      <c r="AM792" s="14" t="s">
        <v>631</v>
      </c>
      <c r="AN792" s="27" t="str">
        <f t="shared" si="27"/>
        <v>26190532|96942400|765603352|765603352</v>
      </c>
      <c r="AO792" t="s">
        <v>758</v>
      </c>
      <c r="AP792" t="b">
        <v>1</v>
      </c>
      <c r="AQ792" t="s">
        <v>764</v>
      </c>
    </row>
    <row r="793" spans="1:43" x14ac:dyDescent="0.2">
      <c r="A793" s="14" t="s">
        <v>500</v>
      </c>
      <c r="B793" s="17">
        <v>26190532</v>
      </c>
      <c r="C793" s="14" t="s">
        <v>325</v>
      </c>
      <c r="D793" s="9">
        <v>26190532</v>
      </c>
      <c r="E793" s="9" t="s">
        <v>325</v>
      </c>
      <c r="F793" s="7">
        <v>45717</v>
      </c>
      <c r="G793" s="20" t="s">
        <v>46</v>
      </c>
      <c r="H793" s="8">
        <v>765603352</v>
      </c>
      <c r="I793" s="19">
        <v>65384527</v>
      </c>
      <c r="J793" s="10">
        <v>1930</v>
      </c>
      <c r="K793" s="10">
        <v>0</v>
      </c>
      <c r="L793" s="10">
        <v>1930</v>
      </c>
      <c r="M793" s="10">
        <v>0</v>
      </c>
      <c r="N793" s="11">
        <v>1930</v>
      </c>
      <c r="O793" s="12">
        <v>765603352</v>
      </c>
      <c r="P793" s="9">
        <v>285123</v>
      </c>
      <c r="Q793" s="9" t="s">
        <v>37</v>
      </c>
      <c r="R793" s="13">
        <v>45717</v>
      </c>
      <c r="S793" s="22">
        <v>45742</v>
      </c>
      <c r="T793" s="13">
        <v>45713</v>
      </c>
      <c r="U793" s="13">
        <v>45713</v>
      </c>
      <c r="V793" s="9" t="s">
        <v>47</v>
      </c>
      <c r="W793" s="9">
        <v>22770719</v>
      </c>
      <c r="X793" s="9">
        <v>3311105</v>
      </c>
      <c r="Y793" s="9">
        <v>69251390</v>
      </c>
      <c r="Z793" s="9" t="s">
        <v>39</v>
      </c>
      <c r="AA793" s="9">
        <v>19811327393</v>
      </c>
      <c r="AB793" s="9">
        <v>78070</v>
      </c>
      <c r="AC793" s="9" t="s">
        <v>41</v>
      </c>
      <c r="AD793" s="9" t="s">
        <v>132</v>
      </c>
      <c r="AE793" s="9" t="s">
        <v>133</v>
      </c>
      <c r="AF793" s="9" t="s">
        <v>133</v>
      </c>
      <c r="AG793" s="14" t="str">
        <f t="shared" si="28"/>
        <v>EXAMENES DE LABORATORIO</v>
      </c>
      <c r="AH793" s="9">
        <v>0</v>
      </c>
      <c r="AI793" s="9">
        <v>0</v>
      </c>
      <c r="AJ793" s="9">
        <v>96942400</v>
      </c>
      <c r="AK793" s="9">
        <v>2</v>
      </c>
      <c r="AL793" s="26" t="s">
        <v>52</v>
      </c>
      <c r="AM793" s="14" t="s">
        <v>631</v>
      </c>
      <c r="AN793" s="27" t="str">
        <f t="shared" si="27"/>
        <v>26190532|96942400|765603352|65384527</v>
      </c>
      <c r="AO793" t="s">
        <v>44</v>
      </c>
      <c r="AP793" t="b">
        <v>0</v>
      </c>
      <c r="AQ793" t="s">
        <v>763</v>
      </c>
    </row>
    <row r="794" spans="1:43" x14ac:dyDescent="0.2">
      <c r="A794" s="14" t="s">
        <v>500</v>
      </c>
      <c r="B794" s="17">
        <v>12409984</v>
      </c>
      <c r="C794" s="14" t="s">
        <v>354</v>
      </c>
      <c r="D794" s="9">
        <v>12409984</v>
      </c>
      <c r="E794" s="9" t="s">
        <v>354</v>
      </c>
      <c r="F794" s="7">
        <v>45689</v>
      </c>
      <c r="G794" s="20" t="s">
        <v>36</v>
      </c>
      <c r="H794" s="8">
        <v>765607455</v>
      </c>
      <c r="I794" s="19">
        <v>765607455</v>
      </c>
      <c r="J794" s="10">
        <v>24427</v>
      </c>
      <c r="K794" s="10">
        <v>21984</v>
      </c>
      <c r="L794" s="10">
        <v>2443</v>
      </c>
      <c r="M794" s="10">
        <v>0</v>
      </c>
      <c r="N794" s="11">
        <v>2443</v>
      </c>
      <c r="O794" s="12">
        <v>765607455</v>
      </c>
      <c r="P794" s="9">
        <v>285123</v>
      </c>
      <c r="Q794" s="9" t="s">
        <v>37</v>
      </c>
      <c r="R794" s="13">
        <v>45713</v>
      </c>
      <c r="S794" s="22">
        <v>45713</v>
      </c>
      <c r="T794" s="13">
        <v>45713</v>
      </c>
      <c r="U794" s="13">
        <v>45713</v>
      </c>
      <c r="V794" s="9" t="s">
        <v>47</v>
      </c>
      <c r="W794" s="9">
        <v>22646355</v>
      </c>
      <c r="X794" s="9">
        <v>3041018</v>
      </c>
      <c r="Y794" s="9">
        <v>68951772</v>
      </c>
      <c r="Z794" s="9" t="s">
        <v>39</v>
      </c>
      <c r="AA794" s="9">
        <v>2032025</v>
      </c>
      <c r="AB794" s="9">
        <v>77760</v>
      </c>
      <c r="AC794" s="9" t="s">
        <v>41</v>
      </c>
      <c r="AD794" s="9" t="s">
        <v>134</v>
      </c>
      <c r="AE794" s="9" t="s">
        <v>135</v>
      </c>
      <c r="AF794" s="9" t="s">
        <v>135</v>
      </c>
      <c r="AG794" s="14" t="str">
        <f t="shared" si="28"/>
        <v>EXAMENES RADIOLOGICOS</v>
      </c>
      <c r="AH794" s="9" t="s">
        <v>758</v>
      </c>
      <c r="AI794" s="9">
        <v>0</v>
      </c>
      <c r="AJ794" s="9">
        <v>96942400</v>
      </c>
      <c r="AK794" s="9">
        <v>2</v>
      </c>
      <c r="AL794" s="26" t="s">
        <v>86</v>
      </c>
      <c r="AM794" s="14" t="s">
        <v>653</v>
      </c>
      <c r="AN794" s="27" t="str">
        <f t="shared" si="27"/>
        <v>12409984|96942400|765607455|765607455</v>
      </c>
      <c r="AO794" t="s">
        <v>758</v>
      </c>
      <c r="AP794" t="b">
        <v>1</v>
      </c>
      <c r="AQ794" t="s">
        <v>764</v>
      </c>
    </row>
    <row r="795" spans="1:43" x14ac:dyDescent="0.2">
      <c r="A795" s="14" t="s">
        <v>500</v>
      </c>
      <c r="B795" s="17">
        <v>12409984</v>
      </c>
      <c r="C795" s="14" t="s">
        <v>354</v>
      </c>
      <c r="D795" s="9">
        <v>12409984</v>
      </c>
      <c r="E795" s="9" t="s">
        <v>354</v>
      </c>
      <c r="F795" s="7">
        <v>45717</v>
      </c>
      <c r="G795" s="20" t="s">
        <v>46</v>
      </c>
      <c r="H795" s="8">
        <v>765607455</v>
      </c>
      <c r="I795" s="19">
        <v>65384010</v>
      </c>
      <c r="J795" s="10">
        <v>2316</v>
      </c>
      <c r="K795" s="10">
        <v>0</v>
      </c>
      <c r="L795" s="10">
        <v>2316</v>
      </c>
      <c r="M795" s="10">
        <v>0</v>
      </c>
      <c r="N795" s="11">
        <v>2316</v>
      </c>
      <c r="O795" s="12">
        <v>765607455</v>
      </c>
      <c r="P795" s="9">
        <v>285123</v>
      </c>
      <c r="Q795" s="9" t="s">
        <v>37</v>
      </c>
      <c r="R795" s="13">
        <v>45717</v>
      </c>
      <c r="S795" s="22">
        <v>45742</v>
      </c>
      <c r="T795" s="13">
        <v>45713</v>
      </c>
      <c r="U795" s="13">
        <v>45713</v>
      </c>
      <c r="V795" s="9" t="s">
        <v>47</v>
      </c>
      <c r="W795" s="9">
        <v>22770713</v>
      </c>
      <c r="X795" s="9">
        <v>3311105</v>
      </c>
      <c r="Y795" s="9">
        <v>69250898</v>
      </c>
      <c r="Z795" s="9" t="s">
        <v>39</v>
      </c>
      <c r="AA795" s="9">
        <v>15200139738</v>
      </c>
      <c r="AB795" s="9">
        <v>78070</v>
      </c>
      <c r="AC795" s="9" t="s">
        <v>41</v>
      </c>
      <c r="AD795" s="9" t="s">
        <v>134</v>
      </c>
      <c r="AE795" s="9" t="s">
        <v>135</v>
      </c>
      <c r="AF795" s="9" t="s">
        <v>135</v>
      </c>
      <c r="AG795" s="14" t="str">
        <f t="shared" si="28"/>
        <v>EXAMENES RADIOLOGICOS</v>
      </c>
      <c r="AH795" s="9">
        <v>0</v>
      </c>
      <c r="AI795" s="9">
        <v>0</v>
      </c>
      <c r="AJ795" s="9">
        <v>96942400</v>
      </c>
      <c r="AK795" s="9">
        <v>2</v>
      </c>
      <c r="AL795" s="26" t="s">
        <v>52</v>
      </c>
      <c r="AM795" s="14" t="s">
        <v>653</v>
      </c>
      <c r="AN795" s="27" t="str">
        <f t="shared" si="27"/>
        <v>12409984|96942400|765607455|65384010</v>
      </c>
      <c r="AO795" t="s">
        <v>44</v>
      </c>
      <c r="AP795" t="b">
        <v>0</v>
      </c>
      <c r="AQ795" t="s">
        <v>763</v>
      </c>
    </row>
    <row r="796" spans="1:43" x14ac:dyDescent="0.2">
      <c r="A796" s="14" t="s">
        <v>500</v>
      </c>
      <c r="B796" s="17">
        <v>15178550</v>
      </c>
      <c r="C796" s="14" t="s">
        <v>319</v>
      </c>
      <c r="D796" s="9">
        <v>15178550</v>
      </c>
      <c r="E796" s="9" t="s">
        <v>319</v>
      </c>
      <c r="F796" s="7">
        <v>45689</v>
      </c>
      <c r="G796" s="20" t="s">
        <v>36</v>
      </c>
      <c r="H796" s="8">
        <v>765610137</v>
      </c>
      <c r="I796" s="19">
        <v>765610137</v>
      </c>
      <c r="J796" s="10">
        <v>87356</v>
      </c>
      <c r="K796" s="10">
        <v>74533</v>
      </c>
      <c r="L796" s="10">
        <v>12823</v>
      </c>
      <c r="M796" s="10">
        <v>0</v>
      </c>
      <c r="N796" s="11">
        <v>12823</v>
      </c>
      <c r="O796" s="12">
        <v>765610137</v>
      </c>
      <c r="P796" s="9">
        <v>285123</v>
      </c>
      <c r="Q796" s="9" t="s">
        <v>37</v>
      </c>
      <c r="R796" s="13">
        <v>45713</v>
      </c>
      <c r="S796" s="22">
        <v>45713</v>
      </c>
      <c r="T796" s="13">
        <v>45713</v>
      </c>
      <c r="U796" s="13">
        <v>45713</v>
      </c>
      <c r="V796" s="9" t="s">
        <v>47</v>
      </c>
      <c r="W796" s="9">
        <v>22646366</v>
      </c>
      <c r="X796" s="9">
        <v>3041018</v>
      </c>
      <c r="Y796" s="9">
        <v>68951888</v>
      </c>
      <c r="Z796" s="9" t="s">
        <v>39</v>
      </c>
      <c r="AA796" s="9">
        <v>2032025</v>
      </c>
      <c r="AB796" s="9">
        <v>77760</v>
      </c>
      <c r="AC796" s="9" t="s">
        <v>41</v>
      </c>
      <c r="AD796" s="9" t="s">
        <v>65</v>
      </c>
      <c r="AE796" s="9" t="s">
        <v>66</v>
      </c>
      <c r="AF796" s="9" t="s">
        <v>66</v>
      </c>
      <c r="AG796" s="14" t="str">
        <f t="shared" si="28"/>
        <v>PROCEDIMIENTOS TERAPEUTICOS</v>
      </c>
      <c r="AH796" s="9" t="s">
        <v>758</v>
      </c>
      <c r="AI796" s="9">
        <v>0</v>
      </c>
      <c r="AJ796" s="9">
        <v>96606750</v>
      </c>
      <c r="AK796" s="9">
        <v>0</v>
      </c>
      <c r="AL796" s="26" t="s">
        <v>86</v>
      </c>
      <c r="AM796" s="14" t="s">
        <v>626</v>
      </c>
      <c r="AN796" s="27" t="str">
        <f t="shared" si="27"/>
        <v>15178550|96606750|765610137|765610137</v>
      </c>
      <c r="AO796" t="s">
        <v>758</v>
      </c>
      <c r="AP796" t="b">
        <v>1</v>
      </c>
      <c r="AQ796" t="s">
        <v>764</v>
      </c>
    </row>
    <row r="797" spans="1:43" x14ac:dyDescent="0.2">
      <c r="A797" s="14" t="s">
        <v>500</v>
      </c>
      <c r="B797" s="17">
        <v>15178550</v>
      </c>
      <c r="C797" s="14" t="s">
        <v>319</v>
      </c>
      <c r="D797" s="9">
        <v>15178550</v>
      </c>
      <c r="E797" s="9" t="s">
        <v>319</v>
      </c>
      <c r="F797" s="7">
        <v>45717</v>
      </c>
      <c r="G797" s="20" t="s">
        <v>46</v>
      </c>
      <c r="H797" s="8">
        <v>765610137</v>
      </c>
      <c r="I797" s="19">
        <v>65384261</v>
      </c>
      <c r="J797" s="10">
        <v>12738</v>
      </c>
      <c r="K797" s="10">
        <v>0</v>
      </c>
      <c r="L797" s="10">
        <v>12738</v>
      </c>
      <c r="M797" s="10">
        <v>0</v>
      </c>
      <c r="N797" s="11">
        <v>12738</v>
      </c>
      <c r="O797" s="12">
        <v>765610137</v>
      </c>
      <c r="P797" s="9">
        <v>285123</v>
      </c>
      <c r="Q797" s="9" t="s">
        <v>37</v>
      </c>
      <c r="R797" s="13">
        <v>45717</v>
      </c>
      <c r="S797" s="22">
        <v>45742</v>
      </c>
      <c r="T797" s="13">
        <v>45713</v>
      </c>
      <c r="U797" s="13">
        <v>45713</v>
      </c>
      <c r="V797" s="9" t="s">
        <v>47</v>
      </c>
      <c r="W797" s="9">
        <v>22770717</v>
      </c>
      <c r="X797" s="9">
        <v>3311105</v>
      </c>
      <c r="Y797" s="9">
        <v>69251134</v>
      </c>
      <c r="Z797" s="9" t="s">
        <v>39</v>
      </c>
      <c r="AA797" s="9">
        <v>70407584</v>
      </c>
      <c r="AB797" s="9">
        <v>78070</v>
      </c>
      <c r="AC797" s="9" t="s">
        <v>41</v>
      </c>
      <c r="AD797" s="9" t="s">
        <v>65</v>
      </c>
      <c r="AE797" s="9" t="s">
        <v>66</v>
      </c>
      <c r="AF797" s="9" t="s">
        <v>66</v>
      </c>
      <c r="AG797" s="14" t="str">
        <f t="shared" si="28"/>
        <v>PROCEDIMIENTOS TERAPEUTICOS</v>
      </c>
      <c r="AH797" s="9">
        <v>0</v>
      </c>
      <c r="AI797" s="9">
        <v>0</v>
      </c>
      <c r="AJ797" s="9">
        <v>96606750</v>
      </c>
      <c r="AK797" s="9">
        <v>0</v>
      </c>
      <c r="AL797" s="26" t="s">
        <v>52</v>
      </c>
      <c r="AM797" s="14" t="s">
        <v>626</v>
      </c>
      <c r="AN797" s="27" t="str">
        <f t="shared" si="27"/>
        <v>15178550|96606750|765610137|65384261</v>
      </c>
      <c r="AO797" t="s">
        <v>44</v>
      </c>
      <c r="AP797" t="b">
        <v>0</v>
      </c>
      <c r="AQ797" t="s">
        <v>763</v>
      </c>
    </row>
    <row r="798" spans="1:43" x14ac:dyDescent="0.2">
      <c r="A798" s="14" t="s">
        <v>500</v>
      </c>
      <c r="B798" s="17">
        <v>9401001</v>
      </c>
      <c r="C798" s="14" t="s">
        <v>318</v>
      </c>
      <c r="D798" s="9">
        <v>9401001</v>
      </c>
      <c r="E798" s="9" t="s">
        <v>318</v>
      </c>
      <c r="F798" s="7">
        <v>45689</v>
      </c>
      <c r="G798" s="20" t="s">
        <v>36</v>
      </c>
      <c r="H798" s="8">
        <v>765613665</v>
      </c>
      <c r="I798" s="19">
        <v>765613665</v>
      </c>
      <c r="J798" s="10">
        <v>41288</v>
      </c>
      <c r="K798" s="10">
        <v>33031</v>
      </c>
      <c r="L798" s="10">
        <v>8257</v>
      </c>
      <c r="M798" s="10">
        <v>0</v>
      </c>
      <c r="N798" s="11">
        <v>8257</v>
      </c>
      <c r="O798" s="12">
        <v>765613665</v>
      </c>
      <c r="P798" s="9">
        <v>285123</v>
      </c>
      <c r="Q798" s="9" t="s">
        <v>37</v>
      </c>
      <c r="R798" s="13">
        <v>45714</v>
      </c>
      <c r="S798" s="22">
        <v>45714</v>
      </c>
      <c r="T798" s="13">
        <v>45714</v>
      </c>
      <c r="U798" s="13">
        <v>45714</v>
      </c>
      <c r="V798" s="9" t="s">
        <v>47</v>
      </c>
      <c r="W798" s="9">
        <v>22646386</v>
      </c>
      <c r="X798" s="9">
        <v>3041018</v>
      </c>
      <c r="Y798" s="9">
        <v>68952057</v>
      </c>
      <c r="Z798" s="9" t="s">
        <v>39</v>
      </c>
      <c r="AA798" s="9">
        <v>2032025</v>
      </c>
      <c r="AB798" s="9">
        <v>77760</v>
      </c>
      <c r="AC798" s="9" t="s">
        <v>41</v>
      </c>
      <c r="AD798" s="9" t="s">
        <v>132</v>
      </c>
      <c r="AE798" s="9" t="s">
        <v>133</v>
      </c>
      <c r="AF798" s="9" t="s">
        <v>133</v>
      </c>
      <c r="AG798" s="14" t="str">
        <f t="shared" si="28"/>
        <v>EXAMENES DE LABORATORIO</v>
      </c>
      <c r="AH798" s="9" t="s">
        <v>758</v>
      </c>
      <c r="AI798" s="9">
        <v>0</v>
      </c>
      <c r="AJ798" s="9">
        <v>96942400</v>
      </c>
      <c r="AK798" s="9">
        <v>2</v>
      </c>
      <c r="AL798" s="26" t="s">
        <v>86</v>
      </c>
      <c r="AM798" s="14" t="s">
        <v>625</v>
      </c>
      <c r="AN798" s="27" t="str">
        <f t="shared" si="27"/>
        <v>9401001|96942400|765613665|765613665</v>
      </c>
      <c r="AO798" t="s">
        <v>758</v>
      </c>
      <c r="AP798" t="b">
        <v>1</v>
      </c>
      <c r="AQ798" t="s">
        <v>764</v>
      </c>
    </row>
    <row r="799" spans="1:43" x14ac:dyDescent="0.2">
      <c r="A799" s="14" t="s">
        <v>500</v>
      </c>
      <c r="B799" s="17">
        <v>9401001</v>
      </c>
      <c r="C799" s="14" t="s">
        <v>318</v>
      </c>
      <c r="D799" s="9">
        <v>9401001</v>
      </c>
      <c r="E799" s="9" t="s">
        <v>318</v>
      </c>
      <c r="F799" s="7">
        <v>45717</v>
      </c>
      <c r="G799" s="20" t="s">
        <v>46</v>
      </c>
      <c r="H799" s="8">
        <v>765613665</v>
      </c>
      <c r="I799" s="19">
        <v>65383727</v>
      </c>
      <c r="J799" s="10">
        <v>8493</v>
      </c>
      <c r="K799" s="10">
        <v>0</v>
      </c>
      <c r="L799" s="10">
        <v>8493</v>
      </c>
      <c r="M799" s="10">
        <v>0</v>
      </c>
      <c r="N799" s="11">
        <v>8493</v>
      </c>
      <c r="O799" s="12">
        <v>765613665</v>
      </c>
      <c r="P799" s="9">
        <v>285123</v>
      </c>
      <c r="Q799" s="9" t="s">
        <v>37</v>
      </c>
      <c r="R799" s="13">
        <v>45717</v>
      </c>
      <c r="S799" s="22">
        <v>45742</v>
      </c>
      <c r="T799" s="13">
        <v>45714</v>
      </c>
      <c r="U799" s="13">
        <v>45714</v>
      </c>
      <c r="V799" s="9" t="s">
        <v>47</v>
      </c>
      <c r="W799" s="9">
        <v>22770721</v>
      </c>
      <c r="X799" s="9">
        <v>3311105</v>
      </c>
      <c r="Y799" s="9">
        <v>69250618</v>
      </c>
      <c r="Z799" s="9" t="s">
        <v>39</v>
      </c>
      <c r="AA799" s="9">
        <v>5864925</v>
      </c>
      <c r="AB799" s="9">
        <v>78070</v>
      </c>
      <c r="AC799" s="9" t="s">
        <v>41</v>
      </c>
      <c r="AD799" s="9" t="s">
        <v>132</v>
      </c>
      <c r="AE799" s="9" t="s">
        <v>133</v>
      </c>
      <c r="AF799" s="9" t="s">
        <v>133</v>
      </c>
      <c r="AG799" s="14" t="str">
        <f t="shared" si="28"/>
        <v>EXAMENES DE LABORATORIO</v>
      </c>
      <c r="AH799" s="9">
        <v>0</v>
      </c>
      <c r="AI799" s="9">
        <v>0</v>
      </c>
      <c r="AJ799" s="9">
        <v>96942400</v>
      </c>
      <c r="AK799" s="9">
        <v>2</v>
      </c>
      <c r="AL799" s="26" t="s">
        <v>52</v>
      </c>
      <c r="AM799" s="14" t="s">
        <v>625</v>
      </c>
      <c r="AN799" s="27" t="str">
        <f t="shared" si="27"/>
        <v>9401001|96942400|765613665|65383727</v>
      </c>
      <c r="AO799" t="s">
        <v>44</v>
      </c>
      <c r="AP799" t="b">
        <v>0</v>
      </c>
      <c r="AQ799" t="s">
        <v>763</v>
      </c>
    </row>
    <row r="800" spans="1:43" x14ac:dyDescent="0.2">
      <c r="A800" s="14" t="s">
        <v>500</v>
      </c>
      <c r="B800" s="17">
        <v>9401001</v>
      </c>
      <c r="C800" s="14" t="s">
        <v>318</v>
      </c>
      <c r="D800" s="9">
        <v>9401001</v>
      </c>
      <c r="E800" s="9" t="s">
        <v>318</v>
      </c>
      <c r="F800" s="7">
        <v>45689</v>
      </c>
      <c r="G800" s="20" t="s">
        <v>36</v>
      </c>
      <c r="H800" s="8">
        <v>765613666</v>
      </c>
      <c r="I800" s="19">
        <v>765613666</v>
      </c>
      <c r="J800" s="10">
        <v>45058</v>
      </c>
      <c r="K800" s="10">
        <v>32542</v>
      </c>
      <c r="L800" s="10">
        <v>12516</v>
      </c>
      <c r="M800" s="10">
        <v>0</v>
      </c>
      <c r="N800" s="11">
        <v>12516</v>
      </c>
      <c r="O800" s="12">
        <v>765613666</v>
      </c>
      <c r="P800" s="9">
        <v>285123</v>
      </c>
      <c r="Q800" s="9" t="s">
        <v>37</v>
      </c>
      <c r="R800" s="13">
        <v>45714</v>
      </c>
      <c r="S800" s="22">
        <v>45714</v>
      </c>
      <c r="T800" s="13">
        <v>45714</v>
      </c>
      <c r="U800" s="13">
        <v>45714</v>
      </c>
      <c r="V800" s="9" t="s">
        <v>47</v>
      </c>
      <c r="W800" s="9">
        <v>22646386</v>
      </c>
      <c r="X800" s="9">
        <v>3041018</v>
      </c>
      <c r="Y800" s="9">
        <v>68952056</v>
      </c>
      <c r="Z800" s="9" t="s">
        <v>39</v>
      </c>
      <c r="AA800" s="9">
        <v>2032025</v>
      </c>
      <c r="AB800" s="9">
        <v>77760</v>
      </c>
      <c r="AC800" s="9" t="s">
        <v>41</v>
      </c>
      <c r="AD800" s="9" t="s">
        <v>132</v>
      </c>
      <c r="AE800" s="9" t="s">
        <v>133</v>
      </c>
      <c r="AF800" s="9" t="s">
        <v>133</v>
      </c>
      <c r="AG800" s="14" t="str">
        <f t="shared" si="28"/>
        <v>EXAMENES DE LABORATORIO</v>
      </c>
      <c r="AH800" s="9" t="s">
        <v>758</v>
      </c>
      <c r="AI800" s="9">
        <v>0</v>
      </c>
      <c r="AJ800" s="9">
        <v>96942400</v>
      </c>
      <c r="AK800" s="9">
        <v>2</v>
      </c>
      <c r="AL800" s="26" t="s">
        <v>86</v>
      </c>
      <c r="AM800" s="14" t="s">
        <v>625</v>
      </c>
      <c r="AN800" s="27" t="str">
        <f t="shared" si="27"/>
        <v>9401001|96942400|765613666|765613666</v>
      </c>
      <c r="AO800" t="s">
        <v>758</v>
      </c>
      <c r="AP800" t="b">
        <v>1</v>
      </c>
      <c r="AQ800" t="s">
        <v>764</v>
      </c>
    </row>
    <row r="801" spans="1:43" x14ac:dyDescent="0.2">
      <c r="A801" s="14" t="s">
        <v>500</v>
      </c>
      <c r="B801" s="17">
        <v>9401001</v>
      </c>
      <c r="C801" s="14" t="s">
        <v>318</v>
      </c>
      <c r="D801" s="9">
        <v>9401001</v>
      </c>
      <c r="E801" s="9" t="s">
        <v>318</v>
      </c>
      <c r="F801" s="7">
        <v>45717</v>
      </c>
      <c r="G801" s="20" t="s">
        <v>46</v>
      </c>
      <c r="H801" s="8">
        <v>765613666</v>
      </c>
      <c r="I801" s="19">
        <v>65383728</v>
      </c>
      <c r="J801" s="10">
        <v>11583</v>
      </c>
      <c r="K801" s="10">
        <v>0</v>
      </c>
      <c r="L801" s="10">
        <v>11583</v>
      </c>
      <c r="M801" s="10">
        <v>0</v>
      </c>
      <c r="N801" s="11">
        <v>11583</v>
      </c>
      <c r="O801" s="12">
        <v>765613666</v>
      </c>
      <c r="P801" s="9">
        <v>285123</v>
      </c>
      <c r="Q801" s="9" t="s">
        <v>37</v>
      </c>
      <c r="R801" s="13">
        <v>45717</v>
      </c>
      <c r="S801" s="22">
        <v>45742</v>
      </c>
      <c r="T801" s="13">
        <v>45714</v>
      </c>
      <c r="U801" s="13">
        <v>45714</v>
      </c>
      <c r="V801" s="9" t="s">
        <v>47</v>
      </c>
      <c r="W801" s="9">
        <v>22770721</v>
      </c>
      <c r="X801" s="9">
        <v>3311105</v>
      </c>
      <c r="Y801" s="9">
        <v>69250619</v>
      </c>
      <c r="Z801" s="9" t="s">
        <v>39</v>
      </c>
      <c r="AA801" s="9">
        <v>5864925</v>
      </c>
      <c r="AB801" s="9">
        <v>78070</v>
      </c>
      <c r="AC801" s="9" t="s">
        <v>41</v>
      </c>
      <c r="AD801" s="9" t="s">
        <v>132</v>
      </c>
      <c r="AE801" s="9" t="s">
        <v>133</v>
      </c>
      <c r="AF801" s="9" t="s">
        <v>133</v>
      </c>
      <c r="AG801" s="14" t="str">
        <f t="shared" si="28"/>
        <v>EXAMENES DE LABORATORIO</v>
      </c>
      <c r="AH801" s="9">
        <v>0</v>
      </c>
      <c r="AI801" s="9">
        <v>0</v>
      </c>
      <c r="AJ801" s="9">
        <v>96942400</v>
      </c>
      <c r="AK801" s="9">
        <v>2</v>
      </c>
      <c r="AL801" s="26" t="s">
        <v>52</v>
      </c>
      <c r="AM801" s="14" t="s">
        <v>625</v>
      </c>
      <c r="AN801" s="27" t="str">
        <f t="shared" si="27"/>
        <v>9401001|96942400|765613666|65383728</v>
      </c>
      <c r="AO801" t="s">
        <v>44</v>
      </c>
      <c r="AP801" t="b">
        <v>0</v>
      </c>
      <c r="AQ801" t="s">
        <v>763</v>
      </c>
    </row>
    <row r="802" spans="1:43" x14ac:dyDescent="0.2">
      <c r="A802" s="14" t="s">
        <v>500</v>
      </c>
      <c r="B802" s="17">
        <v>9401001</v>
      </c>
      <c r="C802" s="14" t="s">
        <v>318</v>
      </c>
      <c r="D802" s="9">
        <v>9401001</v>
      </c>
      <c r="E802" s="9" t="s">
        <v>318</v>
      </c>
      <c r="F802" s="7">
        <v>45689</v>
      </c>
      <c r="G802" s="20" t="s">
        <v>36</v>
      </c>
      <c r="H802" s="8">
        <v>765613667</v>
      </c>
      <c r="I802" s="19">
        <v>765613667</v>
      </c>
      <c r="J802" s="10">
        <v>16640</v>
      </c>
      <c r="K802" s="10">
        <v>13297</v>
      </c>
      <c r="L802" s="10">
        <v>3343</v>
      </c>
      <c r="M802" s="10">
        <v>0</v>
      </c>
      <c r="N802" s="11">
        <v>3343</v>
      </c>
      <c r="O802" s="12">
        <v>765613667</v>
      </c>
      <c r="P802" s="9">
        <v>285123</v>
      </c>
      <c r="Q802" s="9" t="s">
        <v>37</v>
      </c>
      <c r="R802" s="13">
        <v>45714</v>
      </c>
      <c r="S802" s="22">
        <v>45714</v>
      </c>
      <c r="T802" s="13">
        <v>45714</v>
      </c>
      <c r="U802" s="13">
        <v>45714</v>
      </c>
      <c r="V802" s="9" t="s">
        <v>47</v>
      </c>
      <c r="W802" s="9">
        <v>22646386</v>
      </c>
      <c r="X802" s="9">
        <v>3041018</v>
      </c>
      <c r="Y802" s="9">
        <v>68952055</v>
      </c>
      <c r="Z802" s="9" t="s">
        <v>39</v>
      </c>
      <c r="AA802" s="9">
        <v>2032025</v>
      </c>
      <c r="AB802" s="9">
        <v>77760</v>
      </c>
      <c r="AC802" s="9" t="s">
        <v>41</v>
      </c>
      <c r="AD802" s="9" t="s">
        <v>132</v>
      </c>
      <c r="AE802" s="9" t="s">
        <v>133</v>
      </c>
      <c r="AF802" s="9" t="s">
        <v>133</v>
      </c>
      <c r="AG802" s="14" t="str">
        <f t="shared" si="28"/>
        <v>EXAMENES DE LABORATORIO</v>
      </c>
      <c r="AH802" s="9" t="s">
        <v>758</v>
      </c>
      <c r="AI802" s="9">
        <v>0</v>
      </c>
      <c r="AJ802" s="9">
        <v>96942400</v>
      </c>
      <c r="AK802" s="9">
        <v>2</v>
      </c>
      <c r="AL802" s="26" t="s">
        <v>86</v>
      </c>
      <c r="AM802" s="14" t="s">
        <v>625</v>
      </c>
      <c r="AN802" s="27" t="str">
        <f t="shared" si="27"/>
        <v>9401001|96942400|765613667|765613667</v>
      </c>
      <c r="AO802" t="s">
        <v>758</v>
      </c>
      <c r="AP802" t="b">
        <v>1</v>
      </c>
      <c r="AQ802" t="s">
        <v>764</v>
      </c>
    </row>
    <row r="803" spans="1:43" x14ac:dyDescent="0.2">
      <c r="A803" s="14" t="s">
        <v>500</v>
      </c>
      <c r="B803" s="17">
        <v>9401001</v>
      </c>
      <c r="C803" s="14" t="s">
        <v>318</v>
      </c>
      <c r="D803" s="9">
        <v>9401001</v>
      </c>
      <c r="E803" s="9" t="s">
        <v>318</v>
      </c>
      <c r="F803" s="7">
        <v>45717</v>
      </c>
      <c r="G803" s="20" t="s">
        <v>46</v>
      </c>
      <c r="H803" s="8">
        <v>765613667</v>
      </c>
      <c r="I803" s="19">
        <v>65383729</v>
      </c>
      <c r="J803" s="10">
        <v>3088</v>
      </c>
      <c r="K803" s="10">
        <v>0</v>
      </c>
      <c r="L803" s="10">
        <v>3088</v>
      </c>
      <c r="M803" s="10">
        <v>0</v>
      </c>
      <c r="N803" s="11">
        <v>3088</v>
      </c>
      <c r="O803" s="12">
        <v>765613667</v>
      </c>
      <c r="P803" s="9">
        <v>285123</v>
      </c>
      <c r="Q803" s="9" t="s">
        <v>37</v>
      </c>
      <c r="R803" s="13">
        <v>45717</v>
      </c>
      <c r="S803" s="22">
        <v>45742</v>
      </c>
      <c r="T803" s="13">
        <v>45714</v>
      </c>
      <c r="U803" s="13">
        <v>45714</v>
      </c>
      <c r="V803" s="9" t="s">
        <v>47</v>
      </c>
      <c r="W803" s="9">
        <v>22770721</v>
      </c>
      <c r="X803" s="9">
        <v>3311105</v>
      </c>
      <c r="Y803" s="9">
        <v>69250620</v>
      </c>
      <c r="Z803" s="9" t="s">
        <v>39</v>
      </c>
      <c r="AA803" s="9">
        <v>5864925</v>
      </c>
      <c r="AB803" s="9">
        <v>78070</v>
      </c>
      <c r="AC803" s="9" t="s">
        <v>41</v>
      </c>
      <c r="AD803" s="9" t="s">
        <v>132</v>
      </c>
      <c r="AE803" s="9" t="s">
        <v>133</v>
      </c>
      <c r="AF803" s="9" t="s">
        <v>133</v>
      </c>
      <c r="AG803" s="14" t="str">
        <f t="shared" si="28"/>
        <v>EXAMENES DE LABORATORIO</v>
      </c>
      <c r="AH803" s="9">
        <v>0</v>
      </c>
      <c r="AI803" s="9">
        <v>0</v>
      </c>
      <c r="AJ803" s="9">
        <v>96942400</v>
      </c>
      <c r="AK803" s="9">
        <v>2</v>
      </c>
      <c r="AL803" s="26" t="s">
        <v>52</v>
      </c>
      <c r="AM803" s="14" t="s">
        <v>625</v>
      </c>
      <c r="AN803" s="27" t="str">
        <f t="shared" si="27"/>
        <v>9401001|96942400|765613667|65383729</v>
      </c>
      <c r="AO803" t="s">
        <v>44</v>
      </c>
      <c r="AP803" t="b">
        <v>0</v>
      </c>
      <c r="AQ803" t="s">
        <v>763</v>
      </c>
    </row>
    <row r="804" spans="1:43" x14ac:dyDescent="0.2">
      <c r="A804" s="14" t="s">
        <v>500</v>
      </c>
      <c r="B804" s="17">
        <v>9401001</v>
      </c>
      <c r="C804" s="14" t="s">
        <v>318</v>
      </c>
      <c r="D804" s="9">
        <v>9401001</v>
      </c>
      <c r="E804" s="9" t="s">
        <v>318</v>
      </c>
      <c r="F804" s="7">
        <v>45689</v>
      </c>
      <c r="G804" s="20" t="s">
        <v>36</v>
      </c>
      <c r="H804" s="8">
        <v>765613668</v>
      </c>
      <c r="I804" s="19">
        <v>765613668</v>
      </c>
      <c r="J804" s="10">
        <v>16679</v>
      </c>
      <c r="K804" s="10">
        <v>13343</v>
      </c>
      <c r="L804" s="10">
        <v>3336</v>
      </c>
      <c r="M804" s="10">
        <v>0</v>
      </c>
      <c r="N804" s="11">
        <v>3336</v>
      </c>
      <c r="O804" s="12">
        <v>765613668</v>
      </c>
      <c r="P804" s="9">
        <v>285123</v>
      </c>
      <c r="Q804" s="9" t="s">
        <v>37</v>
      </c>
      <c r="R804" s="13">
        <v>45714</v>
      </c>
      <c r="S804" s="22">
        <v>45714</v>
      </c>
      <c r="T804" s="13">
        <v>45714</v>
      </c>
      <c r="U804" s="13">
        <v>45714</v>
      </c>
      <c r="V804" s="9" t="s">
        <v>47</v>
      </c>
      <c r="W804" s="9">
        <v>22646386</v>
      </c>
      <c r="X804" s="9">
        <v>3041018</v>
      </c>
      <c r="Y804" s="9">
        <v>68952054</v>
      </c>
      <c r="Z804" s="9" t="s">
        <v>39</v>
      </c>
      <c r="AA804" s="9">
        <v>2032025</v>
      </c>
      <c r="AB804" s="9">
        <v>77760</v>
      </c>
      <c r="AC804" s="9" t="s">
        <v>41</v>
      </c>
      <c r="AD804" s="9" t="s">
        <v>132</v>
      </c>
      <c r="AE804" s="9" t="s">
        <v>133</v>
      </c>
      <c r="AF804" s="9" t="s">
        <v>133</v>
      </c>
      <c r="AG804" s="14" t="str">
        <f t="shared" si="28"/>
        <v>EXAMENES DE LABORATORIO</v>
      </c>
      <c r="AH804" s="9" t="s">
        <v>758</v>
      </c>
      <c r="AI804" s="9">
        <v>0</v>
      </c>
      <c r="AJ804" s="9">
        <v>96942400</v>
      </c>
      <c r="AK804" s="9">
        <v>2</v>
      </c>
      <c r="AL804" s="26" t="s">
        <v>86</v>
      </c>
      <c r="AM804" s="14" t="s">
        <v>625</v>
      </c>
      <c r="AN804" s="27" t="str">
        <f t="shared" si="27"/>
        <v>9401001|96942400|765613668|765613668</v>
      </c>
      <c r="AO804" t="s">
        <v>758</v>
      </c>
      <c r="AP804" t="b">
        <v>1</v>
      </c>
      <c r="AQ804" t="s">
        <v>764</v>
      </c>
    </row>
    <row r="805" spans="1:43" x14ac:dyDescent="0.2">
      <c r="A805" s="14" t="s">
        <v>500</v>
      </c>
      <c r="B805" s="17">
        <v>9401001</v>
      </c>
      <c r="C805" s="14" t="s">
        <v>318</v>
      </c>
      <c r="D805" s="9">
        <v>9401001</v>
      </c>
      <c r="E805" s="9" t="s">
        <v>318</v>
      </c>
      <c r="F805" s="7">
        <v>45717</v>
      </c>
      <c r="G805" s="20" t="s">
        <v>46</v>
      </c>
      <c r="H805" s="8">
        <v>765613668</v>
      </c>
      <c r="I805" s="19">
        <v>65383730</v>
      </c>
      <c r="J805" s="10">
        <v>3088</v>
      </c>
      <c r="K805" s="10">
        <v>0</v>
      </c>
      <c r="L805" s="10">
        <v>3088</v>
      </c>
      <c r="M805" s="10">
        <v>0</v>
      </c>
      <c r="N805" s="11">
        <v>3088</v>
      </c>
      <c r="O805" s="12">
        <v>765613668</v>
      </c>
      <c r="P805" s="9">
        <v>285123</v>
      </c>
      <c r="Q805" s="9" t="s">
        <v>37</v>
      </c>
      <c r="R805" s="13">
        <v>45717</v>
      </c>
      <c r="S805" s="22">
        <v>45742</v>
      </c>
      <c r="T805" s="13">
        <v>45714</v>
      </c>
      <c r="U805" s="13">
        <v>45714</v>
      </c>
      <c r="V805" s="9" t="s">
        <v>47</v>
      </c>
      <c r="W805" s="9">
        <v>22770721</v>
      </c>
      <c r="X805" s="9">
        <v>3311105</v>
      </c>
      <c r="Y805" s="9">
        <v>69250621</v>
      </c>
      <c r="Z805" s="9" t="s">
        <v>39</v>
      </c>
      <c r="AA805" s="9">
        <v>5864925</v>
      </c>
      <c r="AB805" s="9">
        <v>78070</v>
      </c>
      <c r="AC805" s="9" t="s">
        <v>41</v>
      </c>
      <c r="AD805" s="9" t="s">
        <v>132</v>
      </c>
      <c r="AE805" s="9" t="s">
        <v>133</v>
      </c>
      <c r="AF805" s="9" t="s">
        <v>133</v>
      </c>
      <c r="AG805" s="14" t="str">
        <f t="shared" si="28"/>
        <v>EXAMENES DE LABORATORIO</v>
      </c>
      <c r="AH805" s="9">
        <v>0</v>
      </c>
      <c r="AI805" s="9">
        <v>0</v>
      </c>
      <c r="AJ805" s="9">
        <v>96942400</v>
      </c>
      <c r="AK805" s="9">
        <v>2</v>
      </c>
      <c r="AL805" s="26" t="s">
        <v>52</v>
      </c>
      <c r="AM805" s="14" t="s">
        <v>625</v>
      </c>
      <c r="AN805" s="27" t="str">
        <f t="shared" si="27"/>
        <v>9401001|96942400|765613668|65383730</v>
      </c>
      <c r="AO805" t="s">
        <v>44</v>
      </c>
      <c r="AP805" t="b">
        <v>0</v>
      </c>
      <c r="AQ805" t="s">
        <v>763</v>
      </c>
    </row>
    <row r="806" spans="1:43" x14ac:dyDescent="0.2">
      <c r="A806" s="14" t="s">
        <v>500</v>
      </c>
      <c r="B806" s="17">
        <v>12409984</v>
      </c>
      <c r="C806" s="14" t="s">
        <v>354</v>
      </c>
      <c r="D806" s="9">
        <v>12409984</v>
      </c>
      <c r="E806" s="9" t="s">
        <v>354</v>
      </c>
      <c r="F806" s="7">
        <v>45689</v>
      </c>
      <c r="G806" s="20" t="s">
        <v>36</v>
      </c>
      <c r="H806" s="8">
        <v>765621424</v>
      </c>
      <c r="I806" s="19">
        <v>765621424</v>
      </c>
      <c r="J806" s="10">
        <v>11504</v>
      </c>
      <c r="K806" s="10">
        <v>8292</v>
      </c>
      <c r="L806" s="10">
        <v>3212</v>
      </c>
      <c r="M806" s="10">
        <v>0</v>
      </c>
      <c r="N806" s="11">
        <v>3212</v>
      </c>
      <c r="O806" s="12">
        <v>765621424</v>
      </c>
      <c r="P806" s="9">
        <v>285123</v>
      </c>
      <c r="Q806" s="9" t="s">
        <v>37</v>
      </c>
      <c r="R806" s="13">
        <v>45714</v>
      </c>
      <c r="S806" s="22">
        <v>45714</v>
      </c>
      <c r="T806" s="13">
        <v>45714</v>
      </c>
      <c r="U806" s="13">
        <v>45714</v>
      </c>
      <c r="V806" s="9" t="s">
        <v>47</v>
      </c>
      <c r="W806" s="9">
        <v>22646399</v>
      </c>
      <c r="X806" s="9">
        <v>3041018</v>
      </c>
      <c r="Y806" s="9">
        <v>68952426</v>
      </c>
      <c r="Z806" s="9" t="s">
        <v>39</v>
      </c>
      <c r="AA806" s="9">
        <v>2032025</v>
      </c>
      <c r="AB806" s="9">
        <v>77760</v>
      </c>
      <c r="AC806" s="9" t="s">
        <v>41</v>
      </c>
      <c r="AD806" s="9" t="s">
        <v>65</v>
      </c>
      <c r="AE806" s="9" t="s">
        <v>66</v>
      </c>
      <c r="AF806" s="9" t="s">
        <v>66</v>
      </c>
      <c r="AG806" s="14" t="str">
        <f t="shared" si="28"/>
        <v>PROCEDIMIENTOS TERAPEUTICOS</v>
      </c>
      <c r="AH806" s="9" t="s">
        <v>758</v>
      </c>
      <c r="AI806" s="9">
        <v>0</v>
      </c>
      <c r="AJ806" s="9">
        <v>96942400</v>
      </c>
      <c r="AK806" s="9">
        <v>2</v>
      </c>
      <c r="AL806" s="26" t="s">
        <v>86</v>
      </c>
      <c r="AM806" s="14" t="s">
        <v>653</v>
      </c>
      <c r="AN806" s="27" t="str">
        <f t="shared" si="27"/>
        <v>12409984|96942400|765621424|765621424</v>
      </c>
      <c r="AO806" t="s">
        <v>758</v>
      </c>
      <c r="AP806" t="b">
        <v>1</v>
      </c>
      <c r="AQ806" t="s">
        <v>764</v>
      </c>
    </row>
    <row r="807" spans="1:43" x14ac:dyDescent="0.2">
      <c r="A807" s="14" t="s">
        <v>500</v>
      </c>
      <c r="B807" s="17">
        <v>12409984</v>
      </c>
      <c r="C807" s="14" t="s">
        <v>354</v>
      </c>
      <c r="D807" s="9">
        <v>12409984</v>
      </c>
      <c r="E807" s="9" t="s">
        <v>354</v>
      </c>
      <c r="F807" s="7">
        <v>45717</v>
      </c>
      <c r="G807" s="20" t="s">
        <v>46</v>
      </c>
      <c r="H807" s="8">
        <v>765621424</v>
      </c>
      <c r="I807" s="19">
        <v>65384011</v>
      </c>
      <c r="J807" s="10">
        <v>3089</v>
      </c>
      <c r="K807" s="10">
        <v>0</v>
      </c>
      <c r="L807" s="10">
        <v>3089</v>
      </c>
      <c r="M807" s="10">
        <v>0</v>
      </c>
      <c r="N807" s="11">
        <v>3089</v>
      </c>
      <c r="O807" s="12">
        <v>765621424</v>
      </c>
      <c r="P807" s="9">
        <v>285123</v>
      </c>
      <c r="Q807" s="9" t="s">
        <v>37</v>
      </c>
      <c r="R807" s="13">
        <v>45717</v>
      </c>
      <c r="S807" s="22">
        <v>45742</v>
      </c>
      <c r="T807" s="13">
        <v>45714</v>
      </c>
      <c r="U807" s="13">
        <v>45714</v>
      </c>
      <c r="V807" s="9" t="s">
        <v>47</v>
      </c>
      <c r="W807" s="9">
        <v>22770725</v>
      </c>
      <c r="X807" s="9">
        <v>3311105</v>
      </c>
      <c r="Y807" s="9">
        <v>69250899</v>
      </c>
      <c r="Z807" s="9" t="s">
        <v>39</v>
      </c>
      <c r="AA807" s="9">
        <v>15200139738</v>
      </c>
      <c r="AB807" s="9">
        <v>78070</v>
      </c>
      <c r="AC807" s="9" t="s">
        <v>41</v>
      </c>
      <c r="AD807" s="9" t="s">
        <v>65</v>
      </c>
      <c r="AE807" s="9" t="s">
        <v>66</v>
      </c>
      <c r="AF807" s="9" t="s">
        <v>66</v>
      </c>
      <c r="AG807" s="14" t="str">
        <f t="shared" si="28"/>
        <v>PROCEDIMIENTOS TERAPEUTICOS</v>
      </c>
      <c r="AH807" s="9">
        <v>0</v>
      </c>
      <c r="AI807" s="9">
        <v>0</v>
      </c>
      <c r="AJ807" s="9">
        <v>96942400</v>
      </c>
      <c r="AK807" s="9">
        <v>2</v>
      </c>
      <c r="AL807" s="26" t="s">
        <v>52</v>
      </c>
      <c r="AM807" s="14" t="s">
        <v>653</v>
      </c>
      <c r="AN807" s="27" t="str">
        <f t="shared" si="27"/>
        <v>12409984|96942400|765621424|65384011</v>
      </c>
      <c r="AO807" t="s">
        <v>44</v>
      </c>
      <c r="AP807" t="b">
        <v>0</v>
      </c>
      <c r="AQ807" t="s">
        <v>763</v>
      </c>
    </row>
    <row r="808" spans="1:43" x14ac:dyDescent="0.2">
      <c r="A808" s="14" t="s">
        <v>500</v>
      </c>
      <c r="B808" s="17">
        <v>13281122</v>
      </c>
      <c r="C808" s="14" t="s">
        <v>336</v>
      </c>
      <c r="D808" s="9">
        <v>14453785</v>
      </c>
      <c r="E808" s="9" t="s">
        <v>355</v>
      </c>
      <c r="F808" s="7">
        <v>45689</v>
      </c>
      <c r="G808" s="20" t="s">
        <v>36</v>
      </c>
      <c r="H808" s="8">
        <v>765623647</v>
      </c>
      <c r="I808" s="19">
        <v>765623647</v>
      </c>
      <c r="J808" s="10">
        <v>42464</v>
      </c>
      <c r="K808" s="10">
        <v>13270</v>
      </c>
      <c r="L808" s="10">
        <v>29194</v>
      </c>
      <c r="M808" s="10">
        <v>0</v>
      </c>
      <c r="N808" s="11">
        <v>29194</v>
      </c>
      <c r="O808" s="12">
        <v>765623647</v>
      </c>
      <c r="P808" s="9">
        <v>285123</v>
      </c>
      <c r="Q808" s="9" t="s">
        <v>37</v>
      </c>
      <c r="R808" s="13">
        <v>45714</v>
      </c>
      <c r="S808" s="22">
        <v>45714</v>
      </c>
      <c r="T808" s="13">
        <v>45714</v>
      </c>
      <c r="U808" s="13">
        <v>45714</v>
      </c>
      <c r="V808" s="9" t="s">
        <v>47</v>
      </c>
      <c r="W808" s="9">
        <v>22646402</v>
      </c>
      <c r="X808" s="9">
        <v>3041018</v>
      </c>
      <c r="Y808" s="9">
        <v>68952549</v>
      </c>
      <c r="Z808" s="9" t="s">
        <v>39</v>
      </c>
      <c r="AA808" s="9">
        <v>2032025</v>
      </c>
      <c r="AB808" s="9">
        <v>77760</v>
      </c>
      <c r="AC808" s="9" t="s">
        <v>41</v>
      </c>
      <c r="AD808" s="9" t="s">
        <v>132</v>
      </c>
      <c r="AE808" s="9" t="s">
        <v>133</v>
      </c>
      <c r="AF808" s="9" t="s">
        <v>133</v>
      </c>
      <c r="AG808" s="14" t="str">
        <f t="shared" si="28"/>
        <v>EXAMENES DE LABORATORIO</v>
      </c>
      <c r="AH808" s="9" t="s">
        <v>758</v>
      </c>
      <c r="AI808" s="9">
        <v>0</v>
      </c>
      <c r="AJ808" s="9">
        <v>96942400</v>
      </c>
      <c r="AK808" s="9">
        <v>2</v>
      </c>
      <c r="AL808" s="26" t="s">
        <v>86</v>
      </c>
      <c r="AM808" s="14" t="s">
        <v>639</v>
      </c>
      <c r="AN808" s="27" t="str">
        <f t="shared" si="27"/>
        <v>13281122|96942400|765623647|765623647</v>
      </c>
      <c r="AO808" t="s">
        <v>758</v>
      </c>
      <c r="AP808" t="b">
        <v>1</v>
      </c>
      <c r="AQ808" t="s">
        <v>764</v>
      </c>
    </row>
    <row r="809" spans="1:43" x14ac:dyDescent="0.2">
      <c r="A809" s="14" t="s">
        <v>500</v>
      </c>
      <c r="B809" s="17">
        <v>13281122</v>
      </c>
      <c r="C809" s="14" t="s">
        <v>336</v>
      </c>
      <c r="D809" s="9">
        <v>14453785</v>
      </c>
      <c r="E809" s="9" t="s">
        <v>355</v>
      </c>
      <c r="F809" s="7">
        <v>45717</v>
      </c>
      <c r="G809" s="20" t="s">
        <v>46</v>
      </c>
      <c r="H809" s="8">
        <v>765623647</v>
      </c>
      <c r="I809" s="19">
        <v>65384099</v>
      </c>
      <c r="J809" s="10">
        <v>25101</v>
      </c>
      <c r="K809" s="10">
        <v>0</v>
      </c>
      <c r="L809" s="10">
        <v>25101</v>
      </c>
      <c r="M809" s="10">
        <v>0</v>
      </c>
      <c r="N809" s="11">
        <v>25101</v>
      </c>
      <c r="O809" s="12">
        <v>765623647</v>
      </c>
      <c r="P809" s="9">
        <v>285123</v>
      </c>
      <c r="Q809" s="9" t="s">
        <v>37</v>
      </c>
      <c r="R809" s="13">
        <v>45717</v>
      </c>
      <c r="S809" s="22">
        <v>45742</v>
      </c>
      <c r="T809" s="13">
        <v>45714</v>
      </c>
      <c r="U809" s="13">
        <v>45714</v>
      </c>
      <c r="V809" s="9" t="s">
        <v>47</v>
      </c>
      <c r="W809" s="9">
        <v>22770726</v>
      </c>
      <c r="X809" s="9">
        <v>3311105</v>
      </c>
      <c r="Y809" s="9">
        <v>69250984</v>
      </c>
      <c r="Z809" s="9" t="s">
        <v>39</v>
      </c>
      <c r="AA809" s="9">
        <v>210929341</v>
      </c>
      <c r="AB809" s="9">
        <v>78070</v>
      </c>
      <c r="AC809" s="9" t="s">
        <v>41</v>
      </c>
      <c r="AD809" s="9" t="s">
        <v>132</v>
      </c>
      <c r="AE809" s="9" t="s">
        <v>133</v>
      </c>
      <c r="AF809" s="9" t="s">
        <v>133</v>
      </c>
      <c r="AG809" s="14" t="str">
        <f t="shared" si="28"/>
        <v>EXAMENES DE LABORATORIO</v>
      </c>
      <c r="AH809" s="9">
        <v>0</v>
      </c>
      <c r="AI809" s="9">
        <v>0</v>
      </c>
      <c r="AJ809" s="9">
        <v>96942400</v>
      </c>
      <c r="AK809" s="9">
        <v>2</v>
      </c>
      <c r="AL809" s="26" t="s">
        <v>52</v>
      </c>
      <c r="AM809" s="14" t="s">
        <v>639</v>
      </c>
      <c r="AN809" s="27" t="str">
        <f t="shared" si="27"/>
        <v>13281122|96942400|765623647|65384099</v>
      </c>
      <c r="AO809" t="s">
        <v>44</v>
      </c>
      <c r="AP809" t="b">
        <v>0</v>
      </c>
      <c r="AQ809" t="s">
        <v>763</v>
      </c>
    </row>
    <row r="810" spans="1:43" x14ac:dyDescent="0.2">
      <c r="A810" s="14" t="s">
        <v>500</v>
      </c>
      <c r="B810" s="17">
        <v>13281122</v>
      </c>
      <c r="C810" s="14" t="s">
        <v>336</v>
      </c>
      <c r="D810" s="9">
        <v>14453785</v>
      </c>
      <c r="E810" s="9" t="s">
        <v>355</v>
      </c>
      <c r="F810" s="7">
        <v>45689</v>
      </c>
      <c r="G810" s="20" t="s">
        <v>36</v>
      </c>
      <c r="H810" s="8">
        <v>765623648</v>
      </c>
      <c r="I810" s="19">
        <v>765623648</v>
      </c>
      <c r="J810" s="10">
        <v>10736</v>
      </c>
      <c r="K810" s="10">
        <v>8589</v>
      </c>
      <c r="L810" s="10">
        <v>2147</v>
      </c>
      <c r="M810" s="10">
        <v>0</v>
      </c>
      <c r="N810" s="11">
        <v>2147</v>
      </c>
      <c r="O810" s="12">
        <v>765623648</v>
      </c>
      <c r="P810" s="9">
        <v>285123</v>
      </c>
      <c r="Q810" s="9" t="s">
        <v>37</v>
      </c>
      <c r="R810" s="13">
        <v>45714</v>
      </c>
      <c r="S810" s="22">
        <v>45714</v>
      </c>
      <c r="T810" s="13">
        <v>45714</v>
      </c>
      <c r="U810" s="13">
        <v>45714</v>
      </c>
      <c r="V810" s="9" t="s">
        <v>47</v>
      </c>
      <c r="W810" s="9">
        <v>22646402</v>
      </c>
      <c r="X810" s="9">
        <v>3041018</v>
      </c>
      <c r="Y810" s="9">
        <v>68952548</v>
      </c>
      <c r="Z810" s="9" t="s">
        <v>39</v>
      </c>
      <c r="AA810" s="9">
        <v>2032025</v>
      </c>
      <c r="AB810" s="9">
        <v>77760</v>
      </c>
      <c r="AC810" s="9" t="s">
        <v>41</v>
      </c>
      <c r="AD810" s="9" t="s">
        <v>65</v>
      </c>
      <c r="AE810" s="9" t="s">
        <v>66</v>
      </c>
      <c r="AF810" s="9" t="s">
        <v>66</v>
      </c>
      <c r="AG810" s="14" t="str">
        <f t="shared" si="28"/>
        <v>PROCEDIMIENTOS TERAPEUTICOS</v>
      </c>
      <c r="AH810" s="9" t="s">
        <v>758</v>
      </c>
      <c r="AI810" s="9">
        <v>0</v>
      </c>
      <c r="AJ810" s="9">
        <v>96942400</v>
      </c>
      <c r="AK810" s="9">
        <v>2</v>
      </c>
      <c r="AL810" s="26" t="s">
        <v>86</v>
      </c>
      <c r="AM810" s="14" t="s">
        <v>639</v>
      </c>
      <c r="AN810" s="27" t="str">
        <f t="shared" si="27"/>
        <v>13281122|96942400|765623648|765623648</v>
      </c>
      <c r="AO810" t="s">
        <v>758</v>
      </c>
      <c r="AP810" t="b">
        <v>1</v>
      </c>
      <c r="AQ810" t="s">
        <v>764</v>
      </c>
    </row>
    <row r="811" spans="1:43" x14ac:dyDescent="0.2">
      <c r="A811" s="14" t="s">
        <v>500</v>
      </c>
      <c r="B811" s="17">
        <v>13281122</v>
      </c>
      <c r="C811" s="14" t="s">
        <v>336</v>
      </c>
      <c r="D811" s="9">
        <v>14453785</v>
      </c>
      <c r="E811" s="9" t="s">
        <v>355</v>
      </c>
      <c r="F811" s="7">
        <v>45717</v>
      </c>
      <c r="G811" s="20" t="s">
        <v>46</v>
      </c>
      <c r="H811" s="8">
        <v>765623648</v>
      </c>
      <c r="I811" s="19">
        <v>65384100</v>
      </c>
      <c r="J811" s="10">
        <v>2317</v>
      </c>
      <c r="K811" s="10">
        <v>0</v>
      </c>
      <c r="L811" s="10">
        <v>2317</v>
      </c>
      <c r="M811" s="10">
        <v>0</v>
      </c>
      <c r="N811" s="11">
        <v>2317</v>
      </c>
      <c r="O811" s="12">
        <v>765623648</v>
      </c>
      <c r="P811" s="9">
        <v>285123</v>
      </c>
      <c r="Q811" s="9" t="s">
        <v>37</v>
      </c>
      <c r="R811" s="13">
        <v>45717</v>
      </c>
      <c r="S811" s="22">
        <v>45742</v>
      </c>
      <c r="T811" s="13">
        <v>45714</v>
      </c>
      <c r="U811" s="13">
        <v>45714</v>
      </c>
      <c r="V811" s="9" t="s">
        <v>47</v>
      </c>
      <c r="W811" s="9">
        <v>22770726</v>
      </c>
      <c r="X811" s="9">
        <v>3311105</v>
      </c>
      <c r="Y811" s="9">
        <v>69250985</v>
      </c>
      <c r="Z811" s="9" t="s">
        <v>39</v>
      </c>
      <c r="AA811" s="9">
        <v>210929341</v>
      </c>
      <c r="AB811" s="9">
        <v>78070</v>
      </c>
      <c r="AC811" s="9" t="s">
        <v>41</v>
      </c>
      <c r="AD811" s="9" t="s">
        <v>65</v>
      </c>
      <c r="AE811" s="9" t="s">
        <v>66</v>
      </c>
      <c r="AF811" s="9" t="s">
        <v>66</v>
      </c>
      <c r="AG811" s="14" t="str">
        <f t="shared" si="28"/>
        <v>PROCEDIMIENTOS TERAPEUTICOS</v>
      </c>
      <c r="AH811" s="9">
        <v>0</v>
      </c>
      <c r="AI811" s="9">
        <v>0</v>
      </c>
      <c r="AJ811" s="9">
        <v>96942400</v>
      </c>
      <c r="AK811" s="9">
        <v>2</v>
      </c>
      <c r="AL811" s="26" t="s">
        <v>52</v>
      </c>
      <c r="AM811" s="14" t="s">
        <v>639</v>
      </c>
      <c r="AN811" s="27" t="str">
        <f t="shared" si="27"/>
        <v>13281122|96942400|765623648|65384100</v>
      </c>
      <c r="AO811" t="s">
        <v>44</v>
      </c>
      <c r="AP811" t="b">
        <v>0</v>
      </c>
      <c r="AQ811" t="s">
        <v>763</v>
      </c>
    </row>
    <row r="812" spans="1:43" x14ac:dyDescent="0.2">
      <c r="A812" s="14" t="s">
        <v>500</v>
      </c>
      <c r="B812" s="17">
        <v>13281122</v>
      </c>
      <c r="C812" s="14" t="s">
        <v>336</v>
      </c>
      <c r="D812" s="9">
        <v>14453785</v>
      </c>
      <c r="E812" s="9" t="s">
        <v>355</v>
      </c>
      <c r="F812" s="7">
        <v>45689</v>
      </c>
      <c r="G812" s="20" t="s">
        <v>36</v>
      </c>
      <c r="H812" s="8">
        <v>765623726</v>
      </c>
      <c r="I812" s="19">
        <v>765623726</v>
      </c>
      <c r="J812" s="10">
        <v>16992</v>
      </c>
      <c r="K812" s="10">
        <v>13594</v>
      </c>
      <c r="L812" s="10">
        <v>3398</v>
      </c>
      <c r="M812" s="10">
        <v>0</v>
      </c>
      <c r="N812" s="11">
        <v>3398</v>
      </c>
      <c r="O812" s="12">
        <v>765623726</v>
      </c>
      <c r="P812" s="9">
        <v>285123</v>
      </c>
      <c r="Q812" s="9" t="s">
        <v>37</v>
      </c>
      <c r="R812" s="13">
        <v>45714</v>
      </c>
      <c r="S812" s="22">
        <v>45714</v>
      </c>
      <c r="T812" s="13">
        <v>45714</v>
      </c>
      <c r="U812" s="13">
        <v>45714</v>
      </c>
      <c r="V812" s="9" t="s">
        <v>47</v>
      </c>
      <c r="W812" s="9">
        <v>22646402</v>
      </c>
      <c r="X812" s="9">
        <v>3041018</v>
      </c>
      <c r="Y812" s="9">
        <v>68952552</v>
      </c>
      <c r="Z812" s="9" t="s">
        <v>39</v>
      </c>
      <c r="AA812" s="9">
        <v>2032025</v>
      </c>
      <c r="AB812" s="9">
        <v>77760</v>
      </c>
      <c r="AC812" s="9" t="s">
        <v>41</v>
      </c>
      <c r="AD812" s="9" t="s">
        <v>65</v>
      </c>
      <c r="AE812" s="9" t="s">
        <v>66</v>
      </c>
      <c r="AF812" s="9" t="s">
        <v>66</v>
      </c>
      <c r="AG812" s="14" t="str">
        <f t="shared" si="28"/>
        <v>PROCEDIMIENTOS TERAPEUTICOS</v>
      </c>
      <c r="AH812" s="9" t="s">
        <v>758</v>
      </c>
      <c r="AI812" s="9">
        <v>0</v>
      </c>
      <c r="AJ812" s="9">
        <v>96942400</v>
      </c>
      <c r="AK812" s="9">
        <v>2</v>
      </c>
      <c r="AL812" s="26" t="s">
        <v>86</v>
      </c>
      <c r="AM812" s="14" t="s">
        <v>639</v>
      </c>
      <c r="AN812" s="27" t="str">
        <f t="shared" si="27"/>
        <v>13281122|96942400|765623726|765623726</v>
      </c>
      <c r="AO812" t="s">
        <v>758</v>
      </c>
      <c r="AP812" t="b">
        <v>1</v>
      </c>
      <c r="AQ812" t="s">
        <v>764</v>
      </c>
    </row>
    <row r="813" spans="1:43" x14ac:dyDescent="0.2">
      <c r="A813" s="14" t="s">
        <v>500</v>
      </c>
      <c r="B813" s="17">
        <v>13281122</v>
      </c>
      <c r="C813" s="14" t="s">
        <v>336</v>
      </c>
      <c r="D813" s="9">
        <v>14453785</v>
      </c>
      <c r="E813" s="9" t="s">
        <v>355</v>
      </c>
      <c r="F813" s="7">
        <v>45717</v>
      </c>
      <c r="G813" s="20" t="s">
        <v>46</v>
      </c>
      <c r="H813" s="8">
        <v>765623726</v>
      </c>
      <c r="I813" s="19">
        <v>65384101</v>
      </c>
      <c r="J813" s="10">
        <v>3475</v>
      </c>
      <c r="K813" s="10">
        <v>0</v>
      </c>
      <c r="L813" s="10">
        <v>3475</v>
      </c>
      <c r="M813" s="10">
        <v>0</v>
      </c>
      <c r="N813" s="11">
        <v>3475</v>
      </c>
      <c r="O813" s="12">
        <v>765623726</v>
      </c>
      <c r="P813" s="9">
        <v>285123</v>
      </c>
      <c r="Q813" s="9" t="s">
        <v>37</v>
      </c>
      <c r="R813" s="13">
        <v>45717</v>
      </c>
      <c r="S813" s="22">
        <v>45742</v>
      </c>
      <c r="T813" s="13">
        <v>45714</v>
      </c>
      <c r="U813" s="13">
        <v>45714</v>
      </c>
      <c r="V813" s="9" t="s">
        <v>47</v>
      </c>
      <c r="W813" s="9">
        <v>22770726</v>
      </c>
      <c r="X813" s="9">
        <v>3311105</v>
      </c>
      <c r="Y813" s="9">
        <v>69250986</v>
      </c>
      <c r="Z813" s="9" t="s">
        <v>39</v>
      </c>
      <c r="AA813" s="9">
        <v>210929341</v>
      </c>
      <c r="AB813" s="9">
        <v>78070</v>
      </c>
      <c r="AC813" s="9" t="s">
        <v>41</v>
      </c>
      <c r="AD813" s="9" t="s">
        <v>65</v>
      </c>
      <c r="AE813" s="9" t="s">
        <v>66</v>
      </c>
      <c r="AF813" s="9" t="s">
        <v>66</v>
      </c>
      <c r="AG813" s="14" t="str">
        <f t="shared" si="28"/>
        <v>PROCEDIMIENTOS TERAPEUTICOS</v>
      </c>
      <c r="AH813" s="9">
        <v>0</v>
      </c>
      <c r="AI813" s="9">
        <v>0</v>
      </c>
      <c r="AJ813" s="9">
        <v>96942400</v>
      </c>
      <c r="AK813" s="9">
        <v>2</v>
      </c>
      <c r="AL813" s="26" t="s">
        <v>52</v>
      </c>
      <c r="AM813" s="14" t="s">
        <v>639</v>
      </c>
      <c r="AN813" s="27" t="str">
        <f t="shared" si="27"/>
        <v>13281122|96942400|765623726|65384101</v>
      </c>
      <c r="AO813" t="s">
        <v>44</v>
      </c>
      <c r="AP813" t="b">
        <v>0</v>
      </c>
      <c r="AQ813" t="s">
        <v>763</v>
      </c>
    </row>
    <row r="814" spans="1:43" x14ac:dyDescent="0.2">
      <c r="A814" s="14" t="s">
        <v>500</v>
      </c>
      <c r="B814" s="17">
        <v>10458253</v>
      </c>
      <c r="C814" s="14" t="s">
        <v>347</v>
      </c>
      <c r="D814" s="9">
        <v>10458253</v>
      </c>
      <c r="E814" s="9" t="s">
        <v>347</v>
      </c>
      <c r="F814" s="7">
        <v>45689</v>
      </c>
      <c r="G814" s="20" t="s">
        <v>36</v>
      </c>
      <c r="H814" s="8">
        <v>765625393</v>
      </c>
      <c r="I814" s="19">
        <v>765625393</v>
      </c>
      <c r="J814" s="10">
        <v>23232</v>
      </c>
      <c r="K814" s="10">
        <v>16262</v>
      </c>
      <c r="L814" s="10">
        <v>6970</v>
      </c>
      <c r="M814" s="10">
        <v>0</v>
      </c>
      <c r="N814" s="11">
        <v>6970</v>
      </c>
      <c r="O814" s="12">
        <v>765625393</v>
      </c>
      <c r="P814" s="9">
        <v>285123</v>
      </c>
      <c r="Q814" s="9" t="s">
        <v>37</v>
      </c>
      <c r="R814" s="13">
        <v>45714</v>
      </c>
      <c r="S814" s="22">
        <v>45714</v>
      </c>
      <c r="T814" s="13">
        <v>45714</v>
      </c>
      <c r="U814" s="13">
        <v>45714</v>
      </c>
      <c r="V814" s="9" t="s">
        <v>47</v>
      </c>
      <c r="W814" s="9">
        <v>22646389</v>
      </c>
      <c r="X814" s="9">
        <v>3041018</v>
      </c>
      <c r="Y814" s="9">
        <v>68952640</v>
      </c>
      <c r="Z814" s="9" t="s">
        <v>39</v>
      </c>
      <c r="AA814" s="9">
        <v>2032025</v>
      </c>
      <c r="AB814" s="9">
        <v>77760</v>
      </c>
      <c r="AC814" s="9" t="s">
        <v>41</v>
      </c>
      <c r="AD814" s="9" t="s">
        <v>134</v>
      </c>
      <c r="AE814" s="9" t="s">
        <v>135</v>
      </c>
      <c r="AF814" s="9" t="s">
        <v>135</v>
      </c>
      <c r="AG814" s="14" t="str">
        <f t="shared" si="28"/>
        <v>EXAMENES RADIOLOGICOS</v>
      </c>
      <c r="AH814" s="9" t="s">
        <v>758</v>
      </c>
      <c r="AI814" s="9">
        <v>0</v>
      </c>
      <c r="AJ814" s="9">
        <v>96942400</v>
      </c>
      <c r="AK814" s="9">
        <v>2</v>
      </c>
      <c r="AL814" s="26" t="s">
        <v>86</v>
      </c>
      <c r="AM814" s="14" t="s">
        <v>648</v>
      </c>
      <c r="AN814" s="27" t="str">
        <f t="shared" si="27"/>
        <v>10458253|96942400|765625393|765625393</v>
      </c>
      <c r="AO814" t="s">
        <v>758</v>
      </c>
      <c r="AP814" t="b">
        <v>1</v>
      </c>
      <c r="AQ814" t="s">
        <v>764</v>
      </c>
    </row>
    <row r="815" spans="1:43" x14ac:dyDescent="0.2">
      <c r="A815" s="14" t="s">
        <v>500</v>
      </c>
      <c r="B815" s="17">
        <v>10458253</v>
      </c>
      <c r="C815" s="14" t="s">
        <v>347</v>
      </c>
      <c r="D815" s="9">
        <v>10458253</v>
      </c>
      <c r="E815" s="9" t="s">
        <v>347</v>
      </c>
      <c r="F815" s="7">
        <v>45717</v>
      </c>
      <c r="G815" s="20" t="s">
        <v>46</v>
      </c>
      <c r="H815" s="8">
        <v>765625393</v>
      </c>
      <c r="I815" s="19">
        <v>65383855</v>
      </c>
      <c r="J815" s="10">
        <v>6951</v>
      </c>
      <c r="K815" s="10">
        <v>0</v>
      </c>
      <c r="L815" s="10">
        <v>6951</v>
      </c>
      <c r="M815" s="10">
        <v>0</v>
      </c>
      <c r="N815" s="11">
        <v>6951</v>
      </c>
      <c r="O815" s="12">
        <v>765625393</v>
      </c>
      <c r="P815" s="9">
        <v>285123</v>
      </c>
      <c r="Q815" s="9" t="s">
        <v>37</v>
      </c>
      <c r="R815" s="13">
        <v>45717</v>
      </c>
      <c r="S815" s="22">
        <v>45742</v>
      </c>
      <c r="T815" s="13">
        <v>45714</v>
      </c>
      <c r="U815" s="13">
        <v>45714</v>
      </c>
      <c r="V815" s="9" t="s">
        <v>47</v>
      </c>
      <c r="W815" s="9">
        <v>22770723</v>
      </c>
      <c r="X815" s="9">
        <v>3311105</v>
      </c>
      <c r="Y815" s="9">
        <v>69250744</v>
      </c>
      <c r="Z815" s="9" t="s">
        <v>39</v>
      </c>
      <c r="AA815" s="9">
        <v>1702834992</v>
      </c>
      <c r="AB815" s="9">
        <v>78070</v>
      </c>
      <c r="AC815" s="9" t="s">
        <v>41</v>
      </c>
      <c r="AD815" s="9" t="s">
        <v>134</v>
      </c>
      <c r="AE815" s="9" t="s">
        <v>135</v>
      </c>
      <c r="AF815" s="9" t="s">
        <v>135</v>
      </c>
      <c r="AG815" s="14" t="str">
        <f t="shared" si="28"/>
        <v>EXAMENES RADIOLOGICOS</v>
      </c>
      <c r="AH815" s="9">
        <v>0</v>
      </c>
      <c r="AI815" s="9">
        <v>0</v>
      </c>
      <c r="AJ815" s="9">
        <v>96942400</v>
      </c>
      <c r="AK815" s="9">
        <v>2</v>
      </c>
      <c r="AL815" s="26" t="s">
        <v>52</v>
      </c>
      <c r="AM815" s="14" t="s">
        <v>648</v>
      </c>
      <c r="AN815" s="27" t="str">
        <f t="shared" si="27"/>
        <v>10458253|96942400|765625393|65383855</v>
      </c>
      <c r="AO815" t="s">
        <v>44</v>
      </c>
      <c r="AP815" t="b">
        <v>0</v>
      </c>
      <c r="AQ815" t="s">
        <v>763</v>
      </c>
    </row>
    <row r="816" spans="1:43" x14ac:dyDescent="0.2">
      <c r="A816" s="14" t="s">
        <v>500</v>
      </c>
      <c r="B816" s="17">
        <v>14733348</v>
      </c>
      <c r="C816" s="14" t="s">
        <v>356</v>
      </c>
      <c r="D816" s="9">
        <v>23615149</v>
      </c>
      <c r="E816" s="9" t="s">
        <v>357</v>
      </c>
      <c r="F816" s="7">
        <v>45689</v>
      </c>
      <c r="G816" s="20" t="s">
        <v>36</v>
      </c>
      <c r="H816" s="8">
        <v>765628452</v>
      </c>
      <c r="I816" s="19">
        <v>765628452</v>
      </c>
      <c r="J816" s="10">
        <v>26710</v>
      </c>
      <c r="K816" s="10">
        <v>19329</v>
      </c>
      <c r="L816" s="10">
        <v>7381</v>
      </c>
      <c r="M816" s="10">
        <v>0</v>
      </c>
      <c r="N816" s="11">
        <v>7381</v>
      </c>
      <c r="O816" s="12">
        <v>765628452</v>
      </c>
      <c r="P816" s="9">
        <v>285123</v>
      </c>
      <c r="Q816" s="9" t="s">
        <v>37</v>
      </c>
      <c r="R816" s="13">
        <v>45715</v>
      </c>
      <c r="S816" s="22">
        <v>45715</v>
      </c>
      <c r="T816" s="13">
        <v>45715</v>
      </c>
      <c r="U816" s="13">
        <v>45715</v>
      </c>
      <c r="V816" s="9" t="s">
        <v>47</v>
      </c>
      <c r="W816" s="9">
        <v>22646459</v>
      </c>
      <c r="X816" s="9">
        <v>3041018</v>
      </c>
      <c r="Y816" s="9">
        <v>68952873</v>
      </c>
      <c r="Z816" s="9" t="s">
        <v>39</v>
      </c>
      <c r="AA816" s="9">
        <v>2032025</v>
      </c>
      <c r="AB816" s="9">
        <v>77760</v>
      </c>
      <c r="AC816" s="9" t="s">
        <v>41</v>
      </c>
      <c r="AD816" s="9" t="s">
        <v>132</v>
      </c>
      <c r="AE816" s="9" t="s">
        <v>133</v>
      </c>
      <c r="AF816" s="9" t="s">
        <v>133</v>
      </c>
      <c r="AG816" s="14" t="str">
        <f t="shared" si="28"/>
        <v>EXAMENES DE LABORATORIO</v>
      </c>
      <c r="AH816" s="9" t="s">
        <v>758</v>
      </c>
      <c r="AI816" s="9">
        <v>0</v>
      </c>
      <c r="AJ816" s="9">
        <v>99573490</v>
      </c>
      <c r="AK816" s="9">
        <v>7</v>
      </c>
      <c r="AL816" s="26" t="s">
        <v>86</v>
      </c>
      <c r="AM816" s="14" t="s">
        <v>654</v>
      </c>
      <c r="AN816" s="27" t="str">
        <f t="shared" si="27"/>
        <v>14733348|99573490|765628452|765628452</v>
      </c>
      <c r="AO816" t="s">
        <v>758</v>
      </c>
      <c r="AP816" t="b">
        <v>1</v>
      </c>
      <c r="AQ816" t="s">
        <v>764</v>
      </c>
    </row>
    <row r="817" spans="1:43" x14ac:dyDescent="0.2">
      <c r="A817" s="14" t="s">
        <v>500</v>
      </c>
      <c r="B817" s="17">
        <v>14733348</v>
      </c>
      <c r="C817" s="14" t="s">
        <v>356</v>
      </c>
      <c r="D817" s="9">
        <v>23615149</v>
      </c>
      <c r="E817" s="9" t="s">
        <v>357</v>
      </c>
      <c r="F817" s="7">
        <v>45717</v>
      </c>
      <c r="G817" s="20" t="s">
        <v>46</v>
      </c>
      <c r="H817" s="8">
        <v>765628452</v>
      </c>
      <c r="I817" s="19">
        <v>65384252</v>
      </c>
      <c r="J817" s="10">
        <v>7339</v>
      </c>
      <c r="K817" s="10">
        <v>0</v>
      </c>
      <c r="L817" s="10">
        <v>7339</v>
      </c>
      <c r="M817" s="10">
        <v>0</v>
      </c>
      <c r="N817" s="11">
        <v>7339</v>
      </c>
      <c r="O817" s="12">
        <v>765628452</v>
      </c>
      <c r="P817" s="9">
        <v>285123</v>
      </c>
      <c r="Q817" s="9" t="s">
        <v>37</v>
      </c>
      <c r="R817" s="13">
        <v>45717</v>
      </c>
      <c r="S817" s="22">
        <v>45742</v>
      </c>
      <c r="T817" s="13">
        <v>45715</v>
      </c>
      <c r="U817" s="13">
        <v>45715</v>
      </c>
      <c r="V817" s="9" t="s">
        <v>47</v>
      </c>
      <c r="W817" s="9">
        <v>22770738</v>
      </c>
      <c r="X817" s="9">
        <v>3311105</v>
      </c>
      <c r="Y817" s="9">
        <v>69251125</v>
      </c>
      <c r="Z817" s="9" t="s">
        <v>39</v>
      </c>
      <c r="AA817" s="9">
        <v>72113446</v>
      </c>
      <c r="AB817" s="9">
        <v>78070</v>
      </c>
      <c r="AC817" s="9" t="s">
        <v>41</v>
      </c>
      <c r="AD817" s="9" t="s">
        <v>132</v>
      </c>
      <c r="AE817" s="9" t="s">
        <v>133</v>
      </c>
      <c r="AF817" s="9" t="s">
        <v>133</v>
      </c>
      <c r="AG817" s="14" t="str">
        <f t="shared" si="28"/>
        <v>EXAMENES DE LABORATORIO</v>
      </c>
      <c r="AH817" s="9">
        <v>0</v>
      </c>
      <c r="AI817" s="9">
        <v>0</v>
      </c>
      <c r="AJ817" s="9">
        <v>99573490</v>
      </c>
      <c r="AK817" s="9">
        <v>7</v>
      </c>
      <c r="AL817" s="26" t="s">
        <v>52</v>
      </c>
      <c r="AM817" s="14" t="s">
        <v>654</v>
      </c>
      <c r="AN817" s="27" t="str">
        <f t="shared" si="27"/>
        <v>14733348|99573490|765628452|65384252</v>
      </c>
      <c r="AO817" t="s">
        <v>44</v>
      </c>
      <c r="AP817" t="b">
        <v>0</v>
      </c>
      <c r="AQ817" t="s">
        <v>763</v>
      </c>
    </row>
    <row r="818" spans="1:43" x14ac:dyDescent="0.2">
      <c r="A818" s="14" t="s">
        <v>500</v>
      </c>
      <c r="B818" s="17">
        <v>9486641</v>
      </c>
      <c r="C818" s="14" t="s">
        <v>353</v>
      </c>
      <c r="D818" s="9">
        <v>9486641</v>
      </c>
      <c r="E818" s="9" t="s">
        <v>353</v>
      </c>
      <c r="F818" s="7">
        <v>45689</v>
      </c>
      <c r="G818" s="20" t="s">
        <v>36</v>
      </c>
      <c r="H818" s="8">
        <v>765637451</v>
      </c>
      <c r="I818" s="19">
        <v>765637451</v>
      </c>
      <c r="J818" s="10">
        <v>303325</v>
      </c>
      <c r="K818" s="10">
        <v>184176</v>
      </c>
      <c r="L818" s="10">
        <v>119149</v>
      </c>
      <c r="M818" s="10">
        <v>0</v>
      </c>
      <c r="N818" s="11">
        <v>35909</v>
      </c>
      <c r="O818" s="12">
        <v>765637451</v>
      </c>
      <c r="P818" s="9">
        <v>285123</v>
      </c>
      <c r="Q818" s="9" t="s">
        <v>37</v>
      </c>
      <c r="R818" s="13">
        <v>45715</v>
      </c>
      <c r="S818" s="22">
        <v>45715</v>
      </c>
      <c r="T818" s="13">
        <v>45715</v>
      </c>
      <c r="U818" s="13">
        <v>45715</v>
      </c>
      <c r="V818" s="9" t="s">
        <v>47</v>
      </c>
      <c r="W818" s="9">
        <v>22646430</v>
      </c>
      <c r="X818" s="9">
        <v>3041018</v>
      </c>
      <c r="Y818" s="9">
        <v>68953285</v>
      </c>
      <c r="Z818" s="9" t="s">
        <v>39</v>
      </c>
      <c r="AA818" s="9">
        <v>2032025</v>
      </c>
      <c r="AB818" s="9">
        <v>77760</v>
      </c>
      <c r="AC818" s="9" t="s">
        <v>41</v>
      </c>
      <c r="AD818" s="9" t="s">
        <v>65</v>
      </c>
      <c r="AE818" s="9" t="s">
        <v>66</v>
      </c>
      <c r="AF818" s="9" t="s">
        <v>66</v>
      </c>
      <c r="AG818" s="14" t="str">
        <f t="shared" si="28"/>
        <v>PROCEDIMIENTOS TERAPEUTICOS</v>
      </c>
      <c r="AH818" s="9" t="s">
        <v>758</v>
      </c>
      <c r="AI818" s="9">
        <v>0</v>
      </c>
      <c r="AJ818" s="9">
        <v>96631140</v>
      </c>
      <c r="AK818" s="9">
        <v>1</v>
      </c>
      <c r="AL818" s="26" t="s">
        <v>86</v>
      </c>
      <c r="AM818" s="14" t="s">
        <v>652</v>
      </c>
      <c r="AN818" s="27" t="str">
        <f t="shared" si="27"/>
        <v>9486641|96631140|765637451|765637451</v>
      </c>
      <c r="AO818" t="s">
        <v>758</v>
      </c>
      <c r="AP818" t="b">
        <v>1</v>
      </c>
      <c r="AQ818" t="s">
        <v>764</v>
      </c>
    </row>
    <row r="819" spans="1:43" x14ac:dyDescent="0.2">
      <c r="A819" s="14" t="s">
        <v>500</v>
      </c>
      <c r="B819" s="17">
        <v>9486641</v>
      </c>
      <c r="C819" s="14" t="s">
        <v>353</v>
      </c>
      <c r="D819" s="9">
        <v>9486641</v>
      </c>
      <c r="E819" s="9" t="s">
        <v>353</v>
      </c>
      <c r="F819" s="7">
        <v>45717</v>
      </c>
      <c r="G819" s="20" t="s">
        <v>46</v>
      </c>
      <c r="H819" s="8">
        <v>765637451</v>
      </c>
      <c r="I819" s="19">
        <v>65383742</v>
      </c>
      <c r="J819" s="10">
        <v>77264</v>
      </c>
      <c r="K819" s="10">
        <v>0</v>
      </c>
      <c r="L819" s="10">
        <v>77264</v>
      </c>
      <c r="M819" s="10">
        <v>0</v>
      </c>
      <c r="N819" s="11">
        <v>77264</v>
      </c>
      <c r="O819" s="12">
        <v>765637451</v>
      </c>
      <c r="P819" s="9">
        <v>285123</v>
      </c>
      <c r="Q819" s="9" t="s">
        <v>37</v>
      </c>
      <c r="R819" s="13">
        <v>45717</v>
      </c>
      <c r="S819" s="22">
        <v>45742</v>
      </c>
      <c r="T819" s="13">
        <v>45715</v>
      </c>
      <c r="U819" s="13">
        <v>45715</v>
      </c>
      <c r="V819" s="9" t="s">
        <v>47</v>
      </c>
      <c r="W819" s="9">
        <v>22770731</v>
      </c>
      <c r="X819" s="9">
        <v>3311105</v>
      </c>
      <c r="Y819" s="9">
        <v>69250632</v>
      </c>
      <c r="Z819" s="9" t="s">
        <v>39</v>
      </c>
      <c r="AA819" s="9">
        <v>27656756</v>
      </c>
      <c r="AB819" s="9">
        <v>78070</v>
      </c>
      <c r="AC819" s="9" t="s">
        <v>41</v>
      </c>
      <c r="AD819" s="9" t="s">
        <v>65</v>
      </c>
      <c r="AE819" s="9" t="s">
        <v>66</v>
      </c>
      <c r="AF819" s="9" t="s">
        <v>66</v>
      </c>
      <c r="AG819" s="14" t="str">
        <f t="shared" si="28"/>
        <v>PROCEDIMIENTOS TERAPEUTICOS</v>
      </c>
      <c r="AH819" s="9">
        <v>0</v>
      </c>
      <c r="AI819" s="9">
        <v>0</v>
      </c>
      <c r="AJ819" s="9">
        <v>96631140</v>
      </c>
      <c r="AK819" s="9">
        <v>1</v>
      </c>
      <c r="AL819" s="26" t="s">
        <v>52</v>
      </c>
      <c r="AM819" s="14" t="s">
        <v>652</v>
      </c>
      <c r="AN819" s="27" t="str">
        <f t="shared" si="27"/>
        <v>9486641|96631140|765637451|65383742</v>
      </c>
      <c r="AO819" t="s">
        <v>44</v>
      </c>
      <c r="AP819" t="b">
        <v>0</v>
      </c>
      <c r="AQ819" t="s">
        <v>763</v>
      </c>
    </row>
    <row r="820" spans="1:43" x14ac:dyDescent="0.2">
      <c r="A820" s="14" t="s">
        <v>500</v>
      </c>
      <c r="B820" s="17">
        <v>9401001</v>
      </c>
      <c r="C820" s="14" t="s">
        <v>318</v>
      </c>
      <c r="D820" s="9">
        <v>9401001</v>
      </c>
      <c r="E820" s="9" t="s">
        <v>318</v>
      </c>
      <c r="F820" s="7">
        <v>45689</v>
      </c>
      <c r="G820" s="20" t="s">
        <v>36</v>
      </c>
      <c r="H820" s="8">
        <v>765641908</v>
      </c>
      <c r="I820" s="19">
        <v>765641908</v>
      </c>
      <c r="J820" s="10">
        <v>23232</v>
      </c>
      <c r="K820" s="10">
        <v>18259</v>
      </c>
      <c r="L820" s="10">
        <v>4973</v>
      </c>
      <c r="M820" s="10">
        <v>0</v>
      </c>
      <c r="N820" s="11">
        <v>4973</v>
      </c>
      <c r="O820" s="12">
        <v>765641908</v>
      </c>
      <c r="P820" s="9">
        <v>285123</v>
      </c>
      <c r="Q820" s="9" t="s">
        <v>37</v>
      </c>
      <c r="R820" s="13">
        <v>45716</v>
      </c>
      <c r="S820" s="22">
        <v>45716</v>
      </c>
      <c r="T820" s="13">
        <v>45716</v>
      </c>
      <c r="U820" s="13">
        <v>45716</v>
      </c>
      <c r="V820" s="9" t="s">
        <v>47</v>
      </c>
      <c r="W820" s="9">
        <v>22646484</v>
      </c>
      <c r="X820" s="9">
        <v>3041018</v>
      </c>
      <c r="Y820" s="9">
        <v>68953529</v>
      </c>
      <c r="Z820" s="9" t="s">
        <v>39</v>
      </c>
      <c r="AA820" s="9">
        <v>2032025</v>
      </c>
      <c r="AB820" s="9">
        <v>77760</v>
      </c>
      <c r="AC820" s="9" t="s">
        <v>41</v>
      </c>
      <c r="AD820" s="9" t="s">
        <v>134</v>
      </c>
      <c r="AE820" s="9" t="s">
        <v>135</v>
      </c>
      <c r="AF820" s="9" t="s">
        <v>135</v>
      </c>
      <c r="AG820" s="14" t="str">
        <f t="shared" si="28"/>
        <v>EXAMENES RADIOLOGICOS</v>
      </c>
      <c r="AH820" s="9" t="s">
        <v>758</v>
      </c>
      <c r="AI820" s="9">
        <v>0</v>
      </c>
      <c r="AJ820" s="9">
        <v>96942400</v>
      </c>
      <c r="AK820" s="9">
        <v>2</v>
      </c>
      <c r="AL820" s="26" t="s">
        <v>86</v>
      </c>
      <c r="AM820" s="14" t="s">
        <v>625</v>
      </c>
      <c r="AN820" s="27" t="str">
        <f t="shared" si="27"/>
        <v>9401001|96942400|765641908|765641908</v>
      </c>
      <c r="AO820" t="s">
        <v>758</v>
      </c>
      <c r="AP820" t="b">
        <v>1</v>
      </c>
      <c r="AQ820" t="s">
        <v>764</v>
      </c>
    </row>
    <row r="821" spans="1:43" x14ac:dyDescent="0.2">
      <c r="A821" s="14" t="s">
        <v>500</v>
      </c>
      <c r="B821" s="17">
        <v>9401001</v>
      </c>
      <c r="C821" s="14" t="s">
        <v>318</v>
      </c>
      <c r="D821" s="9">
        <v>9401001</v>
      </c>
      <c r="E821" s="9" t="s">
        <v>318</v>
      </c>
      <c r="F821" s="7">
        <v>45717</v>
      </c>
      <c r="G821" s="20" t="s">
        <v>46</v>
      </c>
      <c r="H821" s="8">
        <v>765641908</v>
      </c>
      <c r="I821" s="19">
        <v>65383731</v>
      </c>
      <c r="J821" s="10">
        <v>5024</v>
      </c>
      <c r="K821" s="10">
        <v>0</v>
      </c>
      <c r="L821" s="10">
        <v>5024</v>
      </c>
      <c r="M821" s="10">
        <v>0</v>
      </c>
      <c r="N821" s="11">
        <v>5024</v>
      </c>
      <c r="O821" s="12">
        <v>765641908</v>
      </c>
      <c r="P821" s="9">
        <v>285123</v>
      </c>
      <c r="Q821" s="9" t="s">
        <v>37</v>
      </c>
      <c r="R821" s="13">
        <v>45717</v>
      </c>
      <c r="S821" s="22">
        <v>45742</v>
      </c>
      <c r="T821" s="13">
        <v>45716</v>
      </c>
      <c r="U821" s="13">
        <v>45716</v>
      </c>
      <c r="V821" s="9" t="s">
        <v>47</v>
      </c>
      <c r="W821" s="9">
        <v>22770742</v>
      </c>
      <c r="X821" s="9">
        <v>3311105</v>
      </c>
      <c r="Y821" s="9">
        <v>69250622</v>
      </c>
      <c r="Z821" s="9" t="s">
        <v>39</v>
      </c>
      <c r="AA821" s="9">
        <v>5864925</v>
      </c>
      <c r="AB821" s="9">
        <v>78070</v>
      </c>
      <c r="AC821" s="9" t="s">
        <v>41</v>
      </c>
      <c r="AD821" s="9" t="s">
        <v>134</v>
      </c>
      <c r="AE821" s="9" t="s">
        <v>135</v>
      </c>
      <c r="AF821" s="9" t="s">
        <v>135</v>
      </c>
      <c r="AG821" s="14" t="str">
        <f t="shared" si="28"/>
        <v>EXAMENES RADIOLOGICOS</v>
      </c>
      <c r="AH821" s="9">
        <v>0</v>
      </c>
      <c r="AI821" s="9">
        <v>0</v>
      </c>
      <c r="AJ821" s="9">
        <v>96942400</v>
      </c>
      <c r="AK821" s="9">
        <v>2</v>
      </c>
      <c r="AL821" s="26" t="s">
        <v>52</v>
      </c>
      <c r="AM821" s="14" t="s">
        <v>625</v>
      </c>
      <c r="AN821" s="27" t="str">
        <f t="shared" si="27"/>
        <v>9401001|96942400|765641908|65383731</v>
      </c>
      <c r="AO821" t="s">
        <v>44</v>
      </c>
      <c r="AP821" t="b">
        <v>0</v>
      </c>
      <c r="AQ821" t="s">
        <v>763</v>
      </c>
    </row>
    <row r="822" spans="1:43" x14ac:dyDescent="0.2">
      <c r="A822" s="14" t="s">
        <v>500</v>
      </c>
      <c r="B822" s="17">
        <v>9401001</v>
      </c>
      <c r="C822" s="14" t="s">
        <v>318</v>
      </c>
      <c r="D822" s="9">
        <v>9401001</v>
      </c>
      <c r="E822" s="9" t="s">
        <v>318</v>
      </c>
      <c r="F822" s="7">
        <v>45689</v>
      </c>
      <c r="G822" s="20" t="s">
        <v>36</v>
      </c>
      <c r="H822" s="8">
        <v>765642032</v>
      </c>
      <c r="I822" s="19">
        <v>765642032</v>
      </c>
      <c r="J822" s="10">
        <v>28808</v>
      </c>
      <c r="K822" s="10">
        <v>23047</v>
      </c>
      <c r="L822" s="10">
        <v>5761</v>
      </c>
      <c r="M822" s="10">
        <v>0</v>
      </c>
      <c r="N822" s="11">
        <v>5761</v>
      </c>
      <c r="O822" s="12">
        <v>765642032</v>
      </c>
      <c r="P822" s="9">
        <v>285123</v>
      </c>
      <c r="Q822" s="9" t="s">
        <v>37</v>
      </c>
      <c r="R822" s="13">
        <v>45716</v>
      </c>
      <c r="S822" s="22">
        <v>45716</v>
      </c>
      <c r="T822" s="13">
        <v>45716</v>
      </c>
      <c r="U822" s="13">
        <v>45716</v>
      </c>
      <c r="V822" s="9" t="s">
        <v>47</v>
      </c>
      <c r="W822" s="9">
        <v>22646484</v>
      </c>
      <c r="X822" s="9">
        <v>3041018</v>
      </c>
      <c r="Y822" s="9">
        <v>68953532</v>
      </c>
      <c r="Z822" s="9" t="s">
        <v>39</v>
      </c>
      <c r="AA822" s="9">
        <v>2032025</v>
      </c>
      <c r="AB822" s="9">
        <v>77760</v>
      </c>
      <c r="AC822" s="9" t="s">
        <v>41</v>
      </c>
      <c r="AD822" s="9" t="s">
        <v>134</v>
      </c>
      <c r="AE822" s="9" t="s">
        <v>135</v>
      </c>
      <c r="AF822" s="9" t="s">
        <v>135</v>
      </c>
      <c r="AG822" s="14" t="str">
        <f t="shared" si="28"/>
        <v>EXAMENES RADIOLOGICOS</v>
      </c>
      <c r="AH822" s="9" t="s">
        <v>758</v>
      </c>
      <c r="AI822" s="9">
        <v>0</v>
      </c>
      <c r="AJ822" s="9">
        <v>96942400</v>
      </c>
      <c r="AK822" s="9">
        <v>2</v>
      </c>
      <c r="AL822" s="26" t="s">
        <v>86</v>
      </c>
      <c r="AM822" s="14" t="s">
        <v>625</v>
      </c>
      <c r="AN822" s="27" t="str">
        <f t="shared" si="27"/>
        <v>9401001|96942400|765642032|765642032</v>
      </c>
      <c r="AO822" t="s">
        <v>758</v>
      </c>
      <c r="AP822" t="b">
        <v>1</v>
      </c>
      <c r="AQ822" t="s">
        <v>764</v>
      </c>
    </row>
    <row r="823" spans="1:43" x14ac:dyDescent="0.2">
      <c r="A823" s="14" t="s">
        <v>500</v>
      </c>
      <c r="B823" s="17">
        <v>9401001</v>
      </c>
      <c r="C823" s="14" t="s">
        <v>318</v>
      </c>
      <c r="D823" s="9">
        <v>9401001</v>
      </c>
      <c r="E823" s="9" t="s">
        <v>318</v>
      </c>
      <c r="F823" s="7">
        <v>45717</v>
      </c>
      <c r="G823" s="20" t="s">
        <v>46</v>
      </c>
      <c r="H823" s="8">
        <v>765642032</v>
      </c>
      <c r="I823" s="19">
        <v>65383732</v>
      </c>
      <c r="J823" s="10">
        <v>5797</v>
      </c>
      <c r="K823" s="10">
        <v>0</v>
      </c>
      <c r="L823" s="10">
        <v>5797</v>
      </c>
      <c r="M823" s="10">
        <v>0</v>
      </c>
      <c r="N823" s="11">
        <v>5797</v>
      </c>
      <c r="O823" s="12">
        <v>765642032</v>
      </c>
      <c r="P823" s="9">
        <v>285123</v>
      </c>
      <c r="Q823" s="9" t="s">
        <v>37</v>
      </c>
      <c r="R823" s="13">
        <v>45717</v>
      </c>
      <c r="S823" s="22">
        <v>45742</v>
      </c>
      <c r="T823" s="13">
        <v>45716</v>
      </c>
      <c r="U823" s="13">
        <v>45716</v>
      </c>
      <c r="V823" s="9" t="s">
        <v>47</v>
      </c>
      <c r="W823" s="9">
        <v>22770742</v>
      </c>
      <c r="X823" s="9">
        <v>3311105</v>
      </c>
      <c r="Y823" s="9">
        <v>69250623</v>
      </c>
      <c r="Z823" s="9" t="s">
        <v>39</v>
      </c>
      <c r="AA823" s="9">
        <v>5864925</v>
      </c>
      <c r="AB823" s="9">
        <v>78070</v>
      </c>
      <c r="AC823" s="9" t="s">
        <v>41</v>
      </c>
      <c r="AD823" s="9" t="s">
        <v>134</v>
      </c>
      <c r="AE823" s="9" t="s">
        <v>135</v>
      </c>
      <c r="AF823" s="9" t="s">
        <v>135</v>
      </c>
      <c r="AG823" s="14" t="str">
        <f t="shared" si="28"/>
        <v>EXAMENES RADIOLOGICOS</v>
      </c>
      <c r="AH823" s="9">
        <v>0</v>
      </c>
      <c r="AI823" s="9">
        <v>0</v>
      </c>
      <c r="AJ823" s="9">
        <v>96942400</v>
      </c>
      <c r="AK823" s="9">
        <v>2</v>
      </c>
      <c r="AL823" s="26" t="s">
        <v>52</v>
      </c>
      <c r="AM823" s="14" t="s">
        <v>625</v>
      </c>
      <c r="AN823" s="27" t="str">
        <f t="shared" si="27"/>
        <v>9401001|96942400|765642032|65383732</v>
      </c>
      <c r="AO823" t="s">
        <v>44</v>
      </c>
      <c r="AP823" t="b">
        <v>0</v>
      </c>
      <c r="AQ823" t="s">
        <v>763</v>
      </c>
    </row>
    <row r="824" spans="1:43" x14ac:dyDescent="0.2">
      <c r="A824" s="14" t="s">
        <v>500</v>
      </c>
      <c r="B824" s="17">
        <v>11739910</v>
      </c>
      <c r="C824" s="14" t="s">
        <v>338</v>
      </c>
      <c r="D824" s="9">
        <v>11739910</v>
      </c>
      <c r="E824" s="9" t="s">
        <v>338</v>
      </c>
      <c r="F824" s="7">
        <v>45717</v>
      </c>
      <c r="G824" s="20" t="s">
        <v>36</v>
      </c>
      <c r="H824" s="8">
        <v>765656662</v>
      </c>
      <c r="I824" s="19">
        <v>765656662</v>
      </c>
      <c r="J824" s="10">
        <v>46650</v>
      </c>
      <c r="K824" s="10">
        <v>45251</v>
      </c>
      <c r="L824" s="10">
        <v>1399</v>
      </c>
      <c r="M824" s="10">
        <v>0</v>
      </c>
      <c r="N824" s="11">
        <v>1399</v>
      </c>
      <c r="O824" s="12">
        <v>765656662</v>
      </c>
      <c r="P824" s="9">
        <v>285123</v>
      </c>
      <c r="Q824" s="9" t="s">
        <v>37</v>
      </c>
      <c r="R824" s="13">
        <v>45717</v>
      </c>
      <c r="S824" s="22">
        <v>45717</v>
      </c>
      <c r="T824" s="13">
        <v>45717</v>
      </c>
      <c r="U824" s="13">
        <v>45717</v>
      </c>
      <c r="V824" s="9" t="s">
        <v>47</v>
      </c>
      <c r="W824" s="9">
        <v>22676562</v>
      </c>
      <c r="X824" s="9">
        <v>3101656</v>
      </c>
      <c r="Y824" s="9">
        <v>68994407</v>
      </c>
      <c r="Z824" s="9" t="s">
        <v>39</v>
      </c>
      <c r="AA824" s="9">
        <v>9032025</v>
      </c>
      <c r="AB824" s="9">
        <v>77868</v>
      </c>
      <c r="AC824" s="9" t="s">
        <v>41</v>
      </c>
      <c r="AD824" s="9" t="s">
        <v>134</v>
      </c>
      <c r="AE824" s="9" t="s">
        <v>135</v>
      </c>
      <c r="AF824" s="9" t="s">
        <v>135</v>
      </c>
      <c r="AG824" s="14" t="str">
        <f t="shared" si="28"/>
        <v>EXAMENES RADIOLOGICOS</v>
      </c>
      <c r="AH824" s="9" t="s">
        <v>758</v>
      </c>
      <c r="AI824" s="9">
        <v>0</v>
      </c>
      <c r="AJ824" s="9">
        <v>96923250</v>
      </c>
      <c r="AK824" s="9">
        <v>2</v>
      </c>
      <c r="AL824" s="26" t="s">
        <v>86</v>
      </c>
      <c r="AM824" s="14" t="s">
        <v>640</v>
      </c>
      <c r="AN824" s="27" t="str">
        <f t="shared" si="27"/>
        <v>11739910|96923250|765656662|765656662</v>
      </c>
      <c r="AO824" t="s">
        <v>758</v>
      </c>
      <c r="AP824" t="b">
        <v>1</v>
      </c>
      <c r="AQ824" t="s">
        <v>764</v>
      </c>
    </row>
    <row r="825" spans="1:43" x14ac:dyDescent="0.2">
      <c r="A825" s="14" t="s">
        <v>500</v>
      </c>
      <c r="B825" s="17">
        <v>11739910</v>
      </c>
      <c r="C825" s="14" t="s">
        <v>338</v>
      </c>
      <c r="D825" s="9">
        <v>11739910</v>
      </c>
      <c r="E825" s="9" t="s">
        <v>338</v>
      </c>
      <c r="F825" s="7">
        <v>45717</v>
      </c>
      <c r="G825" s="20" t="s">
        <v>46</v>
      </c>
      <c r="H825" s="8">
        <v>765656662</v>
      </c>
      <c r="I825" s="19">
        <v>65383962</v>
      </c>
      <c r="J825" s="10">
        <v>6959</v>
      </c>
      <c r="K825" s="10">
        <v>0</v>
      </c>
      <c r="L825" s="10">
        <v>6959</v>
      </c>
      <c r="M825" s="10">
        <v>0</v>
      </c>
      <c r="N825" s="11">
        <v>6959</v>
      </c>
      <c r="O825" s="12">
        <v>765656662</v>
      </c>
      <c r="P825" s="9">
        <v>285123</v>
      </c>
      <c r="Q825" s="9" t="s">
        <v>37</v>
      </c>
      <c r="R825" s="13">
        <v>45717</v>
      </c>
      <c r="S825" s="22">
        <v>45742</v>
      </c>
      <c r="T825" s="13">
        <v>45717</v>
      </c>
      <c r="U825" s="13">
        <v>45717</v>
      </c>
      <c r="V825" s="9" t="s">
        <v>47</v>
      </c>
      <c r="W825" s="9">
        <v>22772355</v>
      </c>
      <c r="X825" s="9">
        <v>3311105</v>
      </c>
      <c r="Y825" s="9">
        <v>69250850</v>
      </c>
      <c r="Z825" s="9" t="s">
        <v>39</v>
      </c>
      <c r="AA825" s="9">
        <v>2650102250127</v>
      </c>
      <c r="AB825" s="9">
        <v>78070</v>
      </c>
      <c r="AC825" s="9" t="s">
        <v>41</v>
      </c>
      <c r="AD825" s="9" t="s">
        <v>134</v>
      </c>
      <c r="AE825" s="9" t="s">
        <v>135</v>
      </c>
      <c r="AF825" s="9" t="s">
        <v>135</v>
      </c>
      <c r="AG825" s="14" t="str">
        <f t="shared" si="28"/>
        <v>EXAMENES RADIOLOGICOS</v>
      </c>
      <c r="AH825" s="9">
        <v>0</v>
      </c>
      <c r="AI825" s="9">
        <v>0</v>
      </c>
      <c r="AJ825" s="9">
        <v>96923250</v>
      </c>
      <c r="AK825" s="9">
        <v>2</v>
      </c>
      <c r="AL825" s="26" t="s">
        <v>52</v>
      </c>
      <c r="AM825" s="14" t="s">
        <v>640</v>
      </c>
      <c r="AN825" s="27" t="str">
        <f t="shared" si="27"/>
        <v>11739910|96923250|765656662|65383962</v>
      </c>
      <c r="AO825" t="s">
        <v>44</v>
      </c>
      <c r="AP825" t="b">
        <v>0</v>
      </c>
      <c r="AQ825" t="s">
        <v>763</v>
      </c>
    </row>
    <row r="826" spans="1:43" x14ac:dyDescent="0.2">
      <c r="A826" s="14" t="s">
        <v>500</v>
      </c>
      <c r="B826" s="17">
        <v>18768930</v>
      </c>
      <c r="C826" s="14" t="s">
        <v>358</v>
      </c>
      <c r="D826" s="9">
        <v>18768930</v>
      </c>
      <c r="E826" s="9" t="s">
        <v>358</v>
      </c>
      <c r="F826" s="7">
        <v>45717</v>
      </c>
      <c r="G826" s="20" t="s">
        <v>36</v>
      </c>
      <c r="H826" s="8">
        <v>765656729</v>
      </c>
      <c r="I826" s="19">
        <v>765656729</v>
      </c>
      <c r="J826" s="10">
        <v>17160</v>
      </c>
      <c r="K826" s="10">
        <v>14587</v>
      </c>
      <c r="L826" s="10">
        <v>2573</v>
      </c>
      <c r="M826" s="10">
        <v>0</v>
      </c>
      <c r="N826" s="11">
        <v>2573</v>
      </c>
      <c r="O826" s="12">
        <v>765656729</v>
      </c>
      <c r="P826" s="9">
        <v>285123</v>
      </c>
      <c r="Q826" s="9" t="s">
        <v>37</v>
      </c>
      <c r="R826" s="13">
        <v>45717</v>
      </c>
      <c r="S826" s="22">
        <v>45717</v>
      </c>
      <c r="T826" s="13">
        <v>45717</v>
      </c>
      <c r="U826" s="13">
        <v>45717</v>
      </c>
      <c r="V826" s="9" t="s">
        <v>47</v>
      </c>
      <c r="W826" s="9">
        <v>22676570</v>
      </c>
      <c r="X826" s="9">
        <v>3101656</v>
      </c>
      <c r="Y826" s="9">
        <v>68993392</v>
      </c>
      <c r="Z826" s="9" t="s">
        <v>39</v>
      </c>
      <c r="AA826" s="9">
        <v>9032025</v>
      </c>
      <c r="AB826" s="9">
        <v>77868</v>
      </c>
      <c r="AC826" s="9" t="s">
        <v>41</v>
      </c>
      <c r="AD826" s="9" t="s">
        <v>132</v>
      </c>
      <c r="AE826" s="9" t="s">
        <v>133</v>
      </c>
      <c r="AF826" s="9" t="s">
        <v>133</v>
      </c>
      <c r="AG826" s="14" t="str">
        <f t="shared" si="28"/>
        <v>EXAMENES DE LABORATORIO</v>
      </c>
      <c r="AH826" s="9" t="s">
        <v>758</v>
      </c>
      <c r="AI826" s="9">
        <v>0</v>
      </c>
      <c r="AJ826" s="9">
        <v>99573490</v>
      </c>
      <c r="AK826" s="9">
        <v>7</v>
      </c>
      <c r="AL826" s="26" t="s">
        <v>86</v>
      </c>
      <c r="AM826" s="14" t="s">
        <v>655</v>
      </c>
      <c r="AN826" s="27" t="str">
        <f t="shared" si="27"/>
        <v>18768930|99573490|765656729|765656729</v>
      </c>
      <c r="AO826" t="s">
        <v>758</v>
      </c>
      <c r="AP826" t="b">
        <v>1</v>
      </c>
      <c r="AQ826" t="s">
        <v>764</v>
      </c>
    </row>
    <row r="827" spans="1:43" x14ac:dyDescent="0.2">
      <c r="A827" s="14" t="s">
        <v>500</v>
      </c>
      <c r="B827" s="17">
        <v>18768930</v>
      </c>
      <c r="C827" s="14" t="s">
        <v>358</v>
      </c>
      <c r="D827" s="9">
        <v>18768930</v>
      </c>
      <c r="E827" s="9" t="s">
        <v>358</v>
      </c>
      <c r="F827" s="7">
        <v>45717</v>
      </c>
      <c r="G827" s="20" t="s">
        <v>46</v>
      </c>
      <c r="H827" s="8">
        <v>765656729</v>
      </c>
      <c r="I827" s="19">
        <v>65384472</v>
      </c>
      <c r="J827" s="10">
        <v>2318</v>
      </c>
      <c r="K827" s="10">
        <v>0</v>
      </c>
      <c r="L827" s="10">
        <v>2318</v>
      </c>
      <c r="M827" s="10">
        <v>0</v>
      </c>
      <c r="N827" s="11">
        <v>2318</v>
      </c>
      <c r="O827" s="12">
        <v>765656729</v>
      </c>
      <c r="P827" s="9">
        <v>285123</v>
      </c>
      <c r="Q827" s="9" t="s">
        <v>37</v>
      </c>
      <c r="R827" s="13">
        <v>45717</v>
      </c>
      <c r="S827" s="22">
        <v>45742</v>
      </c>
      <c r="T827" s="13">
        <v>45717</v>
      </c>
      <c r="U827" s="13">
        <v>45717</v>
      </c>
      <c r="V827" s="9" t="s">
        <v>47</v>
      </c>
      <c r="W827" s="9">
        <v>22772359</v>
      </c>
      <c r="X827" s="9">
        <v>3311105</v>
      </c>
      <c r="Y827" s="9">
        <v>69251338</v>
      </c>
      <c r="Z827" s="9" t="s">
        <v>39</v>
      </c>
      <c r="AA827" s="9">
        <v>1540665607</v>
      </c>
      <c r="AB827" s="9">
        <v>78070</v>
      </c>
      <c r="AC827" s="9" t="s">
        <v>41</v>
      </c>
      <c r="AD827" s="9" t="s">
        <v>132</v>
      </c>
      <c r="AE827" s="9" t="s">
        <v>133</v>
      </c>
      <c r="AF827" s="9" t="s">
        <v>133</v>
      </c>
      <c r="AG827" s="14" t="str">
        <f t="shared" si="28"/>
        <v>EXAMENES DE LABORATORIO</v>
      </c>
      <c r="AH827" s="9">
        <v>0</v>
      </c>
      <c r="AI827" s="9">
        <v>0</v>
      </c>
      <c r="AJ827" s="9">
        <v>99573490</v>
      </c>
      <c r="AK827" s="9">
        <v>7</v>
      </c>
      <c r="AL827" s="26" t="s">
        <v>52</v>
      </c>
      <c r="AM827" s="14" t="s">
        <v>655</v>
      </c>
      <c r="AN827" s="27" t="str">
        <f t="shared" si="27"/>
        <v>18768930|99573490|765656729|65384472</v>
      </c>
      <c r="AO827" t="s">
        <v>44</v>
      </c>
      <c r="AP827" t="b">
        <v>0</v>
      </c>
      <c r="AQ827" t="s">
        <v>763</v>
      </c>
    </row>
    <row r="828" spans="1:43" x14ac:dyDescent="0.2">
      <c r="A828" s="14" t="s">
        <v>500</v>
      </c>
      <c r="B828" s="17">
        <v>18768930</v>
      </c>
      <c r="C828" s="14" t="s">
        <v>358</v>
      </c>
      <c r="D828" s="9">
        <v>18768930</v>
      </c>
      <c r="E828" s="9" t="s">
        <v>358</v>
      </c>
      <c r="F828" s="7">
        <v>45717</v>
      </c>
      <c r="G828" s="20" t="s">
        <v>36</v>
      </c>
      <c r="H828" s="8">
        <v>765656730</v>
      </c>
      <c r="I828" s="19">
        <v>765656730</v>
      </c>
      <c r="J828" s="10">
        <v>25450</v>
      </c>
      <c r="K828" s="10">
        <v>21633</v>
      </c>
      <c r="L828" s="10">
        <v>3817</v>
      </c>
      <c r="M828" s="10">
        <v>0</v>
      </c>
      <c r="N828" s="11">
        <v>3817</v>
      </c>
      <c r="O828" s="12">
        <v>765656730</v>
      </c>
      <c r="P828" s="9">
        <v>285123</v>
      </c>
      <c r="Q828" s="9" t="s">
        <v>37</v>
      </c>
      <c r="R828" s="13">
        <v>45717</v>
      </c>
      <c r="S828" s="22">
        <v>45717</v>
      </c>
      <c r="T828" s="13">
        <v>45717</v>
      </c>
      <c r="U828" s="13">
        <v>45717</v>
      </c>
      <c r="V828" s="9" t="s">
        <v>47</v>
      </c>
      <c r="W828" s="9">
        <v>22676570</v>
      </c>
      <c r="X828" s="9">
        <v>3101656</v>
      </c>
      <c r="Y828" s="9">
        <v>68997695</v>
      </c>
      <c r="Z828" s="9" t="s">
        <v>39</v>
      </c>
      <c r="AA828" s="9">
        <v>9032025</v>
      </c>
      <c r="AB828" s="9">
        <v>77868</v>
      </c>
      <c r="AC828" s="9" t="s">
        <v>41</v>
      </c>
      <c r="AD828" s="9" t="s">
        <v>132</v>
      </c>
      <c r="AE828" s="9" t="s">
        <v>133</v>
      </c>
      <c r="AF828" s="9" t="s">
        <v>133</v>
      </c>
      <c r="AG828" s="14" t="str">
        <f t="shared" si="28"/>
        <v>EXAMENES DE LABORATORIO</v>
      </c>
      <c r="AH828" s="9" t="s">
        <v>758</v>
      </c>
      <c r="AI828" s="9">
        <v>0</v>
      </c>
      <c r="AJ828" s="9">
        <v>99573490</v>
      </c>
      <c r="AK828" s="9">
        <v>7</v>
      </c>
      <c r="AL828" s="26" t="s">
        <v>86</v>
      </c>
      <c r="AM828" s="14" t="s">
        <v>655</v>
      </c>
      <c r="AN828" s="27" t="str">
        <f t="shared" si="27"/>
        <v>18768930|99573490|765656730|765656730</v>
      </c>
      <c r="AO828" t="s">
        <v>758</v>
      </c>
      <c r="AP828" t="b">
        <v>1</v>
      </c>
      <c r="AQ828" t="s">
        <v>764</v>
      </c>
    </row>
    <row r="829" spans="1:43" x14ac:dyDescent="0.2">
      <c r="A829" s="14" t="s">
        <v>500</v>
      </c>
      <c r="B829" s="17">
        <v>18768930</v>
      </c>
      <c r="C829" s="14" t="s">
        <v>358</v>
      </c>
      <c r="D829" s="9">
        <v>18768930</v>
      </c>
      <c r="E829" s="9" t="s">
        <v>358</v>
      </c>
      <c r="F829" s="7">
        <v>45717</v>
      </c>
      <c r="G829" s="20" t="s">
        <v>46</v>
      </c>
      <c r="H829" s="8">
        <v>765656730</v>
      </c>
      <c r="I829" s="19">
        <v>65384473</v>
      </c>
      <c r="J829" s="10">
        <v>3478</v>
      </c>
      <c r="K829" s="10">
        <v>0</v>
      </c>
      <c r="L829" s="10">
        <v>3478</v>
      </c>
      <c r="M829" s="10">
        <v>0</v>
      </c>
      <c r="N829" s="11">
        <v>3478</v>
      </c>
      <c r="O829" s="12">
        <v>765656730</v>
      </c>
      <c r="P829" s="9">
        <v>285123</v>
      </c>
      <c r="Q829" s="9" t="s">
        <v>37</v>
      </c>
      <c r="R829" s="13">
        <v>45717</v>
      </c>
      <c r="S829" s="22">
        <v>45742</v>
      </c>
      <c r="T829" s="13">
        <v>45717</v>
      </c>
      <c r="U829" s="13">
        <v>45717</v>
      </c>
      <c r="V829" s="9" t="s">
        <v>47</v>
      </c>
      <c r="W829" s="9">
        <v>22772359</v>
      </c>
      <c r="X829" s="9">
        <v>3311105</v>
      </c>
      <c r="Y829" s="9">
        <v>69251339</v>
      </c>
      <c r="Z829" s="9" t="s">
        <v>39</v>
      </c>
      <c r="AA829" s="9">
        <v>1540665607</v>
      </c>
      <c r="AB829" s="9">
        <v>78070</v>
      </c>
      <c r="AC829" s="9" t="s">
        <v>41</v>
      </c>
      <c r="AD829" s="9" t="s">
        <v>132</v>
      </c>
      <c r="AE829" s="9" t="s">
        <v>133</v>
      </c>
      <c r="AF829" s="9" t="s">
        <v>133</v>
      </c>
      <c r="AG829" s="14" t="str">
        <f t="shared" si="28"/>
        <v>EXAMENES DE LABORATORIO</v>
      </c>
      <c r="AH829" s="9">
        <v>0</v>
      </c>
      <c r="AI829" s="9">
        <v>0</v>
      </c>
      <c r="AJ829" s="9">
        <v>99573490</v>
      </c>
      <c r="AK829" s="9">
        <v>7</v>
      </c>
      <c r="AL829" s="26" t="s">
        <v>52</v>
      </c>
      <c r="AM829" s="14" t="s">
        <v>655</v>
      </c>
      <c r="AN829" s="27" t="str">
        <f t="shared" si="27"/>
        <v>18768930|99573490|765656730|65384473</v>
      </c>
      <c r="AO829" t="s">
        <v>44</v>
      </c>
      <c r="AP829" t="b">
        <v>0</v>
      </c>
      <c r="AQ829" t="s">
        <v>763</v>
      </c>
    </row>
    <row r="830" spans="1:43" x14ac:dyDescent="0.2">
      <c r="A830" s="14" t="s">
        <v>500</v>
      </c>
      <c r="B830" s="17">
        <v>17335923</v>
      </c>
      <c r="C830" s="14" t="s">
        <v>359</v>
      </c>
      <c r="D830" s="9">
        <v>17335923</v>
      </c>
      <c r="E830" s="9" t="s">
        <v>359</v>
      </c>
      <c r="F830" s="7">
        <v>45717</v>
      </c>
      <c r="G830" s="20" t="s">
        <v>36</v>
      </c>
      <c r="H830" s="8">
        <v>765666970</v>
      </c>
      <c r="I830" s="19">
        <v>765666970</v>
      </c>
      <c r="J830" s="10">
        <v>40903</v>
      </c>
      <c r="K830" s="10">
        <v>38860</v>
      </c>
      <c r="L830" s="10">
        <v>2043</v>
      </c>
      <c r="M830" s="10">
        <v>0</v>
      </c>
      <c r="N830" s="11">
        <v>2043</v>
      </c>
      <c r="O830" s="12">
        <v>765666970</v>
      </c>
      <c r="P830" s="9">
        <v>285123</v>
      </c>
      <c r="Q830" s="9" t="s">
        <v>37</v>
      </c>
      <c r="R830" s="13">
        <v>45719</v>
      </c>
      <c r="S830" s="22">
        <v>45719</v>
      </c>
      <c r="T830" s="13">
        <v>45719</v>
      </c>
      <c r="U830" s="13">
        <v>45719</v>
      </c>
      <c r="V830" s="9" t="s">
        <v>47</v>
      </c>
      <c r="W830" s="9">
        <v>22676630</v>
      </c>
      <c r="X830" s="9">
        <v>3101656</v>
      </c>
      <c r="Y830" s="9">
        <v>68994711</v>
      </c>
      <c r="Z830" s="9" t="s">
        <v>39</v>
      </c>
      <c r="AA830" s="9">
        <v>9032025</v>
      </c>
      <c r="AB830" s="9">
        <v>77868</v>
      </c>
      <c r="AC830" s="9" t="s">
        <v>41</v>
      </c>
      <c r="AD830" s="9" t="s">
        <v>132</v>
      </c>
      <c r="AE830" s="9" t="s">
        <v>133</v>
      </c>
      <c r="AF830" s="9" t="s">
        <v>133</v>
      </c>
      <c r="AG830" s="14" t="str">
        <f t="shared" si="28"/>
        <v>EXAMENES DE LABORATORIO</v>
      </c>
      <c r="AH830" s="9" t="s">
        <v>758</v>
      </c>
      <c r="AI830" s="9">
        <v>0</v>
      </c>
      <c r="AJ830" s="9">
        <v>96942400</v>
      </c>
      <c r="AK830" s="9">
        <v>2</v>
      </c>
      <c r="AL830" s="26" t="s">
        <v>86</v>
      </c>
      <c r="AM830" s="14" t="s">
        <v>656</v>
      </c>
      <c r="AN830" s="27" t="str">
        <f t="shared" si="27"/>
        <v>17335923|96942400|765666970|765666970</v>
      </c>
      <c r="AO830" t="s">
        <v>758</v>
      </c>
      <c r="AP830" t="b">
        <v>1</v>
      </c>
      <c r="AQ830" t="s">
        <v>764</v>
      </c>
    </row>
    <row r="831" spans="1:43" x14ac:dyDescent="0.2">
      <c r="A831" s="14" t="s">
        <v>500</v>
      </c>
      <c r="B831" s="17">
        <v>17335923</v>
      </c>
      <c r="C831" s="14" t="s">
        <v>359</v>
      </c>
      <c r="D831" s="9">
        <v>17335923</v>
      </c>
      <c r="E831" s="9" t="s">
        <v>359</v>
      </c>
      <c r="F831" s="7">
        <v>45717</v>
      </c>
      <c r="G831" s="20" t="s">
        <v>46</v>
      </c>
      <c r="H831" s="8">
        <v>765666970</v>
      </c>
      <c r="I831" s="19">
        <v>65384414</v>
      </c>
      <c r="J831" s="10">
        <v>1545</v>
      </c>
      <c r="K831" s="10">
        <v>0</v>
      </c>
      <c r="L831" s="10">
        <v>1545</v>
      </c>
      <c r="M831" s="10">
        <v>0</v>
      </c>
      <c r="N831" s="11">
        <v>1545</v>
      </c>
      <c r="O831" s="12">
        <v>765666970</v>
      </c>
      <c r="P831" s="9">
        <v>285123</v>
      </c>
      <c r="Q831" s="9" t="s">
        <v>37</v>
      </c>
      <c r="R831" s="13">
        <v>45719</v>
      </c>
      <c r="S831" s="22">
        <v>45742</v>
      </c>
      <c r="T831" s="13">
        <v>45719</v>
      </c>
      <c r="U831" s="13">
        <v>45719</v>
      </c>
      <c r="V831" s="9" t="s">
        <v>47</v>
      </c>
      <c r="W831" s="9">
        <v>22772378</v>
      </c>
      <c r="X831" s="9">
        <v>3311105</v>
      </c>
      <c r="Y831" s="9">
        <v>69251284</v>
      </c>
      <c r="Z831" s="9" t="s">
        <v>39</v>
      </c>
      <c r="AA831" s="9">
        <v>94058341</v>
      </c>
      <c r="AB831" s="9">
        <v>78070</v>
      </c>
      <c r="AC831" s="9" t="s">
        <v>41</v>
      </c>
      <c r="AD831" s="9" t="s">
        <v>132</v>
      </c>
      <c r="AE831" s="9" t="s">
        <v>133</v>
      </c>
      <c r="AF831" s="9" t="s">
        <v>133</v>
      </c>
      <c r="AG831" s="14" t="str">
        <f t="shared" si="28"/>
        <v>EXAMENES DE LABORATORIO</v>
      </c>
      <c r="AH831" s="9">
        <v>0</v>
      </c>
      <c r="AI831" s="9">
        <v>0</v>
      </c>
      <c r="AJ831" s="9">
        <v>96942400</v>
      </c>
      <c r="AK831" s="9">
        <v>2</v>
      </c>
      <c r="AL831" s="26" t="s">
        <v>52</v>
      </c>
      <c r="AM831" s="14" t="s">
        <v>656</v>
      </c>
      <c r="AN831" s="27" t="str">
        <f t="shared" si="27"/>
        <v>17335923|96942400|765666970|65384414</v>
      </c>
      <c r="AO831" t="s">
        <v>44</v>
      </c>
      <c r="AP831" t="b">
        <v>0</v>
      </c>
      <c r="AQ831" t="s">
        <v>763</v>
      </c>
    </row>
    <row r="832" spans="1:43" x14ac:dyDescent="0.2">
      <c r="A832" s="14" t="s">
        <v>500</v>
      </c>
      <c r="B832" s="17">
        <v>17335923</v>
      </c>
      <c r="C832" s="14" t="s">
        <v>359</v>
      </c>
      <c r="D832" s="9">
        <v>17335923</v>
      </c>
      <c r="E832" s="9" t="s">
        <v>359</v>
      </c>
      <c r="F832" s="7">
        <v>45717</v>
      </c>
      <c r="G832" s="20" t="s">
        <v>36</v>
      </c>
      <c r="H832" s="8">
        <v>765666971</v>
      </c>
      <c r="I832" s="19">
        <v>765666971</v>
      </c>
      <c r="J832" s="10">
        <v>7571</v>
      </c>
      <c r="K832" s="10">
        <v>7193</v>
      </c>
      <c r="L832" s="10">
        <v>378</v>
      </c>
      <c r="M832" s="10">
        <v>0</v>
      </c>
      <c r="N832" s="11">
        <v>378</v>
      </c>
      <c r="O832" s="12">
        <v>765666971</v>
      </c>
      <c r="P832" s="9">
        <v>285123</v>
      </c>
      <c r="Q832" s="9" t="s">
        <v>37</v>
      </c>
      <c r="R832" s="13">
        <v>45719</v>
      </c>
      <c r="S832" s="22">
        <v>45719</v>
      </c>
      <c r="T832" s="13">
        <v>45719</v>
      </c>
      <c r="U832" s="13">
        <v>45719</v>
      </c>
      <c r="V832" s="9" t="s">
        <v>47</v>
      </c>
      <c r="W832" s="9">
        <v>22676630</v>
      </c>
      <c r="X832" s="9">
        <v>3101656</v>
      </c>
      <c r="Y832" s="9">
        <v>68992909</v>
      </c>
      <c r="Z832" s="9" t="s">
        <v>39</v>
      </c>
      <c r="AA832" s="9">
        <v>9032025</v>
      </c>
      <c r="AB832" s="9">
        <v>77868</v>
      </c>
      <c r="AC832" s="9" t="s">
        <v>41</v>
      </c>
      <c r="AD832" s="9" t="s">
        <v>132</v>
      </c>
      <c r="AE832" s="9" t="s">
        <v>133</v>
      </c>
      <c r="AF832" s="9" t="s">
        <v>133</v>
      </c>
      <c r="AG832" s="14" t="str">
        <f t="shared" si="28"/>
        <v>EXAMENES DE LABORATORIO</v>
      </c>
      <c r="AH832" s="9" t="s">
        <v>758</v>
      </c>
      <c r="AI832" s="9">
        <v>0</v>
      </c>
      <c r="AJ832" s="9">
        <v>96942400</v>
      </c>
      <c r="AK832" s="9">
        <v>2</v>
      </c>
      <c r="AL832" s="26" t="s">
        <v>86</v>
      </c>
      <c r="AM832" s="14" t="s">
        <v>656</v>
      </c>
      <c r="AN832" s="27" t="str">
        <f t="shared" si="27"/>
        <v>17335923|96942400|765666971|765666971</v>
      </c>
      <c r="AO832" t="s">
        <v>758</v>
      </c>
      <c r="AP832" t="b">
        <v>1</v>
      </c>
      <c r="AQ832" t="s">
        <v>764</v>
      </c>
    </row>
    <row r="833" spans="1:43" x14ac:dyDescent="0.2">
      <c r="A833" s="14" t="s">
        <v>500</v>
      </c>
      <c r="B833" s="17">
        <v>17335923</v>
      </c>
      <c r="C833" s="14" t="s">
        <v>359</v>
      </c>
      <c r="D833" s="9">
        <v>17335923</v>
      </c>
      <c r="E833" s="9" t="s">
        <v>359</v>
      </c>
      <c r="F833" s="7">
        <v>45717</v>
      </c>
      <c r="G833" s="20" t="s">
        <v>46</v>
      </c>
      <c r="H833" s="8">
        <v>765666971</v>
      </c>
      <c r="I833" s="19">
        <v>65384415</v>
      </c>
      <c r="J833" s="10">
        <v>772</v>
      </c>
      <c r="K833" s="10">
        <v>0</v>
      </c>
      <c r="L833" s="10">
        <v>772</v>
      </c>
      <c r="M833" s="10">
        <v>0</v>
      </c>
      <c r="N833" s="11">
        <v>772</v>
      </c>
      <c r="O833" s="12">
        <v>765666971</v>
      </c>
      <c r="P833" s="9">
        <v>285123</v>
      </c>
      <c r="Q833" s="9" t="s">
        <v>37</v>
      </c>
      <c r="R833" s="13">
        <v>45719</v>
      </c>
      <c r="S833" s="22">
        <v>45742</v>
      </c>
      <c r="T833" s="13">
        <v>45719</v>
      </c>
      <c r="U833" s="13">
        <v>45719</v>
      </c>
      <c r="V833" s="9" t="s">
        <v>47</v>
      </c>
      <c r="W833" s="9">
        <v>22772378</v>
      </c>
      <c r="X833" s="9">
        <v>3311105</v>
      </c>
      <c r="Y833" s="9">
        <v>69251285</v>
      </c>
      <c r="Z833" s="9" t="s">
        <v>39</v>
      </c>
      <c r="AA833" s="9">
        <v>94058341</v>
      </c>
      <c r="AB833" s="9">
        <v>78070</v>
      </c>
      <c r="AC833" s="9" t="s">
        <v>41</v>
      </c>
      <c r="AD833" s="9" t="s">
        <v>132</v>
      </c>
      <c r="AE833" s="9" t="s">
        <v>133</v>
      </c>
      <c r="AF833" s="9" t="s">
        <v>133</v>
      </c>
      <c r="AG833" s="14" t="str">
        <f t="shared" si="28"/>
        <v>EXAMENES DE LABORATORIO</v>
      </c>
      <c r="AH833" s="9">
        <v>0</v>
      </c>
      <c r="AI833" s="9">
        <v>0</v>
      </c>
      <c r="AJ833" s="9">
        <v>96942400</v>
      </c>
      <c r="AK833" s="9">
        <v>2</v>
      </c>
      <c r="AL833" s="26" t="s">
        <v>52</v>
      </c>
      <c r="AM833" s="14" t="s">
        <v>656</v>
      </c>
      <c r="AN833" s="27" t="str">
        <f t="shared" si="27"/>
        <v>17335923|96942400|765666971|65384415</v>
      </c>
      <c r="AO833" t="s">
        <v>44</v>
      </c>
      <c r="AP833" t="b">
        <v>0</v>
      </c>
      <c r="AQ833" t="s">
        <v>763</v>
      </c>
    </row>
    <row r="834" spans="1:43" x14ac:dyDescent="0.2">
      <c r="A834" s="14" t="s">
        <v>500</v>
      </c>
      <c r="B834" s="17">
        <v>26190532</v>
      </c>
      <c r="C834" s="14" t="s">
        <v>325</v>
      </c>
      <c r="D834" s="9">
        <v>26190532</v>
      </c>
      <c r="E834" s="9" t="s">
        <v>325</v>
      </c>
      <c r="F834" s="7">
        <v>45717</v>
      </c>
      <c r="G834" s="20" t="s">
        <v>36</v>
      </c>
      <c r="H834" s="8">
        <v>765678991</v>
      </c>
      <c r="I834" s="19">
        <v>765678991</v>
      </c>
      <c r="J834" s="10">
        <v>26830</v>
      </c>
      <c r="K834" s="10">
        <v>22806</v>
      </c>
      <c r="L834" s="10">
        <v>4024</v>
      </c>
      <c r="M834" s="10">
        <v>0</v>
      </c>
      <c r="N834" s="11">
        <v>4024</v>
      </c>
      <c r="O834" s="12">
        <v>765678991</v>
      </c>
      <c r="P834" s="9">
        <v>285123</v>
      </c>
      <c r="Q834" s="9" t="s">
        <v>37</v>
      </c>
      <c r="R834" s="13">
        <v>45719</v>
      </c>
      <c r="S834" s="22">
        <v>45719</v>
      </c>
      <c r="T834" s="13">
        <v>45719</v>
      </c>
      <c r="U834" s="13">
        <v>45719</v>
      </c>
      <c r="V834" s="9" t="s">
        <v>47</v>
      </c>
      <c r="W834" s="9">
        <v>22676636</v>
      </c>
      <c r="X834" s="9">
        <v>3101656</v>
      </c>
      <c r="Y834" s="9">
        <v>68997434</v>
      </c>
      <c r="Z834" s="9" t="s">
        <v>39</v>
      </c>
      <c r="AA834" s="9">
        <v>9032025</v>
      </c>
      <c r="AB834" s="9">
        <v>77868</v>
      </c>
      <c r="AC834" s="9" t="s">
        <v>41</v>
      </c>
      <c r="AD834" s="9" t="s">
        <v>134</v>
      </c>
      <c r="AE834" s="9" t="s">
        <v>135</v>
      </c>
      <c r="AF834" s="9" t="s">
        <v>135</v>
      </c>
      <c r="AG834" s="14" t="str">
        <f t="shared" si="28"/>
        <v>EXAMENES RADIOLOGICOS</v>
      </c>
      <c r="AH834" s="9" t="s">
        <v>758</v>
      </c>
      <c r="AI834" s="9">
        <v>0</v>
      </c>
      <c r="AJ834" s="9">
        <v>78040520</v>
      </c>
      <c r="AK834" s="9">
        <v>1</v>
      </c>
      <c r="AL834" s="26" t="s">
        <v>86</v>
      </c>
      <c r="AM834" s="14" t="s">
        <v>631</v>
      </c>
      <c r="AN834" s="27" t="str">
        <f t="shared" si="27"/>
        <v>26190532|78040520|765678991|765678991</v>
      </c>
      <c r="AO834" t="s">
        <v>758</v>
      </c>
      <c r="AP834" t="b">
        <v>1</v>
      </c>
      <c r="AQ834" t="s">
        <v>764</v>
      </c>
    </row>
    <row r="835" spans="1:43" x14ac:dyDescent="0.2">
      <c r="A835" s="14" t="s">
        <v>500</v>
      </c>
      <c r="B835" s="17">
        <v>26190532</v>
      </c>
      <c r="C835" s="14" t="s">
        <v>325</v>
      </c>
      <c r="D835" s="9">
        <v>26190532</v>
      </c>
      <c r="E835" s="9" t="s">
        <v>325</v>
      </c>
      <c r="F835" s="7">
        <v>45717</v>
      </c>
      <c r="G835" s="20" t="s">
        <v>46</v>
      </c>
      <c r="H835" s="8">
        <v>765678991</v>
      </c>
      <c r="I835" s="19">
        <v>65384528</v>
      </c>
      <c r="J835" s="10">
        <v>4256</v>
      </c>
      <c r="K835" s="10">
        <v>0</v>
      </c>
      <c r="L835" s="10">
        <v>4256</v>
      </c>
      <c r="M835" s="10">
        <v>0</v>
      </c>
      <c r="N835" s="11">
        <v>4256</v>
      </c>
      <c r="O835" s="12">
        <v>765678991</v>
      </c>
      <c r="P835" s="9">
        <v>285123</v>
      </c>
      <c r="Q835" s="9" t="s">
        <v>37</v>
      </c>
      <c r="R835" s="13">
        <v>45719</v>
      </c>
      <c r="S835" s="22">
        <v>45742</v>
      </c>
      <c r="T835" s="13">
        <v>45719</v>
      </c>
      <c r="U835" s="13">
        <v>45719</v>
      </c>
      <c r="V835" s="9" t="s">
        <v>47</v>
      </c>
      <c r="W835" s="9">
        <v>22772380</v>
      </c>
      <c r="X835" s="9">
        <v>3311105</v>
      </c>
      <c r="Y835" s="9">
        <v>69251391</v>
      </c>
      <c r="Z835" s="9" t="s">
        <v>39</v>
      </c>
      <c r="AA835" s="9">
        <v>19811327393</v>
      </c>
      <c r="AB835" s="9">
        <v>78070</v>
      </c>
      <c r="AC835" s="9" t="s">
        <v>41</v>
      </c>
      <c r="AD835" s="9" t="s">
        <v>134</v>
      </c>
      <c r="AE835" s="9" t="s">
        <v>135</v>
      </c>
      <c r="AF835" s="9" t="s">
        <v>135</v>
      </c>
      <c r="AG835" s="14" t="str">
        <f t="shared" si="28"/>
        <v>EXAMENES RADIOLOGICOS</v>
      </c>
      <c r="AH835" s="9">
        <v>0</v>
      </c>
      <c r="AI835" s="9">
        <v>0</v>
      </c>
      <c r="AJ835" s="9">
        <v>78040520</v>
      </c>
      <c r="AK835" s="9">
        <v>1</v>
      </c>
      <c r="AL835" s="26" t="s">
        <v>52</v>
      </c>
      <c r="AM835" s="14" t="s">
        <v>631</v>
      </c>
      <c r="AN835" s="27" t="str">
        <f t="shared" ref="AN835:AN898" si="29">B835&amp;"|"&amp;AJ835&amp;"|"&amp;H835&amp;"|"&amp;I835</f>
        <v>26190532|78040520|765678991|65384528</v>
      </c>
      <c r="AO835" t="s">
        <v>44</v>
      </c>
      <c r="AP835" t="b">
        <v>0</v>
      </c>
      <c r="AQ835" t="s">
        <v>763</v>
      </c>
    </row>
    <row r="836" spans="1:43" x14ac:dyDescent="0.2">
      <c r="A836" s="14" t="s">
        <v>500</v>
      </c>
      <c r="B836" s="17">
        <v>14733348</v>
      </c>
      <c r="C836" s="14" t="s">
        <v>356</v>
      </c>
      <c r="D836" s="9">
        <v>16089904</v>
      </c>
      <c r="E836" s="9" t="s">
        <v>360</v>
      </c>
      <c r="F836" s="7">
        <v>45717</v>
      </c>
      <c r="G836" s="20" t="s">
        <v>36</v>
      </c>
      <c r="H836" s="8">
        <v>765679642</v>
      </c>
      <c r="I836" s="19">
        <v>765679642</v>
      </c>
      <c r="J836" s="10">
        <v>23556</v>
      </c>
      <c r="K836" s="10">
        <v>14134</v>
      </c>
      <c r="L836" s="10">
        <v>9422</v>
      </c>
      <c r="M836" s="10">
        <v>0</v>
      </c>
      <c r="N836" s="11">
        <v>9422</v>
      </c>
      <c r="O836" s="12">
        <v>765679642</v>
      </c>
      <c r="P836" s="9">
        <v>285123</v>
      </c>
      <c r="Q836" s="9" t="s">
        <v>37</v>
      </c>
      <c r="R836" s="13">
        <v>45719</v>
      </c>
      <c r="S836" s="22">
        <v>45719</v>
      </c>
      <c r="T836" s="13">
        <v>45719</v>
      </c>
      <c r="U836" s="13">
        <v>45719</v>
      </c>
      <c r="V836" s="9" t="s">
        <v>47</v>
      </c>
      <c r="W836" s="9">
        <v>22676618</v>
      </c>
      <c r="X836" s="9">
        <v>3101656</v>
      </c>
      <c r="Y836" s="9">
        <v>68996614</v>
      </c>
      <c r="Z836" s="9" t="s">
        <v>39</v>
      </c>
      <c r="AA836" s="9">
        <v>9032025</v>
      </c>
      <c r="AB836" s="9">
        <v>77868</v>
      </c>
      <c r="AC836" s="9" t="s">
        <v>41</v>
      </c>
      <c r="AD836" s="9" t="s">
        <v>134</v>
      </c>
      <c r="AE836" s="9" t="s">
        <v>135</v>
      </c>
      <c r="AF836" s="9" t="s">
        <v>135</v>
      </c>
      <c r="AG836" s="14" t="str">
        <f t="shared" si="28"/>
        <v>EXAMENES RADIOLOGICOS</v>
      </c>
      <c r="AH836" s="9" t="s">
        <v>758</v>
      </c>
      <c r="AI836" s="9">
        <v>0</v>
      </c>
      <c r="AJ836" s="9">
        <v>76098454</v>
      </c>
      <c r="AK836" s="9" t="s">
        <v>161</v>
      </c>
      <c r="AL836" s="26" t="s">
        <v>86</v>
      </c>
      <c r="AM836" s="14" t="s">
        <v>654</v>
      </c>
      <c r="AN836" s="27" t="str">
        <f t="shared" si="29"/>
        <v>14733348|76098454|765679642|765679642</v>
      </c>
      <c r="AO836" t="s">
        <v>758</v>
      </c>
      <c r="AP836" t="b">
        <v>1</v>
      </c>
      <c r="AQ836" t="s">
        <v>764</v>
      </c>
    </row>
    <row r="837" spans="1:43" x14ac:dyDescent="0.2">
      <c r="A837" s="14" t="s">
        <v>500</v>
      </c>
      <c r="B837" s="17">
        <v>14733348</v>
      </c>
      <c r="C837" s="14" t="s">
        <v>356</v>
      </c>
      <c r="D837" s="9">
        <v>16089904</v>
      </c>
      <c r="E837" s="9" t="s">
        <v>360</v>
      </c>
      <c r="F837" s="7">
        <v>45717</v>
      </c>
      <c r="G837" s="20" t="s">
        <v>46</v>
      </c>
      <c r="H837" s="8">
        <v>765679642</v>
      </c>
      <c r="I837" s="19">
        <v>65384251</v>
      </c>
      <c r="J837" s="10">
        <v>9286</v>
      </c>
      <c r="K837" s="10">
        <v>0</v>
      </c>
      <c r="L837" s="10">
        <v>9286</v>
      </c>
      <c r="M837" s="10">
        <v>0</v>
      </c>
      <c r="N837" s="11">
        <v>9286</v>
      </c>
      <c r="O837" s="12">
        <v>765679642</v>
      </c>
      <c r="P837" s="9">
        <v>285123</v>
      </c>
      <c r="Q837" s="9" t="s">
        <v>37</v>
      </c>
      <c r="R837" s="13">
        <v>45719</v>
      </c>
      <c r="S837" s="22">
        <v>45742</v>
      </c>
      <c r="T837" s="13">
        <v>45719</v>
      </c>
      <c r="U837" s="13">
        <v>45719</v>
      </c>
      <c r="V837" s="9" t="s">
        <v>47</v>
      </c>
      <c r="W837" s="9">
        <v>22772373</v>
      </c>
      <c r="X837" s="9">
        <v>3311105</v>
      </c>
      <c r="Y837" s="9">
        <v>69251124</v>
      </c>
      <c r="Z837" s="9" t="s">
        <v>39</v>
      </c>
      <c r="AA837" s="9">
        <v>72113446</v>
      </c>
      <c r="AB837" s="9">
        <v>78070</v>
      </c>
      <c r="AC837" s="9" t="s">
        <v>41</v>
      </c>
      <c r="AD837" s="9" t="s">
        <v>134</v>
      </c>
      <c r="AE837" s="9" t="s">
        <v>135</v>
      </c>
      <c r="AF837" s="9" t="s">
        <v>135</v>
      </c>
      <c r="AG837" s="14" t="str">
        <f t="shared" si="28"/>
        <v>EXAMENES RADIOLOGICOS</v>
      </c>
      <c r="AH837" s="9">
        <v>0</v>
      </c>
      <c r="AI837" s="9">
        <v>0</v>
      </c>
      <c r="AJ837" s="9">
        <v>76098454</v>
      </c>
      <c r="AK837" s="9" t="s">
        <v>161</v>
      </c>
      <c r="AL837" s="26" t="s">
        <v>52</v>
      </c>
      <c r="AM837" s="14" t="s">
        <v>654</v>
      </c>
      <c r="AN837" s="27" t="str">
        <f t="shared" si="29"/>
        <v>14733348|76098454|765679642|65384251</v>
      </c>
      <c r="AO837" t="s">
        <v>44</v>
      </c>
      <c r="AP837" t="b">
        <v>0</v>
      </c>
      <c r="AQ837" t="s">
        <v>763</v>
      </c>
    </row>
    <row r="838" spans="1:43" x14ac:dyDescent="0.2">
      <c r="A838" s="14" t="s">
        <v>500</v>
      </c>
      <c r="B838" s="17">
        <v>9486641</v>
      </c>
      <c r="C838" s="14" t="s">
        <v>353</v>
      </c>
      <c r="D838" s="9">
        <v>9486641</v>
      </c>
      <c r="E838" s="9" t="s">
        <v>353</v>
      </c>
      <c r="F838" s="7">
        <v>45717</v>
      </c>
      <c r="G838" s="20" t="s">
        <v>36</v>
      </c>
      <c r="H838" s="8">
        <v>765683786</v>
      </c>
      <c r="I838" s="19">
        <v>765683786</v>
      </c>
      <c r="J838" s="10">
        <v>96110</v>
      </c>
      <c r="K838" s="10">
        <v>86150</v>
      </c>
      <c r="L838" s="10">
        <v>9960</v>
      </c>
      <c r="M838" s="10">
        <v>0</v>
      </c>
      <c r="N838" s="11">
        <v>9960</v>
      </c>
      <c r="O838" s="12">
        <v>765683786</v>
      </c>
      <c r="P838" s="9">
        <v>285123</v>
      </c>
      <c r="Q838" s="9" t="s">
        <v>37</v>
      </c>
      <c r="R838" s="13">
        <v>45720</v>
      </c>
      <c r="S838" s="22">
        <v>45720</v>
      </c>
      <c r="T838" s="13">
        <v>45720</v>
      </c>
      <c r="U838" s="13">
        <v>45720</v>
      </c>
      <c r="V838" s="9" t="s">
        <v>47</v>
      </c>
      <c r="W838" s="9">
        <v>22676639</v>
      </c>
      <c r="X838" s="9">
        <v>3101656</v>
      </c>
      <c r="Y838" s="9">
        <v>68997961</v>
      </c>
      <c r="Z838" s="9" t="s">
        <v>39</v>
      </c>
      <c r="AA838" s="9">
        <v>9032025</v>
      </c>
      <c r="AB838" s="9">
        <v>77868</v>
      </c>
      <c r="AC838" s="9" t="s">
        <v>41</v>
      </c>
      <c r="AD838" s="9" t="s">
        <v>134</v>
      </c>
      <c r="AE838" s="9" t="s">
        <v>135</v>
      </c>
      <c r="AF838" s="9" t="s">
        <v>135</v>
      </c>
      <c r="AG838" s="14" t="str">
        <f t="shared" si="28"/>
        <v>EXAMENES RADIOLOGICOS</v>
      </c>
      <c r="AH838" s="9" t="s">
        <v>758</v>
      </c>
      <c r="AI838" s="9">
        <v>0</v>
      </c>
      <c r="AJ838" s="9">
        <v>96631140</v>
      </c>
      <c r="AK838" s="9">
        <v>1</v>
      </c>
      <c r="AL838" s="26" t="s">
        <v>86</v>
      </c>
      <c r="AM838" s="14" t="s">
        <v>652</v>
      </c>
      <c r="AN838" s="27" t="str">
        <f t="shared" si="29"/>
        <v>9486641|96631140|765683786|765683786</v>
      </c>
      <c r="AO838" t="s">
        <v>758</v>
      </c>
      <c r="AP838" t="b">
        <v>1</v>
      </c>
      <c r="AQ838" t="s">
        <v>764</v>
      </c>
    </row>
    <row r="839" spans="1:43" x14ac:dyDescent="0.2">
      <c r="A839" s="14" t="s">
        <v>500</v>
      </c>
      <c r="B839" s="17">
        <v>9486641</v>
      </c>
      <c r="C839" s="14" t="s">
        <v>353</v>
      </c>
      <c r="D839" s="9">
        <v>9486641</v>
      </c>
      <c r="E839" s="9" t="s">
        <v>353</v>
      </c>
      <c r="F839" s="7">
        <v>45717</v>
      </c>
      <c r="G839" s="20" t="s">
        <v>46</v>
      </c>
      <c r="H839" s="8">
        <v>765683786</v>
      </c>
      <c r="I839" s="19">
        <v>65383743</v>
      </c>
      <c r="J839" s="10">
        <v>9676</v>
      </c>
      <c r="K839" s="10">
        <v>0</v>
      </c>
      <c r="L839" s="10">
        <v>9676</v>
      </c>
      <c r="M839" s="10">
        <v>0</v>
      </c>
      <c r="N839" s="11">
        <v>9676</v>
      </c>
      <c r="O839" s="12">
        <v>765683786</v>
      </c>
      <c r="P839" s="9">
        <v>285123</v>
      </c>
      <c r="Q839" s="9" t="s">
        <v>37</v>
      </c>
      <c r="R839" s="13">
        <v>45720</v>
      </c>
      <c r="S839" s="22">
        <v>45742</v>
      </c>
      <c r="T839" s="13">
        <v>45720</v>
      </c>
      <c r="U839" s="13">
        <v>45720</v>
      </c>
      <c r="V839" s="9" t="s">
        <v>47</v>
      </c>
      <c r="W839" s="9">
        <v>22772385</v>
      </c>
      <c r="X839" s="9">
        <v>3311105</v>
      </c>
      <c r="Y839" s="9">
        <v>69250633</v>
      </c>
      <c r="Z839" s="9" t="s">
        <v>39</v>
      </c>
      <c r="AA839" s="9">
        <v>27656756</v>
      </c>
      <c r="AB839" s="9">
        <v>78070</v>
      </c>
      <c r="AC839" s="9" t="s">
        <v>41</v>
      </c>
      <c r="AD839" s="9" t="s">
        <v>134</v>
      </c>
      <c r="AE839" s="9" t="s">
        <v>135</v>
      </c>
      <c r="AF839" s="9" t="s">
        <v>135</v>
      </c>
      <c r="AG839" s="14" t="str">
        <f t="shared" si="28"/>
        <v>EXAMENES RADIOLOGICOS</v>
      </c>
      <c r="AH839" s="9">
        <v>0</v>
      </c>
      <c r="AI839" s="9">
        <v>0</v>
      </c>
      <c r="AJ839" s="9">
        <v>96631140</v>
      </c>
      <c r="AK839" s="9">
        <v>1</v>
      </c>
      <c r="AL839" s="26" t="s">
        <v>52</v>
      </c>
      <c r="AM839" s="14" t="s">
        <v>652</v>
      </c>
      <c r="AN839" s="27" t="str">
        <f t="shared" si="29"/>
        <v>9486641|96631140|765683786|65383743</v>
      </c>
      <c r="AO839" t="s">
        <v>44</v>
      </c>
      <c r="AP839" t="b">
        <v>0</v>
      </c>
      <c r="AQ839" t="s">
        <v>763</v>
      </c>
    </row>
    <row r="840" spans="1:43" x14ac:dyDescent="0.2">
      <c r="A840" s="14" t="s">
        <v>500</v>
      </c>
      <c r="B840" s="17">
        <v>17562258</v>
      </c>
      <c r="C840" s="14" t="s">
        <v>87</v>
      </c>
      <c r="D840" s="9">
        <v>17562258</v>
      </c>
      <c r="E840" s="9" t="s">
        <v>87</v>
      </c>
      <c r="F840" s="7">
        <v>45717</v>
      </c>
      <c r="G840" s="20" t="s">
        <v>36</v>
      </c>
      <c r="H840" s="8">
        <v>765695633</v>
      </c>
      <c r="I840" s="19">
        <v>765695633</v>
      </c>
      <c r="J840" s="10">
        <v>397782</v>
      </c>
      <c r="K840" s="10">
        <v>393804</v>
      </c>
      <c r="L840" s="10">
        <v>3978</v>
      </c>
      <c r="M840" s="10">
        <v>0</v>
      </c>
      <c r="N840" s="11">
        <v>3978</v>
      </c>
      <c r="O840" s="12">
        <v>765695633</v>
      </c>
      <c r="P840" s="9">
        <v>285123</v>
      </c>
      <c r="Q840" s="9" t="s">
        <v>37</v>
      </c>
      <c r="R840" s="13">
        <v>45720</v>
      </c>
      <c r="S840" s="22">
        <v>45720</v>
      </c>
      <c r="T840" s="13">
        <v>45720</v>
      </c>
      <c r="U840" s="13">
        <v>45720</v>
      </c>
      <c r="V840" s="9" t="s">
        <v>47</v>
      </c>
      <c r="W840" s="9">
        <v>22676679</v>
      </c>
      <c r="X840" s="9">
        <v>3101656</v>
      </c>
      <c r="Y840" s="9">
        <v>68996275</v>
      </c>
      <c r="Z840" s="9" t="s">
        <v>39</v>
      </c>
      <c r="AA840" s="9">
        <v>9032025</v>
      </c>
      <c r="AB840" s="9">
        <v>77868</v>
      </c>
      <c r="AC840" s="9" t="s">
        <v>41</v>
      </c>
      <c r="AD840" s="9" t="s">
        <v>134</v>
      </c>
      <c r="AE840" s="9" t="s">
        <v>135</v>
      </c>
      <c r="AF840" s="9" t="s">
        <v>135</v>
      </c>
      <c r="AG840" s="14" t="str">
        <f t="shared" si="28"/>
        <v>EXAMENES RADIOLOGICOS</v>
      </c>
      <c r="AH840" s="9" t="s">
        <v>758</v>
      </c>
      <c r="AI840" s="9">
        <v>0</v>
      </c>
      <c r="AJ840" s="9">
        <v>96942400</v>
      </c>
      <c r="AK840" s="9">
        <v>2</v>
      </c>
      <c r="AL840" s="26" t="s">
        <v>86</v>
      </c>
      <c r="AM840" s="14" t="s">
        <v>515</v>
      </c>
      <c r="AN840" s="27" t="str">
        <f t="shared" si="29"/>
        <v>17562258|96942400|765695633|765695633</v>
      </c>
      <c r="AO840" t="s">
        <v>758</v>
      </c>
      <c r="AP840" t="b">
        <v>1</v>
      </c>
      <c r="AQ840" t="s">
        <v>764</v>
      </c>
    </row>
    <row r="841" spans="1:43" x14ac:dyDescent="0.2">
      <c r="A841" s="14" t="s">
        <v>500</v>
      </c>
      <c r="B841" s="17">
        <v>17562258</v>
      </c>
      <c r="C841" s="14" t="s">
        <v>87</v>
      </c>
      <c r="D841" s="9">
        <v>17562258</v>
      </c>
      <c r="E841" s="9" t="s">
        <v>87</v>
      </c>
      <c r="F841" s="7">
        <v>45717</v>
      </c>
      <c r="G841" s="20" t="s">
        <v>46</v>
      </c>
      <c r="H841" s="8">
        <v>765695633</v>
      </c>
      <c r="I841" s="19">
        <v>65384422</v>
      </c>
      <c r="J841" s="10">
        <v>20128</v>
      </c>
      <c r="K841" s="10">
        <v>0</v>
      </c>
      <c r="L841" s="10">
        <v>20128</v>
      </c>
      <c r="M841" s="10">
        <v>0</v>
      </c>
      <c r="N841" s="11">
        <v>20128</v>
      </c>
      <c r="O841" s="12">
        <v>765695633</v>
      </c>
      <c r="P841" s="9">
        <v>285123</v>
      </c>
      <c r="Q841" s="9" t="s">
        <v>37</v>
      </c>
      <c r="R841" s="13">
        <v>45720</v>
      </c>
      <c r="S841" s="22">
        <v>45742</v>
      </c>
      <c r="T841" s="13">
        <v>45720</v>
      </c>
      <c r="U841" s="13">
        <v>45720</v>
      </c>
      <c r="V841" s="9" t="s">
        <v>47</v>
      </c>
      <c r="W841" s="9">
        <v>22772398</v>
      </c>
      <c r="X841" s="9">
        <v>3311105</v>
      </c>
      <c r="Y841" s="9">
        <v>69251290</v>
      </c>
      <c r="Z841" s="9" t="s">
        <v>39</v>
      </c>
      <c r="AA841" s="9">
        <v>410049078</v>
      </c>
      <c r="AB841" s="9">
        <v>78070</v>
      </c>
      <c r="AC841" s="9" t="s">
        <v>41</v>
      </c>
      <c r="AD841" s="9" t="s">
        <v>134</v>
      </c>
      <c r="AE841" s="9" t="s">
        <v>135</v>
      </c>
      <c r="AF841" s="9" t="s">
        <v>135</v>
      </c>
      <c r="AG841" s="14" t="str">
        <f t="shared" si="28"/>
        <v>EXAMENES RADIOLOGICOS</v>
      </c>
      <c r="AH841" s="9">
        <v>0</v>
      </c>
      <c r="AI841" s="9">
        <v>0</v>
      </c>
      <c r="AJ841" s="9">
        <v>96942400</v>
      </c>
      <c r="AK841" s="9">
        <v>2</v>
      </c>
      <c r="AL841" s="26" t="s">
        <v>52</v>
      </c>
      <c r="AM841" s="14" t="s">
        <v>515</v>
      </c>
      <c r="AN841" s="27" t="str">
        <f t="shared" si="29"/>
        <v>17562258|96942400|765695633|65384422</v>
      </c>
      <c r="AO841" t="s">
        <v>44</v>
      </c>
      <c r="AP841" t="b">
        <v>0</v>
      </c>
      <c r="AQ841" t="s">
        <v>763</v>
      </c>
    </row>
    <row r="842" spans="1:43" x14ac:dyDescent="0.2">
      <c r="A842" s="14" t="s">
        <v>500</v>
      </c>
      <c r="B842" s="17">
        <v>13281122</v>
      </c>
      <c r="C842" s="14" t="s">
        <v>336</v>
      </c>
      <c r="D842" s="9">
        <v>14453785</v>
      </c>
      <c r="E842" s="9" t="s">
        <v>355</v>
      </c>
      <c r="F842" s="7">
        <v>45717</v>
      </c>
      <c r="G842" s="20" t="s">
        <v>36</v>
      </c>
      <c r="H842" s="8">
        <v>765700556</v>
      </c>
      <c r="I842" s="19">
        <v>765700556</v>
      </c>
      <c r="J842" s="10">
        <v>31070</v>
      </c>
      <c r="K842" s="10">
        <v>24856</v>
      </c>
      <c r="L842" s="10">
        <v>6214</v>
      </c>
      <c r="M842" s="10">
        <v>0</v>
      </c>
      <c r="N842" s="11">
        <v>6214</v>
      </c>
      <c r="O842" s="12">
        <v>765700556</v>
      </c>
      <c r="P842" s="9">
        <v>285123</v>
      </c>
      <c r="Q842" s="9" t="s">
        <v>37</v>
      </c>
      <c r="R842" s="13">
        <v>45721</v>
      </c>
      <c r="S842" s="22">
        <v>45721</v>
      </c>
      <c r="T842" s="13">
        <v>45721</v>
      </c>
      <c r="U842" s="13">
        <v>45721</v>
      </c>
      <c r="V842" s="9" t="s">
        <v>47</v>
      </c>
      <c r="W842" s="9">
        <v>22676716</v>
      </c>
      <c r="X842" s="9">
        <v>3101656</v>
      </c>
      <c r="Y842" s="9">
        <v>68996618</v>
      </c>
      <c r="Z842" s="9" t="s">
        <v>39</v>
      </c>
      <c r="AA842" s="9">
        <v>9032025</v>
      </c>
      <c r="AB842" s="9">
        <v>77868</v>
      </c>
      <c r="AC842" s="9" t="s">
        <v>41</v>
      </c>
      <c r="AD842" s="9" t="s">
        <v>132</v>
      </c>
      <c r="AE842" s="9" t="s">
        <v>133</v>
      </c>
      <c r="AF842" s="9" t="s">
        <v>133</v>
      </c>
      <c r="AG842" s="14" t="str">
        <f t="shared" si="28"/>
        <v>EXAMENES DE LABORATORIO</v>
      </c>
      <c r="AH842" s="9" t="s">
        <v>758</v>
      </c>
      <c r="AI842" s="9">
        <v>0</v>
      </c>
      <c r="AJ842" s="9">
        <v>96942400</v>
      </c>
      <c r="AK842" s="9">
        <v>2</v>
      </c>
      <c r="AL842" s="26" t="s">
        <v>86</v>
      </c>
      <c r="AM842" s="14" t="s">
        <v>639</v>
      </c>
      <c r="AN842" s="27" t="str">
        <f t="shared" si="29"/>
        <v>13281122|96942400|765700556|765700556</v>
      </c>
      <c r="AO842" t="s">
        <v>758</v>
      </c>
      <c r="AP842" t="b">
        <v>1</v>
      </c>
      <c r="AQ842" t="s">
        <v>764</v>
      </c>
    </row>
    <row r="843" spans="1:43" x14ac:dyDescent="0.2">
      <c r="A843" s="14" t="s">
        <v>500</v>
      </c>
      <c r="B843" s="17">
        <v>13281122</v>
      </c>
      <c r="C843" s="14" t="s">
        <v>336</v>
      </c>
      <c r="D843" s="9">
        <v>14453785</v>
      </c>
      <c r="E843" s="9" t="s">
        <v>355</v>
      </c>
      <c r="F843" s="7">
        <v>45717</v>
      </c>
      <c r="G843" s="20" t="s">
        <v>46</v>
      </c>
      <c r="H843" s="8">
        <v>765700556</v>
      </c>
      <c r="I843" s="19">
        <v>65384102</v>
      </c>
      <c r="J843" s="10">
        <v>6192</v>
      </c>
      <c r="K843" s="10">
        <v>0</v>
      </c>
      <c r="L843" s="10">
        <v>6192</v>
      </c>
      <c r="M843" s="10">
        <v>0</v>
      </c>
      <c r="N843" s="11">
        <v>6192</v>
      </c>
      <c r="O843" s="12">
        <v>765700556</v>
      </c>
      <c r="P843" s="9">
        <v>285123</v>
      </c>
      <c r="Q843" s="9" t="s">
        <v>37</v>
      </c>
      <c r="R843" s="13">
        <v>45721</v>
      </c>
      <c r="S843" s="22">
        <v>45742</v>
      </c>
      <c r="T843" s="13">
        <v>45721</v>
      </c>
      <c r="U843" s="13">
        <v>45721</v>
      </c>
      <c r="V843" s="9" t="s">
        <v>47</v>
      </c>
      <c r="W843" s="9">
        <v>22772412</v>
      </c>
      <c r="X843" s="9">
        <v>3311105</v>
      </c>
      <c r="Y843" s="9">
        <v>69250987</v>
      </c>
      <c r="Z843" s="9" t="s">
        <v>39</v>
      </c>
      <c r="AA843" s="9">
        <v>210929341</v>
      </c>
      <c r="AB843" s="9">
        <v>78070</v>
      </c>
      <c r="AC843" s="9" t="s">
        <v>41</v>
      </c>
      <c r="AD843" s="9" t="s">
        <v>132</v>
      </c>
      <c r="AE843" s="9" t="s">
        <v>133</v>
      </c>
      <c r="AF843" s="9" t="s">
        <v>133</v>
      </c>
      <c r="AG843" s="14" t="str">
        <f t="shared" si="28"/>
        <v>EXAMENES DE LABORATORIO</v>
      </c>
      <c r="AH843" s="9">
        <v>0</v>
      </c>
      <c r="AI843" s="9">
        <v>0</v>
      </c>
      <c r="AJ843" s="9">
        <v>96942400</v>
      </c>
      <c r="AK843" s="9">
        <v>2</v>
      </c>
      <c r="AL843" s="26" t="s">
        <v>52</v>
      </c>
      <c r="AM843" s="14" t="s">
        <v>639</v>
      </c>
      <c r="AN843" s="27" t="str">
        <f t="shared" si="29"/>
        <v>13281122|96942400|765700556|65384102</v>
      </c>
      <c r="AO843" t="s">
        <v>44</v>
      </c>
      <c r="AP843" t="b">
        <v>0</v>
      </c>
      <c r="AQ843" t="s">
        <v>763</v>
      </c>
    </row>
    <row r="844" spans="1:43" x14ac:dyDescent="0.2">
      <c r="A844" s="14" t="s">
        <v>500</v>
      </c>
      <c r="B844" s="17">
        <v>13281122</v>
      </c>
      <c r="C844" s="14" t="s">
        <v>336</v>
      </c>
      <c r="D844" s="9">
        <v>14453785</v>
      </c>
      <c r="E844" s="9" t="s">
        <v>355</v>
      </c>
      <c r="F844" s="7">
        <v>45717</v>
      </c>
      <c r="G844" s="20" t="s">
        <v>36</v>
      </c>
      <c r="H844" s="8">
        <v>765700557</v>
      </c>
      <c r="I844" s="19">
        <v>765700557</v>
      </c>
      <c r="J844" s="10">
        <v>42809</v>
      </c>
      <c r="K844" s="10">
        <v>25445</v>
      </c>
      <c r="L844" s="10">
        <v>17364</v>
      </c>
      <c r="M844" s="10">
        <v>0</v>
      </c>
      <c r="N844" s="11">
        <v>17364</v>
      </c>
      <c r="O844" s="12">
        <v>765700557</v>
      </c>
      <c r="P844" s="9">
        <v>285123</v>
      </c>
      <c r="Q844" s="9" t="s">
        <v>37</v>
      </c>
      <c r="R844" s="13">
        <v>45721</v>
      </c>
      <c r="S844" s="22">
        <v>45721</v>
      </c>
      <c r="T844" s="13">
        <v>45721</v>
      </c>
      <c r="U844" s="13">
        <v>45721</v>
      </c>
      <c r="V844" s="9" t="s">
        <v>47</v>
      </c>
      <c r="W844" s="9">
        <v>22676716</v>
      </c>
      <c r="X844" s="9">
        <v>3101656</v>
      </c>
      <c r="Y844" s="9">
        <v>68995132</v>
      </c>
      <c r="Z844" s="9" t="s">
        <v>39</v>
      </c>
      <c r="AA844" s="9">
        <v>9032025</v>
      </c>
      <c r="AB844" s="9">
        <v>77868</v>
      </c>
      <c r="AC844" s="9" t="s">
        <v>41</v>
      </c>
      <c r="AD844" s="9" t="s">
        <v>132</v>
      </c>
      <c r="AE844" s="9" t="s">
        <v>133</v>
      </c>
      <c r="AF844" s="9" t="s">
        <v>133</v>
      </c>
      <c r="AG844" s="14" t="str">
        <f t="shared" si="28"/>
        <v>EXAMENES DE LABORATORIO</v>
      </c>
      <c r="AH844" s="9" t="s">
        <v>758</v>
      </c>
      <c r="AI844" s="9">
        <v>0</v>
      </c>
      <c r="AJ844" s="9">
        <v>96942400</v>
      </c>
      <c r="AK844" s="9">
        <v>2</v>
      </c>
      <c r="AL844" s="26" t="s">
        <v>86</v>
      </c>
      <c r="AM844" s="14" t="s">
        <v>639</v>
      </c>
      <c r="AN844" s="27" t="str">
        <f t="shared" si="29"/>
        <v>13281122|96942400|765700557|765700557</v>
      </c>
      <c r="AO844" t="s">
        <v>758</v>
      </c>
      <c r="AP844" t="b">
        <v>1</v>
      </c>
      <c r="AQ844" t="s">
        <v>764</v>
      </c>
    </row>
    <row r="845" spans="1:43" x14ac:dyDescent="0.2">
      <c r="A845" s="14" t="s">
        <v>500</v>
      </c>
      <c r="B845" s="17">
        <v>13281122</v>
      </c>
      <c r="C845" s="14" t="s">
        <v>336</v>
      </c>
      <c r="D845" s="9">
        <v>14453785</v>
      </c>
      <c r="E845" s="9" t="s">
        <v>355</v>
      </c>
      <c r="F845" s="7">
        <v>45717</v>
      </c>
      <c r="G845" s="20" t="s">
        <v>46</v>
      </c>
      <c r="H845" s="8">
        <v>765700557</v>
      </c>
      <c r="I845" s="19">
        <v>65384103</v>
      </c>
      <c r="J845" s="10">
        <v>16650</v>
      </c>
      <c r="K845" s="10">
        <v>0</v>
      </c>
      <c r="L845" s="10">
        <v>16650</v>
      </c>
      <c r="M845" s="10">
        <v>0</v>
      </c>
      <c r="N845" s="11">
        <v>16650</v>
      </c>
      <c r="O845" s="12">
        <v>765700557</v>
      </c>
      <c r="P845" s="9">
        <v>285123</v>
      </c>
      <c r="Q845" s="9" t="s">
        <v>37</v>
      </c>
      <c r="R845" s="13">
        <v>45721</v>
      </c>
      <c r="S845" s="22">
        <v>45742</v>
      </c>
      <c r="T845" s="13">
        <v>45721</v>
      </c>
      <c r="U845" s="13">
        <v>45721</v>
      </c>
      <c r="V845" s="9" t="s">
        <v>47</v>
      </c>
      <c r="W845" s="9">
        <v>22772412</v>
      </c>
      <c r="X845" s="9">
        <v>3311105</v>
      </c>
      <c r="Y845" s="9">
        <v>69250988</v>
      </c>
      <c r="Z845" s="9" t="s">
        <v>39</v>
      </c>
      <c r="AA845" s="9">
        <v>210929341</v>
      </c>
      <c r="AB845" s="9">
        <v>78070</v>
      </c>
      <c r="AC845" s="9" t="s">
        <v>41</v>
      </c>
      <c r="AD845" s="9" t="s">
        <v>132</v>
      </c>
      <c r="AE845" s="9" t="s">
        <v>133</v>
      </c>
      <c r="AF845" s="9" t="s">
        <v>133</v>
      </c>
      <c r="AG845" s="14" t="str">
        <f t="shared" si="28"/>
        <v>EXAMENES DE LABORATORIO</v>
      </c>
      <c r="AH845" s="9">
        <v>0</v>
      </c>
      <c r="AI845" s="9">
        <v>0</v>
      </c>
      <c r="AJ845" s="9">
        <v>96942400</v>
      </c>
      <c r="AK845" s="9">
        <v>2</v>
      </c>
      <c r="AL845" s="26" t="s">
        <v>52</v>
      </c>
      <c r="AM845" s="14" t="s">
        <v>639</v>
      </c>
      <c r="AN845" s="27" t="str">
        <f t="shared" si="29"/>
        <v>13281122|96942400|765700557|65384103</v>
      </c>
      <c r="AO845" t="s">
        <v>44</v>
      </c>
      <c r="AP845" t="b">
        <v>0</v>
      </c>
      <c r="AQ845" t="s">
        <v>763</v>
      </c>
    </row>
    <row r="846" spans="1:43" x14ac:dyDescent="0.2">
      <c r="A846" s="14" t="s">
        <v>500</v>
      </c>
      <c r="B846" s="17">
        <v>13281122</v>
      </c>
      <c r="C846" s="14" t="s">
        <v>336</v>
      </c>
      <c r="D846" s="9">
        <v>14453785</v>
      </c>
      <c r="E846" s="9" t="s">
        <v>355</v>
      </c>
      <c r="F846" s="7">
        <v>45717</v>
      </c>
      <c r="G846" s="20" t="s">
        <v>36</v>
      </c>
      <c r="H846" s="8">
        <v>765700723</v>
      </c>
      <c r="I846" s="19">
        <v>765700723</v>
      </c>
      <c r="J846" s="10">
        <v>23232</v>
      </c>
      <c r="K846" s="10">
        <v>18586</v>
      </c>
      <c r="L846" s="10">
        <v>4646</v>
      </c>
      <c r="M846" s="10">
        <v>0</v>
      </c>
      <c r="N846" s="11">
        <v>4646</v>
      </c>
      <c r="O846" s="12">
        <v>765700723</v>
      </c>
      <c r="P846" s="9">
        <v>285123</v>
      </c>
      <c r="Q846" s="9" t="s">
        <v>37</v>
      </c>
      <c r="R846" s="13">
        <v>45721</v>
      </c>
      <c r="S846" s="22">
        <v>45721</v>
      </c>
      <c r="T846" s="13">
        <v>45721</v>
      </c>
      <c r="U846" s="13">
        <v>45721</v>
      </c>
      <c r="V846" s="9" t="s">
        <v>47</v>
      </c>
      <c r="W846" s="9">
        <v>22676716</v>
      </c>
      <c r="X846" s="9">
        <v>3101656</v>
      </c>
      <c r="Y846" s="9">
        <v>68997816</v>
      </c>
      <c r="Z846" s="9" t="s">
        <v>39</v>
      </c>
      <c r="AA846" s="9">
        <v>9032025</v>
      </c>
      <c r="AB846" s="9">
        <v>77868</v>
      </c>
      <c r="AC846" s="9" t="s">
        <v>41</v>
      </c>
      <c r="AD846" s="9" t="s">
        <v>134</v>
      </c>
      <c r="AE846" s="9" t="s">
        <v>135</v>
      </c>
      <c r="AF846" s="9" t="s">
        <v>135</v>
      </c>
      <c r="AG846" s="14" t="str">
        <f t="shared" si="28"/>
        <v>EXAMENES RADIOLOGICOS</v>
      </c>
      <c r="AH846" s="9" t="s">
        <v>758</v>
      </c>
      <c r="AI846" s="9">
        <v>0</v>
      </c>
      <c r="AJ846" s="9">
        <v>96942400</v>
      </c>
      <c r="AK846" s="9">
        <v>2</v>
      </c>
      <c r="AL846" s="26" t="s">
        <v>86</v>
      </c>
      <c r="AM846" s="14" t="s">
        <v>639</v>
      </c>
      <c r="AN846" s="27" t="str">
        <f t="shared" si="29"/>
        <v>13281122|96942400|765700723|765700723</v>
      </c>
      <c r="AO846" t="s">
        <v>758</v>
      </c>
      <c r="AP846" t="b">
        <v>1</v>
      </c>
      <c r="AQ846" t="s">
        <v>764</v>
      </c>
    </row>
    <row r="847" spans="1:43" x14ac:dyDescent="0.2">
      <c r="A847" s="14" t="s">
        <v>500</v>
      </c>
      <c r="B847" s="17">
        <v>13281122</v>
      </c>
      <c r="C847" s="14" t="s">
        <v>336</v>
      </c>
      <c r="D847" s="9">
        <v>14453785</v>
      </c>
      <c r="E847" s="9" t="s">
        <v>355</v>
      </c>
      <c r="F847" s="7">
        <v>45717</v>
      </c>
      <c r="G847" s="20" t="s">
        <v>46</v>
      </c>
      <c r="H847" s="8">
        <v>765700723</v>
      </c>
      <c r="I847" s="19">
        <v>65384104</v>
      </c>
      <c r="J847" s="10">
        <v>4646</v>
      </c>
      <c r="K847" s="10">
        <v>0</v>
      </c>
      <c r="L847" s="10">
        <v>4646</v>
      </c>
      <c r="M847" s="10">
        <v>0</v>
      </c>
      <c r="N847" s="11">
        <v>4646</v>
      </c>
      <c r="O847" s="12">
        <v>765700723</v>
      </c>
      <c r="P847" s="9">
        <v>285123</v>
      </c>
      <c r="Q847" s="9" t="s">
        <v>37</v>
      </c>
      <c r="R847" s="13">
        <v>45721</v>
      </c>
      <c r="S847" s="22">
        <v>45742</v>
      </c>
      <c r="T847" s="13">
        <v>45721</v>
      </c>
      <c r="U847" s="13">
        <v>45721</v>
      </c>
      <c r="V847" s="9" t="s">
        <v>47</v>
      </c>
      <c r="W847" s="9">
        <v>22772412</v>
      </c>
      <c r="X847" s="9">
        <v>3311105</v>
      </c>
      <c r="Y847" s="9">
        <v>69250989</v>
      </c>
      <c r="Z847" s="9" t="s">
        <v>39</v>
      </c>
      <c r="AA847" s="9">
        <v>210929341</v>
      </c>
      <c r="AB847" s="9">
        <v>78070</v>
      </c>
      <c r="AC847" s="9" t="s">
        <v>41</v>
      </c>
      <c r="AD847" s="9" t="s">
        <v>134</v>
      </c>
      <c r="AE847" s="9" t="s">
        <v>135</v>
      </c>
      <c r="AF847" s="9" t="s">
        <v>135</v>
      </c>
      <c r="AG847" s="14" t="str">
        <f t="shared" si="28"/>
        <v>EXAMENES RADIOLOGICOS</v>
      </c>
      <c r="AH847" s="9">
        <v>0</v>
      </c>
      <c r="AI847" s="9">
        <v>0</v>
      </c>
      <c r="AJ847" s="9">
        <v>96942400</v>
      </c>
      <c r="AK847" s="9">
        <v>2</v>
      </c>
      <c r="AL847" s="26" t="s">
        <v>52</v>
      </c>
      <c r="AM847" s="14" t="s">
        <v>639</v>
      </c>
      <c r="AN847" s="27" t="str">
        <f t="shared" si="29"/>
        <v>13281122|96942400|765700723|65384104</v>
      </c>
      <c r="AO847" t="s">
        <v>44</v>
      </c>
      <c r="AP847" t="b">
        <v>0</v>
      </c>
      <c r="AQ847" t="s">
        <v>763</v>
      </c>
    </row>
    <row r="848" spans="1:43" x14ac:dyDescent="0.2">
      <c r="A848" s="14" t="s">
        <v>500</v>
      </c>
      <c r="B848" s="17">
        <v>13281122</v>
      </c>
      <c r="C848" s="14" t="s">
        <v>336</v>
      </c>
      <c r="D848" s="9">
        <v>14453785</v>
      </c>
      <c r="E848" s="9" t="s">
        <v>355</v>
      </c>
      <c r="F848" s="7">
        <v>45717</v>
      </c>
      <c r="G848" s="20" t="s">
        <v>36</v>
      </c>
      <c r="H848" s="8">
        <v>765702524</v>
      </c>
      <c r="I848" s="19">
        <v>765702524</v>
      </c>
      <c r="J848" s="10">
        <v>33129</v>
      </c>
      <c r="K848" s="10">
        <v>26503</v>
      </c>
      <c r="L848" s="10">
        <v>6626</v>
      </c>
      <c r="M848" s="10">
        <v>0</v>
      </c>
      <c r="N848" s="11">
        <v>6626</v>
      </c>
      <c r="O848" s="12">
        <v>765702524</v>
      </c>
      <c r="P848" s="9">
        <v>285123</v>
      </c>
      <c r="Q848" s="9" t="s">
        <v>37</v>
      </c>
      <c r="R848" s="13">
        <v>45721</v>
      </c>
      <c r="S848" s="22">
        <v>45721</v>
      </c>
      <c r="T848" s="13">
        <v>45721</v>
      </c>
      <c r="U848" s="13">
        <v>45721</v>
      </c>
      <c r="V848" s="9" t="s">
        <v>47</v>
      </c>
      <c r="W848" s="9">
        <v>22676716</v>
      </c>
      <c r="X848" s="9">
        <v>3101656</v>
      </c>
      <c r="Y848" s="9">
        <v>68993492</v>
      </c>
      <c r="Z848" s="9" t="s">
        <v>39</v>
      </c>
      <c r="AA848" s="9">
        <v>9032025</v>
      </c>
      <c r="AB848" s="9">
        <v>77868</v>
      </c>
      <c r="AC848" s="9" t="s">
        <v>41</v>
      </c>
      <c r="AD848" s="9" t="s">
        <v>134</v>
      </c>
      <c r="AE848" s="9" t="s">
        <v>135</v>
      </c>
      <c r="AF848" s="9" t="s">
        <v>135</v>
      </c>
      <c r="AG848" s="14" t="str">
        <f t="shared" si="28"/>
        <v>EXAMENES RADIOLOGICOS</v>
      </c>
      <c r="AH848" s="9" t="s">
        <v>758</v>
      </c>
      <c r="AI848" s="9">
        <v>0</v>
      </c>
      <c r="AJ848" s="9">
        <v>96942400</v>
      </c>
      <c r="AK848" s="9">
        <v>2</v>
      </c>
      <c r="AL848" s="26" t="s">
        <v>86</v>
      </c>
      <c r="AM848" s="14" t="s">
        <v>639</v>
      </c>
      <c r="AN848" s="27" t="str">
        <f t="shared" si="29"/>
        <v>13281122|96942400|765702524|765702524</v>
      </c>
      <c r="AO848" t="s">
        <v>758</v>
      </c>
      <c r="AP848" t="b">
        <v>1</v>
      </c>
      <c r="AQ848" t="s">
        <v>764</v>
      </c>
    </row>
    <row r="849" spans="1:43" x14ac:dyDescent="0.2">
      <c r="A849" s="14" t="s">
        <v>500</v>
      </c>
      <c r="B849" s="17">
        <v>13281122</v>
      </c>
      <c r="C849" s="14" t="s">
        <v>336</v>
      </c>
      <c r="D849" s="9">
        <v>14453785</v>
      </c>
      <c r="E849" s="9" t="s">
        <v>355</v>
      </c>
      <c r="F849" s="7">
        <v>45717</v>
      </c>
      <c r="G849" s="20" t="s">
        <v>46</v>
      </c>
      <c r="H849" s="8">
        <v>765702524</v>
      </c>
      <c r="I849" s="19">
        <v>65384105</v>
      </c>
      <c r="J849" s="10">
        <v>6582</v>
      </c>
      <c r="K849" s="10">
        <v>0</v>
      </c>
      <c r="L849" s="10">
        <v>6582</v>
      </c>
      <c r="M849" s="10">
        <v>0</v>
      </c>
      <c r="N849" s="11">
        <v>6582</v>
      </c>
      <c r="O849" s="12">
        <v>765702524</v>
      </c>
      <c r="P849" s="9">
        <v>285123</v>
      </c>
      <c r="Q849" s="9" t="s">
        <v>37</v>
      </c>
      <c r="R849" s="13">
        <v>45721</v>
      </c>
      <c r="S849" s="22">
        <v>45742</v>
      </c>
      <c r="T849" s="13">
        <v>45721</v>
      </c>
      <c r="U849" s="13">
        <v>45721</v>
      </c>
      <c r="V849" s="9" t="s">
        <v>47</v>
      </c>
      <c r="W849" s="9">
        <v>22772412</v>
      </c>
      <c r="X849" s="9">
        <v>3311105</v>
      </c>
      <c r="Y849" s="9">
        <v>69250990</v>
      </c>
      <c r="Z849" s="9" t="s">
        <v>39</v>
      </c>
      <c r="AA849" s="9">
        <v>210929341</v>
      </c>
      <c r="AB849" s="9">
        <v>78070</v>
      </c>
      <c r="AC849" s="9" t="s">
        <v>41</v>
      </c>
      <c r="AD849" s="9" t="s">
        <v>134</v>
      </c>
      <c r="AE849" s="9" t="s">
        <v>135</v>
      </c>
      <c r="AF849" s="9" t="s">
        <v>135</v>
      </c>
      <c r="AG849" s="14" t="str">
        <f t="shared" si="28"/>
        <v>EXAMENES RADIOLOGICOS</v>
      </c>
      <c r="AH849" s="9">
        <v>0</v>
      </c>
      <c r="AI849" s="9">
        <v>0</v>
      </c>
      <c r="AJ849" s="9">
        <v>96942400</v>
      </c>
      <c r="AK849" s="9">
        <v>2</v>
      </c>
      <c r="AL849" s="26" t="s">
        <v>52</v>
      </c>
      <c r="AM849" s="14" t="s">
        <v>639</v>
      </c>
      <c r="AN849" s="27" t="str">
        <f t="shared" si="29"/>
        <v>13281122|96942400|765702524|65384105</v>
      </c>
      <c r="AO849" t="s">
        <v>44</v>
      </c>
      <c r="AP849" t="b">
        <v>0</v>
      </c>
      <c r="AQ849" t="s">
        <v>763</v>
      </c>
    </row>
    <row r="850" spans="1:43" x14ac:dyDescent="0.2">
      <c r="A850" s="14" t="s">
        <v>500</v>
      </c>
      <c r="B850" s="17">
        <v>13281122</v>
      </c>
      <c r="C850" s="14" t="s">
        <v>336</v>
      </c>
      <c r="D850" s="9">
        <v>14453785</v>
      </c>
      <c r="E850" s="9" t="s">
        <v>355</v>
      </c>
      <c r="F850" s="7">
        <v>45717</v>
      </c>
      <c r="G850" s="20" t="s">
        <v>36</v>
      </c>
      <c r="H850" s="8">
        <v>765702557</v>
      </c>
      <c r="I850" s="19">
        <v>765702557</v>
      </c>
      <c r="J850" s="10">
        <v>23556</v>
      </c>
      <c r="K850" s="10">
        <v>18845</v>
      </c>
      <c r="L850" s="10">
        <v>4711</v>
      </c>
      <c r="M850" s="10">
        <v>0</v>
      </c>
      <c r="N850" s="11">
        <v>4711</v>
      </c>
      <c r="O850" s="12">
        <v>765702557</v>
      </c>
      <c r="P850" s="9">
        <v>285123</v>
      </c>
      <c r="Q850" s="9" t="s">
        <v>37</v>
      </c>
      <c r="R850" s="13">
        <v>45721</v>
      </c>
      <c r="S850" s="22">
        <v>45721</v>
      </c>
      <c r="T850" s="13">
        <v>45721</v>
      </c>
      <c r="U850" s="13">
        <v>45721</v>
      </c>
      <c r="V850" s="9" t="s">
        <v>47</v>
      </c>
      <c r="W850" s="9">
        <v>22676716</v>
      </c>
      <c r="X850" s="9">
        <v>3101656</v>
      </c>
      <c r="Y850" s="9">
        <v>68996672</v>
      </c>
      <c r="Z850" s="9" t="s">
        <v>39</v>
      </c>
      <c r="AA850" s="9">
        <v>9032025</v>
      </c>
      <c r="AB850" s="9">
        <v>77868</v>
      </c>
      <c r="AC850" s="9" t="s">
        <v>41</v>
      </c>
      <c r="AD850" s="9" t="s">
        <v>134</v>
      </c>
      <c r="AE850" s="9" t="s">
        <v>135</v>
      </c>
      <c r="AF850" s="9" t="s">
        <v>135</v>
      </c>
      <c r="AG850" s="14" t="str">
        <f t="shared" si="28"/>
        <v>EXAMENES RADIOLOGICOS</v>
      </c>
      <c r="AH850" s="9" t="s">
        <v>758</v>
      </c>
      <c r="AI850" s="9">
        <v>0</v>
      </c>
      <c r="AJ850" s="9">
        <v>96942400</v>
      </c>
      <c r="AK850" s="9">
        <v>2</v>
      </c>
      <c r="AL850" s="26" t="s">
        <v>86</v>
      </c>
      <c r="AM850" s="14" t="s">
        <v>639</v>
      </c>
      <c r="AN850" s="27" t="str">
        <f t="shared" si="29"/>
        <v>13281122|96942400|765702557|765702557</v>
      </c>
      <c r="AO850" t="s">
        <v>758</v>
      </c>
      <c r="AP850" t="b">
        <v>1</v>
      </c>
      <c r="AQ850" t="s">
        <v>764</v>
      </c>
    </row>
    <row r="851" spans="1:43" x14ac:dyDescent="0.2">
      <c r="A851" s="14" t="s">
        <v>500</v>
      </c>
      <c r="B851" s="17">
        <v>13281122</v>
      </c>
      <c r="C851" s="14" t="s">
        <v>336</v>
      </c>
      <c r="D851" s="9">
        <v>14453785</v>
      </c>
      <c r="E851" s="9" t="s">
        <v>355</v>
      </c>
      <c r="F851" s="7">
        <v>45717</v>
      </c>
      <c r="G851" s="20" t="s">
        <v>46</v>
      </c>
      <c r="H851" s="8">
        <v>765702557</v>
      </c>
      <c r="I851" s="19">
        <v>65384106</v>
      </c>
      <c r="J851" s="10">
        <v>4646</v>
      </c>
      <c r="K851" s="10">
        <v>0</v>
      </c>
      <c r="L851" s="10">
        <v>4646</v>
      </c>
      <c r="M851" s="10">
        <v>0</v>
      </c>
      <c r="N851" s="11">
        <v>4646</v>
      </c>
      <c r="O851" s="12">
        <v>765702557</v>
      </c>
      <c r="P851" s="9">
        <v>285123</v>
      </c>
      <c r="Q851" s="9" t="s">
        <v>37</v>
      </c>
      <c r="R851" s="13">
        <v>45721</v>
      </c>
      <c r="S851" s="22">
        <v>45742</v>
      </c>
      <c r="T851" s="13">
        <v>45721</v>
      </c>
      <c r="U851" s="13">
        <v>45721</v>
      </c>
      <c r="V851" s="9" t="s">
        <v>47</v>
      </c>
      <c r="W851" s="9">
        <v>22772412</v>
      </c>
      <c r="X851" s="9">
        <v>3311105</v>
      </c>
      <c r="Y851" s="9">
        <v>69250991</v>
      </c>
      <c r="Z851" s="9" t="s">
        <v>39</v>
      </c>
      <c r="AA851" s="9">
        <v>210929341</v>
      </c>
      <c r="AB851" s="9">
        <v>78070</v>
      </c>
      <c r="AC851" s="9" t="s">
        <v>41</v>
      </c>
      <c r="AD851" s="9" t="s">
        <v>134</v>
      </c>
      <c r="AE851" s="9" t="s">
        <v>135</v>
      </c>
      <c r="AF851" s="9" t="s">
        <v>135</v>
      </c>
      <c r="AG851" s="14" t="str">
        <f t="shared" si="28"/>
        <v>EXAMENES RADIOLOGICOS</v>
      </c>
      <c r="AH851" s="9">
        <v>0</v>
      </c>
      <c r="AI851" s="9">
        <v>0</v>
      </c>
      <c r="AJ851" s="9">
        <v>96942400</v>
      </c>
      <c r="AK851" s="9">
        <v>2</v>
      </c>
      <c r="AL851" s="26" t="s">
        <v>52</v>
      </c>
      <c r="AM851" s="14" t="s">
        <v>639</v>
      </c>
      <c r="AN851" s="27" t="str">
        <f t="shared" si="29"/>
        <v>13281122|96942400|765702557|65384106</v>
      </c>
      <c r="AO851" t="s">
        <v>44</v>
      </c>
      <c r="AP851" t="b">
        <v>0</v>
      </c>
      <c r="AQ851" t="s">
        <v>763</v>
      </c>
    </row>
    <row r="852" spans="1:43" x14ac:dyDescent="0.2">
      <c r="A852" s="14" t="s">
        <v>500</v>
      </c>
      <c r="B852" s="17">
        <v>14119217</v>
      </c>
      <c r="C852" s="14" t="s">
        <v>361</v>
      </c>
      <c r="D852" s="9">
        <v>14119217</v>
      </c>
      <c r="E852" s="9" t="s">
        <v>361</v>
      </c>
      <c r="F852" s="7">
        <v>45717</v>
      </c>
      <c r="G852" s="20" t="s">
        <v>36</v>
      </c>
      <c r="H852" s="8">
        <v>765740255</v>
      </c>
      <c r="I852" s="19">
        <v>765740255</v>
      </c>
      <c r="J852" s="10">
        <v>62868</v>
      </c>
      <c r="K852" s="10">
        <v>44008</v>
      </c>
      <c r="L852" s="10">
        <v>18860</v>
      </c>
      <c r="M852" s="10">
        <v>0</v>
      </c>
      <c r="N852" s="11">
        <v>18860</v>
      </c>
      <c r="O852" s="12">
        <v>765740255</v>
      </c>
      <c r="P852" s="9">
        <v>285123</v>
      </c>
      <c r="Q852" s="9" t="s">
        <v>37</v>
      </c>
      <c r="R852" s="13">
        <v>45723</v>
      </c>
      <c r="S852" s="22">
        <v>45723</v>
      </c>
      <c r="T852" s="13">
        <v>45723</v>
      </c>
      <c r="U852" s="13">
        <v>45723</v>
      </c>
      <c r="V852" s="9" t="s">
        <v>47</v>
      </c>
      <c r="W852" s="9">
        <v>22676832</v>
      </c>
      <c r="X852" s="9">
        <v>3101656</v>
      </c>
      <c r="Y852" s="9">
        <v>68997128</v>
      </c>
      <c r="Z852" s="9" t="s">
        <v>39</v>
      </c>
      <c r="AA852" s="9">
        <v>9032025</v>
      </c>
      <c r="AB852" s="9">
        <v>77868</v>
      </c>
      <c r="AC852" s="9" t="s">
        <v>41</v>
      </c>
      <c r="AD852" s="9" t="s">
        <v>132</v>
      </c>
      <c r="AE852" s="9" t="s">
        <v>133</v>
      </c>
      <c r="AF852" s="9" t="s">
        <v>133</v>
      </c>
      <c r="AG852" s="14" t="str">
        <f t="shared" si="28"/>
        <v>EXAMENES DE LABORATORIO</v>
      </c>
      <c r="AH852" s="9" t="s">
        <v>758</v>
      </c>
      <c r="AI852" s="9">
        <v>0</v>
      </c>
      <c r="AJ852" s="9">
        <v>78040520</v>
      </c>
      <c r="AK852" s="9">
        <v>1</v>
      </c>
      <c r="AL852" s="26" t="s">
        <v>86</v>
      </c>
      <c r="AM852" s="14" t="s">
        <v>657</v>
      </c>
      <c r="AN852" s="27" t="str">
        <f t="shared" si="29"/>
        <v>14119217|78040520|765740255|765740255</v>
      </c>
      <c r="AO852" t="s">
        <v>758</v>
      </c>
      <c r="AP852" t="b">
        <v>1</v>
      </c>
      <c r="AQ852" t="s">
        <v>764</v>
      </c>
    </row>
    <row r="853" spans="1:43" x14ac:dyDescent="0.2">
      <c r="A853" s="14" t="s">
        <v>500</v>
      </c>
      <c r="B853" s="17">
        <v>14119217</v>
      </c>
      <c r="C853" s="14" t="s">
        <v>361</v>
      </c>
      <c r="D853" s="9">
        <v>14119217</v>
      </c>
      <c r="E853" s="9" t="s">
        <v>361</v>
      </c>
      <c r="F853" s="7">
        <v>45717</v>
      </c>
      <c r="G853" s="20" t="s">
        <v>46</v>
      </c>
      <c r="H853" s="8">
        <v>765740255</v>
      </c>
      <c r="I853" s="19">
        <v>65384206</v>
      </c>
      <c r="J853" s="10">
        <v>18989</v>
      </c>
      <c r="K853" s="10">
        <v>0</v>
      </c>
      <c r="L853" s="10">
        <v>18989</v>
      </c>
      <c r="M853" s="10">
        <v>0</v>
      </c>
      <c r="N853" s="11">
        <v>18989</v>
      </c>
      <c r="O853" s="12">
        <v>765740255</v>
      </c>
      <c r="P853" s="9">
        <v>285123</v>
      </c>
      <c r="Q853" s="9" t="s">
        <v>37</v>
      </c>
      <c r="R853" s="13">
        <v>45723</v>
      </c>
      <c r="S853" s="22">
        <v>45742</v>
      </c>
      <c r="T853" s="13">
        <v>45723</v>
      </c>
      <c r="U853" s="13">
        <v>45723</v>
      </c>
      <c r="V853" s="9" t="s">
        <v>47</v>
      </c>
      <c r="W853" s="9">
        <v>22772452</v>
      </c>
      <c r="X853" s="9">
        <v>3311105</v>
      </c>
      <c r="Y853" s="9">
        <v>69251081</v>
      </c>
      <c r="Z853" s="9" t="s">
        <v>39</v>
      </c>
      <c r="AA853" s="9">
        <v>970436262</v>
      </c>
      <c r="AB853" s="9">
        <v>78070</v>
      </c>
      <c r="AC853" s="9" t="s">
        <v>41</v>
      </c>
      <c r="AD853" s="9" t="s">
        <v>132</v>
      </c>
      <c r="AE853" s="9" t="s">
        <v>133</v>
      </c>
      <c r="AF853" s="9" t="s">
        <v>133</v>
      </c>
      <c r="AG853" s="14" t="str">
        <f t="shared" ref="AG853:AG916" si="30">+AF853</f>
        <v>EXAMENES DE LABORATORIO</v>
      </c>
      <c r="AH853" s="9">
        <v>0</v>
      </c>
      <c r="AI853" s="9">
        <v>0</v>
      </c>
      <c r="AJ853" s="9">
        <v>78040520</v>
      </c>
      <c r="AK853" s="9">
        <v>1</v>
      </c>
      <c r="AL853" s="26" t="s">
        <v>52</v>
      </c>
      <c r="AM853" s="14" t="s">
        <v>657</v>
      </c>
      <c r="AN853" s="27" t="str">
        <f t="shared" si="29"/>
        <v>14119217|78040520|765740255|65384206</v>
      </c>
      <c r="AO853" t="s">
        <v>44</v>
      </c>
      <c r="AP853" t="b">
        <v>0</v>
      </c>
      <c r="AQ853" t="s">
        <v>763</v>
      </c>
    </row>
    <row r="854" spans="1:43" x14ac:dyDescent="0.2">
      <c r="A854" s="14" t="s">
        <v>500</v>
      </c>
      <c r="B854" s="17">
        <v>11166332</v>
      </c>
      <c r="C854" s="14" t="s">
        <v>341</v>
      </c>
      <c r="D854" s="9">
        <v>11166332</v>
      </c>
      <c r="E854" s="9" t="s">
        <v>341</v>
      </c>
      <c r="F854" s="7">
        <v>45717</v>
      </c>
      <c r="G854" s="20" t="s">
        <v>36</v>
      </c>
      <c r="H854" s="8">
        <v>765752520</v>
      </c>
      <c r="I854" s="19">
        <v>765752520</v>
      </c>
      <c r="J854" s="10">
        <v>17250</v>
      </c>
      <c r="K854" s="10">
        <v>14663</v>
      </c>
      <c r="L854" s="10">
        <v>2587</v>
      </c>
      <c r="M854" s="10">
        <v>0</v>
      </c>
      <c r="N854" s="11">
        <v>2587</v>
      </c>
      <c r="O854" s="12">
        <v>765752520</v>
      </c>
      <c r="P854" s="9">
        <v>285123</v>
      </c>
      <c r="Q854" s="9" t="s">
        <v>37</v>
      </c>
      <c r="R854" s="13">
        <v>45725</v>
      </c>
      <c r="S854" s="22">
        <v>45725</v>
      </c>
      <c r="T854" s="13">
        <v>45725</v>
      </c>
      <c r="U854" s="13">
        <v>45725</v>
      </c>
      <c r="V854" s="9" t="s">
        <v>47</v>
      </c>
      <c r="W854" s="9">
        <v>22703053</v>
      </c>
      <c r="X854" s="9">
        <v>3181006</v>
      </c>
      <c r="Y854" s="9">
        <v>69051525</v>
      </c>
      <c r="Z854" s="9" t="s">
        <v>39</v>
      </c>
      <c r="AA854" s="9">
        <v>16032025</v>
      </c>
      <c r="AB854" s="9">
        <v>77922</v>
      </c>
      <c r="AC854" s="9" t="s">
        <v>41</v>
      </c>
      <c r="AD854" s="9" t="s">
        <v>65</v>
      </c>
      <c r="AE854" s="9" t="s">
        <v>66</v>
      </c>
      <c r="AF854" s="9" t="s">
        <v>66</v>
      </c>
      <c r="AG854" s="14" t="str">
        <f t="shared" si="30"/>
        <v>PROCEDIMIENTOS TERAPEUTICOS</v>
      </c>
      <c r="AH854" s="9" t="s">
        <v>758</v>
      </c>
      <c r="AI854" s="9">
        <v>0</v>
      </c>
      <c r="AJ854" s="9">
        <v>76754097</v>
      </c>
      <c r="AK854" s="9">
        <v>3</v>
      </c>
      <c r="AL854" s="26" t="s">
        <v>86</v>
      </c>
      <c r="AM854" s="14" t="s">
        <v>643</v>
      </c>
      <c r="AN854" s="27" t="str">
        <f t="shared" si="29"/>
        <v>11166332|76754097|765752520|765752520</v>
      </c>
      <c r="AO854" t="s">
        <v>758</v>
      </c>
      <c r="AP854" t="b">
        <v>1</v>
      </c>
      <c r="AQ854" t="s">
        <v>764</v>
      </c>
    </row>
    <row r="855" spans="1:43" x14ac:dyDescent="0.2">
      <c r="A855" s="14" t="s">
        <v>500</v>
      </c>
      <c r="B855" s="17">
        <v>11166332</v>
      </c>
      <c r="C855" s="14" t="s">
        <v>341</v>
      </c>
      <c r="D855" s="9">
        <v>11166332</v>
      </c>
      <c r="E855" s="9" t="s">
        <v>341</v>
      </c>
      <c r="F855" s="7">
        <v>45717</v>
      </c>
      <c r="G855" s="20" t="s">
        <v>46</v>
      </c>
      <c r="H855" s="8">
        <v>765752520</v>
      </c>
      <c r="I855" s="19">
        <v>65383916</v>
      </c>
      <c r="J855" s="10">
        <v>2327</v>
      </c>
      <c r="K855" s="10">
        <v>0</v>
      </c>
      <c r="L855" s="10">
        <v>2327</v>
      </c>
      <c r="M855" s="10">
        <v>0</v>
      </c>
      <c r="N855" s="11">
        <v>2327</v>
      </c>
      <c r="O855" s="12">
        <v>765752520</v>
      </c>
      <c r="P855" s="9">
        <v>285123</v>
      </c>
      <c r="Q855" s="9" t="s">
        <v>37</v>
      </c>
      <c r="R855" s="13">
        <v>45725</v>
      </c>
      <c r="S855" s="22">
        <v>45742</v>
      </c>
      <c r="T855" s="13">
        <v>45725</v>
      </c>
      <c r="U855" s="13">
        <v>45725</v>
      </c>
      <c r="V855" s="9" t="s">
        <v>47</v>
      </c>
      <c r="W855" s="9">
        <v>22772466</v>
      </c>
      <c r="X855" s="9">
        <v>3311105</v>
      </c>
      <c r="Y855" s="9">
        <v>69250805</v>
      </c>
      <c r="Z855" s="9" t="s">
        <v>39</v>
      </c>
      <c r="AA855" s="9">
        <v>67296303</v>
      </c>
      <c r="AB855" s="9">
        <v>78070</v>
      </c>
      <c r="AC855" s="9" t="s">
        <v>41</v>
      </c>
      <c r="AD855" s="9" t="s">
        <v>65</v>
      </c>
      <c r="AE855" s="9" t="s">
        <v>66</v>
      </c>
      <c r="AF855" s="9" t="s">
        <v>66</v>
      </c>
      <c r="AG855" s="14" t="str">
        <f t="shared" si="30"/>
        <v>PROCEDIMIENTOS TERAPEUTICOS</v>
      </c>
      <c r="AH855" s="9">
        <v>0</v>
      </c>
      <c r="AI855" s="9">
        <v>0</v>
      </c>
      <c r="AJ855" s="9">
        <v>76754097</v>
      </c>
      <c r="AK855" s="9">
        <v>3</v>
      </c>
      <c r="AL855" s="26" t="s">
        <v>52</v>
      </c>
      <c r="AM855" s="14" t="s">
        <v>643</v>
      </c>
      <c r="AN855" s="27" t="str">
        <f t="shared" si="29"/>
        <v>11166332|76754097|765752520|65383916</v>
      </c>
      <c r="AO855" t="s">
        <v>44</v>
      </c>
      <c r="AP855" t="b">
        <v>0</v>
      </c>
      <c r="AQ855" t="s">
        <v>763</v>
      </c>
    </row>
    <row r="856" spans="1:43" x14ac:dyDescent="0.2">
      <c r="A856" s="14" t="s">
        <v>500</v>
      </c>
      <c r="B856" s="17">
        <v>15543105</v>
      </c>
      <c r="C856" s="14" t="s">
        <v>362</v>
      </c>
      <c r="D856" s="9">
        <v>15543105</v>
      </c>
      <c r="E856" s="9" t="s">
        <v>362</v>
      </c>
      <c r="F856" s="7">
        <v>45658</v>
      </c>
      <c r="G856" s="20" t="s">
        <v>36</v>
      </c>
      <c r="H856" s="8">
        <v>915289335</v>
      </c>
      <c r="I856" s="19">
        <v>915289335</v>
      </c>
      <c r="J856" s="10">
        <v>16430</v>
      </c>
      <c r="K856" s="10">
        <v>5140</v>
      </c>
      <c r="L856" s="10">
        <v>11290</v>
      </c>
      <c r="M856" s="10">
        <v>0</v>
      </c>
      <c r="N856" s="11">
        <v>11290</v>
      </c>
      <c r="O856" s="12">
        <v>915289335</v>
      </c>
      <c r="P856" s="9">
        <v>285123</v>
      </c>
      <c r="Q856" s="9" t="s">
        <v>37</v>
      </c>
      <c r="R856" s="13">
        <v>45660</v>
      </c>
      <c r="S856" s="22">
        <v>45660</v>
      </c>
      <c r="T856" s="13">
        <v>45660</v>
      </c>
      <c r="U856" s="13">
        <v>45660</v>
      </c>
      <c r="V856" s="9" t="s">
        <v>47</v>
      </c>
      <c r="W856" s="9">
        <v>22473682</v>
      </c>
      <c r="X856" s="9">
        <v>1061637</v>
      </c>
      <c r="Y856" s="9">
        <v>68611532</v>
      </c>
      <c r="Z856" s="9" t="s">
        <v>39</v>
      </c>
      <c r="AA856" s="9">
        <v>5012025</v>
      </c>
      <c r="AB856" s="9">
        <v>77320</v>
      </c>
      <c r="AC856" s="9" t="s">
        <v>41</v>
      </c>
      <c r="AD856" s="9" t="s">
        <v>132</v>
      </c>
      <c r="AE856" s="9" t="s">
        <v>133</v>
      </c>
      <c r="AF856" s="9" t="s">
        <v>133</v>
      </c>
      <c r="AG856" s="14" t="str">
        <f t="shared" si="30"/>
        <v>EXAMENES DE LABORATORIO</v>
      </c>
      <c r="AH856" s="9" t="s">
        <v>758</v>
      </c>
      <c r="AI856" s="9">
        <v>0</v>
      </c>
      <c r="AJ856" s="9">
        <v>96942400</v>
      </c>
      <c r="AK856" s="9">
        <v>2</v>
      </c>
      <c r="AL856" s="26" t="s">
        <v>62</v>
      </c>
      <c r="AM856" s="14" t="s">
        <v>658</v>
      </c>
      <c r="AN856" s="27" t="str">
        <f t="shared" si="29"/>
        <v>15543105|96942400|915289335|915289335</v>
      </c>
      <c r="AO856" t="s">
        <v>758</v>
      </c>
      <c r="AP856" t="b">
        <v>1</v>
      </c>
      <c r="AQ856" t="s">
        <v>764</v>
      </c>
    </row>
    <row r="857" spans="1:43" x14ac:dyDescent="0.2">
      <c r="A857" s="14" t="s">
        <v>500</v>
      </c>
      <c r="B857" s="17">
        <v>15543105</v>
      </c>
      <c r="C857" s="14" t="s">
        <v>362</v>
      </c>
      <c r="D857" s="9">
        <v>15543105</v>
      </c>
      <c r="E857" s="9" t="s">
        <v>362</v>
      </c>
      <c r="F857" s="7">
        <v>45717</v>
      </c>
      <c r="G857" s="20" t="s">
        <v>46</v>
      </c>
      <c r="H857" s="8">
        <v>915289335</v>
      </c>
      <c r="I857" s="19">
        <v>65384315</v>
      </c>
      <c r="J857" s="10">
        <v>9988</v>
      </c>
      <c r="K857" s="10">
        <v>0</v>
      </c>
      <c r="L857" s="10">
        <v>9988</v>
      </c>
      <c r="M857" s="10">
        <v>0</v>
      </c>
      <c r="N857" s="11">
        <v>9988</v>
      </c>
      <c r="O857" s="12">
        <v>915289335</v>
      </c>
      <c r="P857" s="9">
        <v>285123</v>
      </c>
      <c r="Q857" s="9" t="s">
        <v>37</v>
      </c>
      <c r="R857" s="13">
        <v>45717</v>
      </c>
      <c r="S857" s="22">
        <v>45742</v>
      </c>
      <c r="T857" s="13">
        <v>45660</v>
      </c>
      <c r="U857" s="13">
        <v>45660</v>
      </c>
      <c r="V857" s="9" t="s">
        <v>47</v>
      </c>
      <c r="W857" s="9">
        <v>22770283</v>
      </c>
      <c r="X857" s="9">
        <v>3311105</v>
      </c>
      <c r="Y857" s="9">
        <v>69251198</v>
      </c>
      <c r="Z857" s="9" t="s">
        <v>39</v>
      </c>
      <c r="AA857" s="9">
        <v>987634170</v>
      </c>
      <c r="AB857" s="9">
        <v>78070</v>
      </c>
      <c r="AC857" s="9" t="s">
        <v>41</v>
      </c>
      <c r="AD857" s="9" t="s">
        <v>132</v>
      </c>
      <c r="AE857" s="9" t="s">
        <v>133</v>
      </c>
      <c r="AF857" s="9" t="s">
        <v>133</v>
      </c>
      <c r="AG857" s="14" t="str">
        <f t="shared" si="30"/>
        <v>EXAMENES DE LABORATORIO</v>
      </c>
      <c r="AH857" s="9">
        <v>0</v>
      </c>
      <c r="AI857" s="9">
        <v>0</v>
      </c>
      <c r="AJ857" s="9">
        <v>96942400</v>
      </c>
      <c r="AK857" s="9">
        <v>2</v>
      </c>
      <c r="AL857" s="26" t="s">
        <v>52</v>
      </c>
      <c r="AM857" s="14" t="s">
        <v>658</v>
      </c>
      <c r="AN857" s="27" t="str">
        <f t="shared" si="29"/>
        <v>15543105|96942400|915289335|65384315</v>
      </c>
      <c r="AO857" t="s">
        <v>44</v>
      </c>
      <c r="AP857" t="b">
        <v>0</v>
      </c>
      <c r="AQ857" t="s">
        <v>763</v>
      </c>
    </row>
    <row r="858" spans="1:43" x14ac:dyDescent="0.2">
      <c r="A858" s="14" t="s">
        <v>500</v>
      </c>
      <c r="B858" s="17">
        <v>17884354</v>
      </c>
      <c r="C858" s="14" t="s">
        <v>363</v>
      </c>
      <c r="D858" s="9">
        <v>17884354</v>
      </c>
      <c r="E858" s="9" t="s">
        <v>363</v>
      </c>
      <c r="F858" s="7">
        <v>45658</v>
      </c>
      <c r="G858" s="20" t="s">
        <v>36</v>
      </c>
      <c r="H858" s="8">
        <v>915341596</v>
      </c>
      <c r="I858" s="19">
        <v>915341596</v>
      </c>
      <c r="J858" s="10">
        <v>23230</v>
      </c>
      <c r="K858" s="10">
        <v>7260</v>
      </c>
      <c r="L858" s="10">
        <v>15970</v>
      </c>
      <c r="M858" s="10">
        <v>0</v>
      </c>
      <c r="N858" s="11">
        <v>15970</v>
      </c>
      <c r="O858" s="12">
        <v>915341596</v>
      </c>
      <c r="P858" s="9">
        <v>285123</v>
      </c>
      <c r="Q858" s="9" t="s">
        <v>37</v>
      </c>
      <c r="R858" s="13">
        <v>45660</v>
      </c>
      <c r="S858" s="22">
        <v>45660</v>
      </c>
      <c r="T858" s="13">
        <v>45660</v>
      </c>
      <c r="U858" s="13">
        <v>45660</v>
      </c>
      <c r="V858" s="9" t="s">
        <v>47</v>
      </c>
      <c r="W858" s="9">
        <v>22473693</v>
      </c>
      <c r="X858" s="9">
        <v>1061637</v>
      </c>
      <c r="Y858" s="9">
        <v>68611840</v>
      </c>
      <c r="Z858" s="9" t="s">
        <v>39</v>
      </c>
      <c r="AA858" s="9">
        <v>5012025</v>
      </c>
      <c r="AB858" s="9">
        <v>77320</v>
      </c>
      <c r="AC858" s="9" t="s">
        <v>41</v>
      </c>
      <c r="AD858" s="9" t="s">
        <v>134</v>
      </c>
      <c r="AE858" s="9" t="s">
        <v>135</v>
      </c>
      <c r="AF858" s="9" t="s">
        <v>135</v>
      </c>
      <c r="AG858" s="14" t="str">
        <f t="shared" si="30"/>
        <v>EXAMENES RADIOLOGICOS</v>
      </c>
      <c r="AH858" s="9" t="s">
        <v>758</v>
      </c>
      <c r="AI858" s="9">
        <v>0</v>
      </c>
      <c r="AJ858" s="9">
        <v>77591970</v>
      </c>
      <c r="AK858" s="9">
        <v>1</v>
      </c>
      <c r="AL858" s="26" t="s">
        <v>62</v>
      </c>
      <c r="AM858" s="14" t="s">
        <v>659</v>
      </c>
      <c r="AN858" s="27" t="str">
        <f t="shared" si="29"/>
        <v>17884354|77591970|915341596|915341596</v>
      </c>
      <c r="AO858" t="s">
        <v>758</v>
      </c>
      <c r="AP858" t="b">
        <v>1</v>
      </c>
      <c r="AQ858" t="s">
        <v>764</v>
      </c>
    </row>
    <row r="859" spans="1:43" x14ac:dyDescent="0.2">
      <c r="A859" s="14" t="s">
        <v>500</v>
      </c>
      <c r="B859" s="17">
        <v>17884354</v>
      </c>
      <c r="C859" s="14" t="s">
        <v>363</v>
      </c>
      <c r="D859" s="9">
        <v>17884354</v>
      </c>
      <c r="E859" s="9" t="s">
        <v>363</v>
      </c>
      <c r="F859" s="7">
        <v>45717</v>
      </c>
      <c r="G859" s="20" t="s">
        <v>46</v>
      </c>
      <c r="H859" s="8">
        <v>915341596</v>
      </c>
      <c r="I859" s="19">
        <v>65384445</v>
      </c>
      <c r="J859" s="10">
        <v>13832</v>
      </c>
      <c r="K859" s="10">
        <v>0</v>
      </c>
      <c r="L859" s="10">
        <v>13832</v>
      </c>
      <c r="M859" s="10">
        <v>0</v>
      </c>
      <c r="N859" s="11">
        <v>13832</v>
      </c>
      <c r="O859" s="12">
        <v>915341596</v>
      </c>
      <c r="P859" s="9">
        <v>285123</v>
      </c>
      <c r="Q859" s="9" t="s">
        <v>37</v>
      </c>
      <c r="R859" s="13">
        <v>45717</v>
      </c>
      <c r="S859" s="22">
        <v>45742</v>
      </c>
      <c r="T859" s="13">
        <v>45660</v>
      </c>
      <c r="U859" s="13">
        <v>45660</v>
      </c>
      <c r="V859" s="9" t="s">
        <v>47</v>
      </c>
      <c r="W859" s="9">
        <v>22770286</v>
      </c>
      <c r="X859" s="9">
        <v>3311105</v>
      </c>
      <c r="Y859" s="9">
        <v>69251313</v>
      </c>
      <c r="Z859" s="9" t="s">
        <v>39</v>
      </c>
      <c r="AA859" s="9">
        <v>17884354</v>
      </c>
      <c r="AB859" s="9">
        <v>78070</v>
      </c>
      <c r="AC859" s="9" t="s">
        <v>41</v>
      </c>
      <c r="AD859" s="9" t="s">
        <v>134</v>
      </c>
      <c r="AE859" s="9" t="s">
        <v>135</v>
      </c>
      <c r="AF859" s="9" t="s">
        <v>135</v>
      </c>
      <c r="AG859" s="14" t="str">
        <f t="shared" si="30"/>
        <v>EXAMENES RADIOLOGICOS</v>
      </c>
      <c r="AH859" s="9">
        <v>0</v>
      </c>
      <c r="AI859" s="9">
        <v>0</v>
      </c>
      <c r="AJ859" s="9">
        <v>77591970</v>
      </c>
      <c r="AK859" s="9">
        <v>1</v>
      </c>
      <c r="AL859" s="26" t="s">
        <v>52</v>
      </c>
      <c r="AM859" s="14" t="s">
        <v>659</v>
      </c>
      <c r="AN859" s="27" t="str">
        <f t="shared" si="29"/>
        <v>17884354|77591970|915341596|65384445</v>
      </c>
      <c r="AO859" t="s">
        <v>44</v>
      </c>
      <c r="AP859" t="b">
        <v>0</v>
      </c>
      <c r="AQ859" t="s">
        <v>763</v>
      </c>
    </row>
    <row r="860" spans="1:43" x14ac:dyDescent="0.2">
      <c r="A860" s="14" t="s">
        <v>500</v>
      </c>
      <c r="B860" s="17">
        <v>8330037</v>
      </c>
      <c r="C860" s="14" t="s">
        <v>364</v>
      </c>
      <c r="D860" s="9">
        <v>8330037</v>
      </c>
      <c r="E860" s="9" t="s">
        <v>364</v>
      </c>
      <c r="F860" s="7">
        <v>45658</v>
      </c>
      <c r="G860" s="20" t="s">
        <v>36</v>
      </c>
      <c r="H860" s="8">
        <v>915355249</v>
      </c>
      <c r="I860" s="19">
        <v>915355249</v>
      </c>
      <c r="J860" s="10">
        <v>359330</v>
      </c>
      <c r="K860" s="10">
        <v>323398</v>
      </c>
      <c r="L860" s="10">
        <v>35932</v>
      </c>
      <c r="M860" s="10">
        <v>0</v>
      </c>
      <c r="N860" s="11">
        <v>35932</v>
      </c>
      <c r="O860" s="12">
        <v>915355249</v>
      </c>
      <c r="P860" s="9">
        <v>285123</v>
      </c>
      <c r="Q860" s="9" t="s">
        <v>37</v>
      </c>
      <c r="R860" s="13">
        <v>45660</v>
      </c>
      <c r="S860" s="22">
        <v>45660</v>
      </c>
      <c r="T860" s="13">
        <v>45660</v>
      </c>
      <c r="U860" s="13">
        <v>45660</v>
      </c>
      <c r="V860" s="9" t="s">
        <v>47</v>
      </c>
      <c r="W860" s="9">
        <v>22473650</v>
      </c>
      <c r="X860" s="9">
        <v>1061637</v>
      </c>
      <c r="Y860" s="9">
        <v>68611912</v>
      </c>
      <c r="Z860" s="9" t="s">
        <v>39</v>
      </c>
      <c r="AA860" s="9">
        <v>5012025</v>
      </c>
      <c r="AB860" s="9">
        <v>77320</v>
      </c>
      <c r="AC860" s="9" t="s">
        <v>41</v>
      </c>
      <c r="AD860" s="9" t="s">
        <v>134</v>
      </c>
      <c r="AE860" s="9" t="s">
        <v>135</v>
      </c>
      <c r="AF860" s="9" t="s">
        <v>135</v>
      </c>
      <c r="AG860" s="14" t="str">
        <f t="shared" si="30"/>
        <v>EXAMENES RADIOLOGICOS</v>
      </c>
      <c r="AH860" s="9" t="s">
        <v>758</v>
      </c>
      <c r="AI860" s="9">
        <v>0</v>
      </c>
      <c r="AJ860" s="9">
        <v>76098454</v>
      </c>
      <c r="AK860" s="9" t="s">
        <v>161</v>
      </c>
      <c r="AL860" s="26" t="s">
        <v>62</v>
      </c>
      <c r="AM860" s="14" t="s">
        <v>660</v>
      </c>
      <c r="AN860" s="27" t="str">
        <f t="shared" si="29"/>
        <v>8330037|76098454|915355249|915355249</v>
      </c>
      <c r="AO860" t="s">
        <v>758</v>
      </c>
      <c r="AP860" t="b">
        <v>1</v>
      </c>
      <c r="AQ860" t="s">
        <v>764</v>
      </c>
    </row>
    <row r="861" spans="1:43" x14ac:dyDescent="0.2">
      <c r="A861" s="14" t="s">
        <v>500</v>
      </c>
      <c r="B861" s="17">
        <v>8330037</v>
      </c>
      <c r="C861" s="14" t="s">
        <v>364</v>
      </c>
      <c r="D861" s="9">
        <v>8330037</v>
      </c>
      <c r="E861" s="9" t="s">
        <v>364</v>
      </c>
      <c r="F861" s="7">
        <v>45717</v>
      </c>
      <c r="G861" s="20" t="s">
        <v>46</v>
      </c>
      <c r="H861" s="8">
        <v>915355249</v>
      </c>
      <c r="I861" s="19">
        <v>65383647</v>
      </c>
      <c r="J861" s="10">
        <v>36118</v>
      </c>
      <c r="K861" s="10">
        <v>0</v>
      </c>
      <c r="L861" s="10">
        <v>36118</v>
      </c>
      <c r="M861" s="10">
        <v>0</v>
      </c>
      <c r="N861" s="11">
        <v>36118</v>
      </c>
      <c r="O861" s="12">
        <v>915355249</v>
      </c>
      <c r="P861" s="9">
        <v>285123</v>
      </c>
      <c r="Q861" s="9" t="s">
        <v>37</v>
      </c>
      <c r="R861" s="13">
        <v>45717</v>
      </c>
      <c r="S861" s="22">
        <v>45742</v>
      </c>
      <c r="T861" s="13">
        <v>45660</v>
      </c>
      <c r="U861" s="13">
        <v>45660</v>
      </c>
      <c r="V861" s="9" t="s">
        <v>47</v>
      </c>
      <c r="W861" s="9">
        <v>22770278</v>
      </c>
      <c r="X861" s="9">
        <v>3311105</v>
      </c>
      <c r="Y861" s="9">
        <v>69250538</v>
      </c>
      <c r="Z861" s="9" t="s">
        <v>39</v>
      </c>
      <c r="AA861" s="9">
        <v>21874964</v>
      </c>
      <c r="AB861" s="9">
        <v>78070</v>
      </c>
      <c r="AC861" s="9" t="s">
        <v>41</v>
      </c>
      <c r="AD861" s="9" t="s">
        <v>134</v>
      </c>
      <c r="AE861" s="9" t="s">
        <v>135</v>
      </c>
      <c r="AF861" s="9" t="s">
        <v>135</v>
      </c>
      <c r="AG861" s="14" t="str">
        <f t="shared" si="30"/>
        <v>EXAMENES RADIOLOGICOS</v>
      </c>
      <c r="AH861" s="9">
        <v>0</v>
      </c>
      <c r="AI861" s="9">
        <v>0</v>
      </c>
      <c r="AJ861" s="9">
        <v>76098454</v>
      </c>
      <c r="AK861" s="9" t="s">
        <v>161</v>
      </c>
      <c r="AL861" s="26" t="s">
        <v>52</v>
      </c>
      <c r="AM861" s="14" t="s">
        <v>660</v>
      </c>
      <c r="AN861" s="27" t="str">
        <f t="shared" si="29"/>
        <v>8330037|76098454|915355249|65383647</v>
      </c>
      <c r="AO861" t="s">
        <v>44</v>
      </c>
      <c r="AP861" t="b">
        <v>0</v>
      </c>
      <c r="AQ861" t="s">
        <v>763</v>
      </c>
    </row>
    <row r="862" spans="1:43" x14ac:dyDescent="0.2">
      <c r="A862" s="14" t="s">
        <v>500</v>
      </c>
      <c r="B862" s="17">
        <v>10179673</v>
      </c>
      <c r="C862" s="14" t="s">
        <v>365</v>
      </c>
      <c r="D862" s="9">
        <v>10179673</v>
      </c>
      <c r="E862" s="9" t="s">
        <v>365</v>
      </c>
      <c r="F862" s="7">
        <v>45717</v>
      </c>
      <c r="G862" s="20" t="s">
        <v>46</v>
      </c>
      <c r="H862" s="8">
        <v>915393055</v>
      </c>
      <c r="I862" s="19">
        <v>65383807</v>
      </c>
      <c r="J862" s="10">
        <v>13448</v>
      </c>
      <c r="K862" s="10">
        <v>0</v>
      </c>
      <c r="L862" s="10">
        <v>13448</v>
      </c>
      <c r="M862" s="10">
        <v>0</v>
      </c>
      <c r="N862" s="11">
        <v>13448</v>
      </c>
      <c r="O862" s="12">
        <v>915393055</v>
      </c>
      <c r="P862" s="9">
        <v>285123</v>
      </c>
      <c r="Q862" s="9" t="s">
        <v>37</v>
      </c>
      <c r="R862" s="13">
        <v>45717</v>
      </c>
      <c r="S862" s="22">
        <v>45742</v>
      </c>
      <c r="T862" s="13">
        <v>45660</v>
      </c>
      <c r="U862" s="13">
        <v>45660</v>
      </c>
      <c r="V862" s="9" t="s">
        <v>47</v>
      </c>
      <c r="W862" s="9">
        <v>22770280</v>
      </c>
      <c r="X862" s="9">
        <v>3311105</v>
      </c>
      <c r="Y862" s="9">
        <v>69250696</v>
      </c>
      <c r="Z862" s="9" t="s">
        <v>39</v>
      </c>
      <c r="AA862" s="9">
        <v>989650955</v>
      </c>
      <c r="AB862" s="9">
        <v>78070</v>
      </c>
      <c r="AC862" s="9" t="s">
        <v>41</v>
      </c>
      <c r="AD862" s="9" t="s">
        <v>134</v>
      </c>
      <c r="AE862" s="9" t="s">
        <v>135</v>
      </c>
      <c r="AF862" s="9" t="s">
        <v>135</v>
      </c>
      <c r="AG862" s="14" t="str">
        <f t="shared" si="30"/>
        <v>EXAMENES RADIOLOGICOS</v>
      </c>
      <c r="AH862" s="9">
        <v>0</v>
      </c>
      <c r="AI862" s="9">
        <v>0</v>
      </c>
      <c r="AJ862" s="9">
        <v>76098454</v>
      </c>
      <c r="AK862" s="9" t="s">
        <v>161</v>
      </c>
      <c r="AL862" s="26" t="s">
        <v>52</v>
      </c>
      <c r="AM862" s="14" t="s">
        <v>661</v>
      </c>
      <c r="AN862" s="27" t="str">
        <f t="shared" si="29"/>
        <v>10179673|76098454|915393055|65383807</v>
      </c>
      <c r="AO862" t="s">
        <v>44</v>
      </c>
      <c r="AP862" t="b">
        <v>0</v>
      </c>
      <c r="AQ862" t="s">
        <v>763</v>
      </c>
    </row>
    <row r="863" spans="1:43" x14ac:dyDescent="0.2">
      <c r="A863" s="14" t="s">
        <v>500</v>
      </c>
      <c r="B863" s="17">
        <v>15583792</v>
      </c>
      <c r="C863" s="14" t="s">
        <v>366</v>
      </c>
      <c r="D863" s="9">
        <v>15583792</v>
      </c>
      <c r="E863" s="9" t="s">
        <v>366</v>
      </c>
      <c r="F863" s="7">
        <v>45658</v>
      </c>
      <c r="G863" s="20" t="s">
        <v>36</v>
      </c>
      <c r="H863" s="8">
        <v>915412522</v>
      </c>
      <c r="I863" s="19">
        <v>915412522</v>
      </c>
      <c r="J863" s="10">
        <v>30720</v>
      </c>
      <c r="K863" s="10">
        <v>9610</v>
      </c>
      <c r="L863" s="10">
        <v>21110</v>
      </c>
      <c r="M863" s="10">
        <v>0</v>
      </c>
      <c r="N863" s="11">
        <v>21110</v>
      </c>
      <c r="O863" s="12">
        <v>915412522</v>
      </c>
      <c r="P863" s="9">
        <v>285123</v>
      </c>
      <c r="Q863" s="9" t="s">
        <v>37</v>
      </c>
      <c r="R863" s="13">
        <v>45661</v>
      </c>
      <c r="S863" s="22">
        <v>45661</v>
      </c>
      <c r="T863" s="13">
        <v>45661</v>
      </c>
      <c r="U863" s="13">
        <v>45661</v>
      </c>
      <c r="V863" s="9" t="s">
        <v>47</v>
      </c>
      <c r="W863" s="9">
        <v>22462205</v>
      </c>
      <c r="X863" s="9">
        <v>1131703</v>
      </c>
      <c r="Y863" s="9">
        <v>68648596</v>
      </c>
      <c r="Z863" s="9" t="s">
        <v>39</v>
      </c>
      <c r="AA863" s="9">
        <v>12012025</v>
      </c>
      <c r="AB863" s="9">
        <v>77298</v>
      </c>
      <c r="AC863" s="9" t="s">
        <v>41</v>
      </c>
      <c r="AD863" s="9" t="s">
        <v>132</v>
      </c>
      <c r="AE863" s="9" t="s">
        <v>133</v>
      </c>
      <c r="AF863" s="9" t="s">
        <v>133</v>
      </c>
      <c r="AG863" s="14" t="str">
        <f t="shared" si="30"/>
        <v>EXAMENES DE LABORATORIO</v>
      </c>
      <c r="AH863" s="9" t="s">
        <v>758</v>
      </c>
      <c r="AI863" s="9">
        <v>0</v>
      </c>
      <c r="AJ863" s="9">
        <v>96986050</v>
      </c>
      <c r="AK863" s="9">
        <v>3</v>
      </c>
      <c r="AL863" s="26" t="s">
        <v>62</v>
      </c>
      <c r="AM863" s="14" t="s">
        <v>662</v>
      </c>
      <c r="AN863" s="27" t="str">
        <f t="shared" si="29"/>
        <v>15583792|96986050|915412522|915412522</v>
      </c>
      <c r="AO863" t="s">
        <v>758</v>
      </c>
      <c r="AP863" t="b">
        <v>1</v>
      </c>
      <c r="AQ863" t="s">
        <v>764</v>
      </c>
    </row>
    <row r="864" spans="1:43" x14ac:dyDescent="0.2">
      <c r="A864" s="14" t="s">
        <v>500</v>
      </c>
      <c r="B864" s="17">
        <v>15583792</v>
      </c>
      <c r="C864" s="14" t="s">
        <v>366</v>
      </c>
      <c r="D864" s="9">
        <v>15583792</v>
      </c>
      <c r="E864" s="9" t="s">
        <v>366</v>
      </c>
      <c r="F864" s="7">
        <v>45717</v>
      </c>
      <c r="G864" s="20" t="s">
        <v>46</v>
      </c>
      <c r="H864" s="8">
        <v>915412522</v>
      </c>
      <c r="I864" s="19">
        <v>65384325</v>
      </c>
      <c r="J864" s="10">
        <v>18827</v>
      </c>
      <c r="K864" s="10">
        <v>0</v>
      </c>
      <c r="L864" s="10">
        <v>18827</v>
      </c>
      <c r="M864" s="10">
        <v>0</v>
      </c>
      <c r="N864" s="11">
        <v>18827</v>
      </c>
      <c r="O864" s="12">
        <v>915412522</v>
      </c>
      <c r="P864" s="9">
        <v>285123</v>
      </c>
      <c r="Q864" s="9" t="s">
        <v>37</v>
      </c>
      <c r="R864" s="13">
        <v>45717</v>
      </c>
      <c r="S864" s="22">
        <v>45742</v>
      </c>
      <c r="T864" s="13">
        <v>45661</v>
      </c>
      <c r="U864" s="13">
        <v>45661</v>
      </c>
      <c r="V864" s="9" t="s">
        <v>47</v>
      </c>
      <c r="W864" s="9">
        <v>22770287</v>
      </c>
      <c r="X864" s="9">
        <v>3311105</v>
      </c>
      <c r="Y864" s="9">
        <v>69251208</v>
      </c>
      <c r="Z864" s="9" t="s">
        <v>39</v>
      </c>
      <c r="AA864" s="9">
        <v>89828348</v>
      </c>
      <c r="AB864" s="9">
        <v>78070</v>
      </c>
      <c r="AC864" s="9" t="s">
        <v>41</v>
      </c>
      <c r="AD864" s="9" t="s">
        <v>132</v>
      </c>
      <c r="AE864" s="9" t="s">
        <v>133</v>
      </c>
      <c r="AF864" s="9" t="s">
        <v>133</v>
      </c>
      <c r="AG864" s="14" t="str">
        <f t="shared" si="30"/>
        <v>EXAMENES DE LABORATORIO</v>
      </c>
      <c r="AH864" s="9">
        <v>0</v>
      </c>
      <c r="AI864" s="9">
        <v>0</v>
      </c>
      <c r="AJ864" s="9">
        <v>96986050</v>
      </c>
      <c r="AK864" s="9">
        <v>3</v>
      </c>
      <c r="AL864" s="26" t="s">
        <v>52</v>
      </c>
      <c r="AM864" s="14" t="s">
        <v>662</v>
      </c>
      <c r="AN864" s="27" t="str">
        <f t="shared" si="29"/>
        <v>15583792|96986050|915412522|65384325</v>
      </c>
      <c r="AO864" t="s">
        <v>44</v>
      </c>
      <c r="AP864" t="b">
        <v>0</v>
      </c>
      <c r="AQ864" t="s">
        <v>763</v>
      </c>
    </row>
    <row r="865" spans="1:43" x14ac:dyDescent="0.2">
      <c r="A865" s="14" t="s">
        <v>500</v>
      </c>
      <c r="B865" s="17">
        <v>15583792</v>
      </c>
      <c r="C865" s="14" t="s">
        <v>366</v>
      </c>
      <c r="D865" s="9">
        <v>15583792</v>
      </c>
      <c r="E865" s="9" t="s">
        <v>366</v>
      </c>
      <c r="F865" s="7">
        <v>45658</v>
      </c>
      <c r="G865" s="20" t="s">
        <v>36</v>
      </c>
      <c r="H865" s="8">
        <v>915412523</v>
      </c>
      <c r="I865" s="19">
        <v>915412523</v>
      </c>
      <c r="J865" s="10">
        <v>42980</v>
      </c>
      <c r="K865" s="10">
        <v>13440</v>
      </c>
      <c r="L865" s="10">
        <v>29540</v>
      </c>
      <c r="M865" s="10">
        <v>0</v>
      </c>
      <c r="N865" s="11">
        <v>29540</v>
      </c>
      <c r="O865" s="12">
        <v>915412523</v>
      </c>
      <c r="P865" s="9">
        <v>285123</v>
      </c>
      <c r="Q865" s="9" t="s">
        <v>37</v>
      </c>
      <c r="R865" s="13">
        <v>45661</v>
      </c>
      <c r="S865" s="22">
        <v>45661</v>
      </c>
      <c r="T865" s="13">
        <v>45661</v>
      </c>
      <c r="U865" s="13">
        <v>45661</v>
      </c>
      <c r="V865" s="9" t="s">
        <v>47</v>
      </c>
      <c r="W865" s="9">
        <v>22462205</v>
      </c>
      <c r="X865" s="9">
        <v>1131703</v>
      </c>
      <c r="Y865" s="9">
        <v>68648595</v>
      </c>
      <c r="Z865" s="9" t="s">
        <v>39</v>
      </c>
      <c r="AA865" s="9">
        <v>12012025</v>
      </c>
      <c r="AB865" s="9">
        <v>77298</v>
      </c>
      <c r="AC865" s="9" t="s">
        <v>41</v>
      </c>
      <c r="AD865" s="9" t="s">
        <v>132</v>
      </c>
      <c r="AE865" s="9" t="s">
        <v>133</v>
      </c>
      <c r="AF865" s="9" t="s">
        <v>133</v>
      </c>
      <c r="AG865" s="14" t="str">
        <f t="shared" si="30"/>
        <v>EXAMENES DE LABORATORIO</v>
      </c>
      <c r="AH865" s="9" t="s">
        <v>758</v>
      </c>
      <c r="AI865" s="9">
        <v>0</v>
      </c>
      <c r="AJ865" s="9">
        <v>96986050</v>
      </c>
      <c r="AK865" s="9">
        <v>3</v>
      </c>
      <c r="AL865" s="26" t="s">
        <v>62</v>
      </c>
      <c r="AM865" s="14" t="s">
        <v>662</v>
      </c>
      <c r="AN865" s="27" t="str">
        <f t="shared" si="29"/>
        <v>15583792|96986050|915412523|915412523</v>
      </c>
      <c r="AO865" t="s">
        <v>758</v>
      </c>
      <c r="AP865" t="b">
        <v>1</v>
      </c>
      <c r="AQ865" t="s">
        <v>764</v>
      </c>
    </row>
    <row r="866" spans="1:43" x14ac:dyDescent="0.2">
      <c r="A866" s="14" t="s">
        <v>500</v>
      </c>
      <c r="B866" s="17">
        <v>15583792</v>
      </c>
      <c r="C866" s="14" t="s">
        <v>366</v>
      </c>
      <c r="D866" s="9">
        <v>15583792</v>
      </c>
      <c r="E866" s="9" t="s">
        <v>366</v>
      </c>
      <c r="F866" s="7">
        <v>45717</v>
      </c>
      <c r="G866" s="20" t="s">
        <v>46</v>
      </c>
      <c r="H866" s="8">
        <v>915412523</v>
      </c>
      <c r="I866" s="19">
        <v>65384326</v>
      </c>
      <c r="J866" s="10">
        <v>25359</v>
      </c>
      <c r="K866" s="10">
        <v>0</v>
      </c>
      <c r="L866" s="10">
        <v>25359</v>
      </c>
      <c r="M866" s="10">
        <v>0</v>
      </c>
      <c r="N866" s="11">
        <v>25359</v>
      </c>
      <c r="O866" s="12">
        <v>915412523</v>
      </c>
      <c r="P866" s="9">
        <v>285123</v>
      </c>
      <c r="Q866" s="9" t="s">
        <v>37</v>
      </c>
      <c r="R866" s="13">
        <v>45717</v>
      </c>
      <c r="S866" s="22">
        <v>45742</v>
      </c>
      <c r="T866" s="13">
        <v>45661</v>
      </c>
      <c r="U866" s="13">
        <v>45661</v>
      </c>
      <c r="V866" s="9" t="s">
        <v>47</v>
      </c>
      <c r="W866" s="9">
        <v>22770287</v>
      </c>
      <c r="X866" s="9">
        <v>3311105</v>
      </c>
      <c r="Y866" s="9">
        <v>69251209</v>
      </c>
      <c r="Z866" s="9" t="s">
        <v>39</v>
      </c>
      <c r="AA866" s="9">
        <v>89828348</v>
      </c>
      <c r="AB866" s="9">
        <v>78070</v>
      </c>
      <c r="AC866" s="9" t="s">
        <v>41</v>
      </c>
      <c r="AD866" s="9" t="s">
        <v>132</v>
      </c>
      <c r="AE866" s="9" t="s">
        <v>133</v>
      </c>
      <c r="AF866" s="9" t="s">
        <v>133</v>
      </c>
      <c r="AG866" s="14" t="str">
        <f t="shared" si="30"/>
        <v>EXAMENES DE LABORATORIO</v>
      </c>
      <c r="AH866" s="9">
        <v>0</v>
      </c>
      <c r="AI866" s="9">
        <v>0</v>
      </c>
      <c r="AJ866" s="9">
        <v>96986050</v>
      </c>
      <c r="AK866" s="9">
        <v>3</v>
      </c>
      <c r="AL866" s="26" t="s">
        <v>52</v>
      </c>
      <c r="AM866" s="14" t="s">
        <v>662</v>
      </c>
      <c r="AN866" s="27" t="str">
        <f t="shared" si="29"/>
        <v>15583792|96986050|915412523|65384326</v>
      </c>
      <c r="AO866" t="s">
        <v>44</v>
      </c>
      <c r="AP866" t="b">
        <v>0</v>
      </c>
      <c r="AQ866" t="s">
        <v>763</v>
      </c>
    </row>
    <row r="867" spans="1:43" x14ac:dyDescent="0.2">
      <c r="A867" s="14" t="s">
        <v>500</v>
      </c>
      <c r="B867" s="17">
        <v>15583792</v>
      </c>
      <c r="C867" s="14" t="s">
        <v>366</v>
      </c>
      <c r="D867" s="9">
        <v>15583792</v>
      </c>
      <c r="E867" s="9" t="s">
        <v>366</v>
      </c>
      <c r="F867" s="7">
        <v>45658</v>
      </c>
      <c r="G867" s="20" t="s">
        <v>36</v>
      </c>
      <c r="H867" s="8">
        <v>915412524</v>
      </c>
      <c r="I867" s="19">
        <v>915412524</v>
      </c>
      <c r="J867" s="10">
        <v>31540</v>
      </c>
      <c r="K867" s="10">
        <v>11878</v>
      </c>
      <c r="L867" s="10">
        <v>19662</v>
      </c>
      <c r="M867" s="10">
        <v>0</v>
      </c>
      <c r="N867" s="11">
        <v>19662</v>
      </c>
      <c r="O867" s="12">
        <v>915412524</v>
      </c>
      <c r="P867" s="9">
        <v>285123</v>
      </c>
      <c r="Q867" s="9" t="s">
        <v>37</v>
      </c>
      <c r="R867" s="13">
        <v>45661</v>
      </c>
      <c r="S867" s="22">
        <v>45661</v>
      </c>
      <c r="T867" s="13">
        <v>45661</v>
      </c>
      <c r="U867" s="13">
        <v>45661</v>
      </c>
      <c r="V867" s="9" t="s">
        <v>47</v>
      </c>
      <c r="W867" s="9">
        <v>22462205</v>
      </c>
      <c r="X867" s="9">
        <v>1131703</v>
      </c>
      <c r="Y867" s="9">
        <v>68648594</v>
      </c>
      <c r="Z867" s="9" t="s">
        <v>39</v>
      </c>
      <c r="AA867" s="9">
        <v>12012025</v>
      </c>
      <c r="AB867" s="9">
        <v>77298</v>
      </c>
      <c r="AC867" s="9" t="s">
        <v>41</v>
      </c>
      <c r="AD867" s="9" t="s">
        <v>132</v>
      </c>
      <c r="AE867" s="9" t="s">
        <v>133</v>
      </c>
      <c r="AF867" s="9" t="s">
        <v>133</v>
      </c>
      <c r="AG867" s="14" t="str">
        <f t="shared" si="30"/>
        <v>EXAMENES DE LABORATORIO</v>
      </c>
      <c r="AH867" s="9" t="s">
        <v>758</v>
      </c>
      <c r="AI867" s="9">
        <v>0</v>
      </c>
      <c r="AJ867" s="9">
        <v>96986050</v>
      </c>
      <c r="AK867" s="9">
        <v>3</v>
      </c>
      <c r="AL867" s="26" t="s">
        <v>62</v>
      </c>
      <c r="AM867" s="14" t="s">
        <v>662</v>
      </c>
      <c r="AN867" s="27" t="str">
        <f t="shared" si="29"/>
        <v>15583792|96986050|915412524|915412524</v>
      </c>
      <c r="AO867" t="s">
        <v>758</v>
      </c>
      <c r="AP867" t="b">
        <v>1</v>
      </c>
      <c r="AQ867" t="s">
        <v>764</v>
      </c>
    </row>
    <row r="868" spans="1:43" x14ac:dyDescent="0.2">
      <c r="A868" s="14" t="s">
        <v>500</v>
      </c>
      <c r="B868" s="17">
        <v>15583792</v>
      </c>
      <c r="C868" s="14" t="s">
        <v>366</v>
      </c>
      <c r="D868" s="9">
        <v>15583792</v>
      </c>
      <c r="E868" s="9" t="s">
        <v>366</v>
      </c>
      <c r="F868" s="7">
        <v>45717</v>
      </c>
      <c r="G868" s="20" t="s">
        <v>46</v>
      </c>
      <c r="H868" s="8">
        <v>915412524</v>
      </c>
      <c r="I868" s="19">
        <v>65384327</v>
      </c>
      <c r="J868" s="10">
        <v>16137</v>
      </c>
      <c r="K868" s="10">
        <v>0</v>
      </c>
      <c r="L868" s="10">
        <v>16137</v>
      </c>
      <c r="M868" s="10">
        <v>0</v>
      </c>
      <c r="N868" s="11">
        <v>16137</v>
      </c>
      <c r="O868" s="12">
        <v>915412524</v>
      </c>
      <c r="P868" s="9">
        <v>285123</v>
      </c>
      <c r="Q868" s="9" t="s">
        <v>37</v>
      </c>
      <c r="R868" s="13">
        <v>45717</v>
      </c>
      <c r="S868" s="22">
        <v>45742</v>
      </c>
      <c r="T868" s="13">
        <v>45661</v>
      </c>
      <c r="U868" s="13">
        <v>45661</v>
      </c>
      <c r="V868" s="9" t="s">
        <v>47</v>
      </c>
      <c r="W868" s="9">
        <v>22770287</v>
      </c>
      <c r="X868" s="9">
        <v>3311105</v>
      </c>
      <c r="Y868" s="9">
        <v>69251210</v>
      </c>
      <c r="Z868" s="9" t="s">
        <v>39</v>
      </c>
      <c r="AA868" s="9">
        <v>89828348</v>
      </c>
      <c r="AB868" s="9">
        <v>78070</v>
      </c>
      <c r="AC868" s="9" t="s">
        <v>41</v>
      </c>
      <c r="AD868" s="9" t="s">
        <v>132</v>
      </c>
      <c r="AE868" s="9" t="s">
        <v>133</v>
      </c>
      <c r="AF868" s="9" t="s">
        <v>133</v>
      </c>
      <c r="AG868" s="14" t="str">
        <f t="shared" si="30"/>
        <v>EXAMENES DE LABORATORIO</v>
      </c>
      <c r="AH868" s="9">
        <v>0</v>
      </c>
      <c r="AI868" s="9">
        <v>0</v>
      </c>
      <c r="AJ868" s="9">
        <v>96986050</v>
      </c>
      <c r="AK868" s="9">
        <v>3</v>
      </c>
      <c r="AL868" s="26" t="s">
        <v>52</v>
      </c>
      <c r="AM868" s="14" t="s">
        <v>662</v>
      </c>
      <c r="AN868" s="27" t="str">
        <f t="shared" si="29"/>
        <v>15583792|96986050|915412524|65384327</v>
      </c>
      <c r="AO868" t="s">
        <v>44</v>
      </c>
      <c r="AP868" t="b">
        <v>0</v>
      </c>
      <c r="AQ868" t="s">
        <v>763</v>
      </c>
    </row>
    <row r="869" spans="1:43" x14ac:dyDescent="0.2">
      <c r="A869" s="14" t="s">
        <v>500</v>
      </c>
      <c r="B869" s="17">
        <v>15549922</v>
      </c>
      <c r="C869" s="14" t="s">
        <v>367</v>
      </c>
      <c r="D869" s="9">
        <v>15549922</v>
      </c>
      <c r="E869" s="9" t="s">
        <v>367</v>
      </c>
      <c r="F869" s="7">
        <v>45658</v>
      </c>
      <c r="G869" s="20" t="s">
        <v>36</v>
      </c>
      <c r="H869" s="8">
        <v>915488785</v>
      </c>
      <c r="I869" s="19">
        <v>915488785</v>
      </c>
      <c r="J869" s="10">
        <v>203070</v>
      </c>
      <c r="K869" s="10">
        <v>125185</v>
      </c>
      <c r="L869" s="10">
        <v>77885</v>
      </c>
      <c r="M869" s="10">
        <v>0</v>
      </c>
      <c r="N869" s="11">
        <v>77885</v>
      </c>
      <c r="O869" s="12">
        <v>915488785</v>
      </c>
      <c r="P869" s="9">
        <v>285123</v>
      </c>
      <c r="Q869" s="9" t="s">
        <v>37</v>
      </c>
      <c r="R869" s="13">
        <v>45663</v>
      </c>
      <c r="S869" s="22">
        <v>45663</v>
      </c>
      <c r="T869" s="13">
        <v>45663</v>
      </c>
      <c r="U869" s="13">
        <v>45663</v>
      </c>
      <c r="V869" s="9" t="s">
        <v>47</v>
      </c>
      <c r="W869" s="9">
        <v>22462221</v>
      </c>
      <c r="X869" s="9">
        <v>1131703</v>
      </c>
      <c r="Y869" s="9">
        <v>68649102</v>
      </c>
      <c r="Z869" s="9" t="s">
        <v>39</v>
      </c>
      <c r="AA869" s="9">
        <v>12012025</v>
      </c>
      <c r="AB869" s="9">
        <v>77298</v>
      </c>
      <c r="AC869" s="9" t="s">
        <v>41</v>
      </c>
      <c r="AD869" s="9" t="s">
        <v>134</v>
      </c>
      <c r="AE869" s="9" t="s">
        <v>135</v>
      </c>
      <c r="AF869" s="9" t="s">
        <v>135</v>
      </c>
      <c r="AG869" s="14" t="str">
        <f t="shared" si="30"/>
        <v>EXAMENES RADIOLOGICOS</v>
      </c>
      <c r="AH869" s="9" t="s">
        <v>758</v>
      </c>
      <c r="AI869" s="9">
        <v>0</v>
      </c>
      <c r="AJ869" s="9">
        <v>96942400</v>
      </c>
      <c r="AK869" s="9">
        <v>2</v>
      </c>
      <c r="AL869" s="26" t="s">
        <v>62</v>
      </c>
      <c r="AM869" s="14" t="s">
        <v>663</v>
      </c>
      <c r="AN869" s="27" t="str">
        <f t="shared" si="29"/>
        <v>15549922|96942400|915488785|915488785</v>
      </c>
      <c r="AO869" t="s">
        <v>758</v>
      </c>
      <c r="AP869" t="b">
        <v>1</v>
      </c>
      <c r="AQ869" t="s">
        <v>764</v>
      </c>
    </row>
    <row r="870" spans="1:43" x14ac:dyDescent="0.2">
      <c r="A870" s="14" t="s">
        <v>500</v>
      </c>
      <c r="B870" s="17">
        <v>15549922</v>
      </c>
      <c r="C870" s="14" t="s">
        <v>367</v>
      </c>
      <c r="D870" s="9">
        <v>15549922</v>
      </c>
      <c r="E870" s="9" t="s">
        <v>367</v>
      </c>
      <c r="F870" s="7">
        <v>45717</v>
      </c>
      <c r="G870" s="20" t="s">
        <v>46</v>
      </c>
      <c r="H870" s="8">
        <v>915488785</v>
      </c>
      <c r="I870" s="19">
        <v>65384321</v>
      </c>
      <c r="J870" s="10">
        <v>78016</v>
      </c>
      <c r="K870" s="10">
        <v>0</v>
      </c>
      <c r="L870" s="10">
        <v>78016</v>
      </c>
      <c r="M870" s="10">
        <v>0</v>
      </c>
      <c r="N870" s="11">
        <v>78016</v>
      </c>
      <c r="O870" s="12">
        <v>915488785</v>
      </c>
      <c r="P870" s="9">
        <v>285123</v>
      </c>
      <c r="Q870" s="9" t="s">
        <v>37</v>
      </c>
      <c r="R870" s="13">
        <v>45717</v>
      </c>
      <c r="S870" s="22">
        <v>45742</v>
      </c>
      <c r="T870" s="13">
        <v>45663</v>
      </c>
      <c r="U870" s="13">
        <v>45663</v>
      </c>
      <c r="V870" s="9" t="s">
        <v>47</v>
      </c>
      <c r="W870" s="9">
        <v>22770297</v>
      </c>
      <c r="X870" s="9">
        <v>3311105</v>
      </c>
      <c r="Y870" s="9">
        <v>69251204</v>
      </c>
      <c r="Z870" s="9" t="s">
        <v>39</v>
      </c>
      <c r="AA870" s="9">
        <v>76696217</v>
      </c>
      <c r="AB870" s="9">
        <v>78070</v>
      </c>
      <c r="AC870" s="9" t="s">
        <v>41</v>
      </c>
      <c r="AD870" s="9" t="s">
        <v>134</v>
      </c>
      <c r="AE870" s="9" t="s">
        <v>135</v>
      </c>
      <c r="AF870" s="9" t="s">
        <v>135</v>
      </c>
      <c r="AG870" s="14" t="str">
        <f t="shared" si="30"/>
        <v>EXAMENES RADIOLOGICOS</v>
      </c>
      <c r="AH870" s="9">
        <v>0</v>
      </c>
      <c r="AI870" s="9">
        <v>0</v>
      </c>
      <c r="AJ870" s="9">
        <v>96942400</v>
      </c>
      <c r="AK870" s="9">
        <v>2</v>
      </c>
      <c r="AL870" s="26" t="s">
        <v>52</v>
      </c>
      <c r="AM870" s="14" t="s">
        <v>663</v>
      </c>
      <c r="AN870" s="27" t="str">
        <f t="shared" si="29"/>
        <v>15549922|96942400|915488785|65384321</v>
      </c>
      <c r="AO870" t="s">
        <v>44</v>
      </c>
      <c r="AP870" t="b">
        <v>0</v>
      </c>
      <c r="AQ870" t="s">
        <v>763</v>
      </c>
    </row>
    <row r="871" spans="1:43" x14ac:dyDescent="0.2">
      <c r="A871" s="14" t="s">
        <v>500</v>
      </c>
      <c r="B871" s="17">
        <v>9304885</v>
      </c>
      <c r="C871" s="14" t="s">
        <v>368</v>
      </c>
      <c r="D871" s="9">
        <v>9304885</v>
      </c>
      <c r="E871" s="9" t="s">
        <v>368</v>
      </c>
      <c r="F871" s="7">
        <v>45658</v>
      </c>
      <c r="G871" s="20" t="s">
        <v>36</v>
      </c>
      <c r="H871" s="8">
        <v>915674184</v>
      </c>
      <c r="I871" s="19">
        <v>915674184</v>
      </c>
      <c r="J871" s="10">
        <v>41600</v>
      </c>
      <c r="K871" s="10">
        <v>13000</v>
      </c>
      <c r="L871" s="10">
        <v>28600</v>
      </c>
      <c r="M871" s="10">
        <v>0</v>
      </c>
      <c r="N871" s="11">
        <v>28600</v>
      </c>
      <c r="O871" s="12">
        <v>915674184</v>
      </c>
      <c r="P871" s="9">
        <v>285123</v>
      </c>
      <c r="Q871" s="9" t="s">
        <v>37</v>
      </c>
      <c r="R871" s="13">
        <v>45664</v>
      </c>
      <c r="S871" s="22">
        <v>45664</v>
      </c>
      <c r="T871" s="13">
        <v>45664</v>
      </c>
      <c r="U871" s="13">
        <v>45664</v>
      </c>
      <c r="V871" s="9" t="s">
        <v>47</v>
      </c>
      <c r="W871" s="9">
        <v>22462230</v>
      </c>
      <c r="X871" s="9">
        <v>1131703</v>
      </c>
      <c r="Y871" s="9">
        <v>68650031</v>
      </c>
      <c r="Z871" s="9" t="s">
        <v>39</v>
      </c>
      <c r="AA871" s="9">
        <v>12012025</v>
      </c>
      <c r="AB871" s="9">
        <v>77298</v>
      </c>
      <c r="AC871" s="9" t="s">
        <v>41</v>
      </c>
      <c r="AD871" s="9" t="s">
        <v>134</v>
      </c>
      <c r="AE871" s="9" t="s">
        <v>135</v>
      </c>
      <c r="AF871" s="9" t="s">
        <v>135</v>
      </c>
      <c r="AG871" s="14" t="str">
        <f t="shared" si="30"/>
        <v>EXAMENES RADIOLOGICOS</v>
      </c>
      <c r="AH871" s="9" t="s">
        <v>758</v>
      </c>
      <c r="AI871" s="9">
        <v>0</v>
      </c>
      <c r="AJ871" s="9">
        <v>77061480</v>
      </c>
      <c r="AK871" s="9">
        <v>5</v>
      </c>
      <c r="AL871" s="26" t="s">
        <v>62</v>
      </c>
      <c r="AM871" s="14" t="s">
        <v>664</v>
      </c>
      <c r="AN871" s="27" t="str">
        <f t="shared" si="29"/>
        <v>9304885|77061480|915674184|915674184</v>
      </c>
      <c r="AO871" t="s">
        <v>758</v>
      </c>
      <c r="AP871" t="b">
        <v>1</v>
      </c>
      <c r="AQ871" t="s">
        <v>764</v>
      </c>
    </row>
    <row r="872" spans="1:43" x14ac:dyDescent="0.2">
      <c r="A872" s="14" t="s">
        <v>500</v>
      </c>
      <c r="B872" s="17">
        <v>9304885</v>
      </c>
      <c r="C872" s="14" t="s">
        <v>368</v>
      </c>
      <c r="D872" s="9">
        <v>9304885</v>
      </c>
      <c r="E872" s="9" t="s">
        <v>368</v>
      </c>
      <c r="F872" s="7">
        <v>45717</v>
      </c>
      <c r="G872" s="20" t="s">
        <v>46</v>
      </c>
      <c r="H872" s="8">
        <v>915674184</v>
      </c>
      <c r="I872" s="19">
        <v>65383719</v>
      </c>
      <c r="J872" s="10">
        <v>24597</v>
      </c>
      <c r="K872" s="10">
        <v>0</v>
      </c>
      <c r="L872" s="10">
        <v>24597</v>
      </c>
      <c r="M872" s="10">
        <v>0</v>
      </c>
      <c r="N872" s="11">
        <v>24597</v>
      </c>
      <c r="O872" s="12">
        <v>915674184</v>
      </c>
      <c r="P872" s="9">
        <v>285123</v>
      </c>
      <c r="Q872" s="9" t="s">
        <v>37</v>
      </c>
      <c r="R872" s="13">
        <v>45717</v>
      </c>
      <c r="S872" s="22">
        <v>45742</v>
      </c>
      <c r="T872" s="13">
        <v>45664</v>
      </c>
      <c r="U872" s="13">
        <v>45664</v>
      </c>
      <c r="V872" s="9" t="s">
        <v>47</v>
      </c>
      <c r="W872" s="9">
        <v>22770301</v>
      </c>
      <c r="X872" s="9">
        <v>3311105</v>
      </c>
      <c r="Y872" s="9">
        <v>69250610</v>
      </c>
      <c r="Z872" s="9" t="s">
        <v>39</v>
      </c>
      <c r="AA872" s="9">
        <v>9304885</v>
      </c>
      <c r="AB872" s="9">
        <v>78070</v>
      </c>
      <c r="AC872" s="9" t="s">
        <v>41</v>
      </c>
      <c r="AD872" s="9" t="s">
        <v>134</v>
      </c>
      <c r="AE872" s="9" t="s">
        <v>135</v>
      </c>
      <c r="AF872" s="9" t="s">
        <v>135</v>
      </c>
      <c r="AG872" s="14" t="str">
        <f t="shared" si="30"/>
        <v>EXAMENES RADIOLOGICOS</v>
      </c>
      <c r="AH872" s="9">
        <v>0</v>
      </c>
      <c r="AI872" s="9">
        <v>0</v>
      </c>
      <c r="AJ872" s="9">
        <v>77061480</v>
      </c>
      <c r="AK872" s="9">
        <v>5</v>
      </c>
      <c r="AL872" s="26" t="s">
        <v>52</v>
      </c>
      <c r="AM872" s="14" t="s">
        <v>664</v>
      </c>
      <c r="AN872" s="27" t="str">
        <f t="shared" si="29"/>
        <v>9304885|77061480|915674184|65383719</v>
      </c>
      <c r="AO872" t="s">
        <v>44</v>
      </c>
      <c r="AP872" t="b">
        <v>0</v>
      </c>
      <c r="AQ872" t="s">
        <v>763</v>
      </c>
    </row>
    <row r="873" spans="1:43" x14ac:dyDescent="0.2">
      <c r="A873" s="14" t="s">
        <v>500</v>
      </c>
      <c r="B873" s="17">
        <v>17585933</v>
      </c>
      <c r="C873" s="14" t="s">
        <v>369</v>
      </c>
      <c r="D873" s="9">
        <v>23345188</v>
      </c>
      <c r="E873" s="9" t="s">
        <v>370</v>
      </c>
      <c r="F873" s="7">
        <v>45658</v>
      </c>
      <c r="G873" s="20" t="s">
        <v>36</v>
      </c>
      <c r="H873" s="8">
        <v>915732160</v>
      </c>
      <c r="I873" s="19">
        <v>915732160</v>
      </c>
      <c r="J873" s="10">
        <v>76250</v>
      </c>
      <c r="K873" s="10">
        <v>23850</v>
      </c>
      <c r="L873" s="10">
        <v>52400</v>
      </c>
      <c r="M873" s="10">
        <v>0</v>
      </c>
      <c r="N873" s="11">
        <v>52400</v>
      </c>
      <c r="O873" s="12">
        <v>915732160</v>
      </c>
      <c r="P873" s="9">
        <v>285123</v>
      </c>
      <c r="Q873" s="9" t="s">
        <v>37</v>
      </c>
      <c r="R873" s="13">
        <v>45664</v>
      </c>
      <c r="S873" s="22">
        <v>45664</v>
      </c>
      <c r="T873" s="13">
        <v>45664</v>
      </c>
      <c r="U873" s="13">
        <v>45664</v>
      </c>
      <c r="V873" s="9" t="s">
        <v>47</v>
      </c>
      <c r="W873" s="9">
        <v>22462249</v>
      </c>
      <c r="X873" s="9">
        <v>1131703</v>
      </c>
      <c r="Y873" s="9">
        <v>68650290</v>
      </c>
      <c r="Z873" s="9" t="s">
        <v>39</v>
      </c>
      <c r="AA873" s="9">
        <v>12012025</v>
      </c>
      <c r="AB873" s="9">
        <v>77298</v>
      </c>
      <c r="AC873" s="9" t="s">
        <v>41</v>
      </c>
      <c r="AD873" s="9" t="s">
        <v>134</v>
      </c>
      <c r="AE873" s="9" t="s">
        <v>135</v>
      </c>
      <c r="AF873" s="9" t="s">
        <v>135</v>
      </c>
      <c r="AG873" s="14" t="str">
        <f t="shared" si="30"/>
        <v>EXAMENES RADIOLOGICOS</v>
      </c>
      <c r="AH873" s="9" t="s">
        <v>758</v>
      </c>
      <c r="AI873" s="9">
        <v>0</v>
      </c>
      <c r="AJ873" s="9">
        <v>88081300</v>
      </c>
      <c r="AK873" s="9">
        <v>5</v>
      </c>
      <c r="AL873" s="26" t="s">
        <v>62</v>
      </c>
      <c r="AM873" s="14" t="s">
        <v>665</v>
      </c>
      <c r="AN873" s="27" t="str">
        <f t="shared" si="29"/>
        <v>17585933|88081300|915732160|915732160</v>
      </c>
      <c r="AO873" t="s">
        <v>758</v>
      </c>
      <c r="AP873" t="b">
        <v>1</v>
      </c>
      <c r="AQ873" t="s">
        <v>764</v>
      </c>
    </row>
    <row r="874" spans="1:43" x14ac:dyDescent="0.2">
      <c r="A874" s="14" t="s">
        <v>500</v>
      </c>
      <c r="B874" s="17">
        <v>17585933</v>
      </c>
      <c r="C874" s="14" t="s">
        <v>369</v>
      </c>
      <c r="D874" s="9">
        <v>23345188</v>
      </c>
      <c r="E874" s="9" t="s">
        <v>370</v>
      </c>
      <c r="F874" s="7">
        <v>45717</v>
      </c>
      <c r="G874" s="20" t="s">
        <v>46</v>
      </c>
      <c r="H874" s="8">
        <v>915732160</v>
      </c>
      <c r="I874" s="19">
        <v>65384426</v>
      </c>
      <c r="J874" s="10">
        <v>45351</v>
      </c>
      <c r="K874" s="10">
        <v>0</v>
      </c>
      <c r="L874" s="10">
        <v>45351</v>
      </c>
      <c r="M874" s="10">
        <v>0</v>
      </c>
      <c r="N874" s="11">
        <v>45351</v>
      </c>
      <c r="O874" s="12">
        <v>915732160</v>
      </c>
      <c r="P874" s="9">
        <v>285123</v>
      </c>
      <c r="Q874" s="9" t="s">
        <v>37</v>
      </c>
      <c r="R874" s="13">
        <v>45717</v>
      </c>
      <c r="S874" s="22">
        <v>45742</v>
      </c>
      <c r="T874" s="13">
        <v>45664</v>
      </c>
      <c r="U874" s="13">
        <v>45664</v>
      </c>
      <c r="V874" s="9" t="s">
        <v>47</v>
      </c>
      <c r="W874" s="9">
        <v>22770308</v>
      </c>
      <c r="X874" s="9">
        <v>3311105</v>
      </c>
      <c r="Y874" s="9">
        <v>69251294</v>
      </c>
      <c r="Z874" s="9" t="s">
        <v>39</v>
      </c>
      <c r="AA874" s="9">
        <v>10013857200</v>
      </c>
      <c r="AB874" s="9">
        <v>78070</v>
      </c>
      <c r="AC874" s="9" t="s">
        <v>41</v>
      </c>
      <c r="AD874" s="9" t="s">
        <v>134</v>
      </c>
      <c r="AE874" s="9" t="s">
        <v>135</v>
      </c>
      <c r="AF874" s="9" t="s">
        <v>135</v>
      </c>
      <c r="AG874" s="14" t="str">
        <f t="shared" si="30"/>
        <v>EXAMENES RADIOLOGICOS</v>
      </c>
      <c r="AH874" s="9">
        <v>0</v>
      </c>
      <c r="AI874" s="9">
        <v>0</v>
      </c>
      <c r="AJ874" s="9">
        <v>88081300</v>
      </c>
      <c r="AK874" s="9">
        <v>5</v>
      </c>
      <c r="AL874" s="26" t="s">
        <v>52</v>
      </c>
      <c r="AM874" s="14" t="s">
        <v>665</v>
      </c>
      <c r="AN874" s="27" t="str">
        <f t="shared" si="29"/>
        <v>17585933|88081300|915732160|65384426</v>
      </c>
      <c r="AO874" t="s">
        <v>44</v>
      </c>
      <c r="AP874" t="b">
        <v>0</v>
      </c>
      <c r="AQ874" t="s">
        <v>763</v>
      </c>
    </row>
    <row r="875" spans="1:43" x14ac:dyDescent="0.2">
      <c r="A875" s="14" t="s">
        <v>500</v>
      </c>
      <c r="B875" s="17">
        <v>17729073</v>
      </c>
      <c r="C875" s="14" t="s">
        <v>59</v>
      </c>
      <c r="D875" s="9">
        <v>17729073</v>
      </c>
      <c r="E875" s="9" t="s">
        <v>59</v>
      </c>
      <c r="F875" s="7">
        <v>45658</v>
      </c>
      <c r="G875" s="20" t="s">
        <v>36</v>
      </c>
      <c r="H875" s="8">
        <v>915768794</v>
      </c>
      <c r="I875" s="19">
        <v>915768794</v>
      </c>
      <c r="J875" s="10">
        <v>9680</v>
      </c>
      <c r="K875" s="10">
        <v>4028</v>
      </c>
      <c r="L875" s="10">
        <v>5652</v>
      </c>
      <c r="M875" s="10">
        <v>0</v>
      </c>
      <c r="N875" s="11">
        <v>5652</v>
      </c>
      <c r="O875" s="12">
        <v>915768794</v>
      </c>
      <c r="P875" s="9">
        <v>285123</v>
      </c>
      <c r="Q875" s="9" t="s">
        <v>37</v>
      </c>
      <c r="R875" s="13">
        <v>45664</v>
      </c>
      <c r="S875" s="22">
        <v>45664</v>
      </c>
      <c r="T875" s="13">
        <v>45664</v>
      </c>
      <c r="U875" s="13">
        <v>45664</v>
      </c>
      <c r="V875" s="9" t="s">
        <v>47</v>
      </c>
      <c r="W875" s="9">
        <v>22462250</v>
      </c>
      <c r="X875" s="9">
        <v>1131703</v>
      </c>
      <c r="Y875" s="9">
        <v>68650472</v>
      </c>
      <c r="Z875" s="9" t="s">
        <v>39</v>
      </c>
      <c r="AA875" s="9">
        <v>12012025</v>
      </c>
      <c r="AB875" s="9">
        <v>77298</v>
      </c>
      <c r="AC875" s="9" t="s">
        <v>41</v>
      </c>
      <c r="AD875" s="9" t="s">
        <v>132</v>
      </c>
      <c r="AE875" s="9" t="s">
        <v>133</v>
      </c>
      <c r="AF875" s="9" t="s">
        <v>133</v>
      </c>
      <c r="AG875" s="14" t="str">
        <f t="shared" si="30"/>
        <v>EXAMENES DE LABORATORIO</v>
      </c>
      <c r="AH875" s="9" t="s">
        <v>758</v>
      </c>
      <c r="AI875" s="9">
        <v>0</v>
      </c>
      <c r="AJ875" s="9">
        <v>96802800</v>
      </c>
      <c r="AK875" s="9">
        <v>6</v>
      </c>
      <c r="AL875" s="26" t="s">
        <v>62</v>
      </c>
      <c r="AM875" s="14" t="s">
        <v>506</v>
      </c>
      <c r="AN875" s="27" t="str">
        <f t="shared" si="29"/>
        <v>17729073|96802800|915768794|915768794</v>
      </c>
      <c r="AO875" t="s">
        <v>758</v>
      </c>
      <c r="AP875" t="b">
        <v>1</v>
      </c>
      <c r="AQ875" t="s">
        <v>764</v>
      </c>
    </row>
    <row r="876" spans="1:43" x14ac:dyDescent="0.2">
      <c r="A876" s="14" t="s">
        <v>500</v>
      </c>
      <c r="B876" s="17">
        <v>17729073</v>
      </c>
      <c r="C876" s="14" t="s">
        <v>59</v>
      </c>
      <c r="D876" s="9">
        <v>17729073</v>
      </c>
      <c r="E876" s="9" t="s">
        <v>59</v>
      </c>
      <c r="F876" s="7">
        <v>45717</v>
      </c>
      <c r="G876" s="20" t="s">
        <v>46</v>
      </c>
      <c r="H876" s="8">
        <v>915768794</v>
      </c>
      <c r="I876" s="19">
        <v>65384428</v>
      </c>
      <c r="J876" s="10">
        <v>5764</v>
      </c>
      <c r="K876" s="10">
        <v>0</v>
      </c>
      <c r="L876" s="10">
        <v>5764</v>
      </c>
      <c r="M876" s="10">
        <v>0</v>
      </c>
      <c r="N876" s="11">
        <v>5764</v>
      </c>
      <c r="O876" s="12">
        <v>915768794</v>
      </c>
      <c r="P876" s="9">
        <v>285123</v>
      </c>
      <c r="Q876" s="9" t="s">
        <v>37</v>
      </c>
      <c r="R876" s="13">
        <v>45717</v>
      </c>
      <c r="S876" s="22">
        <v>45742</v>
      </c>
      <c r="T876" s="13">
        <v>45664</v>
      </c>
      <c r="U876" s="13">
        <v>45664</v>
      </c>
      <c r="V876" s="9" t="s">
        <v>47</v>
      </c>
      <c r="W876" s="9">
        <v>22770309</v>
      </c>
      <c r="X876" s="9">
        <v>3311105</v>
      </c>
      <c r="Y876" s="9">
        <v>69251296</v>
      </c>
      <c r="Z876" s="9" t="s">
        <v>39</v>
      </c>
      <c r="AA876" s="9">
        <v>4012349701</v>
      </c>
      <c r="AB876" s="9">
        <v>78070</v>
      </c>
      <c r="AC876" s="9" t="s">
        <v>41</v>
      </c>
      <c r="AD876" s="9" t="s">
        <v>132</v>
      </c>
      <c r="AE876" s="9" t="s">
        <v>133</v>
      </c>
      <c r="AF876" s="9" t="s">
        <v>133</v>
      </c>
      <c r="AG876" s="14" t="str">
        <f t="shared" si="30"/>
        <v>EXAMENES DE LABORATORIO</v>
      </c>
      <c r="AH876" s="9">
        <v>0</v>
      </c>
      <c r="AI876" s="9">
        <v>0</v>
      </c>
      <c r="AJ876" s="9">
        <v>96802800</v>
      </c>
      <c r="AK876" s="9">
        <v>6</v>
      </c>
      <c r="AL876" s="26" t="s">
        <v>52</v>
      </c>
      <c r="AM876" s="14" t="s">
        <v>506</v>
      </c>
      <c r="AN876" s="27" t="str">
        <f t="shared" si="29"/>
        <v>17729073|96802800|915768794|65384428</v>
      </c>
      <c r="AO876" t="s">
        <v>44</v>
      </c>
      <c r="AP876" t="b">
        <v>0</v>
      </c>
      <c r="AQ876" t="s">
        <v>763</v>
      </c>
    </row>
    <row r="877" spans="1:43" x14ac:dyDescent="0.2">
      <c r="A877" s="14" t="s">
        <v>500</v>
      </c>
      <c r="B877" s="17">
        <v>10179673</v>
      </c>
      <c r="C877" s="14" t="s">
        <v>365</v>
      </c>
      <c r="D877" s="9">
        <v>10179673</v>
      </c>
      <c r="E877" s="9" t="s">
        <v>365</v>
      </c>
      <c r="F877" s="7">
        <v>45658</v>
      </c>
      <c r="G877" s="20" t="s">
        <v>36</v>
      </c>
      <c r="H877" s="8">
        <v>915769803</v>
      </c>
      <c r="I877" s="19">
        <v>915769803</v>
      </c>
      <c r="J877" s="10">
        <v>23120</v>
      </c>
      <c r="K877" s="10">
        <v>7230</v>
      </c>
      <c r="L877" s="10">
        <v>15890</v>
      </c>
      <c r="M877" s="10">
        <v>0</v>
      </c>
      <c r="N877" s="11">
        <v>15890</v>
      </c>
      <c r="O877" s="12">
        <v>915769803</v>
      </c>
      <c r="P877" s="9">
        <v>285123</v>
      </c>
      <c r="Q877" s="9" t="s">
        <v>37</v>
      </c>
      <c r="R877" s="13">
        <v>45664</v>
      </c>
      <c r="S877" s="22">
        <v>45664</v>
      </c>
      <c r="T877" s="13">
        <v>45664</v>
      </c>
      <c r="U877" s="13">
        <v>45664</v>
      </c>
      <c r="V877" s="9" t="s">
        <v>47</v>
      </c>
      <c r="W877" s="9">
        <v>22462233</v>
      </c>
      <c r="X877" s="9">
        <v>1131703</v>
      </c>
      <c r="Y877" s="9">
        <v>68650480</v>
      </c>
      <c r="Z877" s="9" t="s">
        <v>39</v>
      </c>
      <c r="AA877" s="9">
        <v>12012025</v>
      </c>
      <c r="AB877" s="9">
        <v>77298</v>
      </c>
      <c r="AC877" s="9" t="s">
        <v>41</v>
      </c>
      <c r="AD877" s="9" t="s">
        <v>134</v>
      </c>
      <c r="AE877" s="9" t="s">
        <v>135</v>
      </c>
      <c r="AF877" s="9" t="s">
        <v>135</v>
      </c>
      <c r="AG877" s="14" t="str">
        <f t="shared" si="30"/>
        <v>EXAMENES RADIOLOGICOS</v>
      </c>
      <c r="AH877" s="9" t="s">
        <v>758</v>
      </c>
      <c r="AI877" s="9">
        <v>0</v>
      </c>
      <c r="AJ877" s="9">
        <v>76098454</v>
      </c>
      <c r="AK877" s="9" t="s">
        <v>161</v>
      </c>
      <c r="AL877" s="26" t="s">
        <v>62</v>
      </c>
      <c r="AM877" s="14" t="s">
        <v>661</v>
      </c>
      <c r="AN877" s="27" t="str">
        <f t="shared" si="29"/>
        <v>10179673|76098454|915769803|915769803</v>
      </c>
      <c r="AO877" t="s">
        <v>758</v>
      </c>
      <c r="AP877" t="b">
        <v>1</v>
      </c>
      <c r="AQ877" t="s">
        <v>764</v>
      </c>
    </row>
    <row r="878" spans="1:43" x14ac:dyDescent="0.2">
      <c r="A878" s="14" t="s">
        <v>500</v>
      </c>
      <c r="B878" s="17">
        <v>10179673</v>
      </c>
      <c r="C878" s="14" t="s">
        <v>365</v>
      </c>
      <c r="D878" s="9">
        <v>10179673</v>
      </c>
      <c r="E878" s="9" t="s">
        <v>365</v>
      </c>
      <c r="F878" s="7">
        <v>45717</v>
      </c>
      <c r="G878" s="20" t="s">
        <v>46</v>
      </c>
      <c r="H878" s="8">
        <v>915769803</v>
      </c>
      <c r="I878" s="19">
        <v>65383808</v>
      </c>
      <c r="J878" s="10">
        <v>13451</v>
      </c>
      <c r="K878" s="10">
        <v>0</v>
      </c>
      <c r="L878" s="10">
        <v>13451</v>
      </c>
      <c r="M878" s="10">
        <v>0</v>
      </c>
      <c r="N878" s="11">
        <v>13451</v>
      </c>
      <c r="O878" s="12">
        <v>915769803</v>
      </c>
      <c r="P878" s="9">
        <v>285123</v>
      </c>
      <c r="Q878" s="9" t="s">
        <v>37</v>
      </c>
      <c r="R878" s="13">
        <v>45717</v>
      </c>
      <c r="S878" s="22">
        <v>45742</v>
      </c>
      <c r="T878" s="13">
        <v>45664</v>
      </c>
      <c r="U878" s="13">
        <v>45664</v>
      </c>
      <c r="V878" s="9" t="s">
        <v>47</v>
      </c>
      <c r="W878" s="9">
        <v>22770303</v>
      </c>
      <c r="X878" s="9">
        <v>3311105</v>
      </c>
      <c r="Y878" s="9">
        <v>69250697</v>
      </c>
      <c r="Z878" s="9" t="s">
        <v>39</v>
      </c>
      <c r="AA878" s="9">
        <v>989650955</v>
      </c>
      <c r="AB878" s="9">
        <v>78070</v>
      </c>
      <c r="AC878" s="9" t="s">
        <v>41</v>
      </c>
      <c r="AD878" s="9" t="s">
        <v>134</v>
      </c>
      <c r="AE878" s="9" t="s">
        <v>135</v>
      </c>
      <c r="AF878" s="9" t="s">
        <v>135</v>
      </c>
      <c r="AG878" s="14" t="str">
        <f t="shared" si="30"/>
        <v>EXAMENES RADIOLOGICOS</v>
      </c>
      <c r="AH878" s="9">
        <v>0</v>
      </c>
      <c r="AI878" s="9">
        <v>0</v>
      </c>
      <c r="AJ878" s="9">
        <v>76098454</v>
      </c>
      <c r="AK878" s="9" t="s">
        <v>161</v>
      </c>
      <c r="AL878" s="26" t="s">
        <v>52</v>
      </c>
      <c r="AM878" s="14" t="s">
        <v>661</v>
      </c>
      <c r="AN878" s="27" t="str">
        <f t="shared" si="29"/>
        <v>10179673|76098454|915769803|65383808</v>
      </c>
      <c r="AO878" t="s">
        <v>44</v>
      </c>
      <c r="AP878" t="b">
        <v>0</v>
      </c>
      <c r="AQ878" t="s">
        <v>763</v>
      </c>
    </row>
    <row r="879" spans="1:43" x14ac:dyDescent="0.2">
      <c r="A879" s="14" t="s">
        <v>500</v>
      </c>
      <c r="B879" s="17">
        <v>13071799</v>
      </c>
      <c r="C879" s="14" t="s">
        <v>371</v>
      </c>
      <c r="D879" s="9">
        <v>13071799</v>
      </c>
      <c r="E879" s="9" t="s">
        <v>371</v>
      </c>
      <c r="F879" s="7">
        <v>45658</v>
      </c>
      <c r="G879" s="20" t="s">
        <v>36</v>
      </c>
      <c r="H879" s="8">
        <v>915786111</v>
      </c>
      <c r="I879" s="19">
        <v>915786111</v>
      </c>
      <c r="J879" s="10">
        <v>24570</v>
      </c>
      <c r="K879" s="10">
        <v>7680</v>
      </c>
      <c r="L879" s="10">
        <v>16890</v>
      </c>
      <c r="M879" s="10">
        <v>0</v>
      </c>
      <c r="N879" s="11">
        <v>16890</v>
      </c>
      <c r="O879" s="12">
        <v>915786111</v>
      </c>
      <c r="P879" s="9">
        <v>285123</v>
      </c>
      <c r="Q879" s="9" t="s">
        <v>37</v>
      </c>
      <c r="R879" s="13">
        <v>45665</v>
      </c>
      <c r="S879" s="22">
        <v>45665</v>
      </c>
      <c r="T879" s="13">
        <v>45665</v>
      </c>
      <c r="U879" s="13">
        <v>45665</v>
      </c>
      <c r="V879" s="9" t="s">
        <v>47</v>
      </c>
      <c r="W879" s="9">
        <v>22462261</v>
      </c>
      <c r="X879" s="9">
        <v>1131703</v>
      </c>
      <c r="Y879" s="9">
        <v>68650621</v>
      </c>
      <c r="Z879" s="9" t="s">
        <v>39</v>
      </c>
      <c r="AA879" s="9">
        <v>12012025</v>
      </c>
      <c r="AB879" s="9">
        <v>77298</v>
      </c>
      <c r="AC879" s="9" t="s">
        <v>41</v>
      </c>
      <c r="AD879" s="9" t="s">
        <v>132</v>
      </c>
      <c r="AE879" s="9" t="s">
        <v>133</v>
      </c>
      <c r="AF879" s="9" t="s">
        <v>133</v>
      </c>
      <c r="AG879" s="14" t="str">
        <f t="shared" si="30"/>
        <v>EXAMENES DE LABORATORIO</v>
      </c>
      <c r="AH879" s="9" t="s">
        <v>758</v>
      </c>
      <c r="AI879" s="9">
        <v>0</v>
      </c>
      <c r="AJ879" s="9">
        <v>96942400</v>
      </c>
      <c r="AK879" s="9">
        <v>2</v>
      </c>
      <c r="AL879" s="26" t="s">
        <v>62</v>
      </c>
      <c r="AM879" s="14" t="s">
        <v>666</v>
      </c>
      <c r="AN879" s="27" t="str">
        <f t="shared" si="29"/>
        <v>13071799|96942400|915786111|915786111</v>
      </c>
      <c r="AO879" t="s">
        <v>758</v>
      </c>
      <c r="AP879" t="b">
        <v>1</v>
      </c>
      <c r="AQ879" t="s">
        <v>764</v>
      </c>
    </row>
    <row r="880" spans="1:43" x14ac:dyDescent="0.2">
      <c r="A880" s="14" t="s">
        <v>500</v>
      </c>
      <c r="B880" s="17">
        <v>13071799</v>
      </c>
      <c r="C880" s="14" t="s">
        <v>371</v>
      </c>
      <c r="D880" s="9">
        <v>13071799</v>
      </c>
      <c r="E880" s="9" t="s">
        <v>371</v>
      </c>
      <c r="F880" s="7">
        <v>45717</v>
      </c>
      <c r="G880" s="20" t="s">
        <v>46</v>
      </c>
      <c r="H880" s="8">
        <v>915786111</v>
      </c>
      <c r="I880" s="19">
        <v>65384067</v>
      </c>
      <c r="J880" s="10">
        <v>15757</v>
      </c>
      <c r="K880" s="10">
        <v>0</v>
      </c>
      <c r="L880" s="10">
        <v>15757</v>
      </c>
      <c r="M880" s="10">
        <v>0</v>
      </c>
      <c r="N880" s="11">
        <v>15757</v>
      </c>
      <c r="O880" s="12">
        <v>915786111</v>
      </c>
      <c r="P880" s="9">
        <v>285123</v>
      </c>
      <c r="Q880" s="9" t="s">
        <v>37</v>
      </c>
      <c r="R880" s="13">
        <v>45717</v>
      </c>
      <c r="S880" s="22">
        <v>45742</v>
      </c>
      <c r="T880" s="13">
        <v>45665</v>
      </c>
      <c r="U880" s="13">
        <v>45665</v>
      </c>
      <c r="V880" s="9" t="s">
        <v>47</v>
      </c>
      <c r="W880" s="9">
        <v>22770315</v>
      </c>
      <c r="X880" s="9">
        <v>3311105</v>
      </c>
      <c r="Y880" s="9">
        <v>69250955</v>
      </c>
      <c r="Z880" s="9" t="s">
        <v>39</v>
      </c>
      <c r="AA880" s="9">
        <v>55130002921</v>
      </c>
      <c r="AB880" s="9">
        <v>78070</v>
      </c>
      <c r="AC880" s="9" t="s">
        <v>41</v>
      </c>
      <c r="AD880" s="9" t="s">
        <v>132</v>
      </c>
      <c r="AE880" s="9" t="s">
        <v>133</v>
      </c>
      <c r="AF880" s="9" t="s">
        <v>133</v>
      </c>
      <c r="AG880" s="14" t="str">
        <f t="shared" si="30"/>
        <v>EXAMENES DE LABORATORIO</v>
      </c>
      <c r="AH880" s="9">
        <v>0</v>
      </c>
      <c r="AI880" s="9">
        <v>0</v>
      </c>
      <c r="AJ880" s="9">
        <v>96942400</v>
      </c>
      <c r="AK880" s="9">
        <v>2</v>
      </c>
      <c r="AL880" s="26" t="s">
        <v>52</v>
      </c>
      <c r="AM880" s="14" t="s">
        <v>666</v>
      </c>
      <c r="AN880" s="27" t="str">
        <f t="shared" si="29"/>
        <v>13071799|96942400|915786111|65384067</v>
      </c>
      <c r="AO880" t="s">
        <v>44</v>
      </c>
      <c r="AP880" t="b">
        <v>0</v>
      </c>
      <c r="AQ880" t="s">
        <v>763</v>
      </c>
    </row>
    <row r="881" spans="1:43" x14ac:dyDescent="0.2">
      <c r="A881" s="14" t="s">
        <v>500</v>
      </c>
      <c r="B881" s="17">
        <v>13071799</v>
      </c>
      <c r="C881" s="14" t="s">
        <v>371</v>
      </c>
      <c r="D881" s="9">
        <v>13071799</v>
      </c>
      <c r="E881" s="9" t="s">
        <v>371</v>
      </c>
      <c r="F881" s="7">
        <v>45658</v>
      </c>
      <c r="G881" s="20" t="s">
        <v>36</v>
      </c>
      <c r="H881" s="8">
        <v>915786112</v>
      </c>
      <c r="I881" s="19">
        <v>915786112</v>
      </c>
      <c r="J881" s="10">
        <v>17020</v>
      </c>
      <c r="K881" s="10">
        <v>5340</v>
      </c>
      <c r="L881" s="10">
        <v>11680</v>
      </c>
      <c r="M881" s="10">
        <v>0</v>
      </c>
      <c r="N881" s="11">
        <v>11680</v>
      </c>
      <c r="O881" s="12">
        <v>915786112</v>
      </c>
      <c r="P881" s="9">
        <v>285123</v>
      </c>
      <c r="Q881" s="9" t="s">
        <v>37</v>
      </c>
      <c r="R881" s="13">
        <v>45665</v>
      </c>
      <c r="S881" s="22">
        <v>45665</v>
      </c>
      <c r="T881" s="13">
        <v>45665</v>
      </c>
      <c r="U881" s="13">
        <v>45665</v>
      </c>
      <c r="V881" s="9" t="s">
        <v>47</v>
      </c>
      <c r="W881" s="9">
        <v>22462261</v>
      </c>
      <c r="X881" s="9">
        <v>1131703</v>
      </c>
      <c r="Y881" s="9">
        <v>68650620</v>
      </c>
      <c r="Z881" s="9" t="s">
        <v>39</v>
      </c>
      <c r="AA881" s="9">
        <v>12012025</v>
      </c>
      <c r="AB881" s="9">
        <v>77298</v>
      </c>
      <c r="AC881" s="9" t="s">
        <v>41</v>
      </c>
      <c r="AD881" s="9" t="s">
        <v>132</v>
      </c>
      <c r="AE881" s="9" t="s">
        <v>133</v>
      </c>
      <c r="AF881" s="9" t="s">
        <v>133</v>
      </c>
      <c r="AG881" s="14" t="str">
        <f t="shared" si="30"/>
        <v>EXAMENES DE LABORATORIO</v>
      </c>
      <c r="AH881" s="9" t="s">
        <v>758</v>
      </c>
      <c r="AI881" s="9">
        <v>0</v>
      </c>
      <c r="AJ881" s="9">
        <v>96942400</v>
      </c>
      <c r="AK881" s="9">
        <v>2</v>
      </c>
      <c r="AL881" s="26" t="s">
        <v>62</v>
      </c>
      <c r="AM881" s="14" t="s">
        <v>666</v>
      </c>
      <c r="AN881" s="27" t="str">
        <f t="shared" si="29"/>
        <v>13071799|96942400|915786112|915786112</v>
      </c>
      <c r="AO881" t="s">
        <v>758</v>
      </c>
      <c r="AP881" t="b">
        <v>1</v>
      </c>
      <c r="AQ881" t="s">
        <v>764</v>
      </c>
    </row>
    <row r="882" spans="1:43" x14ac:dyDescent="0.2">
      <c r="A882" s="14" t="s">
        <v>500</v>
      </c>
      <c r="B882" s="17">
        <v>13071799</v>
      </c>
      <c r="C882" s="14" t="s">
        <v>371</v>
      </c>
      <c r="D882" s="9">
        <v>13071799</v>
      </c>
      <c r="E882" s="9" t="s">
        <v>371</v>
      </c>
      <c r="F882" s="7">
        <v>45717</v>
      </c>
      <c r="G882" s="20" t="s">
        <v>46</v>
      </c>
      <c r="H882" s="8">
        <v>915786112</v>
      </c>
      <c r="I882" s="19">
        <v>65384068</v>
      </c>
      <c r="J882" s="10">
        <v>9608</v>
      </c>
      <c r="K882" s="10">
        <v>0</v>
      </c>
      <c r="L882" s="10">
        <v>9608</v>
      </c>
      <c r="M882" s="10">
        <v>0</v>
      </c>
      <c r="N882" s="11">
        <v>9608</v>
      </c>
      <c r="O882" s="12">
        <v>915786112</v>
      </c>
      <c r="P882" s="9">
        <v>285123</v>
      </c>
      <c r="Q882" s="9" t="s">
        <v>37</v>
      </c>
      <c r="R882" s="13">
        <v>45717</v>
      </c>
      <c r="S882" s="22">
        <v>45742</v>
      </c>
      <c r="T882" s="13">
        <v>45665</v>
      </c>
      <c r="U882" s="13">
        <v>45665</v>
      </c>
      <c r="V882" s="9" t="s">
        <v>47</v>
      </c>
      <c r="W882" s="9">
        <v>22770315</v>
      </c>
      <c r="X882" s="9">
        <v>3311105</v>
      </c>
      <c r="Y882" s="9">
        <v>69250956</v>
      </c>
      <c r="Z882" s="9" t="s">
        <v>39</v>
      </c>
      <c r="AA882" s="9">
        <v>55130002921</v>
      </c>
      <c r="AB882" s="9">
        <v>78070</v>
      </c>
      <c r="AC882" s="9" t="s">
        <v>41</v>
      </c>
      <c r="AD882" s="9" t="s">
        <v>132</v>
      </c>
      <c r="AE882" s="9" t="s">
        <v>133</v>
      </c>
      <c r="AF882" s="9" t="s">
        <v>133</v>
      </c>
      <c r="AG882" s="14" t="str">
        <f t="shared" si="30"/>
        <v>EXAMENES DE LABORATORIO</v>
      </c>
      <c r="AH882" s="9">
        <v>0</v>
      </c>
      <c r="AI882" s="9">
        <v>0</v>
      </c>
      <c r="AJ882" s="9">
        <v>96942400</v>
      </c>
      <c r="AK882" s="9">
        <v>2</v>
      </c>
      <c r="AL882" s="26" t="s">
        <v>52</v>
      </c>
      <c r="AM882" s="14" t="s">
        <v>666</v>
      </c>
      <c r="AN882" s="27" t="str">
        <f t="shared" si="29"/>
        <v>13071799|96942400|915786112|65384068</v>
      </c>
      <c r="AO882" t="s">
        <v>44</v>
      </c>
      <c r="AP882" t="b">
        <v>0</v>
      </c>
      <c r="AQ882" t="s">
        <v>763</v>
      </c>
    </row>
    <row r="883" spans="1:43" x14ac:dyDescent="0.2">
      <c r="A883" s="14" t="s">
        <v>500</v>
      </c>
      <c r="B883" s="17">
        <v>13071799</v>
      </c>
      <c r="C883" s="14" t="s">
        <v>371</v>
      </c>
      <c r="D883" s="9">
        <v>13071799</v>
      </c>
      <c r="E883" s="9" t="s">
        <v>371</v>
      </c>
      <c r="F883" s="7">
        <v>45658</v>
      </c>
      <c r="G883" s="20" t="s">
        <v>36</v>
      </c>
      <c r="H883" s="8">
        <v>915786113</v>
      </c>
      <c r="I883" s="19">
        <v>915786113</v>
      </c>
      <c r="J883" s="10">
        <v>35070</v>
      </c>
      <c r="K883" s="10">
        <v>10970</v>
      </c>
      <c r="L883" s="10">
        <v>24100</v>
      </c>
      <c r="M883" s="10">
        <v>0</v>
      </c>
      <c r="N883" s="11">
        <v>24100</v>
      </c>
      <c r="O883" s="12">
        <v>915786113</v>
      </c>
      <c r="P883" s="9">
        <v>285123</v>
      </c>
      <c r="Q883" s="9" t="s">
        <v>37</v>
      </c>
      <c r="R883" s="13">
        <v>45665</v>
      </c>
      <c r="S883" s="22">
        <v>45665</v>
      </c>
      <c r="T883" s="13">
        <v>45665</v>
      </c>
      <c r="U883" s="13">
        <v>45665</v>
      </c>
      <c r="V883" s="9" t="s">
        <v>47</v>
      </c>
      <c r="W883" s="9">
        <v>22462261</v>
      </c>
      <c r="X883" s="9">
        <v>1131703</v>
      </c>
      <c r="Y883" s="9">
        <v>68650619</v>
      </c>
      <c r="Z883" s="9" t="s">
        <v>39</v>
      </c>
      <c r="AA883" s="9">
        <v>12012025</v>
      </c>
      <c r="AB883" s="9">
        <v>77298</v>
      </c>
      <c r="AC883" s="9" t="s">
        <v>41</v>
      </c>
      <c r="AD883" s="9" t="s">
        <v>132</v>
      </c>
      <c r="AE883" s="9" t="s">
        <v>133</v>
      </c>
      <c r="AF883" s="9" t="s">
        <v>133</v>
      </c>
      <c r="AG883" s="14" t="str">
        <f t="shared" si="30"/>
        <v>EXAMENES DE LABORATORIO</v>
      </c>
      <c r="AH883" s="9" t="s">
        <v>758</v>
      </c>
      <c r="AI883" s="9">
        <v>0</v>
      </c>
      <c r="AJ883" s="9">
        <v>96942400</v>
      </c>
      <c r="AK883" s="9">
        <v>2</v>
      </c>
      <c r="AL883" s="26" t="s">
        <v>62</v>
      </c>
      <c r="AM883" s="14" t="s">
        <v>666</v>
      </c>
      <c r="AN883" s="27" t="str">
        <f t="shared" si="29"/>
        <v>13071799|96942400|915786113|915786113</v>
      </c>
      <c r="AO883" t="s">
        <v>758</v>
      </c>
      <c r="AP883" t="b">
        <v>1</v>
      </c>
      <c r="AQ883" t="s">
        <v>764</v>
      </c>
    </row>
    <row r="884" spans="1:43" x14ac:dyDescent="0.2">
      <c r="A884" s="14" t="s">
        <v>500</v>
      </c>
      <c r="B884" s="17">
        <v>13071799</v>
      </c>
      <c r="C884" s="14" t="s">
        <v>371</v>
      </c>
      <c r="D884" s="9">
        <v>13071799</v>
      </c>
      <c r="E884" s="9" t="s">
        <v>371</v>
      </c>
      <c r="F884" s="7">
        <v>45717</v>
      </c>
      <c r="G884" s="20" t="s">
        <v>46</v>
      </c>
      <c r="H884" s="8">
        <v>915786113</v>
      </c>
      <c r="I884" s="19">
        <v>65384069</v>
      </c>
      <c r="J884" s="10">
        <v>20754</v>
      </c>
      <c r="K884" s="10">
        <v>0</v>
      </c>
      <c r="L884" s="10">
        <v>20754</v>
      </c>
      <c r="M884" s="10">
        <v>0</v>
      </c>
      <c r="N884" s="11">
        <v>20754</v>
      </c>
      <c r="O884" s="12">
        <v>915786113</v>
      </c>
      <c r="P884" s="9">
        <v>285123</v>
      </c>
      <c r="Q884" s="9" t="s">
        <v>37</v>
      </c>
      <c r="R884" s="13">
        <v>45717</v>
      </c>
      <c r="S884" s="22">
        <v>45742</v>
      </c>
      <c r="T884" s="13">
        <v>45665</v>
      </c>
      <c r="U884" s="13">
        <v>45665</v>
      </c>
      <c r="V884" s="9" t="s">
        <v>47</v>
      </c>
      <c r="W884" s="9">
        <v>22770315</v>
      </c>
      <c r="X884" s="9">
        <v>3311105</v>
      </c>
      <c r="Y884" s="9">
        <v>69250957</v>
      </c>
      <c r="Z884" s="9" t="s">
        <v>39</v>
      </c>
      <c r="AA884" s="9">
        <v>55130002921</v>
      </c>
      <c r="AB884" s="9">
        <v>78070</v>
      </c>
      <c r="AC884" s="9" t="s">
        <v>41</v>
      </c>
      <c r="AD884" s="9" t="s">
        <v>132</v>
      </c>
      <c r="AE884" s="9" t="s">
        <v>133</v>
      </c>
      <c r="AF884" s="9" t="s">
        <v>133</v>
      </c>
      <c r="AG884" s="14" t="str">
        <f t="shared" si="30"/>
        <v>EXAMENES DE LABORATORIO</v>
      </c>
      <c r="AH884" s="9">
        <v>0</v>
      </c>
      <c r="AI884" s="9">
        <v>0</v>
      </c>
      <c r="AJ884" s="9">
        <v>96942400</v>
      </c>
      <c r="AK884" s="9">
        <v>2</v>
      </c>
      <c r="AL884" s="26" t="s">
        <v>52</v>
      </c>
      <c r="AM884" s="14" t="s">
        <v>666</v>
      </c>
      <c r="AN884" s="27" t="str">
        <f t="shared" si="29"/>
        <v>13071799|96942400|915786113|65384069</v>
      </c>
      <c r="AO884" t="s">
        <v>44</v>
      </c>
      <c r="AP884" t="b">
        <v>0</v>
      </c>
      <c r="AQ884" t="s">
        <v>763</v>
      </c>
    </row>
    <row r="885" spans="1:43" x14ac:dyDescent="0.2">
      <c r="A885" s="14" t="s">
        <v>500</v>
      </c>
      <c r="B885" s="17">
        <v>17585933</v>
      </c>
      <c r="C885" s="14" t="s">
        <v>369</v>
      </c>
      <c r="D885" s="9">
        <v>17585933</v>
      </c>
      <c r="E885" s="9" t="s">
        <v>369</v>
      </c>
      <c r="F885" s="7">
        <v>45658</v>
      </c>
      <c r="G885" s="20" t="s">
        <v>36</v>
      </c>
      <c r="H885" s="8">
        <v>915807719</v>
      </c>
      <c r="I885" s="19">
        <v>915807719</v>
      </c>
      <c r="J885" s="10">
        <v>37740</v>
      </c>
      <c r="K885" s="10">
        <v>11800</v>
      </c>
      <c r="L885" s="10">
        <v>25940</v>
      </c>
      <c r="M885" s="10">
        <v>0</v>
      </c>
      <c r="N885" s="11">
        <v>25940</v>
      </c>
      <c r="O885" s="12">
        <v>915807719</v>
      </c>
      <c r="P885" s="9">
        <v>285123</v>
      </c>
      <c r="Q885" s="9" t="s">
        <v>37</v>
      </c>
      <c r="R885" s="13">
        <v>45665</v>
      </c>
      <c r="S885" s="22">
        <v>45665</v>
      </c>
      <c r="T885" s="13">
        <v>45665</v>
      </c>
      <c r="U885" s="13">
        <v>45665</v>
      </c>
      <c r="V885" s="9" t="s">
        <v>47</v>
      </c>
      <c r="W885" s="9">
        <v>22462268</v>
      </c>
      <c r="X885" s="9">
        <v>1131703</v>
      </c>
      <c r="Y885" s="9">
        <v>68650743</v>
      </c>
      <c r="Z885" s="9" t="s">
        <v>39</v>
      </c>
      <c r="AA885" s="9">
        <v>12012025</v>
      </c>
      <c r="AB885" s="9">
        <v>77298</v>
      </c>
      <c r="AC885" s="9" t="s">
        <v>41</v>
      </c>
      <c r="AD885" s="9" t="s">
        <v>132</v>
      </c>
      <c r="AE885" s="9" t="s">
        <v>133</v>
      </c>
      <c r="AF885" s="9" t="s">
        <v>133</v>
      </c>
      <c r="AG885" s="14" t="str">
        <f t="shared" si="30"/>
        <v>EXAMENES DE LABORATORIO</v>
      </c>
      <c r="AH885" s="9" t="s">
        <v>758</v>
      </c>
      <c r="AI885" s="9">
        <v>0</v>
      </c>
      <c r="AJ885" s="9">
        <v>79749170</v>
      </c>
      <c r="AK885" s="9">
        <v>5</v>
      </c>
      <c r="AL885" s="26" t="s">
        <v>62</v>
      </c>
      <c r="AM885" s="14" t="s">
        <v>665</v>
      </c>
      <c r="AN885" s="27" t="str">
        <f t="shared" si="29"/>
        <v>17585933|79749170|915807719|915807719</v>
      </c>
      <c r="AO885" t="s">
        <v>758</v>
      </c>
      <c r="AP885" t="b">
        <v>1</v>
      </c>
      <c r="AQ885" t="s">
        <v>764</v>
      </c>
    </row>
    <row r="886" spans="1:43" x14ac:dyDescent="0.2">
      <c r="A886" s="14" t="s">
        <v>500</v>
      </c>
      <c r="B886" s="17">
        <v>17585933</v>
      </c>
      <c r="C886" s="14" t="s">
        <v>369</v>
      </c>
      <c r="D886" s="9">
        <v>17585933</v>
      </c>
      <c r="E886" s="9" t="s">
        <v>369</v>
      </c>
      <c r="F886" s="7">
        <v>45717</v>
      </c>
      <c r="G886" s="20" t="s">
        <v>46</v>
      </c>
      <c r="H886" s="8">
        <v>915807719</v>
      </c>
      <c r="I886" s="19">
        <v>65384423</v>
      </c>
      <c r="J886" s="10">
        <v>22675</v>
      </c>
      <c r="K886" s="10">
        <v>0</v>
      </c>
      <c r="L886" s="10">
        <v>22675</v>
      </c>
      <c r="M886" s="10">
        <v>0</v>
      </c>
      <c r="N886" s="11">
        <v>22675</v>
      </c>
      <c r="O886" s="12">
        <v>915807719</v>
      </c>
      <c r="P886" s="9">
        <v>285123</v>
      </c>
      <c r="Q886" s="9" t="s">
        <v>37</v>
      </c>
      <c r="R886" s="13">
        <v>45717</v>
      </c>
      <c r="S886" s="22">
        <v>45742</v>
      </c>
      <c r="T886" s="13">
        <v>45665</v>
      </c>
      <c r="U886" s="13">
        <v>45665</v>
      </c>
      <c r="V886" s="9" t="s">
        <v>47</v>
      </c>
      <c r="W886" s="9">
        <v>22770318</v>
      </c>
      <c r="X886" s="9">
        <v>3311105</v>
      </c>
      <c r="Y886" s="9">
        <v>69251291</v>
      </c>
      <c r="Z886" s="9" t="s">
        <v>39</v>
      </c>
      <c r="AA886" s="9">
        <v>10013857200</v>
      </c>
      <c r="AB886" s="9">
        <v>78070</v>
      </c>
      <c r="AC886" s="9" t="s">
        <v>41</v>
      </c>
      <c r="AD886" s="9" t="s">
        <v>132</v>
      </c>
      <c r="AE886" s="9" t="s">
        <v>133</v>
      </c>
      <c r="AF886" s="9" t="s">
        <v>133</v>
      </c>
      <c r="AG886" s="14" t="str">
        <f t="shared" si="30"/>
        <v>EXAMENES DE LABORATORIO</v>
      </c>
      <c r="AH886" s="9">
        <v>0</v>
      </c>
      <c r="AI886" s="9">
        <v>0</v>
      </c>
      <c r="AJ886" s="9">
        <v>79749170</v>
      </c>
      <c r="AK886" s="9">
        <v>5</v>
      </c>
      <c r="AL886" s="26" t="s">
        <v>52</v>
      </c>
      <c r="AM886" s="14" t="s">
        <v>665</v>
      </c>
      <c r="AN886" s="27" t="str">
        <f t="shared" si="29"/>
        <v>17585933|79749170|915807719|65384423</v>
      </c>
      <c r="AO886" t="s">
        <v>44</v>
      </c>
      <c r="AP886" t="b">
        <v>0</v>
      </c>
      <c r="AQ886" t="s">
        <v>763</v>
      </c>
    </row>
    <row r="887" spans="1:43" x14ac:dyDescent="0.2">
      <c r="A887" s="14" t="s">
        <v>500</v>
      </c>
      <c r="B887" s="17">
        <v>17585933</v>
      </c>
      <c r="C887" s="14" t="s">
        <v>369</v>
      </c>
      <c r="D887" s="9">
        <v>17585933</v>
      </c>
      <c r="E887" s="9" t="s">
        <v>369</v>
      </c>
      <c r="F887" s="7">
        <v>45658</v>
      </c>
      <c r="G887" s="20" t="s">
        <v>36</v>
      </c>
      <c r="H887" s="8">
        <v>915807720</v>
      </c>
      <c r="I887" s="19">
        <v>915807720</v>
      </c>
      <c r="J887" s="10">
        <v>30400</v>
      </c>
      <c r="K887" s="10">
        <v>9510</v>
      </c>
      <c r="L887" s="10">
        <v>20890</v>
      </c>
      <c r="M887" s="10">
        <v>0</v>
      </c>
      <c r="N887" s="11">
        <v>20890</v>
      </c>
      <c r="O887" s="12">
        <v>915807720</v>
      </c>
      <c r="P887" s="9">
        <v>285123</v>
      </c>
      <c r="Q887" s="9" t="s">
        <v>37</v>
      </c>
      <c r="R887" s="13">
        <v>45665</v>
      </c>
      <c r="S887" s="22">
        <v>45665</v>
      </c>
      <c r="T887" s="13">
        <v>45665</v>
      </c>
      <c r="U887" s="13">
        <v>45665</v>
      </c>
      <c r="V887" s="9" t="s">
        <v>47</v>
      </c>
      <c r="W887" s="9">
        <v>22462268</v>
      </c>
      <c r="X887" s="9">
        <v>1131703</v>
      </c>
      <c r="Y887" s="9">
        <v>68650742</v>
      </c>
      <c r="Z887" s="9" t="s">
        <v>39</v>
      </c>
      <c r="AA887" s="9">
        <v>12012025</v>
      </c>
      <c r="AB887" s="9">
        <v>77298</v>
      </c>
      <c r="AC887" s="9" t="s">
        <v>41</v>
      </c>
      <c r="AD887" s="9" t="s">
        <v>132</v>
      </c>
      <c r="AE887" s="9" t="s">
        <v>133</v>
      </c>
      <c r="AF887" s="9" t="s">
        <v>133</v>
      </c>
      <c r="AG887" s="14" t="str">
        <f t="shared" si="30"/>
        <v>EXAMENES DE LABORATORIO</v>
      </c>
      <c r="AH887" s="9" t="s">
        <v>758</v>
      </c>
      <c r="AI887" s="9">
        <v>0</v>
      </c>
      <c r="AJ887" s="9">
        <v>79749170</v>
      </c>
      <c r="AK887" s="9">
        <v>5</v>
      </c>
      <c r="AL887" s="26" t="s">
        <v>62</v>
      </c>
      <c r="AM887" s="14" t="s">
        <v>665</v>
      </c>
      <c r="AN887" s="27" t="str">
        <f t="shared" si="29"/>
        <v>17585933|79749170|915807720|915807720</v>
      </c>
      <c r="AO887" t="s">
        <v>758</v>
      </c>
      <c r="AP887" t="b">
        <v>1</v>
      </c>
      <c r="AQ887" t="s">
        <v>764</v>
      </c>
    </row>
    <row r="888" spans="1:43" x14ac:dyDescent="0.2">
      <c r="A888" s="14" t="s">
        <v>500</v>
      </c>
      <c r="B888" s="17">
        <v>17585933</v>
      </c>
      <c r="C888" s="14" t="s">
        <v>369</v>
      </c>
      <c r="D888" s="9">
        <v>17585933</v>
      </c>
      <c r="E888" s="9" t="s">
        <v>369</v>
      </c>
      <c r="F888" s="7">
        <v>45717</v>
      </c>
      <c r="G888" s="20" t="s">
        <v>46</v>
      </c>
      <c r="H888" s="8">
        <v>915807720</v>
      </c>
      <c r="I888" s="19">
        <v>65384424</v>
      </c>
      <c r="J888" s="10">
        <v>18063</v>
      </c>
      <c r="K888" s="10">
        <v>0</v>
      </c>
      <c r="L888" s="10">
        <v>18063</v>
      </c>
      <c r="M888" s="10">
        <v>0</v>
      </c>
      <c r="N888" s="11">
        <v>18063</v>
      </c>
      <c r="O888" s="12">
        <v>915807720</v>
      </c>
      <c r="P888" s="9">
        <v>285123</v>
      </c>
      <c r="Q888" s="9" t="s">
        <v>37</v>
      </c>
      <c r="R888" s="13">
        <v>45717</v>
      </c>
      <c r="S888" s="22">
        <v>45742</v>
      </c>
      <c r="T888" s="13">
        <v>45665</v>
      </c>
      <c r="U888" s="13">
        <v>45665</v>
      </c>
      <c r="V888" s="9" t="s">
        <v>47</v>
      </c>
      <c r="W888" s="9">
        <v>22770318</v>
      </c>
      <c r="X888" s="9">
        <v>3311105</v>
      </c>
      <c r="Y888" s="9">
        <v>69251292</v>
      </c>
      <c r="Z888" s="9" t="s">
        <v>39</v>
      </c>
      <c r="AA888" s="9">
        <v>10013857200</v>
      </c>
      <c r="AB888" s="9">
        <v>78070</v>
      </c>
      <c r="AC888" s="9" t="s">
        <v>41</v>
      </c>
      <c r="AD888" s="9" t="s">
        <v>132</v>
      </c>
      <c r="AE888" s="9" t="s">
        <v>133</v>
      </c>
      <c r="AF888" s="9" t="s">
        <v>133</v>
      </c>
      <c r="AG888" s="14" t="str">
        <f t="shared" si="30"/>
        <v>EXAMENES DE LABORATORIO</v>
      </c>
      <c r="AH888" s="9">
        <v>0</v>
      </c>
      <c r="AI888" s="9">
        <v>0</v>
      </c>
      <c r="AJ888" s="9">
        <v>79749170</v>
      </c>
      <c r="AK888" s="9">
        <v>5</v>
      </c>
      <c r="AL888" s="26" t="s">
        <v>52</v>
      </c>
      <c r="AM888" s="14" t="s">
        <v>665</v>
      </c>
      <c r="AN888" s="27" t="str">
        <f t="shared" si="29"/>
        <v>17585933|79749170|915807720|65384424</v>
      </c>
      <c r="AO888" t="s">
        <v>44</v>
      </c>
      <c r="AP888" t="b">
        <v>0</v>
      </c>
      <c r="AQ888" t="s">
        <v>763</v>
      </c>
    </row>
    <row r="889" spans="1:43" x14ac:dyDescent="0.2">
      <c r="A889" s="14" t="s">
        <v>500</v>
      </c>
      <c r="B889" s="17">
        <v>8330037</v>
      </c>
      <c r="C889" s="14" t="s">
        <v>364</v>
      </c>
      <c r="D889" s="9">
        <v>8330037</v>
      </c>
      <c r="E889" s="9" t="s">
        <v>364</v>
      </c>
      <c r="F889" s="7">
        <v>45658</v>
      </c>
      <c r="G889" s="20" t="s">
        <v>36</v>
      </c>
      <c r="H889" s="8">
        <v>915866088</v>
      </c>
      <c r="I889" s="19">
        <v>915866088</v>
      </c>
      <c r="J889" s="10">
        <v>31940</v>
      </c>
      <c r="K889" s="10">
        <v>27552</v>
      </c>
      <c r="L889" s="10">
        <v>4388</v>
      </c>
      <c r="M889" s="10">
        <v>0</v>
      </c>
      <c r="N889" s="11">
        <v>4388</v>
      </c>
      <c r="O889" s="12">
        <v>915866088</v>
      </c>
      <c r="P889" s="9">
        <v>285123</v>
      </c>
      <c r="Q889" s="9" t="s">
        <v>37</v>
      </c>
      <c r="R889" s="13">
        <v>45665</v>
      </c>
      <c r="S889" s="22">
        <v>45665</v>
      </c>
      <c r="T889" s="13">
        <v>45665</v>
      </c>
      <c r="U889" s="13">
        <v>45665</v>
      </c>
      <c r="V889" s="9" t="s">
        <v>47</v>
      </c>
      <c r="W889" s="9">
        <v>22462251</v>
      </c>
      <c r="X889" s="9">
        <v>1131703</v>
      </c>
      <c r="Y889" s="9">
        <v>68650975</v>
      </c>
      <c r="Z889" s="9" t="s">
        <v>39</v>
      </c>
      <c r="AA889" s="9">
        <v>12012025</v>
      </c>
      <c r="AB889" s="9">
        <v>77298</v>
      </c>
      <c r="AC889" s="9" t="s">
        <v>41</v>
      </c>
      <c r="AD889" s="9" t="s">
        <v>132</v>
      </c>
      <c r="AE889" s="9" t="s">
        <v>133</v>
      </c>
      <c r="AF889" s="9" t="s">
        <v>133</v>
      </c>
      <c r="AG889" s="14" t="str">
        <f t="shared" si="30"/>
        <v>EXAMENES DE LABORATORIO</v>
      </c>
      <c r="AH889" s="9" t="s">
        <v>758</v>
      </c>
      <c r="AI889" s="9">
        <v>0</v>
      </c>
      <c r="AJ889" s="9">
        <v>96986050</v>
      </c>
      <c r="AK889" s="9">
        <v>3</v>
      </c>
      <c r="AL889" s="26" t="s">
        <v>62</v>
      </c>
      <c r="AM889" s="14" t="s">
        <v>660</v>
      </c>
      <c r="AN889" s="27" t="str">
        <f t="shared" si="29"/>
        <v>8330037|96986050|915866088|915866088</v>
      </c>
      <c r="AO889" t="s">
        <v>758</v>
      </c>
      <c r="AP889" t="b">
        <v>1</v>
      </c>
      <c r="AQ889" t="s">
        <v>764</v>
      </c>
    </row>
    <row r="890" spans="1:43" x14ac:dyDescent="0.2">
      <c r="A890" s="14" t="s">
        <v>500</v>
      </c>
      <c r="B890" s="17">
        <v>8330037</v>
      </c>
      <c r="C890" s="14" t="s">
        <v>364</v>
      </c>
      <c r="D890" s="9">
        <v>8330037</v>
      </c>
      <c r="E890" s="9" t="s">
        <v>364</v>
      </c>
      <c r="F890" s="7">
        <v>45717</v>
      </c>
      <c r="G890" s="20" t="s">
        <v>46</v>
      </c>
      <c r="H890" s="8">
        <v>915866088</v>
      </c>
      <c r="I890" s="19">
        <v>65383648</v>
      </c>
      <c r="J890" s="10">
        <v>4226</v>
      </c>
      <c r="K890" s="10">
        <v>0</v>
      </c>
      <c r="L890" s="10">
        <v>4226</v>
      </c>
      <c r="M890" s="10">
        <v>0</v>
      </c>
      <c r="N890" s="11">
        <v>4226</v>
      </c>
      <c r="O890" s="12">
        <v>915866088</v>
      </c>
      <c r="P890" s="9">
        <v>285123</v>
      </c>
      <c r="Q890" s="9" t="s">
        <v>37</v>
      </c>
      <c r="R890" s="13">
        <v>45717</v>
      </c>
      <c r="S890" s="22">
        <v>45742</v>
      </c>
      <c r="T890" s="13">
        <v>45665</v>
      </c>
      <c r="U890" s="13">
        <v>45665</v>
      </c>
      <c r="V890" s="9" t="s">
        <v>47</v>
      </c>
      <c r="W890" s="9">
        <v>22770310</v>
      </c>
      <c r="X890" s="9">
        <v>3311105</v>
      </c>
      <c r="Y890" s="9">
        <v>69250539</v>
      </c>
      <c r="Z890" s="9" t="s">
        <v>39</v>
      </c>
      <c r="AA890" s="9">
        <v>21874964</v>
      </c>
      <c r="AB890" s="9">
        <v>78070</v>
      </c>
      <c r="AC890" s="9" t="s">
        <v>41</v>
      </c>
      <c r="AD890" s="9" t="s">
        <v>132</v>
      </c>
      <c r="AE890" s="9" t="s">
        <v>133</v>
      </c>
      <c r="AF890" s="9" t="s">
        <v>133</v>
      </c>
      <c r="AG890" s="14" t="str">
        <f t="shared" si="30"/>
        <v>EXAMENES DE LABORATORIO</v>
      </c>
      <c r="AH890" s="9">
        <v>0</v>
      </c>
      <c r="AI890" s="9">
        <v>0</v>
      </c>
      <c r="AJ890" s="9">
        <v>96986050</v>
      </c>
      <c r="AK890" s="9">
        <v>3</v>
      </c>
      <c r="AL890" s="26" t="s">
        <v>52</v>
      </c>
      <c r="AM890" s="14" t="s">
        <v>660</v>
      </c>
      <c r="AN890" s="27" t="str">
        <f t="shared" si="29"/>
        <v>8330037|96986050|915866088|65383648</v>
      </c>
      <c r="AO890" t="s">
        <v>44</v>
      </c>
      <c r="AP890" t="b">
        <v>0</v>
      </c>
      <c r="AQ890" t="s">
        <v>763</v>
      </c>
    </row>
    <row r="891" spans="1:43" x14ac:dyDescent="0.2">
      <c r="A891" s="14" t="s">
        <v>500</v>
      </c>
      <c r="B891" s="17">
        <v>10690510</v>
      </c>
      <c r="C891" s="14" t="s">
        <v>372</v>
      </c>
      <c r="D891" s="9">
        <v>10690510</v>
      </c>
      <c r="E891" s="9" t="s">
        <v>372</v>
      </c>
      <c r="F891" s="7">
        <v>45658</v>
      </c>
      <c r="G891" s="20" t="s">
        <v>36</v>
      </c>
      <c r="H891" s="8">
        <v>916049985</v>
      </c>
      <c r="I891" s="19">
        <v>916049985</v>
      </c>
      <c r="J891" s="10">
        <v>42460</v>
      </c>
      <c r="K891" s="10">
        <v>13270</v>
      </c>
      <c r="L891" s="10">
        <v>29190</v>
      </c>
      <c r="M891" s="10">
        <v>0</v>
      </c>
      <c r="N891" s="11">
        <v>29190</v>
      </c>
      <c r="O891" s="12">
        <v>916049985</v>
      </c>
      <c r="P891" s="9">
        <v>285123</v>
      </c>
      <c r="Q891" s="9" t="s">
        <v>37</v>
      </c>
      <c r="R891" s="13">
        <v>45666</v>
      </c>
      <c r="S891" s="22">
        <v>45666</v>
      </c>
      <c r="T891" s="13">
        <v>45666</v>
      </c>
      <c r="U891" s="13">
        <v>45666</v>
      </c>
      <c r="V891" s="9" t="s">
        <v>47</v>
      </c>
      <c r="W891" s="9">
        <v>22462275</v>
      </c>
      <c r="X891" s="9">
        <v>1131703</v>
      </c>
      <c r="Y891" s="9">
        <v>68652016</v>
      </c>
      <c r="Z891" s="9" t="s">
        <v>39</v>
      </c>
      <c r="AA891" s="9">
        <v>12012025</v>
      </c>
      <c r="AB891" s="9">
        <v>77298</v>
      </c>
      <c r="AC891" s="9" t="s">
        <v>41</v>
      </c>
      <c r="AD891" s="9" t="s">
        <v>132</v>
      </c>
      <c r="AE891" s="9" t="s">
        <v>133</v>
      </c>
      <c r="AF891" s="9" t="s">
        <v>133</v>
      </c>
      <c r="AG891" s="14" t="str">
        <f t="shared" si="30"/>
        <v>EXAMENES DE LABORATORIO</v>
      </c>
      <c r="AH891" s="9" t="s">
        <v>758</v>
      </c>
      <c r="AI891" s="9">
        <v>0</v>
      </c>
      <c r="AJ891" s="9">
        <v>88611600</v>
      </c>
      <c r="AK891" s="9">
        <v>4</v>
      </c>
      <c r="AL891" s="26" t="s">
        <v>62</v>
      </c>
      <c r="AM891" s="14" t="s">
        <v>667</v>
      </c>
      <c r="AN891" s="27" t="str">
        <f t="shared" si="29"/>
        <v>10690510|88611600|916049985|916049985</v>
      </c>
      <c r="AO891" t="s">
        <v>758</v>
      </c>
      <c r="AP891" t="b">
        <v>1</v>
      </c>
      <c r="AQ891" t="s">
        <v>764</v>
      </c>
    </row>
    <row r="892" spans="1:43" x14ac:dyDescent="0.2">
      <c r="A892" s="14" t="s">
        <v>500</v>
      </c>
      <c r="B892" s="17">
        <v>10690510</v>
      </c>
      <c r="C892" s="14" t="s">
        <v>372</v>
      </c>
      <c r="D892" s="9">
        <v>10690510</v>
      </c>
      <c r="E892" s="9" t="s">
        <v>372</v>
      </c>
      <c r="F892" s="7">
        <v>45717</v>
      </c>
      <c r="G892" s="20" t="s">
        <v>46</v>
      </c>
      <c r="H892" s="8">
        <v>916049985</v>
      </c>
      <c r="I892" s="19">
        <v>65383895</v>
      </c>
      <c r="J892" s="10">
        <v>25369</v>
      </c>
      <c r="K892" s="10">
        <v>0</v>
      </c>
      <c r="L892" s="10">
        <v>25369</v>
      </c>
      <c r="M892" s="10">
        <v>0</v>
      </c>
      <c r="N892" s="11">
        <v>25369</v>
      </c>
      <c r="O892" s="12">
        <v>916049985</v>
      </c>
      <c r="P892" s="9">
        <v>285123</v>
      </c>
      <c r="Q892" s="9" t="s">
        <v>37</v>
      </c>
      <c r="R892" s="13">
        <v>45717</v>
      </c>
      <c r="S892" s="22">
        <v>45742</v>
      </c>
      <c r="T892" s="13">
        <v>45666</v>
      </c>
      <c r="U892" s="13">
        <v>45666</v>
      </c>
      <c r="V892" s="9" t="s">
        <v>47</v>
      </c>
      <c r="W892" s="9">
        <v>22770322</v>
      </c>
      <c r="X892" s="9">
        <v>3311105</v>
      </c>
      <c r="Y892" s="9">
        <v>69250784</v>
      </c>
      <c r="Z892" s="9" t="s">
        <v>39</v>
      </c>
      <c r="AA892" s="9">
        <v>5930151206</v>
      </c>
      <c r="AB892" s="9">
        <v>78070</v>
      </c>
      <c r="AC892" s="9" t="s">
        <v>41</v>
      </c>
      <c r="AD892" s="9" t="s">
        <v>132</v>
      </c>
      <c r="AE892" s="9" t="s">
        <v>133</v>
      </c>
      <c r="AF892" s="9" t="s">
        <v>133</v>
      </c>
      <c r="AG892" s="14" t="str">
        <f t="shared" si="30"/>
        <v>EXAMENES DE LABORATORIO</v>
      </c>
      <c r="AH892" s="9">
        <v>0</v>
      </c>
      <c r="AI892" s="9">
        <v>0</v>
      </c>
      <c r="AJ892" s="9">
        <v>88611600</v>
      </c>
      <c r="AK892" s="9">
        <v>4</v>
      </c>
      <c r="AL892" s="26" t="s">
        <v>52</v>
      </c>
      <c r="AM892" s="14" t="s">
        <v>667</v>
      </c>
      <c r="AN892" s="27" t="str">
        <f t="shared" si="29"/>
        <v>10690510|88611600|916049985|65383895</v>
      </c>
      <c r="AO892" t="s">
        <v>44</v>
      </c>
      <c r="AP892" t="b">
        <v>0</v>
      </c>
      <c r="AQ892" t="s">
        <v>763</v>
      </c>
    </row>
    <row r="893" spans="1:43" x14ac:dyDescent="0.2">
      <c r="A893" s="14" t="s">
        <v>500</v>
      </c>
      <c r="B893" s="17">
        <v>10242781</v>
      </c>
      <c r="C893" s="14" t="s">
        <v>373</v>
      </c>
      <c r="D893" s="9">
        <v>10242781</v>
      </c>
      <c r="E893" s="9" t="s">
        <v>373</v>
      </c>
      <c r="F893" s="7">
        <v>45658</v>
      </c>
      <c r="G893" s="20" t="s">
        <v>36</v>
      </c>
      <c r="H893" s="8">
        <v>916064279</v>
      </c>
      <c r="I893" s="19">
        <v>916064279</v>
      </c>
      <c r="J893" s="10">
        <v>33140</v>
      </c>
      <c r="K893" s="10">
        <v>10370</v>
      </c>
      <c r="L893" s="10">
        <v>22770</v>
      </c>
      <c r="M893" s="10">
        <v>0</v>
      </c>
      <c r="N893" s="11">
        <v>22770</v>
      </c>
      <c r="O893" s="12">
        <v>916064279</v>
      </c>
      <c r="P893" s="9">
        <v>285123</v>
      </c>
      <c r="Q893" s="9" t="s">
        <v>37</v>
      </c>
      <c r="R893" s="13">
        <v>45667</v>
      </c>
      <c r="S893" s="22">
        <v>45667</v>
      </c>
      <c r="T893" s="13">
        <v>45667</v>
      </c>
      <c r="U893" s="13">
        <v>45667</v>
      </c>
      <c r="V893" s="9" t="s">
        <v>47</v>
      </c>
      <c r="W893" s="9">
        <v>22462289</v>
      </c>
      <c r="X893" s="9">
        <v>1131703</v>
      </c>
      <c r="Y893" s="9">
        <v>68652133</v>
      </c>
      <c r="Z893" s="9" t="s">
        <v>39</v>
      </c>
      <c r="AA893" s="9">
        <v>12012025</v>
      </c>
      <c r="AB893" s="9">
        <v>77298</v>
      </c>
      <c r="AC893" s="9" t="s">
        <v>41</v>
      </c>
      <c r="AD893" s="9" t="s">
        <v>132</v>
      </c>
      <c r="AE893" s="9" t="s">
        <v>133</v>
      </c>
      <c r="AF893" s="9" t="s">
        <v>133</v>
      </c>
      <c r="AG893" s="14" t="str">
        <f t="shared" si="30"/>
        <v>EXAMENES DE LABORATORIO</v>
      </c>
      <c r="AH893" s="9" t="s">
        <v>758</v>
      </c>
      <c r="AI893" s="9">
        <v>0</v>
      </c>
      <c r="AJ893" s="9">
        <v>96617350</v>
      </c>
      <c r="AK893" s="9">
        <v>5</v>
      </c>
      <c r="AL893" s="26" t="s">
        <v>62</v>
      </c>
      <c r="AM893" s="14" t="s">
        <v>668</v>
      </c>
      <c r="AN893" s="27" t="str">
        <f t="shared" si="29"/>
        <v>10242781|96617350|916064279|916064279</v>
      </c>
      <c r="AO893" t="s">
        <v>758</v>
      </c>
      <c r="AP893" t="b">
        <v>1</v>
      </c>
      <c r="AQ893" t="s">
        <v>764</v>
      </c>
    </row>
    <row r="894" spans="1:43" x14ac:dyDescent="0.2">
      <c r="A894" s="14" t="s">
        <v>500</v>
      </c>
      <c r="B894" s="17">
        <v>10242781</v>
      </c>
      <c r="C894" s="14" t="s">
        <v>373</v>
      </c>
      <c r="D894" s="9">
        <v>10242781</v>
      </c>
      <c r="E894" s="9" t="s">
        <v>373</v>
      </c>
      <c r="F894" s="7">
        <v>45717</v>
      </c>
      <c r="G894" s="20" t="s">
        <v>46</v>
      </c>
      <c r="H894" s="8">
        <v>916064279</v>
      </c>
      <c r="I894" s="19">
        <v>65383821</v>
      </c>
      <c r="J894" s="10">
        <v>19984</v>
      </c>
      <c r="K894" s="10">
        <v>0</v>
      </c>
      <c r="L894" s="10">
        <v>19984</v>
      </c>
      <c r="M894" s="10">
        <v>0</v>
      </c>
      <c r="N894" s="11">
        <v>19984</v>
      </c>
      <c r="O894" s="12">
        <v>916064279</v>
      </c>
      <c r="P894" s="9">
        <v>285123</v>
      </c>
      <c r="Q894" s="9" t="s">
        <v>37</v>
      </c>
      <c r="R894" s="13">
        <v>45717</v>
      </c>
      <c r="S894" s="22">
        <v>45742</v>
      </c>
      <c r="T894" s="13">
        <v>45667</v>
      </c>
      <c r="U894" s="13">
        <v>45667</v>
      </c>
      <c r="V894" s="9" t="s">
        <v>47</v>
      </c>
      <c r="W894" s="9">
        <v>22770326</v>
      </c>
      <c r="X894" s="9">
        <v>3311105</v>
      </c>
      <c r="Y894" s="9">
        <v>69250710</v>
      </c>
      <c r="Z894" s="9" t="s">
        <v>39</v>
      </c>
      <c r="AA894" s="9">
        <v>45066906</v>
      </c>
      <c r="AB894" s="9">
        <v>78070</v>
      </c>
      <c r="AC894" s="9" t="s">
        <v>41</v>
      </c>
      <c r="AD894" s="9" t="s">
        <v>132</v>
      </c>
      <c r="AE894" s="9" t="s">
        <v>133</v>
      </c>
      <c r="AF894" s="9" t="s">
        <v>133</v>
      </c>
      <c r="AG894" s="14" t="str">
        <f t="shared" si="30"/>
        <v>EXAMENES DE LABORATORIO</v>
      </c>
      <c r="AH894" s="9">
        <v>0</v>
      </c>
      <c r="AI894" s="9">
        <v>0</v>
      </c>
      <c r="AJ894" s="9">
        <v>96617350</v>
      </c>
      <c r="AK894" s="9">
        <v>5</v>
      </c>
      <c r="AL894" s="26" t="s">
        <v>52</v>
      </c>
      <c r="AM894" s="14" t="s">
        <v>668</v>
      </c>
      <c r="AN894" s="27" t="str">
        <f t="shared" si="29"/>
        <v>10242781|96617350|916064279|65383821</v>
      </c>
      <c r="AO894" t="s">
        <v>44</v>
      </c>
      <c r="AP894" t="b">
        <v>0</v>
      </c>
      <c r="AQ894" t="s">
        <v>763</v>
      </c>
    </row>
    <row r="895" spans="1:43" x14ac:dyDescent="0.2">
      <c r="A895" s="14" t="s">
        <v>500</v>
      </c>
      <c r="B895" s="17">
        <v>17729073</v>
      </c>
      <c r="C895" s="14" t="s">
        <v>59</v>
      </c>
      <c r="D895" s="9">
        <v>17729073</v>
      </c>
      <c r="E895" s="9" t="s">
        <v>59</v>
      </c>
      <c r="F895" s="7">
        <v>45658</v>
      </c>
      <c r="G895" s="20" t="s">
        <v>36</v>
      </c>
      <c r="H895" s="8">
        <v>916141055</v>
      </c>
      <c r="I895" s="19">
        <v>916141055</v>
      </c>
      <c r="J895" s="10">
        <v>9680</v>
      </c>
      <c r="K895" s="10">
        <v>3030</v>
      </c>
      <c r="L895" s="10">
        <v>6650</v>
      </c>
      <c r="M895" s="10">
        <v>0</v>
      </c>
      <c r="N895" s="11">
        <v>6650</v>
      </c>
      <c r="O895" s="12">
        <v>916141055</v>
      </c>
      <c r="P895" s="9">
        <v>285123</v>
      </c>
      <c r="Q895" s="9" t="s">
        <v>37</v>
      </c>
      <c r="R895" s="13">
        <v>45667</v>
      </c>
      <c r="S895" s="22">
        <v>45667</v>
      </c>
      <c r="T895" s="13">
        <v>45667</v>
      </c>
      <c r="U895" s="13">
        <v>45667</v>
      </c>
      <c r="V895" s="9" t="s">
        <v>47</v>
      </c>
      <c r="W895" s="9">
        <v>22462306</v>
      </c>
      <c r="X895" s="9">
        <v>1131703</v>
      </c>
      <c r="Y895" s="9">
        <v>68652547</v>
      </c>
      <c r="Z895" s="9" t="s">
        <v>39</v>
      </c>
      <c r="AA895" s="9">
        <v>12012025</v>
      </c>
      <c r="AB895" s="9">
        <v>77298</v>
      </c>
      <c r="AC895" s="9" t="s">
        <v>41</v>
      </c>
      <c r="AD895" s="9" t="s">
        <v>132</v>
      </c>
      <c r="AE895" s="9" t="s">
        <v>133</v>
      </c>
      <c r="AF895" s="9" t="s">
        <v>133</v>
      </c>
      <c r="AG895" s="14" t="str">
        <f t="shared" si="30"/>
        <v>EXAMENES DE LABORATORIO</v>
      </c>
      <c r="AH895" s="9" t="s">
        <v>758</v>
      </c>
      <c r="AI895" s="9">
        <v>0</v>
      </c>
      <c r="AJ895" s="9">
        <v>96802800</v>
      </c>
      <c r="AK895" s="9">
        <v>6</v>
      </c>
      <c r="AL895" s="26" t="s">
        <v>62</v>
      </c>
      <c r="AM895" s="14" t="s">
        <v>506</v>
      </c>
      <c r="AN895" s="27" t="str">
        <f t="shared" si="29"/>
        <v>17729073|96802800|916141055|916141055</v>
      </c>
      <c r="AO895" t="s">
        <v>758</v>
      </c>
      <c r="AP895" t="b">
        <v>1</v>
      </c>
      <c r="AQ895" t="s">
        <v>764</v>
      </c>
    </row>
    <row r="896" spans="1:43" x14ac:dyDescent="0.2">
      <c r="A896" s="14" t="s">
        <v>500</v>
      </c>
      <c r="B896" s="17">
        <v>17729073</v>
      </c>
      <c r="C896" s="14" t="s">
        <v>59</v>
      </c>
      <c r="D896" s="9">
        <v>17729073</v>
      </c>
      <c r="E896" s="9" t="s">
        <v>59</v>
      </c>
      <c r="F896" s="7">
        <v>45717</v>
      </c>
      <c r="G896" s="20" t="s">
        <v>46</v>
      </c>
      <c r="H896" s="8">
        <v>916141055</v>
      </c>
      <c r="I896" s="19">
        <v>65384429</v>
      </c>
      <c r="J896" s="10">
        <v>5764</v>
      </c>
      <c r="K896" s="10">
        <v>0</v>
      </c>
      <c r="L896" s="10">
        <v>5764</v>
      </c>
      <c r="M896" s="10">
        <v>0</v>
      </c>
      <c r="N896" s="11">
        <v>5764</v>
      </c>
      <c r="O896" s="12">
        <v>916141055</v>
      </c>
      <c r="P896" s="9">
        <v>285123</v>
      </c>
      <c r="Q896" s="9" t="s">
        <v>37</v>
      </c>
      <c r="R896" s="13">
        <v>45717</v>
      </c>
      <c r="S896" s="22">
        <v>45742</v>
      </c>
      <c r="T896" s="13">
        <v>45667</v>
      </c>
      <c r="U896" s="13">
        <v>45667</v>
      </c>
      <c r="V896" s="9" t="s">
        <v>47</v>
      </c>
      <c r="W896" s="9">
        <v>22770332</v>
      </c>
      <c r="X896" s="9">
        <v>3311105</v>
      </c>
      <c r="Y896" s="9">
        <v>69251297</v>
      </c>
      <c r="Z896" s="9" t="s">
        <v>39</v>
      </c>
      <c r="AA896" s="9">
        <v>4012349701</v>
      </c>
      <c r="AB896" s="9">
        <v>78070</v>
      </c>
      <c r="AC896" s="9" t="s">
        <v>41</v>
      </c>
      <c r="AD896" s="9" t="s">
        <v>132</v>
      </c>
      <c r="AE896" s="9" t="s">
        <v>133</v>
      </c>
      <c r="AF896" s="9" t="s">
        <v>133</v>
      </c>
      <c r="AG896" s="14" t="str">
        <f t="shared" si="30"/>
        <v>EXAMENES DE LABORATORIO</v>
      </c>
      <c r="AH896" s="9">
        <v>0</v>
      </c>
      <c r="AI896" s="9">
        <v>0</v>
      </c>
      <c r="AJ896" s="9">
        <v>96802800</v>
      </c>
      <c r="AK896" s="9">
        <v>6</v>
      </c>
      <c r="AL896" s="26" t="s">
        <v>52</v>
      </c>
      <c r="AM896" s="14" t="s">
        <v>506</v>
      </c>
      <c r="AN896" s="27" t="str">
        <f t="shared" si="29"/>
        <v>17729073|96802800|916141055|65384429</v>
      </c>
      <c r="AO896" t="s">
        <v>44</v>
      </c>
      <c r="AP896" t="b">
        <v>0</v>
      </c>
      <c r="AQ896" t="s">
        <v>763</v>
      </c>
    </row>
    <row r="897" spans="1:43" x14ac:dyDescent="0.2">
      <c r="A897" s="14" t="s">
        <v>500</v>
      </c>
      <c r="B897" s="17">
        <v>9304885</v>
      </c>
      <c r="C897" s="14" t="s">
        <v>368</v>
      </c>
      <c r="D897" s="9">
        <v>9304885</v>
      </c>
      <c r="E897" s="9" t="s">
        <v>368</v>
      </c>
      <c r="F897" s="7">
        <v>45658</v>
      </c>
      <c r="G897" s="20" t="s">
        <v>36</v>
      </c>
      <c r="H897" s="8">
        <v>916311355</v>
      </c>
      <c r="I897" s="19">
        <v>916311355</v>
      </c>
      <c r="J897" s="10">
        <v>17660</v>
      </c>
      <c r="K897" s="10">
        <v>6800</v>
      </c>
      <c r="L897" s="10">
        <v>10860</v>
      </c>
      <c r="M897" s="10">
        <v>0</v>
      </c>
      <c r="N897" s="11">
        <v>10860</v>
      </c>
      <c r="O897" s="12">
        <v>916311355</v>
      </c>
      <c r="P897" s="9">
        <v>285123</v>
      </c>
      <c r="Q897" s="9" t="s">
        <v>37</v>
      </c>
      <c r="R897" s="13">
        <v>45670</v>
      </c>
      <c r="S897" s="22">
        <v>45670</v>
      </c>
      <c r="T897" s="13">
        <v>45670</v>
      </c>
      <c r="U897" s="13">
        <v>45670</v>
      </c>
      <c r="V897" s="9" t="s">
        <v>47</v>
      </c>
      <c r="W897" s="9">
        <v>22497782</v>
      </c>
      <c r="X897" s="9">
        <v>1210929</v>
      </c>
      <c r="Y897" s="9">
        <v>68688043</v>
      </c>
      <c r="Z897" s="9" t="s">
        <v>39</v>
      </c>
      <c r="AA897" s="9">
        <v>19012025</v>
      </c>
      <c r="AB897" s="9">
        <v>77381</v>
      </c>
      <c r="AC897" s="9" t="s">
        <v>41</v>
      </c>
      <c r="AD897" s="9" t="s">
        <v>132</v>
      </c>
      <c r="AE897" s="9" t="s">
        <v>133</v>
      </c>
      <c r="AF897" s="9" t="s">
        <v>133</v>
      </c>
      <c r="AG897" s="14" t="str">
        <f t="shared" si="30"/>
        <v>EXAMENES DE LABORATORIO</v>
      </c>
      <c r="AH897" s="9" t="s">
        <v>758</v>
      </c>
      <c r="AI897" s="9">
        <v>0</v>
      </c>
      <c r="AJ897" s="9">
        <v>52003490</v>
      </c>
      <c r="AK897" s="9">
        <v>0</v>
      </c>
      <c r="AL897" s="26" t="s">
        <v>62</v>
      </c>
      <c r="AM897" s="14" t="s">
        <v>664</v>
      </c>
      <c r="AN897" s="27" t="str">
        <f t="shared" si="29"/>
        <v>9304885|52003490|916311355|916311355</v>
      </c>
      <c r="AO897" t="s">
        <v>758</v>
      </c>
      <c r="AP897" t="b">
        <v>1</v>
      </c>
      <c r="AQ897" t="s">
        <v>764</v>
      </c>
    </row>
    <row r="898" spans="1:43" x14ac:dyDescent="0.2">
      <c r="A898" s="14" t="s">
        <v>500</v>
      </c>
      <c r="B898" s="17">
        <v>9304885</v>
      </c>
      <c r="C898" s="14" t="s">
        <v>368</v>
      </c>
      <c r="D898" s="9">
        <v>9304885</v>
      </c>
      <c r="E898" s="9" t="s">
        <v>368</v>
      </c>
      <c r="F898" s="7">
        <v>45717</v>
      </c>
      <c r="G898" s="20" t="s">
        <v>46</v>
      </c>
      <c r="H898" s="8">
        <v>916311355</v>
      </c>
      <c r="I898" s="19">
        <v>65383720</v>
      </c>
      <c r="J898" s="10">
        <v>10373</v>
      </c>
      <c r="K898" s="10">
        <v>0</v>
      </c>
      <c r="L898" s="10">
        <v>10373</v>
      </c>
      <c r="M898" s="10">
        <v>0</v>
      </c>
      <c r="N898" s="11">
        <v>10373</v>
      </c>
      <c r="O898" s="12">
        <v>916311355</v>
      </c>
      <c r="P898" s="9">
        <v>285123</v>
      </c>
      <c r="Q898" s="9" t="s">
        <v>37</v>
      </c>
      <c r="R898" s="13">
        <v>45717</v>
      </c>
      <c r="S898" s="22">
        <v>45742</v>
      </c>
      <c r="T898" s="13">
        <v>45670</v>
      </c>
      <c r="U898" s="13">
        <v>45670</v>
      </c>
      <c r="V898" s="9" t="s">
        <v>47</v>
      </c>
      <c r="W898" s="9">
        <v>22770334</v>
      </c>
      <c r="X898" s="9">
        <v>3311105</v>
      </c>
      <c r="Y898" s="9">
        <v>69250611</v>
      </c>
      <c r="Z898" s="9" t="s">
        <v>39</v>
      </c>
      <c r="AA898" s="9">
        <v>9304885</v>
      </c>
      <c r="AB898" s="9">
        <v>78070</v>
      </c>
      <c r="AC898" s="9" t="s">
        <v>41</v>
      </c>
      <c r="AD898" s="9" t="s">
        <v>132</v>
      </c>
      <c r="AE898" s="9" t="s">
        <v>133</v>
      </c>
      <c r="AF898" s="9" t="s">
        <v>133</v>
      </c>
      <c r="AG898" s="14" t="str">
        <f t="shared" si="30"/>
        <v>EXAMENES DE LABORATORIO</v>
      </c>
      <c r="AH898" s="9">
        <v>0</v>
      </c>
      <c r="AI898" s="9">
        <v>0</v>
      </c>
      <c r="AJ898" s="9">
        <v>52003490</v>
      </c>
      <c r="AK898" s="9">
        <v>0</v>
      </c>
      <c r="AL898" s="26" t="s">
        <v>52</v>
      </c>
      <c r="AM898" s="14" t="s">
        <v>664</v>
      </c>
      <c r="AN898" s="27" t="str">
        <f t="shared" si="29"/>
        <v>9304885|52003490|916311355|65383720</v>
      </c>
      <c r="AO898" t="s">
        <v>44</v>
      </c>
      <c r="AP898" t="b">
        <v>0</v>
      </c>
      <c r="AQ898" t="s">
        <v>763</v>
      </c>
    </row>
    <row r="899" spans="1:43" x14ac:dyDescent="0.2">
      <c r="A899" s="14" t="s">
        <v>500</v>
      </c>
      <c r="B899" s="17">
        <v>19517789</v>
      </c>
      <c r="C899" s="14" t="s">
        <v>374</v>
      </c>
      <c r="D899" s="9">
        <v>19517789</v>
      </c>
      <c r="E899" s="9" t="s">
        <v>374</v>
      </c>
      <c r="F899" s="7">
        <v>45658</v>
      </c>
      <c r="G899" s="20" t="s">
        <v>36</v>
      </c>
      <c r="H899" s="8">
        <v>916333722</v>
      </c>
      <c r="I899" s="19">
        <v>916333722</v>
      </c>
      <c r="J899" s="10">
        <v>122060</v>
      </c>
      <c r="K899" s="10">
        <v>38150</v>
      </c>
      <c r="L899" s="10">
        <v>83910</v>
      </c>
      <c r="M899" s="10">
        <v>0</v>
      </c>
      <c r="N899" s="11">
        <v>83910</v>
      </c>
      <c r="O899" s="12">
        <v>916333722</v>
      </c>
      <c r="P899" s="9">
        <v>285123</v>
      </c>
      <c r="Q899" s="9" t="s">
        <v>37</v>
      </c>
      <c r="R899" s="13">
        <v>45670</v>
      </c>
      <c r="S899" s="22">
        <v>45670</v>
      </c>
      <c r="T899" s="13">
        <v>45670</v>
      </c>
      <c r="U899" s="13">
        <v>45670</v>
      </c>
      <c r="V899" s="9" t="s">
        <v>47</v>
      </c>
      <c r="W899" s="9">
        <v>22497823</v>
      </c>
      <c r="X899" s="9">
        <v>1210929</v>
      </c>
      <c r="Y899" s="9">
        <v>68688154</v>
      </c>
      <c r="Z899" s="9" t="s">
        <v>39</v>
      </c>
      <c r="AA899" s="9">
        <v>19012025</v>
      </c>
      <c r="AB899" s="9">
        <v>77381</v>
      </c>
      <c r="AC899" s="9" t="s">
        <v>41</v>
      </c>
      <c r="AD899" s="9" t="s">
        <v>134</v>
      </c>
      <c r="AE899" s="9" t="s">
        <v>135</v>
      </c>
      <c r="AF899" s="9" t="s">
        <v>135</v>
      </c>
      <c r="AG899" s="14" t="str">
        <f t="shared" si="30"/>
        <v>EXAMENES RADIOLOGICOS</v>
      </c>
      <c r="AH899" s="9" t="s">
        <v>758</v>
      </c>
      <c r="AI899" s="9">
        <v>0</v>
      </c>
      <c r="AJ899" s="9">
        <v>96942400</v>
      </c>
      <c r="AK899" s="9">
        <v>2</v>
      </c>
      <c r="AL899" s="26" t="s">
        <v>62</v>
      </c>
      <c r="AM899" s="14" t="s">
        <v>669</v>
      </c>
      <c r="AN899" s="27" t="str">
        <f t="shared" ref="AN899:AN962" si="31">B899&amp;"|"&amp;AJ899&amp;"|"&amp;H899&amp;"|"&amp;I899</f>
        <v>19517789|96942400|916333722|916333722</v>
      </c>
      <c r="AO899" t="s">
        <v>758</v>
      </c>
      <c r="AP899" t="b">
        <v>1</v>
      </c>
      <c r="AQ899" t="s">
        <v>764</v>
      </c>
    </row>
    <row r="900" spans="1:43" x14ac:dyDescent="0.2">
      <c r="A900" s="14" t="s">
        <v>500</v>
      </c>
      <c r="B900" s="17">
        <v>19517789</v>
      </c>
      <c r="C900" s="14" t="s">
        <v>374</v>
      </c>
      <c r="D900" s="9">
        <v>19517789</v>
      </c>
      <c r="E900" s="9" t="s">
        <v>374</v>
      </c>
      <c r="F900" s="7">
        <v>45717</v>
      </c>
      <c r="G900" s="20" t="s">
        <v>46</v>
      </c>
      <c r="H900" s="8">
        <v>916333722</v>
      </c>
      <c r="I900" s="19">
        <v>65384487</v>
      </c>
      <c r="J900" s="10">
        <v>72246</v>
      </c>
      <c r="K900" s="10">
        <v>0</v>
      </c>
      <c r="L900" s="10">
        <v>72246</v>
      </c>
      <c r="M900" s="10">
        <v>0</v>
      </c>
      <c r="N900" s="11">
        <v>72246</v>
      </c>
      <c r="O900" s="12">
        <v>916333722</v>
      </c>
      <c r="P900" s="9">
        <v>285123</v>
      </c>
      <c r="Q900" s="9" t="s">
        <v>37</v>
      </c>
      <c r="R900" s="13">
        <v>45717</v>
      </c>
      <c r="S900" s="22">
        <v>45742</v>
      </c>
      <c r="T900" s="13">
        <v>45670</v>
      </c>
      <c r="U900" s="13">
        <v>45670</v>
      </c>
      <c r="V900" s="9" t="s">
        <v>47</v>
      </c>
      <c r="W900" s="9">
        <v>22770342</v>
      </c>
      <c r="X900" s="9">
        <v>3311105</v>
      </c>
      <c r="Y900" s="9">
        <v>69251353</v>
      </c>
      <c r="Z900" s="9" t="s">
        <v>39</v>
      </c>
      <c r="AA900" s="9">
        <v>4011816018</v>
      </c>
      <c r="AB900" s="9">
        <v>78070</v>
      </c>
      <c r="AC900" s="9" t="s">
        <v>41</v>
      </c>
      <c r="AD900" s="9" t="s">
        <v>134</v>
      </c>
      <c r="AE900" s="9" t="s">
        <v>135</v>
      </c>
      <c r="AF900" s="9" t="s">
        <v>135</v>
      </c>
      <c r="AG900" s="14" t="str">
        <f t="shared" si="30"/>
        <v>EXAMENES RADIOLOGICOS</v>
      </c>
      <c r="AH900" s="9">
        <v>0</v>
      </c>
      <c r="AI900" s="9">
        <v>0</v>
      </c>
      <c r="AJ900" s="9">
        <v>96942400</v>
      </c>
      <c r="AK900" s="9">
        <v>2</v>
      </c>
      <c r="AL900" s="26" t="s">
        <v>52</v>
      </c>
      <c r="AM900" s="14" t="s">
        <v>669</v>
      </c>
      <c r="AN900" s="27" t="str">
        <f t="shared" si="31"/>
        <v>19517789|96942400|916333722|65384487</v>
      </c>
      <c r="AO900" t="s">
        <v>44</v>
      </c>
      <c r="AP900" t="b">
        <v>0</v>
      </c>
      <c r="AQ900" t="s">
        <v>763</v>
      </c>
    </row>
    <row r="901" spans="1:43" x14ac:dyDescent="0.2">
      <c r="A901" s="14" t="s">
        <v>500</v>
      </c>
      <c r="B901" s="17">
        <v>14157190</v>
      </c>
      <c r="C901" s="14" t="s">
        <v>375</v>
      </c>
      <c r="D901" s="9">
        <v>14157190</v>
      </c>
      <c r="E901" s="9" t="s">
        <v>375</v>
      </c>
      <c r="F901" s="7">
        <v>45658</v>
      </c>
      <c r="G901" s="20" t="s">
        <v>36</v>
      </c>
      <c r="H901" s="8">
        <v>916357934</v>
      </c>
      <c r="I901" s="19">
        <v>916357934</v>
      </c>
      <c r="J901" s="10">
        <v>122060</v>
      </c>
      <c r="K901" s="10">
        <v>38150</v>
      </c>
      <c r="L901" s="10">
        <v>83910</v>
      </c>
      <c r="M901" s="10">
        <v>0</v>
      </c>
      <c r="N901" s="11">
        <v>83910</v>
      </c>
      <c r="O901" s="12">
        <v>916357934</v>
      </c>
      <c r="P901" s="9">
        <v>285123</v>
      </c>
      <c r="Q901" s="9" t="s">
        <v>37</v>
      </c>
      <c r="R901" s="13">
        <v>45670</v>
      </c>
      <c r="S901" s="22">
        <v>45670</v>
      </c>
      <c r="T901" s="13">
        <v>45670</v>
      </c>
      <c r="U901" s="13">
        <v>45670</v>
      </c>
      <c r="V901" s="9" t="s">
        <v>47</v>
      </c>
      <c r="W901" s="9">
        <v>22497804</v>
      </c>
      <c r="X901" s="9">
        <v>1210929</v>
      </c>
      <c r="Y901" s="9">
        <v>68688277</v>
      </c>
      <c r="Z901" s="9" t="s">
        <v>39</v>
      </c>
      <c r="AA901" s="9">
        <v>19012025</v>
      </c>
      <c r="AB901" s="9">
        <v>77381</v>
      </c>
      <c r="AC901" s="9" t="s">
        <v>41</v>
      </c>
      <c r="AD901" s="9" t="s">
        <v>134</v>
      </c>
      <c r="AE901" s="9" t="s">
        <v>135</v>
      </c>
      <c r="AF901" s="9" t="s">
        <v>135</v>
      </c>
      <c r="AG901" s="14" t="str">
        <f t="shared" si="30"/>
        <v>EXAMENES RADIOLOGICOS</v>
      </c>
      <c r="AH901" s="9" t="s">
        <v>758</v>
      </c>
      <c r="AI901" s="9">
        <v>0</v>
      </c>
      <c r="AJ901" s="9">
        <v>96942400</v>
      </c>
      <c r="AK901" s="9">
        <v>2</v>
      </c>
      <c r="AL901" s="26" t="s">
        <v>62</v>
      </c>
      <c r="AM901" s="14" t="s">
        <v>670</v>
      </c>
      <c r="AN901" s="27" t="str">
        <f t="shared" si="31"/>
        <v>14157190|96942400|916357934|916357934</v>
      </c>
      <c r="AO901" t="s">
        <v>758</v>
      </c>
      <c r="AP901" t="b">
        <v>1</v>
      </c>
      <c r="AQ901" t="s">
        <v>764</v>
      </c>
    </row>
    <row r="902" spans="1:43" x14ac:dyDescent="0.2">
      <c r="A902" s="14" t="s">
        <v>500</v>
      </c>
      <c r="B902" s="17">
        <v>14157190</v>
      </c>
      <c r="C902" s="14" t="s">
        <v>375</v>
      </c>
      <c r="D902" s="9">
        <v>14157190</v>
      </c>
      <c r="E902" s="9" t="s">
        <v>375</v>
      </c>
      <c r="F902" s="7">
        <v>45717</v>
      </c>
      <c r="G902" s="20" t="s">
        <v>46</v>
      </c>
      <c r="H902" s="8">
        <v>916357934</v>
      </c>
      <c r="I902" s="19">
        <v>65384207</v>
      </c>
      <c r="J902" s="10">
        <v>72246</v>
      </c>
      <c r="K902" s="10">
        <v>0</v>
      </c>
      <c r="L902" s="10">
        <v>72246</v>
      </c>
      <c r="M902" s="10">
        <v>0</v>
      </c>
      <c r="N902" s="11">
        <v>72246</v>
      </c>
      <c r="O902" s="12">
        <v>916357934</v>
      </c>
      <c r="P902" s="9">
        <v>285123</v>
      </c>
      <c r="Q902" s="9" t="s">
        <v>37</v>
      </c>
      <c r="R902" s="13">
        <v>45717</v>
      </c>
      <c r="S902" s="22">
        <v>45742</v>
      </c>
      <c r="T902" s="13">
        <v>45670</v>
      </c>
      <c r="U902" s="13">
        <v>45670</v>
      </c>
      <c r="V902" s="9" t="s">
        <v>47</v>
      </c>
      <c r="W902" s="9">
        <v>22770339</v>
      </c>
      <c r="X902" s="9">
        <v>3311105</v>
      </c>
      <c r="Y902" s="9">
        <v>69251082</v>
      </c>
      <c r="Z902" s="9" t="s">
        <v>39</v>
      </c>
      <c r="AA902" s="9">
        <v>15060102662</v>
      </c>
      <c r="AB902" s="9">
        <v>78070</v>
      </c>
      <c r="AC902" s="9" t="s">
        <v>41</v>
      </c>
      <c r="AD902" s="9" t="s">
        <v>134</v>
      </c>
      <c r="AE902" s="9" t="s">
        <v>135</v>
      </c>
      <c r="AF902" s="9" t="s">
        <v>135</v>
      </c>
      <c r="AG902" s="14" t="str">
        <f t="shared" si="30"/>
        <v>EXAMENES RADIOLOGICOS</v>
      </c>
      <c r="AH902" s="9">
        <v>0</v>
      </c>
      <c r="AI902" s="9">
        <v>0</v>
      </c>
      <c r="AJ902" s="9">
        <v>96942400</v>
      </c>
      <c r="AK902" s="9">
        <v>2</v>
      </c>
      <c r="AL902" s="26" t="s">
        <v>52</v>
      </c>
      <c r="AM902" s="14" t="s">
        <v>670</v>
      </c>
      <c r="AN902" s="27" t="str">
        <f t="shared" si="31"/>
        <v>14157190|96942400|916357934|65384207</v>
      </c>
      <c r="AO902" t="s">
        <v>44</v>
      </c>
      <c r="AP902" t="b">
        <v>0</v>
      </c>
      <c r="AQ902" t="s">
        <v>763</v>
      </c>
    </row>
    <row r="903" spans="1:43" x14ac:dyDescent="0.2">
      <c r="A903" s="14" t="s">
        <v>500</v>
      </c>
      <c r="B903" s="17">
        <v>19517789</v>
      </c>
      <c r="C903" s="14" t="s">
        <v>374</v>
      </c>
      <c r="D903" s="9">
        <v>19517789</v>
      </c>
      <c r="E903" s="9" t="s">
        <v>374</v>
      </c>
      <c r="F903" s="7">
        <v>45658</v>
      </c>
      <c r="G903" s="20" t="s">
        <v>36</v>
      </c>
      <c r="H903" s="8">
        <v>916375811</v>
      </c>
      <c r="I903" s="19">
        <v>916375811</v>
      </c>
      <c r="J903" s="10">
        <v>11500</v>
      </c>
      <c r="K903" s="10">
        <v>3600</v>
      </c>
      <c r="L903" s="10">
        <v>7900</v>
      </c>
      <c r="M903" s="10">
        <v>0</v>
      </c>
      <c r="N903" s="11">
        <v>7900</v>
      </c>
      <c r="O903" s="12">
        <v>916375811</v>
      </c>
      <c r="P903" s="9">
        <v>285123</v>
      </c>
      <c r="Q903" s="9" t="s">
        <v>37</v>
      </c>
      <c r="R903" s="13">
        <v>45670</v>
      </c>
      <c r="S903" s="22">
        <v>45670</v>
      </c>
      <c r="T903" s="13">
        <v>45670</v>
      </c>
      <c r="U903" s="13">
        <v>45670</v>
      </c>
      <c r="V903" s="9" t="s">
        <v>47</v>
      </c>
      <c r="W903" s="9">
        <v>22497823</v>
      </c>
      <c r="X903" s="9">
        <v>1210929</v>
      </c>
      <c r="Y903" s="9">
        <v>68688374</v>
      </c>
      <c r="Z903" s="9" t="s">
        <v>39</v>
      </c>
      <c r="AA903" s="9">
        <v>19012025</v>
      </c>
      <c r="AB903" s="9">
        <v>77381</v>
      </c>
      <c r="AC903" s="9" t="s">
        <v>41</v>
      </c>
      <c r="AD903" s="9" t="s">
        <v>65</v>
      </c>
      <c r="AE903" s="9" t="s">
        <v>66</v>
      </c>
      <c r="AF903" s="9" t="s">
        <v>66</v>
      </c>
      <c r="AG903" s="14" t="str">
        <f t="shared" si="30"/>
        <v>PROCEDIMIENTOS TERAPEUTICOS</v>
      </c>
      <c r="AH903" s="9" t="s">
        <v>758</v>
      </c>
      <c r="AI903" s="9">
        <v>0</v>
      </c>
      <c r="AJ903" s="9">
        <v>96942400</v>
      </c>
      <c r="AK903" s="9">
        <v>2</v>
      </c>
      <c r="AL903" s="26" t="s">
        <v>62</v>
      </c>
      <c r="AM903" s="14" t="s">
        <v>669</v>
      </c>
      <c r="AN903" s="27" t="str">
        <f t="shared" si="31"/>
        <v>19517789|96942400|916375811|916375811</v>
      </c>
      <c r="AO903" t="s">
        <v>758</v>
      </c>
      <c r="AP903" t="b">
        <v>1</v>
      </c>
      <c r="AQ903" t="s">
        <v>764</v>
      </c>
    </row>
    <row r="904" spans="1:43" x14ac:dyDescent="0.2">
      <c r="A904" s="14" t="s">
        <v>500</v>
      </c>
      <c r="B904" s="17">
        <v>19517789</v>
      </c>
      <c r="C904" s="14" t="s">
        <v>374</v>
      </c>
      <c r="D904" s="9">
        <v>19517789</v>
      </c>
      <c r="E904" s="9" t="s">
        <v>374</v>
      </c>
      <c r="F904" s="7">
        <v>45717</v>
      </c>
      <c r="G904" s="20" t="s">
        <v>46</v>
      </c>
      <c r="H904" s="8">
        <v>916375811</v>
      </c>
      <c r="I904" s="19">
        <v>65384488</v>
      </c>
      <c r="J904" s="10">
        <v>6917</v>
      </c>
      <c r="K904" s="10">
        <v>0</v>
      </c>
      <c r="L904" s="10">
        <v>6917</v>
      </c>
      <c r="M904" s="10">
        <v>0</v>
      </c>
      <c r="N904" s="11">
        <v>6917</v>
      </c>
      <c r="O904" s="12">
        <v>916375811</v>
      </c>
      <c r="P904" s="9">
        <v>285123</v>
      </c>
      <c r="Q904" s="9" t="s">
        <v>37</v>
      </c>
      <c r="R904" s="13">
        <v>45717</v>
      </c>
      <c r="S904" s="22">
        <v>45742</v>
      </c>
      <c r="T904" s="13">
        <v>45670</v>
      </c>
      <c r="U904" s="13">
        <v>45670</v>
      </c>
      <c r="V904" s="9" t="s">
        <v>47</v>
      </c>
      <c r="W904" s="9">
        <v>22770342</v>
      </c>
      <c r="X904" s="9">
        <v>3311105</v>
      </c>
      <c r="Y904" s="9">
        <v>69251354</v>
      </c>
      <c r="Z904" s="9" t="s">
        <v>39</v>
      </c>
      <c r="AA904" s="9">
        <v>4011816018</v>
      </c>
      <c r="AB904" s="9">
        <v>78070</v>
      </c>
      <c r="AC904" s="9" t="s">
        <v>41</v>
      </c>
      <c r="AD904" s="9" t="s">
        <v>65</v>
      </c>
      <c r="AE904" s="9" t="s">
        <v>66</v>
      </c>
      <c r="AF904" s="9" t="s">
        <v>66</v>
      </c>
      <c r="AG904" s="14" t="str">
        <f t="shared" si="30"/>
        <v>PROCEDIMIENTOS TERAPEUTICOS</v>
      </c>
      <c r="AH904" s="9">
        <v>0</v>
      </c>
      <c r="AI904" s="9">
        <v>0</v>
      </c>
      <c r="AJ904" s="9">
        <v>96942400</v>
      </c>
      <c r="AK904" s="9">
        <v>2</v>
      </c>
      <c r="AL904" s="26" t="s">
        <v>52</v>
      </c>
      <c r="AM904" s="14" t="s">
        <v>669</v>
      </c>
      <c r="AN904" s="27" t="str">
        <f t="shared" si="31"/>
        <v>19517789|96942400|916375811|65384488</v>
      </c>
      <c r="AO904" t="s">
        <v>44</v>
      </c>
      <c r="AP904" t="b">
        <v>0</v>
      </c>
      <c r="AQ904" t="s">
        <v>763</v>
      </c>
    </row>
    <row r="905" spans="1:43" x14ac:dyDescent="0.2">
      <c r="A905" s="14" t="s">
        <v>500</v>
      </c>
      <c r="B905" s="17">
        <v>10690510</v>
      </c>
      <c r="C905" s="14" t="s">
        <v>372</v>
      </c>
      <c r="D905" s="9">
        <v>10690510</v>
      </c>
      <c r="E905" s="9" t="s">
        <v>372</v>
      </c>
      <c r="F905" s="7">
        <v>45658</v>
      </c>
      <c r="G905" s="20" t="s">
        <v>36</v>
      </c>
      <c r="H905" s="8">
        <v>916406327</v>
      </c>
      <c r="I905" s="19">
        <v>916406327</v>
      </c>
      <c r="J905" s="10">
        <v>14400</v>
      </c>
      <c r="K905" s="10">
        <v>4500</v>
      </c>
      <c r="L905" s="10">
        <v>9900</v>
      </c>
      <c r="M905" s="10">
        <v>0</v>
      </c>
      <c r="N905" s="11">
        <v>9900</v>
      </c>
      <c r="O905" s="12">
        <v>916406327</v>
      </c>
      <c r="P905" s="9">
        <v>285123</v>
      </c>
      <c r="Q905" s="9" t="s">
        <v>37</v>
      </c>
      <c r="R905" s="13">
        <v>45670</v>
      </c>
      <c r="S905" s="22">
        <v>45670</v>
      </c>
      <c r="T905" s="13">
        <v>45670</v>
      </c>
      <c r="U905" s="13">
        <v>45670</v>
      </c>
      <c r="V905" s="9" t="s">
        <v>47</v>
      </c>
      <c r="W905" s="9">
        <v>22497788</v>
      </c>
      <c r="X905" s="9">
        <v>1210929</v>
      </c>
      <c r="Y905" s="9">
        <v>68688549</v>
      </c>
      <c r="Z905" s="9" t="s">
        <v>39</v>
      </c>
      <c r="AA905" s="9">
        <v>19012025</v>
      </c>
      <c r="AB905" s="9">
        <v>77381</v>
      </c>
      <c r="AC905" s="9" t="s">
        <v>41</v>
      </c>
      <c r="AD905" s="9" t="s">
        <v>65</v>
      </c>
      <c r="AE905" s="9" t="s">
        <v>66</v>
      </c>
      <c r="AF905" s="9" t="s">
        <v>66</v>
      </c>
      <c r="AG905" s="14" t="str">
        <f t="shared" si="30"/>
        <v>PROCEDIMIENTOS TERAPEUTICOS</v>
      </c>
      <c r="AH905" s="9" t="s">
        <v>758</v>
      </c>
      <c r="AI905" s="9">
        <v>0</v>
      </c>
      <c r="AJ905" s="9">
        <v>88611600</v>
      </c>
      <c r="AK905" s="9">
        <v>4</v>
      </c>
      <c r="AL905" s="26" t="s">
        <v>62</v>
      </c>
      <c r="AM905" s="14" t="s">
        <v>667</v>
      </c>
      <c r="AN905" s="27" t="str">
        <f t="shared" si="31"/>
        <v>10690510|88611600|916406327|916406327</v>
      </c>
      <c r="AO905" t="s">
        <v>758</v>
      </c>
      <c r="AP905" t="b">
        <v>1</v>
      </c>
      <c r="AQ905" t="s">
        <v>764</v>
      </c>
    </row>
    <row r="906" spans="1:43" x14ac:dyDescent="0.2">
      <c r="A906" s="14" t="s">
        <v>500</v>
      </c>
      <c r="B906" s="17">
        <v>10690510</v>
      </c>
      <c r="C906" s="14" t="s">
        <v>372</v>
      </c>
      <c r="D906" s="9">
        <v>10690510</v>
      </c>
      <c r="E906" s="9" t="s">
        <v>372</v>
      </c>
      <c r="F906" s="7">
        <v>45717</v>
      </c>
      <c r="G906" s="20" t="s">
        <v>46</v>
      </c>
      <c r="H906" s="8">
        <v>916406327</v>
      </c>
      <c r="I906" s="19">
        <v>65383896</v>
      </c>
      <c r="J906" s="10">
        <v>8454</v>
      </c>
      <c r="K906" s="10">
        <v>0</v>
      </c>
      <c r="L906" s="10">
        <v>8454</v>
      </c>
      <c r="M906" s="10">
        <v>0</v>
      </c>
      <c r="N906" s="11">
        <v>8454</v>
      </c>
      <c r="O906" s="12">
        <v>916406327</v>
      </c>
      <c r="P906" s="9">
        <v>285123</v>
      </c>
      <c r="Q906" s="9" t="s">
        <v>37</v>
      </c>
      <c r="R906" s="13">
        <v>45717</v>
      </c>
      <c r="S906" s="22">
        <v>45742</v>
      </c>
      <c r="T906" s="13">
        <v>45670</v>
      </c>
      <c r="U906" s="13">
        <v>45670</v>
      </c>
      <c r="V906" s="9" t="s">
        <v>47</v>
      </c>
      <c r="W906" s="9">
        <v>22770336</v>
      </c>
      <c r="X906" s="9">
        <v>3311105</v>
      </c>
      <c r="Y906" s="9">
        <v>69250785</v>
      </c>
      <c r="Z906" s="9" t="s">
        <v>39</v>
      </c>
      <c r="AA906" s="9">
        <v>5930151206</v>
      </c>
      <c r="AB906" s="9">
        <v>78070</v>
      </c>
      <c r="AC906" s="9" t="s">
        <v>41</v>
      </c>
      <c r="AD906" s="9" t="s">
        <v>65</v>
      </c>
      <c r="AE906" s="9" t="s">
        <v>66</v>
      </c>
      <c r="AF906" s="9" t="s">
        <v>66</v>
      </c>
      <c r="AG906" s="14" t="str">
        <f t="shared" si="30"/>
        <v>PROCEDIMIENTOS TERAPEUTICOS</v>
      </c>
      <c r="AH906" s="9">
        <v>0</v>
      </c>
      <c r="AI906" s="9">
        <v>0</v>
      </c>
      <c r="AJ906" s="9">
        <v>88611600</v>
      </c>
      <c r="AK906" s="9">
        <v>4</v>
      </c>
      <c r="AL906" s="26" t="s">
        <v>52</v>
      </c>
      <c r="AM906" s="14" t="s">
        <v>667</v>
      </c>
      <c r="AN906" s="27" t="str">
        <f t="shared" si="31"/>
        <v>10690510|88611600|916406327|65383896</v>
      </c>
      <c r="AO906" t="s">
        <v>44</v>
      </c>
      <c r="AP906" t="b">
        <v>0</v>
      </c>
      <c r="AQ906" t="s">
        <v>763</v>
      </c>
    </row>
    <row r="907" spans="1:43" x14ac:dyDescent="0.2">
      <c r="A907" s="14" t="s">
        <v>500</v>
      </c>
      <c r="B907" s="17">
        <v>10690510</v>
      </c>
      <c r="C907" s="14" t="s">
        <v>372</v>
      </c>
      <c r="D907" s="9">
        <v>10690510</v>
      </c>
      <c r="E907" s="9" t="s">
        <v>372</v>
      </c>
      <c r="F907" s="7">
        <v>45658</v>
      </c>
      <c r="G907" s="20" t="s">
        <v>36</v>
      </c>
      <c r="H907" s="8">
        <v>916406416</v>
      </c>
      <c r="I907" s="19">
        <v>916406416</v>
      </c>
      <c r="J907" s="10">
        <v>80750</v>
      </c>
      <c r="K907" s="10">
        <v>34080</v>
      </c>
      <c r="L907" s="10">
        <v>46670</v>
      </c>
      <c r="M907" s="10">
        <v>0</v>
      </c>
      <c r="N907" s="11">
        <v>46670</v>
      </c>
      <c r="O907" s="12">
        <v>916406416</v>
      </c>
      <c r="P907" s="9">
        <v>285123</v>
      </c>
      <c r="Q907" s="9" t="s">
        <v>37</v>
      </c>
      <c r="R907" s="13">
        <v>45670</v>
      </c>
      <c r="S907" s="22">
        <v>45670</v>
      </c>
      <c r="T907" s="13">
        <v>45670</v>
      </c>
      <c r="U907" s="13">
        <v>45670</v>
      </c>
      <c r="V907" s="9" t="s">
        <v>47</v>
      </c>
      <c r="W907" s="9">
        <v>22497788</v>
      </c>
      <c r="X907" s="9">
        <v>1210929</v>
      </c>
      <c r="Y907" s="9">
        <v>68688552</v>
      </c>
      <c r="Z907" s="9" t="s">
        <v>39</v>
      </c>
      <c r="AA907" s="9">
        <v>19012025</v>
      </c>
      <c r="AB907" s="9">
        <v>77381</v>
      </c>
      <c r="AC907" s="9" t="s">
        <v>41</v>
      </c>
      <c r="AD907" s="9" t="s">
        <v>65</v>
      </c>
      <c r="AE907" s="9" t="s">
        <v>66</v>
      </c>
      <c r="AF907" s="9" t="s">
        <v>66</v>
      </c>
      <c r="AG907" s="14" t="str">
        <f t="shared" si="30"/>
        <v>PROCEDIMIENTOS TERAPEUTICOS</v>
      </c>
      <c r="AH907" s="9" t="s">
        <v>758</v>
      </c>
      <c r="AI907" s="9">
        <v>0</v>
      </c>
      <c r="AJ907" s="9">
        <v>88611600</v>
      </c>
      <c r="AK907" s="9">
        <v>4</v>
      </c>
      <c r="AL907" s="26" t="s">
        <v>62</v>
      </c>
      <c r="AM907" s="14" t="s">
        <v>667</v>
      </c>
      <c r="AN907" s="27" t="str">
        <f t="shared" si="31"/>
        <v>10690510|88611600|916406416|916406416</v>
      </c>
      <c r="AO907" t="s">
        <v>758</v>
      </c>
      <c r="AP907" t="b">
        <v>1</v>
      </c>
      <c r="AQ907" t="s">
        <v>764</v>
      </c>
    </row>
    <row r="908" spans="1:43" x14ac:dyDescent="0.2">
      <c r="A908" s="14" t="s">
        <v>500</v>
      </c>
      <c r="B908" s="17">
        <v>10690510</v>
      </c>
      <c r="C908" s="14" t="s">
        <v>372</v>
      </c>
      <c r="D908" s="9">
        <v>10690510</v>
      </c>
      <c r="E908" s="9" t="s">
        <v>372</v>
      </c>
      <c r="F908" s="7">
        <v>45717</v>
      </c>
      <c r="G908" s="20" t="s">
        <v>46</v>
      </c>
      <c r="H908" s="8">
        <v>916406416</v>
      </c>
      <c r="I908" s="19">
        <v>65383897</v>
      </c>
      <c r="J908" s="10">
        <v>39197</v>
      </c>
      <c r="K908" s="10">
        <v>0</v>
      </c>
      <c r="L908" s="10">
        <v>39197</v>
      </c>
      <c r="M908" s="10">
        <v>0</v>
      </c>
      <c r="N908" s="11">
        <v>39197</v>
      </c>
      <c r="O908" s="12">
        <v>916406416</v>
      </c>
      <c r="P908" s="9">
        <v>285123</v>
      </c>
      <c r="Q908" s="9" t="s">
        <v>37</v>
      </c>
      <c r="R908" s="13">
        <v>45717</v>
      </c>
      <c r="S908" s="22">
        <v>45742</v>
      </c>
      <c r="T908" s="13">
        <v>45670</v>
      </c>
      <c r="U908" s="13">
        <v>45670</v>
      </c>
      <c r="V908" s="9" t="s">
        <v>47</v>
      </c>
      <c r="W908" s="9">
        <v>22770336</v>
      </c>
      <c r="X908" s="9">
        <v>3311105</v>
      </c>
      <c r="Y908" s="9">
        <v>69250786</v>
      </c>
      <c r="Z908" s="9" t="s">
        <v>39</v>
      </c>
      <c r="AA908" s="9">
        <v>5930151206</v>
      </c>
      <c r="AB908" s="9">
        <v>78070</v>
      </c>
      <c r="AC908" s="9" t="s">
        <v>41</v>
      </c>
      <c r="AD908" s="9" t="s">
        <v>65</v>
      </c>
      <c r="AE908" s="9" t="s">
        <v>66</v>
      </c>
      <c r="AF908" s="9" t="s">
        <v>66</v>
      </c>
      <c r="AG908" s="14" t="str">
        <f t="shared" si="30"/>
        <v>PROCEDIMIENTOS TERAPEUTICOS</v>
      </c>
      <c r="AH908" s="9">
        <v>0</v>
      </c>
      <c r="AI908" s="9">
        <v>0</v>
      </c>
      <c r="AJ908" s="9">
        <v>88611600</v>
      </c>
      <c r="AK908" s="9">
        <v>4</v>
      </c>
      <c r="AL908" s="26" t="s">
        <v>52</v>
      </c>
      <c r="AM908" s="14" t="s">
        <v>667</v>
      </c>
      <c r="AN908" s="27" t="str">
        <f t="shared" si="31"/>
        <v>10690510|88611600|916406416|65383897</v>
      </c>
      <c r="AO908" t="s">
        <v>44</v>
      </c>
      <c r="AP908" t="b">
        <v>0</v>
      </c>
      <c r="AQ908" t="s">
        <v>763</v>
      </c>
    </row>
    <row r="909" spans="1:43" x14ac:dyDescent="0.2">
      <c r="A909" s="14" t="s">
        <v>500</v>
      </c>
      <c r="B909" s="17">
        <v>8577904</v>
      </c>
      <c r="C909" s="14" t="s">
        <v>376</v>
      </c>
      <c r="D909" s="9">
        <v>8577904</v>
      </c>
      <c r="E909" s="9" t="s">
        <v>376</v>
      </c>
      <c r="F909" s="7">
        <v>45658</v>
      </c>
      <c r="G909" s="20" t="s">
        <v>36</v>
      </c>
      <c r="H909" s="8">
        <v>916507769</v>
      </c>
      <c r="I909" s="19">
        <v>916507769</v>
      </c>
      <c r="J909" s="10">
        <v>29080</v>
      </c>
      <c r="K909" s="10">
        <v>9100</v>
      </c>
      <c r="L909" s="10">
        <v>19980</v>
      </c>
      <c r="M909" s="10">
        <v>0</v>
      </c>
      <c r="N909" s="11">
        <v>19980</v>
      </c>
      <c r="O909" s="12">
        <v>916507769</v>
      </c>
      <c r="P909" s="9">
        <v>285123</v>
      </c>
      <c r="Q909" s="9" t="s">
        <v>37</v>
      </c>
      <c r="R909" s="13">
        <v>45671</v>
      </c>
      <c r="S909" s="22">
        <v>45671</v>
      </c>
      <c r="T909" s="13">
        <v>45671</v>
      </c>
      <c r="U909" s="13">
        <v>45671</v>
      </c>
      <c r="V909" s="9" t="s">
        <v>47</v>
      </c>
      <c r="W909" s="9">
        <v>22497833</v>
      </c>
      <c r="X909" s="9">
        <v>1210929</v>
      </c>
      <c r="Y909" s="9">
        <v>68689055</v>
      </c>
      <c r="Z909" s="9" t="s">
        <v>39</v>
      </c>
      <c r="AA909" s="9">
        <v>19012025</v>
      </c>
      <c r="AB909" s="9">
        <v>77381</v>
      </c>
      <c r="AC909" s="9" t="s">
        <v>41</v>
      </c>
      <c r="AD909" s="9" t="s">
        <v>134</v>
      </c>
      <c r="AE909" s="9" t="s">
        <v>135</v>
      </c>
      <c r="AF909" s="9" t="s">
        <v>135</v>
      </c>
      <c r="AG909" s="14" t="str">
        <f t="shared" si="30"/>
        <v>EXAMENES RADIOLOGICOS</v>
      </c>
      <c r="AH909" s="9" t="s">
        <v>758</v>
      </c>
      <c r="AI909" s="9">
        <v>0</v>
      </c>
      <c r="AJ909" s="9">
        <v>60910000</v>
      </c>
      <c r="AK909" s="9">
        <v>1</v>
      </c>
      <c r="AL909" s="26" t="s">
        <v>62</v>
      </c>
      <c r="AM909" s="14" t="s">
        <v>671</v>
      </c>
      <c r="AN909" s="27" t="str">
        <f t="shared" si="31"/>
        <v>8577904|60910000|916507769|916507769</v>
      </c>
      <c r="AO909" t="s">
        <v>758</v>
      </c>
      <c r="AP909" t="b">
        <v>1</v>
      </c>
      <c r="AQ909" t="s">
        <v>764</v>
      </c>
    </row>
    <row r="910" spans="1:43" x14ac:dyDescent="0.2">
      <c r="A910" s="14" t="s">
        <v>500</v>
      </c>
      <c r="B910" s="17">
        <v>8577904</v>
      </c>
      <c r="C910" s="14" t="s">
        <v>376</v>
      </c>
      <c r="D910" s="9">
        <v>8577904</v>
      </c>
      <c r="E910" s="9" t="s">
        <v>376</v>
      </c>
      <c r="F910" s="7">
        <v>45717</v>
      </c>
      <c r="G910" s="20" t="s">
        <v>46</v>
      </c>
      <c r="H910" s="8">
        <v>916507769</v>
      </c>
      <c r="I910" s="19">
        <v>65383680</v>
      </c>
      <c r="J910" s="10">
        <v>19980</v>
      </c>
      <c r="K910" s="10">
        <v>0</v>
      </c>
      <c r="L910" s="10">
        <v>19980</v>
      </c>
      <c r="M910" s="10">
        <v>0</v>
      </c>
      <c r="N910" s="11">
        <v>19980</v>
      </c>
      <c r="O910" s="12">
        <v>916507769</v>
      </c>
      <c r="P910" s="9">
        <v>285123</v>
      </c>
      <c r="Q910" s="9" t="s">
        <v>37</v>
      </c>
      <c r="R910" s="13">
        <v>45717</v>
      </c>
      <c r="S910" s="22">
        <v>45742</v>
      </c>
      <c r="T910" s="13">
        <v>45671</v>
      </c>
      <c r="U910" s="13">
        <v>45671</v>
      </c>
      <c r="V910" s="9" t="s">
        <v>47</v>
      </c>
      <c r="W910" s="9">
        <v>22770345</v>
      </c>
      <c r="X910" s="9">
        <v>3311105</v>
      </c>
      <c r="Y910" s="9">
        <v>69250571</v>
      </c>
      <c r="Z910" s="9" t="s">
        <v>39</v>
      </c>
      <c r="AA910" s="9">
        <v>8577904</v>
      </c>
      <c r="AB910" s="9">
        <v>78070</v>
      </c>
      <c r="AC910" s="9" t="s">
        <v>41</v>
      </c>
      <c r="AD910" s="9" t="s">
        <v>134</v>
      </c>
      <c r="AE910" s="9" t="s">
        <v>135</v>
      </c>
      <c r="AF910" s="9" t="s">
        <v>135</v>
      </c>
      <c r="AG910" s="14" t="str">
        <f t="shared" si="30"/>
        <v>EXAMENES RADIOLOGICOS</v>
      </c>
      <c r="AH910" s="9">
        <v>0</v>
      </c>
      <c r="AI910" s="9">
        <v>0</v>
      </c>
      <c r="AJ910" s="9">
        <v>60910000</v>
      </c>
      <c r="AK910" s="9">
        <v>1</v>
      </c>
      <c r="AL910" s="26" t="s">
        <v>52</v>
      </c>
      <c r="AM910" s="14" t="s">
        <v>671</v>
      </c>
      <c r="AN910" s="27" t="str">
        <f t="shared" si="31"/>
        <v>8577904|60910000|916507769|65383680</v>
      </c>
      <c r="AO910" t="s">
        <v>44</v>
      </c>
      <c r="AP910" t="b">
        <v>0</v>
      </c>
      <c r="AQ910" t="s">
        <v>763</v>
      </c>
    </row>
    <row r="911" spans="1:43" x14ac:dyDescent="0.2">
      <c r="A911" s="14" t="s">
        <v>500</v>
      </c>
      <c r="B911" s="17">
        <v>14157190</v>
      </c>
      <c r="C911" s="14" t="s">
        <v>375</v>
      </c>
      <c r="D911" s="9">
        <v>14157190</v>
      </c>
      <c r="E911" s="9" t="s">
        <v>375</v>
      </c>
      <c r="F911" s="7">
        <v>45658</v>
      </c>
      <c r="G911" s="20" t="s">
        <v>36</v>
      </c>
      <c r="H911" s="8">
        <v>916587328</v>
      </c>
      <c r="I911" s="19">
        <v>916587328</v>
      </c>
      <c r="J911" s="10">
        <v>175560</v>
      </c>
      <c r="K911" s="10">
        <v>92180</v>
      </c>
      <c r="L911" s="10">
        <v>83380</v>
      </c>
      <c r="M911" s="10">
        <v>0</v>
      </c>
      <c r="N911" s="11">
        <v>30640</v>
      </c>
      <c r="O911" s="12">
        <v>916587328</v>
      </c>
      <c r="P911" s="9">
        <v>285123</v>
      </c>
      <c r="Q911" s="9" t="s">
        <v>37</v>
      </c>
      <c r="R911" s="13">
        <v>45672</v>
      </c>
      <c r="S911" s="22">
        <v>45672</v>
      </c>
      <c r="T911" s="13">
        <v>45672</v>
      </c>
      <c r="U911" s="13">
        <v>45672</v>
      </c>
      <c r="V911" s="9" t="s">
        <v>47</v>
      </c>
      <c r="W911" s="9">
        <v>22497889</v>
      </c>
      <c r="X911" s="9">
        <v>1210929</v>
      </c>
      <c r="Y911" s="9">
        <v>68689569</v>
      </c>
      <c r="Z911" s="9" t="s">
        <v>39</v>
      </c>
      <c r="AA911" s="9">
        <v>19012025</v>
      </c>
      <c r="AB911" s="9">
        <v>77381</v>
      </c>
      <c r="AC911" s="9" t="s">
        <v>41</v>
      </c>
      <c r="AD911" s="9" t="s">
        <v>65</v>
      </c>
      <c r="AE911" s="9" t="s">
        <v>66</v>
      </c>
      <c r="AF911" s="9" t="s">
        <v>66</v>
      </c>
      <c r="AG911" s="14" t="str">
        <f t="shared" si="30"/>
        <v>PROCEDIMIENTOS TERAPEUTICOS</v>
      </c>
      <c r="AH911" s="9" t="s">
        <v>758</v>
      </c>
      <c r="AI911" s="9">
        <v>0</v>
      </c>
      <c r="AJ911" s="9">
        <v>77774340</v>
      </c>
      <c r="AK911" s="9">
        <v>6</v>
      </c>
      <c r="AL911" s="26" t="s">
        <v>62</v>
      </c>
      <c r="AM911" s="14" t="s">
        <v>670</v>
      </c>
      <c r="AN911" s="27" t="str">
        <f t="shared" si="31"/>
        <v>14157190|77774340|916587328|916587328</v>
      </c>
      <c r="AO911" t="s">
        <v>758</v>
      </c>
      <c r="AP911" t="b">
        <v>1</v>
      </c>
      <c r="AQ911" t="s">
        <v>764</v>
      </c>
    </row>
    <row r="912" spans="1:43" x14ac:dyDescent="0.2">
      <c r="A912" s="14" t="s">
        <v>500</v>
      </c>
      <c r="B912" s="17">
        <v>14157190</v>
      </c>
      <c r="C912" s="14" t="s">
        <v>375</v>
      </c>
      <c r="D912" s="9">
        <v>14157190</v>
      </c>
      <c r="E912" s="9" t="s">
        <v>375</v>
      </c>
      <c r="F912" s="7">
        <v>45717</v>
      </c>
      <c r="G912" s="20" t="s">
        <v>46</v>
      </c>
      <c r="H912" s="8">
        <v>916587328</v>
      </c>
      <c r="I912" s="19">
        <v>65384208</v>
      </c>
      <c r="J912" s="10">
        <v>49950</v>
      </c>
      <c r="K912" s="10">
        <v>0</v>
      </c>
      <c r="L912" s="10">
        <v>49950</v>
      </c>
      <c r="M912" s="10">
        <v>0</v>
      </c>
      <c r="N912" s="11">
        <v>49950</v>
      </c>
      <c r="O912" s="12">
        <v>916587328</v>
      </c>
      <c r="P912" s="9">
        <v>285123</v>
      </c>
      <c r="Q912" s="9" t="s">
        <v>37</v>
      </c>
      <c r="R912" s="13">
        <v>45717</v>
      </c>
      <c r="S912" s="22">
        <v>45742</v>
      </c>
      <c r="T912" s="13">
        <v>45672</v>
      </c>
      <c r="U912" s="13">
        <v>45672</v>
      </c>
      <c r="V912" s="9" t="s">
        <v>47</v>
      </c>
      <c r="W912" s="9">
        <v>22770352</v>
      </c>
      <c r="X912" s="9">
        <v>3311105</v>
      </c>
      <c r="Y912" s="9">
        <v>69251083</v>
      </c>
      <c r="Z912" s="9" t="s">
        <v>39</v>
      </c>
      <c r="AA912" s="9">
        <v>15060102662</v>
      </c>
      <c r="AB912" s="9">
        <v>78070</v>
      </c>
      <c r="AC912" s="9" t="s">
        <v>41</v>
      </c>
      <c r="AD912" s="9" t="s">
        <v>65</v>
      </c>
      <c r="AE912" s="9" t="s">
        <v>66</v>
      </c>
      <c r="AF912" s="9" t="s">
        <v>66</v>
      </c>
      <c r="AG912" s="14" t="str">
        <f t="shared" si="30"/>
        <v>PROCEDIMIENTOS TERAPEUTICOS</v>
      </c>
      <c r="AH912" s="9">
        <v>0</v>
      </c>
      <c r="AI912" s="9">
        <v>0</v>
      </c>
      <c r="AJ912" s="9">
        <v>77774340</v>
      </c>
      <c r="AK912" s="9">
        <v>6</v>
      </c>
      <c r="AL912" s="26" t="s">
        <v>52</v>
      </c>
      <c r="AM912" s="14" t="s">
        <v>670</v>
      </c>
      <c r="AN912" s="27" t="str">
        <f t="shared" si="31"/>
        <v>14157190|77774340|916587328|65384208</v>
      </c>
      <c r="AO912" t="s">
        <v>44</v>
      </c>
      <c r="AP912" t="b">
        <v>0</v>
      </c>
      <c r="AQ912" t="s">
        <v>763</v>
      </c>
    </row>
    <row r="913" spans="1:43" x14ac:dyDescent="0.2">
      <c r="A913" s="14" t="s">
        <v>500</v>
      </c>
      <c r="B913" s="17">
        <v>16143311</v>
      </c>
      <c r="C913" s="14" t="s">
        <v>377</v>
      </c>
      <c r="D913" s="9">
        <v>25849717</v>
      </c>
      <c r="E913" s="9" t="s">
        <v>378</v>
      </c>
      <c r="F913" s="7">
        <v>45658</v>
      </c>
      <c r="G913" s="20" t="s">
        <v>36</v>
      </c>
      <c r="H913" s="8">
        <v>916588601</v>
      </c>
      <c r="I913" s="19">
        <v>916588601</v>
      </c>
      <c r="J913" s="10">
        <v>17060</v>
      </c>
      <c r="K913" s="10">
        <v>5340</v>
      </c>
      <c r="L913" s="10">
        <v>11720</v>
      </c>
      <c r="M913" s="10">
        <v>0</v>
      </c>
      <c r="N913" s="11">
        <v>11720</v>
      </c>
      <c r="O913" s="12">
        <v>916588601</v>
      </c>
      <c r="P913" s="9">
        <v>285123</v>
      </c>
      <c r="Q913" s="9" t="s">
        <v>37</v>
      </c>
      <c r="R913" s="13">
        <v>45672</v>
      </c>
      <c r="S913" s="22">
        <v>45672</v>
      </c>
      <c r="T913" s="13">
        <v>45672</v>
      </c>
      <c r="U913" s="13">
        <v>45672</v>
      </c>
      <c r="V913" s="9" t="s">
        <v>47</v>
      </c>
      <c r="W913" s="9">
        <v>22497895</v>
      </c>
      <c r="X913" s="9">
        <v>1210929</v>
      </c>
      <c r="Y913" s="9">
        <v>68689581</v>
      </c>
      <c r="Z913" s="9" t="s">
        <v>39</v>
      </c>
      <c r="AA913" s="9">
        <v>19012025</v>
      </c>
      <c r="AB913" s="9">
        <v>77381</v>
      </c>
      <c r="AC913" s="9" t="s">
        <v>41</v>
      </c>
      <c r="AD913" s="9" t="s">
        <v>132</v>
      </c>
      <c r="AE913" s="9" t="s">
        <v>133</v>
      </c>
      <c r="AF913" s="9" t="s">
        <v>133</v>
      </c>
      <c r="AG913" s="14" t="str">
        <f t="shared" si="30"/>
        <v>EXAMENES DE LABORATORIO</v>
      </c>
      <c r="AH913" s="9" t="s">
        <v>758</v>
      </c>
      <c r="AI913" s="9">
        <v>0</v>
      </c>
      <c r="AJ913" s="9">
        <v>99573490</v>
      </c>
      <c r="AK913" s="9">
        <v>7</v>
      </c>
      <c r="AL913" s="26" t="s">
        <v>62</v>
      </c>
      <c r="AM913" s="14" t="s">
        <v>672</v>
      </c>
      <c r="AN913" s="27" t="str">
        <f t="shared" si="31"/>
        <v>16143311|99573490|916588601|916588601</v>
      </c>
      <c r="AO913" t="s">
        <v>758</v>
      </c>
      <c r="AP913" t="b">
        <v>1</v>
      </c>
      <c r="AQ913" t="s">
        <v>764</v>
      </c>
    </row>
    <row r="914" spans="1:43" x14ac:dyDescent="0.2">
      <c r="A914" s="14" t="s">
        <v>500</v>
      </c>
      <c r="B914" s="17">
        <v>16143311</v>
      </c>
      <c r="C914" s="14" t="s">
        <v>377</v>
      </c>
      <c r="D914" s="9">
        <v>25849717</v>
      </c>
      <c r="E914" s="9" t="s">
        <v>378</v>
      </c>
      <c r="F914" s="7">
        <v>45717</v>
      </c>
      <c r="G914" s="20" t="s">
        <v>46</v>
      </c>
      <c r="H914" s="8">
        <v>916588601</v>
      </c>
      <c r="I914" s="19">
        <v>65384362</v>
      </c>
      <c r="J914" s="10">
        <v>10371</v>
      </c>
      <c r="K914" s="10">
        <v>0</v>
      </c>
      <c r="L914" s="10">
        <v>10371</v>
      </c>
      <c r="M914" s="10">
        <v>0</v>
      </c>
      <c r="N914" s="11">
        <v>10371</v>
      </c>
      <c r="O914" s="12">
        <v>916588601</v>
      </c>
      <c r="P914" s="9">
        <v>285123</v>
      </c>
      <c r="Q914" s="9" t="s">
        <v>37</v>
      </c>
      <c r="R914" s="13">
        <v>45717</v>
      </c>
      <c r="S914" s="22">
        <v>45742</v>
      </c>
      <c r="T914" s="13">
        <v>45672</v>
      </c>
      <c r="U914" s="13">
        <v>45672</v>
      </c>
      <c r="V914" s="9" t="s">
        <v>47</v>
      </c>
      <c r="W914" s="9">
        <v>22770353</v>
      </c>
      <c r="X914" s="9">
        <v>3311105</v>
      </c>
      <c r="Y914" s="9">
        <v>69251245</v>
      </c>
      <c r="Z914" s="9" t="s">
        <v>39</v>
      </c>
      <c r="AA914" s="9">
        <v>1709850616</v>
      </c>
      <c r="AB914" s="9">
        <v>78070</v>
      </c>
      <c r="AC914" s="9" t="s">
        <v>41</v>
      </c>
      <c r="AD914" s="9" t="s">
        <v>132</v>
      </c>
      <c r="AE914" s="9" t="s">
        <v>133</v>
      </c>
      <c r="AF914" s="9" t="s">
        <v>133</v>
      </c>
      <c r="AG914" s="14" t="str">
        <f t="shared" si="30"/>
        <v>EXAMENES DE LABORATORIO</v>
      </c>
      <c r="AH914" s="9">
        <v>0</v>
      </c>
      <c r="AI914" s="9">
        <v>0</v>
      </c>
      <c r="AJ914" s="9">
        <v>99573490</v>
      </c>
      <c r="AK914" s="9">
        <v>7</v>
      </c>
      <c r="AL914" s="26" t="s">
        <v>52</v>
      </c>
      <c r="AM914" s="14" t="s">
        <v>672</v>
      </c>
      <c r="AN914" s="27" t="str">
        <f t="shared" si="31"/>
        <v>16143311|99573490|916588601|65384362</v>
      </c>
      <c r="AO914" t="s">
        <v>44</v>
      </c>
      <c r="AP914" t="b">
        <v>0</v>
      </c>
      <c r="AQ914" t="s">
        <v>763</v>
      </c>
    </row>
    <row r="915" spans="1:43" x14ac:dyDescent="0.2">
      <c r="A915" s="14" t="s">
        <v>500</v>
      </c>
      <c r="B915" s="17">
        <v>16143311</v>
      </c>
      <c r="C915" s="14" t="s">
        <v>377</v>
      </c>
      <c r="D915" s="9">
        <v>25849717</v>
      </c>
      <c r="E915" s="9" t="s">
        <v>378</v>
      </c>
      <c r="F915" s="7">
        <v>45658</v>
      </c>
      <c r="G915" s="20" t="s">
        <v>36</v>
      </c>
      <c r="H915" s="8">
        <v>916588602</v>
      </c>
      <c r="I915" s="19">
        <v>916588602</v>
      </c>
      <c r="J915" s="10">
        <v>39250</v>
      </c>
      <c r="K915" s="10">
        <v>12280</v>
      </c>
      <c r="L915" s="10">
        <v>26970</v>
      </c>
      <c r="M915" s="10">
        <v>0</v>
      </c>
      <c r="N915" s="11">
        <v>26970</v>
      </c>
      <c r="O915" s="12">
        <v>916588602</v>
      </c>
      <c r="P915" s="9">
        <v>285123</v>
      </c>
      <c r="Q915" s="9" t="s">
        <v>37</v>
      </c>
      <c r="R915" s="13">
        <v>45672</v>
      </c>
      <c r="S915" s="22">
        <v>45672</v>
      </c>
      <c r="T915" s="13">
        <v>45672</v>
      </c>
      <c r="U915" s="13">
        <v>45672</v>
      </c>
      <c r="V915" s="9" t="s">
        <v>47</v>
      </c>
      <c r="W915" s="9">
        <v>22497895</v>
      </c>
      <c r="X915" s="9">
        <v>1210929</v>
      </c>
      <c r="Y915" s="9">
        <v>68689580</v>
      </c>
      <c r="Z915" s="9" t="s">
        <v>39</v>
      </c>
      <c r="AA915" s="9">
        <v>19012025</v>
      </c>
      <c r="AB915" s="9">
        <v>77381</v>
      </c>
      <c r="AC915" s="9" t="s">
        <v>41</v>
      </c>
      <c r="AD915" s="9" t="s">
        <v>132</v>
      </c>
      <c r="AE915" s="9" t="s">
        <v>133</v>
      </c>
      <c r="AF915" s="9" t="s">
        <v>133</v>
      </c>
      <c r="AG915" s="14" t="str">
        <f t="shared" si="30"/>
        <v>EXAMENES DE LABORATORIO</v>
      </c>
      <c r="AH915" s="9" t="s">
        <v>758</v>
      </c>
      <c r="AI915" s="9">
        <v>0</v>
      </c>
      <c r="AJ915" s="9">
        <v>99573490</v>
      </c>
      <c r="AK915" s="9">
        <v>7</v>
      </c>
      <c r="AL915" s="26" t="s">
        <v>62</v>
      </c>
      <c r="AM915" s="14" t="s">
        <v>672</v>
      </c>
      <c r="AN915" s="27" t="str">
        <f t="shared" si="31"/>
        <v>16143311|99573490|916588602|916588602</v>
      </c>
      <c r="AO915" t="s">
        <v>758</v>
      </c>
      <c r="AP915" t="b">
        <v>1</v>
      </c>
      <c r="AQ915" t="s">
        <v>764</v>
      </c>
    </row>
    <row r="916" spans="1:43" x14ac:dyDescent="0.2">
      <c r="A916" s="14" t="s">
        <v>500</v>
      </c>
      <c r="B916" s="17">
        <v>16143311</v>
      </c>
      <c r="C916" s="14" t="s">
        <v>377</v>
      </c>
      <c r="D916" s="9">
        <v>25849717</v>
      </c>
      <c r="E916" s="9" t="s">
        <v>378</v>
      </c>
      <c r="F916" s="7">
        <v>45717</v>
      </c>
      <c r="G916" s="20" t="s">
        <v>46</v>
      </c>
      <c r="H916" s="8">
        <v>916588602</v>
      </c>
      <c r="I916" s="19">
        <v>65384363</v>
      </c>
      <c r="J916" s="10">
        <v>23435</v>
      </c>
      <c r="K916" s="10">
        <v>0</v>
      </c>
      <c r="L916" s="10">
        <v>23435</v>
      </c>
      <c r="M916" s="10">
        <v>0</v>
      </c>
      <c r="N916" s="11">
        <v>23435</v>
      </c>
      <c r="O916" s="12">
        <v>916588602</v>
      </c>
      <c r="P916" s="9">
        <v>285123</v>
      </c>
      <c r="Q916" s="9" t="s">
        <v>37</v>
      </c>
      <c r="R916" s="13">
        <v>45717</v>
      </c>
      <c r="S916" s="22">
        <v>45742</v>
      </c>
      <c r="T916" s="13">
        <v>45672</v>
      </c>
      <c r="U916" s="13">
        <v>45672</v>
      </c>
      <c r="V916" s="9" t="s">
        <v>47</v>
      </c>
      <c r="W916" s="9">
        <v>22770353</v>
      </c>
      <c r="X916" s="9">
        <v>3311105</v>
      </c>
      <c r="Y916" s="9">
        <v>69251246</v>
      </c>
      <c r="Z916" s="9" t="s">
        <v>39</v>
      </c>
      <c r="AA916" s="9">
        <v>1709850616</v>
      </c>
      <c r="AB916" s="9">
        <v>78070</v>
      </c>
      <c r="AC916" s="9" t="s">
        <v>41</v>
      </c>
      <c r="AD916" s="9" t="s">
        <v>132</v>
      </c>
      <c r="AE916" s="9" t="s">
        <v>133</v>
      </c>
      <c r="AF916" s="9" t="s">
        <v>133</v>
      </c>
      <c r="AG916" s="14" t="str">
        <f t="shared" si="30"/>
        <v>EXAMENES DE LABORATORIO</v>
      </c>
      <c r="AH916" s="9">
        <v>0</v>
      </c>
      <c r="AI916" s="9">
        <v>0</v>
      </c>
      <c r="AJ916" s="9">
        <v>99573490</v>
      </c>
      <c r="AK916" s="9">
        <v>7</v>
      </c>
      <c r="AL916" s="26" t="s">
        <v>52</v>
      </c>
      <c r="AM916" s="14" t="s">
        <v>672</v>
      </c>
      <c r="AN916" s="27" t="str">
        <f t="shared" si="31"/>
        <v>16143311|99573490|916588602|65384363</v>
      </c>
      <c r="AO916" t="s">
        <v>44</v>
      </c>
      <c r="AP916" t="b">
        <v>0</v>
      </c>
      <c r="AQ916" t="s">
        <v>763</v>
      </c>
    </row>
    <row r="917" spans="1:43" x14ac:dyDescent="0.2">
      <c r="A917" s="14" t="s">
        <v>500</v>
      </c>
      <c r="B917" s="17">
        <v>16143311</v>
      </c>
      <c r="C917" s="14" t="s">
        <v>377</v>
      </c>
      <c r="D917" s="9">
        <v>25849717</v>
      </c>
      <c r="E917" s="9" t="s">
        <v>378</v>
      </c>
      <c r="F917" s="7">
        <v>45658</v>
      </c>
      <c r="G917" s="20" t="s">
        <v>36</v>
      </c>
      <c r="H917" s="8">
        <v>916588603</v>
      </c>
      <c r="I917" s="19">
        <v>916588603</v>
      </c>
      <c r="J917" s="10">
        <v>49960</v>
      </c>
      <c r="K917" s="10">
        <v>15620</v>
      </c>
      <c r="L917" s="10">
        <v>34340</v>
      </c>
      <c r="M917" s="10">
        <v>0</v>
      </c>
      <c r="N917" s="11">
        <v>34340</v>
      </c>
      <c r="O917" s="12">
        <v>916588603</v>
      </c>
      <c r="P917" s="9">
        <v>285123</v>
      </c>
      <c r="Q917" s="9" t="s">
        <v>37</v>
      </c>
      <c r="R917" s="13">
        <v>45672</v>
      </c>
      <c r="S917" s="22">
        <v>45672</v>
      </c>
      <c r="T917" s="13">
        <v>45672</v>
      </c>
      <c r="U917" s="13">
        <v>45672</v>
      </c>
      <c r="V917" s="9" t="s">
        <v>47</v>
      </c>
      <c r="W917" s="9">
        <v>22497895</v>
      </c>
      <c r="X917" s="9">
        <v>1210929</v>
      </c>
      <c r="Y917" s="9">
        <v>68689579</v>
      </c>
      <c r="Z917" s="9" t="s">
        <v>39</v>
      </c>
      <c r="AA917" s="9">
        <v>19012025</v>
      </c>
      <c r="AB917" s="9">
        <v>77381</v>
      </c>
      <c r="AC917" s="9" t="s">
        <v>41</v>
      </c>
      <c r="AD917" s="9" t="s">
        <v>132</v>
      </c>
      <c r="AE917" s="9" t="s">
        <v>133</v>
      </c>
      <c r="AF917" s="9" t="s">
        <v>133</v>
      </c>
      <c r="AG917" s="14" t="str">
        <f t="shared" ref="AG917:AG980" si="32">+AF917</f>
        <v>EXAMENES DE LABORATORIO</v>
      </c>
      <c r="AH917" s="9" t="s">
        <v>758</v>
      </c>
      <c r="AI917" s="9">
        <v>0</v>
      </c>
      <c r="AJ917" s="9">
        <v>99573490</v>
      </c>
      <c r="AK917" s="9">
        <v>7</v>
      </c>
      <c r="AL917" s="26" t="s">
        <v>62</v>
      </c>
      <c r="AM917" s="14" t="s">
        <v>672</v>
      </c>
      <c r="AN917" s="27" t="str">
        <f t="shared" si="31"/>
        <v>16143311|99573490|916588603|916588603</v>
      </c>
      <c r="AO917" t="s">
        <v>758</v>
      </c>
      <c r="AP917" t="b">
        <v>1</v>
      </c>
      <c r="AQ917" t="s">
        <v>764</v>
      </c>
    </row>
    <row r="918" spans="1:43" x14ac:dyDescent="0.2">
      <c r="A918" s="14" t="s">
        <v>500</v>
      </c>
      <c r="B918" s="17">
        <v>16143311</v>
      </c>
      <c r="C918" s="14" t="s">
        <v>377</v>
      </c>
      <c r="D918" s="9">
        <v>25849717</v>
      </c>
      <c r="E918" s="9" t="s">
        <v>378</v>
      </c>
      <c r="F918" s="7">
        <v>45717</v>
      </c>
      <c r="G918" s="20" t="s">
        <v>46</v>
      </c>
      <c r="H918" s="8">
        <v>916588603</v>
      </c>
      <c r="I918" s="19">
        <v>65384364</v>
      </c>
      <c r="J918" s="10">
        <v>29584</v>
      </c>
      <c r="K918" s="10">
        <v>0</v>
      </c>
      <c r="L918" s="10">
        <v>29584</v>
      </c>
      <c r="M918" s="10">
        <v>0</v>
      </c>
      <c r="N918" s="11">
        <v>29584</v>
      </c>
      <c r="O918" s="12">
        <v>916588603</v>
      </c>
      <c r="P918" s="9">
        <v>285123</v>
      </c>
      <c r="Q918" s="9" t="s">
        <v>37</v>
      </c>
      <c r="R918" s="13">
        <v>45717</v>
      </c>
      <c r="S918" s="22">
        <v>45742</v>
      </c>
      <c r="T918" s="13">
        <v>45672</v>
      </c>
      <c r="U918" s="13">
        <v>45672</v>
      </c>
      <c r="V918" s="9" t="s">
        <v>47</v>
      </c>
      <c r="W918" s="9">
        <v>22770353</v>
      </c>
      <c r="X918" s="9">
        <v>3311105</v>
      </c>
      <c r="Y918" s="9">
        <v>69251247</v>
      </c>
      <c r="Z918" s="9" t="s">
        <v>39</v>
      </c>
      <c r="AA918" s="9">
        <v>1709850616</v>
      </c>
      <c r="AB918" s="9">
        <v>78070</v>
      </c>
      <c r="AC918" s="9" t="s">
        <v>41</v>
      </c>
      <c r="AD918" s="9" t="s">
        <v>132</v>
      </c>
      <c r="AE918" s="9" t="s">
        <v>133</v>
      </c>
      <c r="AF918" s="9" t="s">
        <v>133</v>
      </c>
      <c r="AG918" s="14" t="str">
        <f t="shared" si="32"/>
        <v>EXAMENES DE LABORATORIO</v>
      </c>
      <c r="AH918" s="9">
        <v>0</v>
      </c>
      <c r="AI918" s="9">
        <v>0</v>
      </c>
      <c r="AJ918" s="9">
        <v>99573490</v>
      </c>
      <c r="AK918" s="9">
        <v>7</v>
      </c>
      <c r="AL918" s="26" t="s">
        <v>52</v>
      </c>
      <c r="AM918" s="14" t="s">
        <v>672</v>
      </c>
      <c r="AN918" s="27" t="str">
        <f t="shared" si="31"/>
        <v>16143311|99573490|916588603|65384364</v>
      </c>
      <c r="AO918" t="s">
        <v>44</v>
      </c>
      <c r="AP918" t="b">
        <v>0</v>
      </c>
      <c r="AQ918" t="s">
        <v>763</v>
      </c>
    </row>
    <row r="919" spans="1:43" x14ac:dyDescent="0.2">
      <c r="A919" s="14" t="s">
        <v>500</v>
      </c>
      <c r="B919" s="17">
        <v>16143311</v>
      </c>
      <c r="C919" s="14" t="s">
        <v>377</v>
      </c>
      <c r="D919" s="9">
        <v>22698485</v>
      </c>
      <c r="E919" s="9" t="s">
        <v>379</v>
      </c>
      <c r="F919" s="7">
        <v>45658</v>
      </c>
      <c r="G919" s="20" t="s">
        <v>36</v>
      </c>
      <c r="H919" s="8">
        <v>916589075</v>
      </c>
      <c r="I919" s="19">
        <v>916589075</v>
      </c>
      <c r="J919" s="10">
        <v>17160</v>
      </c>
      <c r="K919" s="10">
        <v>5370</v>
      </c>
      <c r="L919" s="10">
        <v>11790</v>
      </c>
      <c r="M919" s="10">
        <v>0</v>
      </c>
      <c r="N919" s="11">
        <v>11790</v>
      </c>
      <c r="O919" s="12">
        <v>916589075</v>
      </c>
      <c r="P919" s="9">
        <v>285123</v>
      </c>
      <c r="Q919" s="9" t="s">
        <v>37</v>
      </c>
      <c r="R919" s="13">
        <v>45672</v>
      </c>
      <c r="S919" s="22">
        <v>45672</v>
      </c>
      <c r="T919" s="13">
        <v>45672</v>
      </c>
      <c r="U919" s="13">
        <v>45672</v>
      </c>
      <c r="V919" s="9" t="s">
        <v>47</v>
      </c>
      <c r="W919" s="9">
        <v>22497895</v>
      </c>
      <c r="X919" s="9">
        <v>1210929</v>
      </c>
      <c r="Y919" s="9">
        <v>68689588</v>
      </c>
      <c r="Z919" s="9" t="s">
        <v>39</v>
      </c>
      <c r="AA919" s="9">
        <v>19012025</v>
      </c>
      <c r="AB919" s="9">
        <v>77381</v>
      </c>
      <c r="AC919" s="9" t="s">
        <v>41</v>
      </c>
      <c r="AD919" s="9" t="s">
        <v>132</v>
      </c>
      <c r="AE919" s="9" t="s">
        <v>133</v>
      </c>
      <c r="AF919" s="9" t="s">
        <v>133</v>
      </c>
      <c r="AG919" s="14" t="str">
        <f t="shared" si="32"/>
        <v>EXAMENES DE LABORATORIO</v>
      </c>
      <c r="AH919" s="9" t="s">
        <v>758</v>
      </c>
      <c r="AI919" s="9">
        <v>0</v>
      </c>
      <c r="AJ919" s="9">
        <v>99573490</v>
      </c>
      <c r="AK919" s="9">
        <v>7</v>
      </c>
      <c r="AL919" s="26" t="s">
        <v>62</v>
      </c>
      <c r="AM919" s="14" t="s">
        <v>672</v>
      </c>
      <c r="AN919" s="27" t="str">
        <f t="shared" si="31"/>
        <v>16143311|99573490|916589075|916589075</v>
      </c>
      <c r="AO919" t="s">
        <v>758</v>
      </c>
      <c r="AP919" t="b">
        <v>1</v>
      </c>
      <c r="AQ919" t="s">
        <v>764</v>
      </c>
    </row>
    <row r="920" spans="1:43" x14ac:dyDescent="0.2">
      <c r="A920" s="14" t="s">
        <v>500</v>
      </c>
      <c r="B920" s="17">
        <v>16143311</v>
      </c>
      <c r="C920" s="14" t="s">
        <v>377</v>
      </c>
      <c r="D920" s="9">
        <v>22698485</v>
      </c>
      <c r="E920" s="9" t="s">
        <v>379</v>
      </c>
      <c r="F920" s="7">
        <v>45717</v>
      </c>
      <c r="G920" s="20" t="s">
        <v>46</v>
      </c>
      <c r="H920" s="8">
        <v>916589075</v>
      </c>
      <c r="I920" s="19">
        <v>65384359</v>
      </c>
      <c r="J920" s="10">
        <v>10371</v>
      </c>
      <c r="K920" s="10">
        <v>0</v>
      </c>
      <c r="L920" s="10">
        <v>10371</v>
      </c>
      <c r="M920" s="10">
        <v>0</v>
      </c>
      <c r="N920" s="11">
        <v>10371</v>
      </c>
      <c r="O920" s="12">
        <v>916589075</v>
      </c>
      <c r="P920" s="9">
        <v>285123</v>
      </c>
      <c r="Q920" s="9" t="s">
        <v>37</v>
      </c>
      <c r="R920" s="13">
        <v>45717</v>
      </c>
      <c r="S920" s="22">
        <v>45742</v>
      </c>
      <c r="T920" s="13">
        <v>45672</v>
      </c>
      <c r="U920" s="13">
        <v>45672</v>
      </c>
      <c r="V920" s="9" t="s">
        <v>47</v>
      </c>
      <c r="W920" s="9">
        <v>22770353</v>
      </c>
      <c r="X920" s="9">
        <v>3311105</v>
      </c>
      <c r="Y920" s="9">
        <v>69251242</v>
      </c>
      <c r="Z920" s="9" t="s">
        <v>39</v>
      </c>
      <c r="AA920" s="9">
        <v>1709850616</v>
      </c>
      <c r="AB920" s="9">
        <v>78070</v>
      </c>
      <c r="AC920" s="9" t="s">
        <v>41</v>
      </c>
      <c r="AD920" s="9" t="s">
        <v>132</v>
      </c>
      <c r="AE920" s="9" t="s">
        <v>133</v>
      </c>
      <c r="AF920" s="9" t="s">
        <v>133</v>
      </c>
      <c r="AG920" s="14" t="str">
        <f t="shared" si="32"/>
        <v>EXAMENES DE LABORATORIO</v>
      </c>
      <c r="AH920" s="9">
        <v>0</v>
      </c>
      <c r="AI920" s="9">
        <v>0</v>
      </c>
      <c r="AJ920" s="9">
        <v>99573490</v>
      </c>
      <c r="AK920" s="9">
        <v>7</v>
      </c>
      <c r="AL920" s="26" t="s">
        <v>52</v>
      </c>
      <c r="AM920" s="14" t="s">
        <v>672</v>
      </c>
      <c r="AN920" s="27" t="str">
        <f t="shared" si="31"/>
        <v>16143311|99573490|916589075|65384359</v>
      </c>
      <c r="AO920" t="s">
        <v>44</v>
      </c>
      <c r="AP920" t="b">
        <v>0</v>
      </c>
      <c r="AQ920" t="s">
        <v>763</v>
      </c>
    </row>
    <row r="921" spans="1:43" x14ac:dyDescent="0.2">
      <c r="A921" s="14" t="s">
        <v>500</v>
      </c>
      <c r="B921" s="17">
        <v>16143311</v>
      </c>
      <c r="C921" s="14" t="s">
        <v>377</v>
      </c>
      <c r="D921" s="9">
        <v>22698485</v>
      </c>
      <c r="E921" s="9" t="s">
        <v>379</v>
      </c>
      <c r="F921" s="7">
        <v>45658</v>
      </c>
      <c r="G921" s="20" t="s">
        <v>36</v>
      </c>
      <c r="H921" s="8">
        <v>916589076</v>
      </c>
      <c r="I921" s="19">
        <v>916589076</v>
      </c>
      <c r="J921" s="10">
        <v>39250</v>
      </c>
      <c r="K921" s="10">
        <v>12280</v>
      </c>
      <c r="L921" s="10">
        <v>26970</v>
      </c>
      <c r="M921" s="10">
        <v>0</v>
      </c>
      <c r="N921" s="11">
        <v>26970</v>
      </c>
      <c r="O921" s="12">
        <v>916589076</v>
      </c>
      <c r="P921" s="9">
        <v>285123</v>
      </c>
      <c r="Q921" s="9" t="s">
        <v>37</v>
      </c>
      <c r="R921" s="13">
        <v>45672</v>
      </c>
      <c r="S921" s="22">
        <v>45672</v>
      </c>
      <c r="T921" s="13">
        <v>45672</v>
      </c>
      <c r="U921" s="13">
        <v>45672</v>
      </c>
      <c r="V921" s="9" t="s">
        <v>47</v>
      </c>
      <c r="W921" s="9">
        <v>22497895</v>
      </c>
      <c r="X921" s="9">
        <v>1210929</v>
      </c>
      <c r="Y921" s="9">
        <v>68689587</v>
      </c>
      <c r="Z921" s="9" t="s">
        <v>39</v>
      </c>
      <c r="AA921" s="9">
        <v>19012025</v>
      </c>
      <c r="AB921" s="9">
        <v>77381</v>
      </c>
      <c r="AC921" s="9" t="s">
        <v>41</v>
      </c>
      <c r="AD921" s="9" t="s">
        <v>132</v>
      </c>
      <c r="AE921" s="9" t="s">
        <v>133</v>
      </c>
      <c r="AF921" s="9" t="s">
        <v>133</v>
      </c>
      <c r="AG921" s="14" t="str">
        <f t="shared" si="32"/>
        <v>EXAMENES DE LABORATORIO</v>
      </c>
      <c r="AH921" s="9" t="s">
        <v>758</v>
      </c>
      <c r="AI921" s="9">
        <v>0</v>
      </c>
      <c r="AJ921" s="9">
        <v>99573490</v>
      </c>
      <c r="AK921" s="9">
        <v>7</v>
      </c>
      <c r="AL921" s="26" t="s">
        <v>62</v>
      </c>
      <c r="AM921" s="14" t="s">
        <v>672</v>
      </c>
      <c r="AN921" s="27" t="str">
        <f t="shared" si="31"/>
        <v>16143311|99573490|916589076|916589076</v>
      </c>
      <c r="AO921" t="s">
        <v>758</v>
      </c>
      <c r="AP921" t="b">
        <v>1</v>
      </c>
      <c r="AQ921" t="s">
        <v>764</v>
      </c>
    </row>
    <row r="922" spans="1:43" x14ac:dyDescent="0.2">
      <c r="A922" s="14" t="s">
        <v>500</v>
      </c>
      <c r="B922" s="17">
        <v>16143311</v>
      </c>
      <c r="C922" s="14" t="s">
        <v>377</v>
      </c>
      <c r="D922" s="9">
        <v>22698485</v>
      </c>
      <c r="E922" s="9" t="s">
        <v>379</v>
      </c>
      <c r="F922" s="7">
        <v>45717</v>
      </c>
      <c r="G922" s="20" t="s">
        <v>46</v>
      </c>
      <c r="H922" s="8">
        <v>916589076</v>
      </c>
      <c r="I922" s="19">
        <v>65384360</v>
      </c>
      <c r="J922" s="10">
        <v>23435</v>
      </c>
      <c r="K922" s="10">
        <v>0</v>
      </c>
      <c r="L922" s="10">
        <v>23435</v>
      </c>
      <c r="M922" s="10">
        <v>0</v>
      </c>
      <c r="N922" s="11">
        <v>23435</v>
      </c>
      <c r="O922" s="12">
        <v>916589076</v>
      </c>
      <c r="P922" s="9">
        <v>285123</v>
      </c>
      <c r="Q922" s="9" t="s">
        <v>37</v>
      </c>
      <c r="R922" s="13">
        <v>45717</v>
      </c>
      <c r="S922" s="22">
        <v>45742</v>
      </c>
      <c r="T922" s="13">
        <v>45672</v>
      </c>
      <c r="U922" s="13">
        <v>45672</v>
      </c>
      <c r="V922" s="9" t="s">
        <v>47</v>
      </c>
      <c r="W922" s="9">
        <v>22770353</v>
      </c>
      <c r="X922" s="9">
        <v>3311105</v>
      </c>
      <c r="Y922" s="9">
        <v>69251243</v>
      </c>
      <c r="Z922" s="9" t="s">
        <v>39</v>
      </c>
      <c r="AA922" s="9">
        <v>1709850616</v>
      </c>
      <c r="AB922" s="9">
        <v>78070</v>
      </c>
      <c r="AC922" s="9" t="s">
        <v>41</v>
      </c>
      <c r="AD922" s="9" t="s">
        <v>132</v>
      </c>
      <c r="AE922" s="9" t="s">
        <v>133</v>
      </c>
      <c r="AF922" s="9" t="s">
        <v>133</v>
      </c>
      <c r="AG922" s="14" t="str">
        <f t="shared" si="32"/>
        <v>EXAMENES DE LABORATORIO</v>
      </c>
      <c r="AH922" s="9">
        <v>0</v>
      </c>
      <c r="AI922" s="9">
        <v>0</v>
      </c>
      <c r="AJ922" s="9">
        <v>99573490</v>
      </c>
      <c r="AK922" s="9">
        <v>7</v>
      </c>
      <c r="AL922" s="26" t="s">
        <v>52</v>
      </c>
      <c r="AM922" s="14" t="s">
        <v>672</v>
      </c>
      <c r="AN922" s="27" t="str">
        <f t="shared" si="31"/>
        <v>16143311|99573490|916589076|65384360</v>
      </c>
      <c r="AO922" t="s">
        <v>44</v>
      </c>
      <c r="AP922" t="b">
        <v>0</v>
      </c>
      <c r="AQ922" t="s">
        <v>763</v>
      </c>
    </row>
    <row r="923" spans="1:43" x14ac:dyDescent="0.2">
      <c r="A923" s="14" t="s">
        <v>500</v>
      </c>
      <c r="B923" s="17">
        <v>16143311</v>
      </c>
      <c r="C923" s="14" t="s">
        <v>377</v>
      </c>
      <c r="D923" s="9">
        <v>22698485</v>
      </c>
      <c r="E923" s="9" t="s">
        <v>379</v>
      </c>
      <c r="F923" s="7">
        <v>45658</v>
      </c>
      <c r="G923" s="20" t="s">
        <v>36</v>
      </c>
      <c r="H923" s="8">
        <v>916589077</v>
      </c>
      <c r="I923" s="19">
        <v>916589077</v>
      </c>
      <c r="J923" s="10">
        <v>49960</v>
      </c>
      <c r="K923" s="10">
        <v>15620</v>
      </c>
      <c r="L923" s="10">
        <v>34340</v>
      </c>
      <c r="M923" s="10">
        <v>0</v>
      </c>
      <c r="N923" s="11">
        <v>34340</v>
      </c>
      <c r="O923" s="12">
        <v>916589077</v>
      </c>
      <c r="P923" s="9">
        <v>285123</v>
      </c>
      <c r="Q923" s="9" t="s">
        <v>37</v>
      </c>
      <c r="R923" s="13">
        <v>45672</v>
      </c>
      <c r="S923" s="22">
        <v>45672</v>
      </c>
      <c r="T923" s="13">
        <v>45672</v>
      </c>
      <c r="U923" s="13">
        <v>45672</v>
      </c>
      <c r="V923" s="9" t="s">
        <v>47</v>
      </c>
      <c r="W923" s="9">
        <v>22497895</v>
      </c>
      <c r="X923" s="9">
        <v>1210929</v>
      </c>
      <c r="Y923" s="9">
        <v>68689586</v>
      </c>
      <c r="Z923" s="9" t="s">
        <v>39</v>
      </c>
      <c r="AA923" s="9">
        <v>19012025</v>
      </c>
      <c r="AB923" s="9">
        <v>77381</v>
      </c>
      <c r="AC923" s="9" t="s">
        <v>41</v>
      </c>
      <c r="AD923" s="9" t="s">
        <v>132</v>
      </c>
      <c r="AE923" s="9" t="s">
        <v>133</v>
      </c>
      <c r="AF923" s="9" t="s">
        <v>133</v>
      </c>
      <c r="AG923" s="14" t="str">
        <f t="shared" si="32"/>
        <v>EXAMENES DE LABORATORIO</v>
      </c>
      <c r="AH923" s="9" t="s">
        <v>758</v>
      </c>
      <c r="AI923" s="9">
        <v>0</v>
      </c>
      <c r="AJ923" s="9">
        <v>99573490</v>
      </c>
      <c r="AK923" s="9">
        <v>7</v>
      </c>
      <c r="AL923" s="26" t="s">
        <v>62</v>
      </c>
      <c r="AM923" s="14" t="s">
        <v>672</v>
      </c>
      <c r="AN923" s="27" t="str">
        <f t="shared" si="31"/>
        <v>16143311|99573490|916589077|916589077</v>
      </c>
      <c r="AO923" t="s">
        <v>758</v>
      </c>
      <c r="AP923" t="b">
        <v>1</v>
      </c>
      <c r="AQ923" t="s">
        <v>764</v>
      </c>
    </row>
    <row r="924" spans="1:43" x14ac:dyDescent="0.2">
      <c r="A924" s="14" t="s">
        <v>500</v>
      </c>
      <c r="B924" s="17">
        <v>16143311</v>
      </c>
      <c r="C924" s="14" t="s">
        <v>377</v>
      </c>
      <c r="D924" s="9">
        <v>22698485</v>
      </c>
      <c r="E924" s="9" t="s">
        <v>379</v>
      </c>
      <c r="F924" s="7">
        <v>45717</v>
      </c>
      <c r="G924" s="20" t="s">
        <v>46</v>
      </c>
      <c r="H924" s="8">
        <v>916589077</v>
      </c>
      <c r="I924" s="19">
        <v>65384361</v>
      </c>
      <c r="J924" s="10">
        <v>29584</v>
      </c>
      <c r="K924" s="10">
        <v>0</v>
      </c>
      <c r="L924" s="10">
        <v>29584</v>
      </c>
      <c r="M924" s="10">
        <v>0</v>
      </c>
      <c r="N924" s="11">
        <v>29584</v>
      </c>
      <c r="O924" s="12">
        <v>916589077</v>
      </c>
      <c r="P924" s="9">
        <v>285123</v>
      </c>
      <c r="Q924" s="9" t="s">
        <v>37</v>
      </c>
      <c r="R924" s="13">
        <v>45717</v>
      </c>
      <c r="S924" s="22">
        <v>45742</v>
      </c>
      <c r="T924" s="13">
        <v>45672</v>
      </c>
      <c r="U924" s="13">
        <v>45672</v>
      </c>
      <c r="V924" s="9" t="s">
        <v>47</v>
      </c>
      <c r="W924" s="9">
        <v>22770353</v>
      </c>
      <c r="X924" s="9">
        <v>3311105</v>
      </c>
      <c r="Y924" s="9">
        <v>69251244</v>
      </c>
      <c r="Z924" s="9" t="s">
        <v>39</v>
      </c>
      <c r="AA924" s="9">
        <v>1709850616</v>
      </c>
      <c r="AB924" s="9">
        <v>78070</v>
      </c>
      <c r="AC924" s="9" t="s">
        <v>41</v>
      </c>
      <c r="AD924" s="9" t="s">
        <v>132</v>
      </c>
      <c r="AE924" s="9" t="s">
        <v>133</v>
      </c>
      <c r="AF924" s="9" t="s">
        <v>133</v>
      </c>
      <c r="AG924" s="14" t="str">
        <f t="shared" si="32"/>
        <v>EXAMENES DE LABORATORIO</v>
      </c>
      <c r="AH924" s="9">
        <v>0</v>
      </c>
      <c r="AI924" s="9">
        <v>0</v>
      </c>
      <c r="AJ924" s="9">
        <v>99573490</v>
      </c>
      <c r="AK924" s="9">
        <v>7</v>
      </c>
      <c r="AL924" s="26" t="s">
        <v>52</v>
      </c>
      <c r="AM924" s="14" t="s">
        <v>672</v>
      </c>
      <c r="AN924" s="27" t="str">
        <f t="shared" si="31"/>
        <v>16143311|99573490|916589077|65384361</v>
      </c>
      <c r="AO924" t="s">
        <v>44</v>
      </c>
      <c r="AP924" t="b">
        <v>0</v>
      </c>
      <c r="AQ924" t="s">
        <v>763</v>
      </c>
    </row>
    <row r="925" spans="1:43" x14ac:dyDescent="0.2">
      <c r="A925" s="14" t="s">
        <v>500</v>
      </c>
      <c r="B925" s="17">
        <v>17884354</v>
      </c>
      <c r="C925" s="14" t="s">
        <v>363</v>
      </c>
      <c r="D925" s="9">
        <v>17884354</v>
      </c>
      <c r="E925" s="9" t="s">
        <v>363</v>
      </c>
      <c r="F925" s="7">
        <v>45658</v>
      </c>
      <c r="G925" s="20" t="s">
        <v>36</v>
      </c>
      <c r="H925" s="8">
        <v>916617511</v>
      </c>
      <c r="I925" s="19">
        <v>916617511</v>
      </c>
      <c r="J925" s="10">
        <v>16430</v>
      </c>
      <c r="K925" s="10">
        <v>5140</v>
      </c>
      <c r="L925" s="10">
        <v>11290</v>
      </c>
      <c r="M925" s="10">
        <v>0</v>
      </c>
      <c r="N925" s="11">
        <v>11290</v>
      </c>
      <c r="O925" s="12">
        <v>916617511</v>
      </c>
      <c r="P925" s="9">
        <v>285123</v>
      </c>
      <c r="Q925" s="9" t="s">
        <v>37</v>
      </c>
      <c r="R925" s="13">
        <v>45672</v>
      </c>
      <c r="S925" s="22">
        <v>45672</v>
      </c>
      <c r="T925" s="13">
        <v>45672</v>
      </c>
      <c r="U925" s="13">
        <v>45672</v>
      </c>
      <c r="V925" s="9" t="s">
        <v>47</v>
      </c>
      <c r="W925" s="9">
        <v>22497909</v>
      </c>
      <c r="X925" s="9">
        <v>1210929</v>
      </c>
      <c r="Y925" s="9">
        <v>68689726</v>
      </c>
      <c r="Z925" s="9" t="s">
        <v>39</v>
      </c>
      <c r="AA925" s="9">
        <v>19012025</v>
      </c>
      <c r="AB925" s="9">
        <v>77381</v>
      </c>
      <c r="AC925" s="9" t="s">
        <v>41</v>
      </c>
      <c r="AD925" s="9" t="s">
        <v>132</v>
      </c>
      <c r="AE925" s="9" t="s">
        <v>133</v>
      </c>
      <c r="AF925" s="9" t="s">
        <v>133</v>
      </c>
      <c r="AG925" s="14" t="str">
        <f t="shared" si="32"/>
        <v>EXAMENES DE LABORATORIO</v>
      </c>
      <c r="AH925" s="9" t="s">
        <v>758</v>
      </c>
      <c r="AI925" s="9">
        <v>0</v>
      </c>
      <c r="AJ925" s="9">
        <v>9461401</v>
      </c>
      <c r="AK925" s="9">
        <v>5</v>
      </c>
      <c r="AL925" s="26" t="s">
        <v>62</v>
      </c>
      <c r="AM925" s="14" t="s">
        <v>659</v>
      </c>
      <c r="AN925" s="27" t="str">
        <f t="shared" si="31"/>
        <v>17884354|9461401|916617511|916617511</v>
      </c>
      <c r="AO925" t="s">
        <v>758</v>
      </c>
      <c r="AP925" t="b">
        <v>1</v>
      </c>
      <c r="AQ925" t="s">
        <v>764</v>
      </c>
    </row>
    <row r="926" spans="1:43" x14ac:dyDescent="0.2">
      <c r="A926" s="14" t="s">
        <v>500</v>
      </c>
      <c r="B926" s="17">
        <v>17884354</v>
      </c>
      <c r="C926" s="14" t="s">
        <v>363</v>
      </c>
      <c r="D926" s="9">
        <v>17884354</v>
      </c>
      <c r="E926" s="9" t="s">
        <v>363</v>
      </c>
      <c r="F926" s="7">
        <v>45717</v>
      </c>
      <c r="G926" s="20" t="s">
        <v>46</v>
      </c>
      <c r="H926" s="8">
        <v>916617511</v>
      </c>
      <c r="I926" s="19">
        <v>65384446</v>
      </c>
      <c r="J926" s="10">
        <v>9988</v>
      </c>
      <c r="K926" s="10">
        <v>0</v>
      </c>
      <c r="L926" s="10">
        <v>9988</v>
      </c>
      <c r="M926" s="10">
        <v>0</v>
      </c>
      <c r="N926" s="11">
        <v>9988</v>
      </c>
      <c r="O926" s="12">
        <v>916617511</v>
      </c>
      <c r="P926" s="9">
        <v>285123</v>
      </c>
      <c r="Q926" s="9" t="s">
        <v>37</v>
      </c>
      <c r="R926" s="13">
        <v>45717</v>
      </c>
      <c r="S926" s="22">
        <v>45742</v>
      </c>
      <c r="T926" s="13">
        <v>45672</v>
      </c>
      <c r="U926" s="13">
        <v>45672</v>
      </c>
      <c r="V926" s="9" t="s">
        <v>47</v>
      </c>
      <c r="W926" s="9">
        <v>22770356</v>
      </c>
      <c r="X926" s="9">
        <v>3311105</v>
      </c>
      <c r="Y926" s="9">
        <v>69251314</v>
      </c>
      <c r="Z926" s="9" t="s">
        <v>39</v>
      </c>
      <c r="AA926" s="9">
        <v>17884354</v>
      </c>
      <c r="AB926" s="9">
        <v>78070</v>
      </c>
      <c r="AC926" s="9" t="s">
        <v>41</v>
      </c>
      <c r="AD926" s="9" t="s">
        <v>132</v>
      </c>
      <c r="AE926" s="9" t="s">
        <v>133</v>
      </c>
      <c r="AF926" s="9" t="s">
        <v>133</v>
      </c>
      <c r="AG926" s="14" t="str">
        <f t="shared" si="32"/>
        <v>EXAMENES DE LABORATORIO</v>
      </c>
      <c r="AH926" s="9">
        <v>0</v>
      </c>
      <c r="AI926" s="9">
        <v>0</v>
      </c>
      <c r="AJ926" s="9">
        <v>9461401</v>
      </c>
      <c r="AK926" s="9">
        <v>5</v>
      </c>
      <c r="AL926" s="26" t="s">
        <v>52</v>
      </c>
      <c r="AM926" s="14" t="s">
        <v>659</v>
      </c>
      <c r="AN926" s="27" t="str">
        <f t="shared" si="31"/>
        <v>17884354|9461401|916617511|65384446</v>
      </c>
      <c r="AO926" t="s">
        <v>44</v>
      </c>
      <c r="AP926" t="b">
        <v>0</v>
      </c>
      <c r="AQ926" t="s">
        <v>763</v>
      </c>
    </row>
    <row r="927" spans="1:43" x14ac:dyDescent="0.2">
      <c r="A927" s="14" t="s">
        <v>500</v>
      </c>
      <c r="B927" s="17">
        <v>8956787</v>
      </c>
      <c r="C927" s="14" t="s">
        <v>301</v>
      </c>
      <c r="D927" s="9">
        <v>10583396</v>
      </c>
      <c r="E927" s="9" t="s">
        <v>302</v>
      </c>
      <c r="F927" s="7">
        <v>45658</v>
      </c>
      <c r="G927" s="20" t="s">
        <v>36</v>
      </c>
      <c r="H927" s="8">
        <v>916639740</v>
      </c>
      <c r="I927" s="19">
        <v>916639740</v>
      </c>
      <c r="J927" s="10">
        <v>35460</v>
      </c>
      <c r="K927" s="10">
        <v>11080</v>
      </c>
      <c r="L927" s="10">
        <v>24380</v>
      </c>
      <c r="M927" s="10">
        <v>0</v>
      </c>
      <c r="N927" s="11">
        <v>24380</v>
      </c>
      <c r="O927" s="12">
        <v>916639740</v>
      </c>
      <c r="P927" s="9">
        <v>285123</v>
      </c>
      <c r="Q927" s="9" t="s">
        <v>37</v>
      </c>
      <c r="R927" s="13">
        <v>45672</v>
      </c>
      <c r="S927" s="22">
        <v>45672</v>
      </c>
      <c r="T927" s="13">
        <v>45672</v>
      </c>
      <c r="U927" s="13">
        <v>45672</v>
      </c>
      <c r="V927" s="9" t="s">
        <v>47</v>
      </c>
      <c r="W927" s="9">
        <v>22497865</v>
      </c>
      <c r="X927" s="9">
        <v>1210929</v>
      </c>
      <c r="Y927" s="9">
        <v>68689845</v>
      </c>
      <c r="Z927" s="9" t="s">
        <v>39</v>
      </c>
      <c r="AA927" s="9">
        <v>19012025</v>
      </c>
      <c r="AB927" s="9">
        <v>77381</v>
      </c>
      <c r="AC927" s="9" t="s">
        <v>41</v>
      </c>
      <c r="AD927" s="9" t="s">
        <v>134</v>
      </c>
      <c r="AE927" s="9" t="s">
        <v>135</v>
      </c>
      <c r="AF927" s="9" t="s">
        <v>135</v>
      </c>
      <c r="AG927" s="14" t="str">
        <f t="shared" si="32"/>
        <v>EXAMENES RADIOLOGICOS</v>
      </c>
      <c r="AH927" s="9" t="s">
        <v>758</v>
      </c>
      <c r="AI927" s="9">
        <v>0</v>
      </c>
      <c r="AJ927" s="9">
        <v>76098454</v>
      </c>
      <c r="AK927" s="9" t="s">
        <v>161</v>
      </c>
      <c r="AL927" s="26" t="s">
        <v>62</v>
      </c>
      <c r="AM927" s="14" t="s">
        <v>619</v>
      </c>
      <c r="AN927" s="27" t="str">
        <f t="shared" si="31"/>
        <v>8956787|76098454|916639740|916639740</v>
      </c>
      <c r="AO927" t="s">
        <v>758</v>
      </c>
      <c r="AP927" t="b">
        <v>1</v>
      </c>
      <c r="AQ927" t="s">
        <v>764</v>
      </c>
    </row>
    <row r="928" spans="1:43" x14ac:dyDescent="0.2">
      <c r="A928" s="14" t="s">
        <v>500</v>
      </c>
      <c r="B928" s="17">
        <v>8956787</v>
      </c>
      <c r="C928" s="14" t="s">
        <v>301</v>
      </c>
      <c r="D928" s="9">
        <v>10583396</v>
      </c>
      <c r="E928" s="9" t="s">
        <v>302</v>
      </c>
      <c r="F928" s="7">
        <v>45717</v>
      </c>
      <c r="G928" s="20" t="s">
        <v>46</v>
      </c>
      <c r="H928" s="8">
        <v>916639740</v>
      </c>
      <c r="I928" s="19">
        <v>65383697</v>
      </c>
      <c r="J928" s="10">
        <v>44306</v>
      </c>
      <c r="K928" s="10">
        <v>0</v>
      </c>
      <c r="L928" s="10">
        <v>44306</v>
      </c>
      <c r="M928" s="10">
        <v>0</v>
      </c>
      <c r="N928" s="11">
        <v>44306</v>
      </c>
      <c r="O928" s="12">
        <v>916639740</v>
      </c>
      <c r="P928" s="9">
        <v>285123</v>
      </c>
      <c r="Q928" s="9" t="s">
        <v>37</v>
      </c>
      <c r="R928" s="13">
        <v>45717</v>
      </c>
      <c r="S928" s="22">
        <v>45742</v>
      </c>
      <c r="T928" s="13">
        <v>45672</v>
      </c>
      <c r="U928" s="13">
        <v>45672</v>
      </c>
      <c r="V928" s="9" t="s">
        <v>47</v>
      </c>
      <c r="W928" s="9">
        <v>22770676</v>
      </c>
      <c r="X928" s="9">
        <v>3311105</v>
      </c>
      <c r="Y928" s="9">
        <v>69250588</v>
      </c>
      <c r="Z928" s="9" t="s">
        <v>39</v>
      </c>
      <c r="AA928" s="9">
        <v>63512556</v>
      </c>
      <c r="AB928" s="9">
        <v>78070</v>
      </c>
      <c r="AC928" s="9" t="s">
        <v>41</v>
      </c>
      <c r="AD928" s="9" t="s">
        <v>134</v>
      </c>
      <c r="AE928" s="9" t="s">
        <v>135</v>
      </c>
      <c r="AF928" s="9" t="s">
        <v>135</v>
      </c>
      <c r="AG928" s="14" t="str">
        <f t="shared" si="32"/>
        <v>EXAMENES RADIOLOGICOS</v>
      </c>
      <c r="AH928" s="9">
        <v>0</v>
      </c>
      <c r="AI928" s="9">
        <v>0</v>
      </c>
      <c r="AJ928" s="9">
        <v>76098454</v>
      </c>
      <c r="AK928" s="9" t="s">
        <v>161</v>
      </c>
      <c r="AL928" s="26" t="s">
        <v>52</v>
      </c>
      <c r="AM928" s="14" t="s">
        <v>619</v>
      </c>
      <c r="AN928" s="27" t="str">
        <f t="shared" si="31"/>
        <v>8956787|76098454|916639740|65383697</v>
      </c>
      <c r="AO928" t="s">
        <v>44</v>
      </c>
      <c r="AP928" t="b">
        <v>0</v>
      </c>
      <c r="AQ928" t="s">
        <v>763</v>
      </c>
    </row>
    <row r="929" spans="1:43" x14ac:dyDescent="0.2">
      <c r="A929" s="14" t="s">
        <v>500</v>
      </c>
      <c r="B929" s="17">
        <v>8956787</v>
      </c>
      <c r="C929" s="14" t="s">
        <v>301</v>
      </c>
      <c r="D929" s="9">
        <v>10583396</v>
      </c>
      <c r="E929" s="9" t="s">
        <v>302</v>
      </c>
      <c r="F929" s="7">
        <v>45658</v>
      </c>
      <c r="G929" s="20" t="s">
        <v>36</v>
      </c>
      <c r="H929" s="8">
        <v>916640109</v>
      </c>
      <c r="I929" s="19">
        <v>916640109</v>
      </c>
      <c r="J929" s="10">
        <v>28990</v>
      </c>
      <c r="K929" s="10">
        <v>9060</v>
      </c>
      <c r="L929" s="10">
        <v>19930</v>
      </c>
      <c r="M929" s="10">
        <v>0</v>
      </c>
      <c r="N929" s="11">
        <v>19930</v>
      </c>
      <c r="O929" s="12">
        <v>916640109</v>
      </c>
      <c r="P929" s="9">
        <v>285123</v>
      </c>
      <c r="Q929" s="9" t="s">
        <v>37</v>
      </c>
      <c r="R929" s="13">
        <v>45672</v>
      </c>
      <c r="S929" s="22">
        <v>45672</v>
      </c>
      <c r="T929" s="13">
        <v>45672</v>
      </c>
      <c r="U929" s="13">
        <v>45672</v>
      </c>
      <c r="V929" s="9" t="s">
        <v>47</v>
      </c>
      <c r="W929" s="9">
        <v>22497865</v>
      </c>
      <c r="X929" s="9">
        <v>1210929</v>
      </c>
      <c r="Y929" s="9">
        <v>68689846</v>
      </c>
      <c r="Z929" s="9" t="s">
        <v>39</v>
      </c>
      <c r="AA929" s="9">
        <v>19012025</v>
      </c>
      <c r="AB929" s="9">
        <v>77381</v>
      </c>
      <c r="AC929" s="9" t="s">
        <v>41</v>
      </c>
      <c r="AD929" s="9" t="s">
        <v>134</v>
      </c>
      <c r="AE929" s="9" t="s">
        <v>135</v>
      </c>
      <c r="AF929" s="9" t="s">
        <v>135</v>
      </c>
      <c r="AG929" s="14" t="str">
        <f t="shared" si="32"/>
        <v>EXAMENES RADIOLOGICOS</v>
      </c>
      <c r="AH929" s="9" t="s">
        <v>758</v>
      </c>
      <c r="AI929" s="9">
        <v>0</v>
      </c>
      <c r="AJ929" s="9">
        <v>76098454</v>
      </c>
      <c r="AK929" s="9" t="s">
        <v>161</v>
      </c>
      <c r="AL929" s="26" t="s">
        <v>62</v>
      </c>
      <c r="AM929" s="14" t="s">
        <v>619</v>
      </c>
      <c r="AN929" s="27" t="str">
        <f t="shared" si="31"/>
        <v>8956787|76098454|916640109|916640109</v>
      </c>
      <c r="AO929" t="s">
        <v>758</v>
      </c>
      <c r="AP929" t="b">
        <v>1</v>
      </c>
      <c r="AQ929" t="s">
        <v>764</v>
      </c>
    </row>
    <row r="930" spans="1:43" x14ac:dyDescent="0.2">
      <c r="A930" s="14" t="s">
        <v>500</v>
      </c>
      <c r="B930" s="17">
        <v>17729073</v>
      </c>
      <c r="C930" s="14" t="s">
        <v>59</v>
      </c>
      <c r="D930" s="9">
        <v>17729073</v>
      </c>
      <c r="E930" s="9" t="s">
        <v>59</v>
      </c>
      <c r="F930" s="7">
        <v>45658</v>
      </c>
      <c r="G930" s="20" t="s">
        <v>36</v>
      </c>
      <c r="H930" s="8">
        <v>916645712</v>
      </c>
      <c r="I930" s="19">
        <v>916645712</v>
      </c>
      <c r="J930" s="10">
        <v>9680</v>
      </c>
      <c r="K930" s="10">
        <v>7984</v>
      </c>
      <c r="L930" s="10">
        <v>1696</v>
      </c>
      <c r="M930" s="10">
        <v>0</v>
      </c>
      <c r="N930" s="11">
        <v>1696</v>
      </c>
      <c r="O930" s="12">
        <v>916645712</v>
      </c>
      <c r="P930" s="9">
        <v>285123</v>
      </c>
      <c r="Q930" s="9" t="s">
        <v>37</v>
      </c>
      <c r="R930" s="13">
        <v>45672</v>
      </c>
      <c r="S930" s="22">
        <v>45672</v>
      </c>
      <c r="T930" s="13">
        <v>45672</v>
      </c>
      <c r="U930" s="13">
        <v>45672</v>
      </c>
      <c r="V930" s="9" t="s">
        <v>47</v>
      </c>
      <c r="W930" s="9">
        <v>22497907</v>
      </c>
      <c r="X930" s="9">
        <v>1210929</v>
      </c>
      <c r="Y930" s="9">
        <v>68689876</v>
      </c>
      <c r="Z930" s="9" t="s">
        <v>39</v>
      </c>
      <c r="AA930" s="9">
        <v>19012025</v>
      </c>
      <c r="AB930" s="9">
        <v>77381</v>
      </c>
      <c r="AC930" s="9" t="s">
        <v>41</v>
      </c>
      <c r="AD930" s="9" t="s">
        <v>132</v>
      </c>
      <c r="AE930" s="9" t="s">
        <v>133</v>
      </c>
      <c r="AF930" s="9" t="s">
        <v>133</v>
      </c>
      <c r="AG930" s="14" t="str">
        <f t="shared" si="32"/>
        <v>EXAMENES DE LABORATORIO</v>
      </c>
      <c r="AH930" s="9" t="s">
        <v>758</v>
      </c>
      <c r="AI930" s="9">
        <v>0</v>
      </c>
      <c r="AJ930" s="9">
        <v>96802800</v>
      </c>
      <c r="AK930" s="9">
        <v>6</v>
      </c>
      <c r="AL930" s="26" t="s">
        <v>62</v>
      </c>
      <c r="AM930" s="14" t="s">
        <v>506</v>
      </c>
      <c r="AN930" s="27" t="str">
        <f t="shared" si="31"/>
        <v>17729073|96802800|916645712|916645712</v>
      </c>
      <c r="AO930" t="s">
        <v>758</v>
      </c>
      <c r="AP930" t="b">
        <v>1</v>
      </c>
      <c r="AQ930" t="s">
        <v>764</v>
      </c>
    </row>
    <row r="931" spans="1:43" x14ac:dyDescent="0.2">
      <c r="A931" s="14" t="s">
        <v>500</v>
      </c>
      <c r="B931" s="17">
        <v>17729073</v>
      </c>
      <c r="C931" s="14" t="s">
        <v>59</v>
      </c>
      <c r="D931" s="9">
        <v>17729073</v>
      </c>
      <c r="E931" s="9" t="s">
        <v>59</v>
      </c>
      <c r="F931" s="7">
        <v>45717</v>
      </c>
      <c r="G931" s="20" t="s">
        <v>46</v>
      </c>
      <c r="H931" s="8">
        <v>916645712</v>
      </c>
      <c r="I931" s="19">
        <v>65384430</v>
      </c>
      <c r="J931" s="10">
        <v>1920</v>
      </c>
      <c r="K931" s="10">
        <v>0</v>
      </c>
      <c r="L931" s="10">
        <v>1920</v>
      </c>
      <c r="M931" s="10">
        <v>0</v>
      </c>
      <c r="N931" s="11">
        <v>1920</v>
      </c>
      <c r="O931" s="12">
        <v>916645712</v>
      </c>
      <c r="P931" s="9">
        <v>285123</v>
      </c>
      <c r="Q931" s="9" t="s">
        <v>37</v>
      </c>
      <c r="R931" s="13">
        <v>45717</v>
      </c>
      <c r="S931" s="22">
        <v>45742</v>
      </c>
      <c r="T931" s="13">
        <v>45672</v>
      </c>
      <c r="U931" s="13">
        <v>45672</v>
      </c>
      <c r="V931" s="9" t="s">
        <v>47</v>
      </c>
      <c r="W931" s="9">
        <v>22770354</v>
      </c>
      <c r="X931" s="9">
        <v>3311105</v>
      </c>
      <c r="Y931" s="9">
        <v>69251298</v>
      </c>
      <c r="Z931" s="9" t="s">
        <v>39</v>
      </c>
      <c r="AA931" s="9">
        <v>4012349701</v>
      </c>
      <c r="AB931" s="9">
        <v>78070</v>
      </c>
      <c r="AC931" s="9" t="s">
        <v>41</v>
      </c>
      <c r="AD931" s="9" t="s">
        <v>132</v>
      </c>
      <c r="AE931" s="9" t="s">
        <v>133</v>
      </c>
      <c r="AF931" s="9" t="s">
        <v>133</v>
      </c>
      <c r="AG931" s="14" t="str">
        <f t="shared" si="32"/>
        <v>EXAMENES DE LABORATORIO</v>
      </c>
      <c r="AH931" s="9">
        <v>0</v>
      </c>
      <c r="AI931" s="9">
        <v>0</v>
      </c>
      <c r="AJ931" s="9">
        <v>96802800</v>
      </c>
      <c r="AK931" s="9">
        <v>6</v>
      </c>
      <c r="AL931" s="26" t="s">
        <v>52</v>
      </c>
      <c r="AM931" s="14" t="s">
        <v>506</v>
      </c>
      <c r="AN931" s="27" t="str">
        <f t="shared" si="31"/>
        <v>17729073|96802800|916645712|65384430</v>
      </c>
      <c r="AO931" t="s">
        <v>44</v>
      </c>
      <c r="AP931" t="b">
        <v>0</v>
      </c>
      <c r="AQ931" t="s">
        <v>763</v>
      </c>
    </row>
    <row r="932" spans="1:43" x14ac:dyDescent="0.2">
      <c r="A932" s="14" t="s">
        <v>500</v>
      </c>
      <c r="B932" s="17">
        <v>19517789</v>
      </c>
      <c r="C932" s="14" t="s">
        <v>374</v>
      </c>
      <c r="D932" s="9">
        <v>19517789</v>
      </c>
      <c r="E932" s="9" t="s">
        <v>374</v>
      </c>
      <c r="F932" s="7">
        <v>45658</v>
      </c>
      <c r="G932" s="20" t="s">
        <v>36</v>
      </c>
      <c r="H932" s="8">
        <v>916702110</v>
      </c>
      <c r="I932" s="19">
        <v>916702110</v>
      </c>
      <c r="J932" s="10">
        <v>30950</v>
      </c>
      <c r="K932" s="10">
        <v>12390</v>
      </c>
      <c r="L932" s="10">
        <v>18560</v>
      </c>
      <c r="M932" s="10">
        <v>0</v>
      </c>
      <c r="N932" s="11">
        <v>18560</v>
      </c>
      <c r="O932" s="12">
        <v>916702110</v>
      </c>
      <c r="P932" s="9">
        <v>285123</v>
      </c>
      <c r="Q932" s="9" t="s">
        <v>37</v>
      </c>
      <c r="R932" s="13">
        <v>45673</v>
      </c>
      <c r="S932" s="22">
        <v>45673</v>
      </c>
      <c r="T932" s="13">
        <v>45673</v>
      </c>
      <c r="U932" s="13">
        <v>45673</v>
      </c>
      <c r="V932" s="9" t="s">
        <v>47</v>
      </c>
      <c r="W932" s="9">
        <v>22497947</v>
      </c>
      <c r="X932" s="9">
        <v>1210929</v>
      </c>
      <c r="Y932" s="9">
        <v>68690184</v>
      </c>
      <c r="Z932" s="9" t="s">
        <v>39</v>
      </c>
      <c r="AA932" s="9">
        <v>19012025</v>
      </c>
      <c r="AB932" s="9">
        <v>77381</v>
      </c>
      <c r="AC932" s="9" t="s">
        <v>41</v>
      </c>
      <c r="AD932" s="9" t="s">
        <v>132</v>
      </c>
      <c r="AE932" s="9" t="s">
        <v>133</v>
      </c>
      <c r="AF932" s="9" t="s">
        <v>133</v>
      </c>
      <c r="AG932" s="14" t="str">
        <f t="shared" si="32"/>
        <v>EXAMENES DE LABORATORIO</v>
      </c>
      <c r="AH932" s="9" t="s">
        <v>758</v>
      </c>
      <c r="AI932" s="9">
        <v>0</v>
      </c>
      <c r="AJ932" s="9">
        <v>96942400</v>
      </c>
      <c r="AK932" s="9">
        <v>2</v>
      </c>
      <c r="AL932" s="26" t="s">
        <v>62</v>
      </c>
      <c r="AM932" s="14" t="s">
        <v>669</v>
      </c>
      <c r="AN932" s="27" t="str">
        <f t="shared" si="31"/>
        <v>19517789|96942400|916702110|916702110</v>
      </c>
      <c r="AO932" t="s">
        <v>758</v>
      </c>
      <c r="AP932" t="b">
        <v>1</v>
      </c>
      <c r="AQ932" t="s">
        <v>764</v>
      </c>
    </row>
    <row r="933" spans="1:43" x14ac:dyDescent="0.2">
      <c r="A933" s="14" t="s">
        <v>500</v>
      </c>
      <c r="B933" s="17">
        <v>19517789</v>
      </c>
      <c r="C933" s="14" t="s">
        <v>374</v>
      </c>
      <c r="D933" s="9">
        <v>19517789</v>
      </c>
      <c r="E933" s="9" t="s">
        <v>374</v>
      </c>
      <c r="F933" s="7">
        <v>45717</v>
      </c>
      <c r="G933" s="20" t="s">
        <v>46</v>
      </c>
      <c r="H933" s="8">
        <v>916702110</v>
      </c>
      <c r="I933" s="19">
        <v>65384489</v>
      </c>
      <c r="J933" s="10">
        <v>15750</v>
      </c>
      <c r="K933" s="10">
        <v>0</v>
      </c>
      <c r="L933" s="10">
        <v>15750</v>
      </c>
      <c r="M933" s="10">
        <v>0</v>
      </c>
      <c r="N933" s="11">
        <v>15750</v>
      </c>
      <c r="O933" s="12">
        <v>916702110</v>
      </c>
      <c r="P933" s="9">
        <v>285123</v>
      </c>
      <c r="Q933" s="9" t="s">
        <v>37</v>
      </c>
      <c r="R933" s="13">
        <v>45717</v>
      </c>
      <c r="S933" s="22">
        <v>45742</v>
      </c>
      <c r="T933" s="13">
        <v>45673</v>
      </c>
      <c r="U933" s="13">
        <v>45673</v>
      </c>
      <c r="V933" s="9" t="s">
        <v>47</v>
      </c>
      <c r="W933" s="9">
        <v>22770364</v>
      </c>
      <c r="X933" s="9">
        <v>3311105</v>
      </c>
      <c r="Y933" s="9">
        <v>69251355</v>
      </c>
      <c r="Z933" s="9" t="s">
        <v>39</v>
      </c>
      <c r="AA933" s="9">
        <v>4011816018</v>
      </c>
      <c r="AB933" s="9">
        <v>78070</v>
      </c>
      <c r="AC933" s="9" t="s">
        <v>41</v>
      </c>
      <c r="AD933" s="9" t="s">
        <v>132</v>
      </c>
      <c r="AE933" s="9" t="s">
        <v>133</v>
      </c>
      <c r="AF933" s="9" t="s">
        <v>133</v>
      </c>
      <c r="AG933" s="14" t="str">
        <f t="shared" si="32"/>
        <v>EXAMENES DE LABORATORIO</v>
      </c>
      <c r="AH933" s="9">
        <v>0</v>
      </c>
      <c r="AI933" s="9">
        <v>0</v>
      </c>
      <c r="AJ933" s="9">
        <v>96942400</v>
      </c>
      <c r="AK933" s="9">
        <v>2</v>
      </c>
      <c r="AL933" s="26" t="s">
        <v>52</v>
      </c>
      <c r="AM933" s="14" t="s">
        <v>669</v>
      </c>
      <c r="AN933" s="27" t="str">
        <f t="shared" si="31"/>
        <v>19517789|96942400|916702110|65384489</v>
      </c>
      <c r="AO933" t="s">
        <v>44</v>
      </c>
      <c r="AP933" t="b">
        <v>0</v>
      </c>
      <c r="AQ933" t="s">
        <v>763</v>
      </c>
    </row>
    <row r="934" spans="1:43" x14ac:dyDescent="0.2">
      <c r="A934" s="14" t="s">
        <v>500</v>
      </c>
      <c r="B934" s="17">
        <v>19517789</v>
      </c>
      <c r="C934" s="14" t="s">
        <v>374</v>
      </c>
      <c r="D934" s="9">
        <v>19517789</v>
      </c>
      <c r="E934" s="9" t="s">
        <v>374</v>
      </c>
      <c r="F934" s="7">
        <v>45658</v>
      </c>
      <c r="G934" s="20" t="s">
        <v>36</v>
      </c>
      <c r="H934" s="8">
        <v>916702111</v>
      </c>
      <c r="I934" s="19">
        <v>916702111</v>
      </c>
      <c r="J934" s="10">
        <v>12080</v>
      </c>
      <c r="K934" s="10">
        <v>6801</v>
      </c>
      <c r="L934" s="10">
        <v>5279</v>
      </c>
      <c r="M934" s="10">
        <v>0</v>
      </c>
      <c r="N934" s="11">
        <v>5279</v>
      </c>
      <c r="O934" s="12">
        <v>916702111</v>
      </c>
      <c r="P934" s="9">
        <v>285123</v>
      </c>
      <c r="Q934" s="9" t="s">
        <v>37</v>
      </c>
      <c r="R934" s="13">
        <v>45673</v>
      </c>
      <c r="S934" s="22">
        <v>45673</v>
      </c>
      <c r="T934" s="13">
        <v>45673</v>
      </c>
      <c r="U934" s="13">
        <v>45673</v>
      </c>
      <c r="V934" s="9" t="s">
        <v>47</v>
      </c>
      <c r="W934" s="9">
        <v>22497947</v>
      </c>
      <c r="X934" s="9">
        <v>1210929</v>
      </c>
      <c r="Y934" s="9">
        <v>68690183</v>
      </c>
      <c r="Z934" s="9" t="s">
        <v>39</v>
      </c>
      <c r="AA934" s="9">
        <v>19012025</v>
      </c>
      <c r="AB934" s="9">
        <v>77381</v>
      </c>
      <c r="AC934" s="9" t="s">
        <v>41</v>
      </c>
      <c r="AD934" s="9" t="s">
        <v>132</v>
      </c>
      <c r="AE934" s="9" t="s">
        <v>133</v>
      </c>
      <c r="AF934" s="9" t="s">
        <v>133</v>
      </c>
      <c r="AG934" s="14" t="str">
        <f t="shared" si="32"/>
        <v>EXAMENES DE LABORATORIO</v>
      </c>
      <c r="AH934" s="9" t="s">
        <v>758</v>
      </c>
      <c r="AI934" s="9">
        <v>0</v>
      </c>
      <c r="AJ934" s="9">
        <v>96942400</v>
      </c>
      <c r="AK934" s="9">
        <v>2</v>
      </c>
      <c r="AL934" s="26" t="s">
        <v>62</v>
      </c>
      <c r="AM934" s="14" t="s">
        <v>669</v>
      </c>
      <c r="AN934" s="27" t="str">
        <f t="shared" si="31"/>
        <v>19517789|96942400|916702111|916702111</v>
      </c>
      <c r="AO934" t="s">
        <v>758</v>
      </c>
      <c r="AP934" t="b">
        <v>1</v>
      </c>
      <c r="AQ934" t="s">
        <v>764</v>
      </c>
    </row>
    <row r="935" spans="1:43" x14ac:dyDescent="0.2">
      <c r="A935" s="14" t="s">
        <v>500</v>
      </c>
      <c r="B935" s="17">
        <v>19517789</v>
      </c>
      <c r="C935" s="14" t="s">
        <v>374</v>
      </c>
      <c r="D935" s="9">
        <v>19517789</v>
      </c>
      <c r="E935" s="9" t="s">
        <v>374</v>
      </c>
      <c r="F935" s="7">
        <v>45717</v>
      </c>
      <c r="G935" s="20" t="s">
        <v>46</v>
      </c>
      <c r="H935" s="8">
        <v>916702111</v>
      </c>
      <c r="I935" s="19">
        <v>65384490</v>
      </c>
      <c r="J935" s="10">
        <v>4609</v>
      </c>
      <c r="K935" s="10">
        <v>0</v>
      </c>
      <c r="L935" s="10">
        <v>4609</v>
      </c>
      <c r="M935" s="10">
        <v>0</v>
      </c>
      <c r="N935" s="11">
        <v>4609</v>
      </c>
      <c r="O935" s="12">
        <v>916702111</v>
      </c>
      <c r="P935" s="9">
        <v>285123</v>
      </c>
      <c r="Q935" s="9" t="s">
        <v>37</v>
      </c>
      <c r="R935" s="13">
        <v>45717</v>
      </c>
      <c r="S935" s="22">
        <v>45742</v>
      </c>
      <c r="T935" s="13">
        <v>45673</v>
      </c>
      <c r="U935" s="13">
        <v>45673</v>
      </c>
      <c r="V935" s="9" t="s">
        <v>47</v>
      </c>
      <c r="W935" s="9">
        <v>22770364</v>
      </c>
      <c r="X935" s="9">
        <v>3311105</v>
      </c>
      <c r="Y935" s="9">
        <v>69251356</v>
      </c>
      <c r="Z935" s="9" t="s">
        <v>39</v>
      </c>
      <c r="AA935" s="9">
        <v>4011816018</v>
      </c>
      <c r="AB935" s="9">
        <v>78070</v>
      </c>
      <c r="AC935" s="9" t="s">
        <v>41</v>
      </c>
      <c r="AD935" s="9" t="s">
        <v>132</v>
      </c>
      <c r="AE935" s="9" t="s">
        <v>133</v>
      </c>
      <c r="AF935" s="9" t="s">
        <v>133</v>
      </c>
      <c r="AG935" s="14" t="str">
        <f t="shared" si="32"/>
        <v>EXAMENES DE LABORATORIO</v>
      </c>
      <c r="AH935" s="9">
        <v>0</v>
      </c>
      <c r="AI935" s="9">
        <v>0</v>
      </c>
      <c r="AJ935" s="9">
        <v>96942400</v>
      </c>
      <c r="AK935" s="9">
        <v>2</v>
      </c>
      <c r="AL935" s="26" t="s">
        <v>52</v>
      </c>
      <c r="AM935" s="14" t="s">
        <v>669</v>
      </c>
      <c r="AN935" s="27" t="str">
        <f t="shared" si="31"/>
        <v>19517789|96942400|916702111|65384490</v>
      </c>
      <c r="AO935" t="s">
        <v>44</v>
      </c>
      <c r="AP935" t="b">
        <v>0</v>
      </c>
      <c r="AQ935" t="s">
        <v>763</v>
      </c>
    </row>
    <row r="936" spans="1:43" x14ac:dyDescent="0.2">
      <c r="A936" s="14" t="s">
        <v>500</v>
      </c>
      <c r="B936" s="17">
        <v>9183962</v>
      </c>
      <c r="C936" s="14" t="s">
        <v>380</v>
      </c>
      <c r="D936" s="9">
        <v>9183962</v>
      </c>
      <c r="E936" s="9" t="s">
        <v>380</v>
      </c>
      <c r="F936" s="7">
        <v>45658</v>
      </c>
      <c r="G936" s="20" t="s">
        <v>36</v>
      </c>
      <c r="H936" s="8">
        <v>916709141</v>
      </c>
      <c r="I936" s="19">
        <v>916709141</v>
      </c>
      <c r="J936" s="10">
        <v>15070</v>
      </c>
      <c r="K936" s="10">
        <v>4710</v>
      </c>
      <c r="L936" s="10">
        <v>10360</v>
      </c>
      <c r="M936" s="10">
        <v>0</v>
      </c>
      <c r="N936" s="11">
        <v>10360</v>
      </c>
      <c r="O936" s="12">
        <v>916709141</v>
      </c>
      <c r="P936" s="9">
        <v>285123</v>
      </c>
      <c r="Q936" s="9" t="s">
        <v>37</v>
      </c>
      <c r="R936" s="13">
        <v>45673</v>
      </c>
      <c r="S936" s="22">
        <v>45673</v>
      </c>
      <c r="T936" s="13">
        <v>45673</v>
      </c>
      <c r="U936" s="13">
        <v>45673</v>
      </c>
      <c r="V936" s="9" t="s">
        <v>47</v>
      </c>
      <c r="W936" s="9">
        <v>22497921</v>
      </c>
      <c r="X936" s="9">
        <v>1210929</v>
      </c>
      <c r="Y936" s="9">
        <v>68690212</v>
      </c>
      <c r="Z936" s="9" t="s">
        <v>39</v>
      </c>
      <c r="AA936" s="9">
        <v>19012025</v>
      </c>
      <c r="AB936" s="9">
        <v>77381</v>
      </c>
      <c r="AC936" s="9" t="s">
        <v>41</v>
      </c>
      <c r="AD936" s="9" t="s">
        <v>132</v>
      </c>
      <c r="AE936" s="9" t="s">
        <v>133</v>
      </c>
      <c r="AF936" s="9" t="s">
        <v>133</v>
      </c>
      <c r="AG936" s="14" t="str">
        <f t="shared" si="32"/>
        <v>EXAMENES DE LABORATORIO</v>
      </c>
      <c r="AH936" s="9" t="s">
        <v>758</v>
      </c>
      <c r="AI936" s="9">
        <v>0</v>
      </c>
      <c r="AJ936" s="9">
        <v>96942400</v>
      </c>
      <c r="AK936" s="9">
        <v>2</v>
      </c>
      <c r="AL936" s="26" t="s">
        <v>62</v>
      </c>
      <c r="AM936" s="14" t="s">
        <v>673</v>
      </c>
      <c r="AN936" s="27" t="str">
        <f t="shared" si="31"/>
        <v>9183962|96942400|916709141|916709141</v>
      </c>
      <c r="AO936" t="s">
        <v>758</v>
      </c>
      <c r="AP936" t="b">
        <v>1</v>
      </c>
      <c r="AQ936" t="s">
        <v>764</v>
      </c>
    </row>
    <row r="937" spans="1:43" x14ac:dyDescent="0.2">
      <c r="A937" s="14" t="s">
        <v>500</v>
      </c>
      <c r="B937" s="17">
        <v>9183962</v>
      </c>
      <c r="C937" s="14" t="s">
        <v>380</v>
      </c>
      <c r="D937" s="9">
        <v>9183962</v>
      </c>
      <c r="E937" s="9" t="s">
        <v>380</v>
      </c>
      <c r="F937" s="7">
        <v>45717</v>
      </c>
      <c r="G937" s="20" t="s">
        <v>46</v>
      </c>
      <c r="H937" s="8">
        <v>916709141</v>
      </c>
      <c r="I937" s="19">
        <v>65383715</v>
      </c>
      <c r="J937" s="10">
        <v>9220</v>
      </c>
      <c r="K937" s="10">
        <v>0</v>
      </c>
      <c r="L937" s="10">
        <v>9220</v>
      </c>
      <c r="M937" s="10">
        <v>0</v>
      </c>
      <c r="N937" s="11">
        <v>9220</v>
      </c>
      <c r="O937" s="12">
        <v>916709141</v>
      </c>
      <c r="P937" s="9">
        <v>285123</v>
      </c>
      <c r="Q937" s="9" t="s">
        <v>37</v>
      </c>
      <c r="R937" s="13">
        <v>45717</v>
      </c>
      <c r="S937" s="22">
        <v>45742</v>
      </c>
      <c r="T937" s="13">
        <v>45673</v>
      </c>
      <c r="U937" s="13">
        <v>45673</v>
      </c>
      <c r="V937" s="9" t="s">
        <v>47</v>
      </c>
      <c r="W937" s="9">
        <v>22770359</v>
      </c>
      <c r="X937" s="9">
        <v>3311105</v>
      </c>
      <c r="Y937" s="9">
        <v>69250606</v>
      </c>
      <c r="Z937" s="9" t="s">
        <v>39</v>
      </c>
      <c r="AA937" s="9">
        <v>19996373090</v>
      </c>
      <c r="AB937" s="9">
        <v>78070</v>
      </c>
      <c r="AC937" s="9" t="s">
        <v>41</v>
      </c>
      <c r="AD937" s="9" t="s">
        <v>132</v>
      </c>
      <c r="AE937" s="9" t="s">
        <v>133</v>
      </c>
      <c r="AF937" s="9" t="s">
        <v>133</v>
      </c>
      <c r="AG937" s="14" t="str">
        <f t="shared" si="32"/>
        <v>EXAMENES DE LABORATORIO</v>
      </c>
      <c r="AH937" s="9">
        <v>0</v>
      </c>
      <c r="AI937" s="9">
        <v>0</v>
      </c>
      <c r="AJ937" s="9">
        <v>96942400</v>
      </c>
      <c r="AK937" s="9">
        <v>2</v>
      </c>
      <c r="AL937" s="26" t="s">
        <v>52</v>
      </c>
      <c r="AM937" s="14" t="s">
        <v>673</v>
      </c>
      <c r="AN937" s="27" t="str">
        <f t="shared" si="31"/>
        <v>9183962|96942400|916709141|65383715</v>
      </c>
      <c r="AO937" t="s">
        <v>44</v>
      </c>
      <c r="AP937" t="b">
        <v>0</v>
      </c>
      <c r="AQ937" t="s">
        <v>763</v>
      </c>
    </row>
    <row r="938" spans="1:43" x14ac:dyDescent="0.2">
      <c r="A938" s="14" t="s">
        <v>500</v>
      </c>
      <c r="B938" s="17">
        <v>15297793</v>
      </c>
      <c r="C938" s="14" t="s">
        <v>381</v>
      </c>
      <c r="D938" s="9">
        <v>15297793</v>
      </c>
      <c r="E938" s="9" t="s">
        <v>381</v>
      </c>
      <c r="F938" s="7">
        <v>45658</v>
      </c>
      <c r="G938" s="20" t="s">
        <v>36</v>
      </c>
      <c r="H938" s="8">
        <v>916816585</v>
      </c>
      <c r="I938" s="19">
        <v>916816585</v>
      </c>
      <c r="J938" s="10">
        <v>30060</v>
      </c>
      <c r="K938" s="10">
        <v>9400</v>
      </c>
      <c r="L938" s="10">
        <v>20660</v>
      </c>
      <c r="M938" s="10">
        <v>0</v>
      </c>
      <c r="N938" s="11">
        <v>20660</v>
      </c>
      <c r="O938" s="12">
        <v>916816585</v>
      </c>
      <c r="P938" s="9">
        <v>285123</v>
      </c>
      <c r="Q938" s="9" t="s">
        <v>37</v>
      </c>
      <c r="R938" s="13">
        <v>45673</v>
      </c>
      <c r="S938" s="22">
        <v>45673</v>
      </c>
      <c r="T938" s="13">
        <v>45673</v>
      </c>
      <c r="U938" s="13">
        <v>45673</v>
      </c>
      <c r="V938" s="9" t="s">
        <v>47</v>
      </c>
      <c r="W938" s="9">
        <v>22497938</v>
      </c>
      <c r="X938" s="9">
        <v>1210929</v>
      </c>
      <c r="Y938" s="9">
        <v>68690683</v>
      </c>
      <c r="Z938" s="9" t="s">
        <v>39</v>
      </c>
      <c r="AA938" s="9">
        <v>19012025</v>
      </c>
      <c r="AB938" s="9">
        <v>77381</v>
      </c>
      <c r="AC938" s="9" t="s">
        <v>41</v>
      </c>
      <c r="AD938" s="9" t="s">
        <v>134</v>
      </c>
      <c r="AE938" s="9" t="s">
        <v>135</v>
      </c>
      <c r="AF938" s="9" t="s">
        <v>135</v>
      </c>
      <c r="AG938" s="14" t="str">
        <f t="shared" si="32"/>
        <v>EXAMENES RADIOLOGICOS</v>
      </c>
      <c r="AH938" s="9" t="s">
        <v>758</v>
      </c>
      <c r="AI938" s="9">
        <v>0</v>
      </c>
      <c r="AJ938" s="9">
        <v>96942400</v>
      </c>
      <c r="AK938" s="9">
        <v>2</v>
      </c>
      <c r="AL938" s="26" t="s">
        <v>62</v>
      </c>
      <c r="AM938" s="14" t="s">
        <v>674</v>
      </c>
      <c r="AN938" s="27" t="str">
        <f t="shared" si="31"/>
        <v>15297793|96942400|916816585|916816585</v>
      </c>
      <c r="AO938" t="s">
        <v>758</v>
      </c>
      <c r="AP938" t="b">
        <v>1</v>
      </c>
      <c r="AQ938" t="s">
        <v>764</v>
      </c>
    </row>
    <row r="939" spans="1:43" x14ac:dyDescent="0.2">
      <c r="A939" s="14" t="s">
        <v>500</v>
      </c>
      <c r="B939" s="17">
        <v>15297793</v>
      </c>
      <c r="C939" s="14" t="s">
        <v>381</v>
      </c>
      <c r="D939" s="9">
        <v>15297793</v>
      </c>
      <c r="E939" s="9" t="s">
        <v>381</v>
      </c>
      <c r="F939" s="7">
        <v>45717</v>
      </c>
      <c r="G939" s="20" t="s">
        <v>46</v>
      </c>
      <c r="H939" s="8">
        <v>916816585</v>
      </c>
      <c r="I939" s="19">
        <v>65384264</v>
      </c>
      <c r="J939" s="10">
        <v>18058</v>
      </c>
      <c r="K939" s="10">
        <v>0</v>
      </c>
      <c r="L939" s="10">
        <v>18058</v>
      </c>
      <c r="M939" s="10">
        <v>0</v>
      </c>
      <c r="N939" s="11">
        <v>18058</v>
      </c>
      <c r="O939" s="12">
        <v>916816585</v>
      </c>
      <c r="P939" s="9">
        <v>285123</v>
      </c>
      <c r="Q939" s="9" t="s">
        <v>37</v>
      </c>
      <c r="R939" s="13">
        <v>45717</v>
      </c>
      <c r="S939" s="22">
        <v>45742</v>
      </c>
      <c r="T939" s="13">
        <v>45673</v>
      </c>
      <c r="U939" s="13">
        <v>45673</v>
      </c>
      <c r="V939" s="9" t="s">
        <v>47</v>
      </c>
      <c r="W939" s="9">
        <v>22770363</v>
      </c>
      <c r="X939" s="9">
        <v>3311105</v>
      </c>
      <c r="Y939" s="9">
        <v>69251137</v>
      </c>
      <c r="Z939" s="9" t="s">
        <v>39</v>
      </c>
      <c r="AA939" s="9">
        <v>2701931210</v>
      </c>
      <c r="AB939" s="9">
        <v>78070</v>
      </c>
      <c r="AC939" s="9" t="s">
        <v>41</v>
      </c>
      <c r="AD939" s="9" t="s">
        <v>134</v>
      </c>
      <c r="AE939" s="9" t="s">
        <v>135</v>
      </c>
      <c r="AF939" s="9" t="s">
        <v>135</v>
      </c>
      <c r="AG939" s="14" t="str">
        <f t="shared" si="32"/>
        <v>EXAMENES RADIOLOGICOS</v>
      </c>
      <c r="AH939" s="9">
        <v>0</v>
      </c>
      <c r="AI939" s="9">
        <v>0</v>
      </c>
      <c r="AJ939" s="9">
        <v>96942400</v>
      </c>
      <c r="AK939" s="9">
        <v>2</v>
      </c>
      <c r="AL939" s="26" t="s">
        <v>52</v>
      </c>
      <c r="AM939" s="14" t="s">
        <v>674</v>
      </c>
      <c r="AN939" s="27" t="str">
        <f t="shared" si="31"/>
        <v>15297793|96942400|916816585|65384264</v>
      </c>
      <c r="AO939" t="s">
        <v>44</v>
      </c>
      <c r="AP939" t="b">
        <v>0</v>
      </c>
      <c r="AQ939" t="s">
        <v>763</v>
      </c>
    </row>
    <row r="940" spans="1:43" x14ac:dyDescent="0.2">
      <c r="A940" s="14" t="s">
        <v>500</v>
      </c>
      <c r="B940" s="17">
        <v>16427949</v>
      </c>
      <c r="C940" s="14" t="s">
        <v>179</v>
      </c>
      <c r="D940" s="9">
        <v>22445349</v>
      </c>
      <c r="E940" s="9" t="s">
        <v>382</v>
      </c>
      <c r="F940" s="7">
        <v>45658</v>
      </c>
      <c r="G940" s="20" t="s">
        <v>36</v>
      </c>
      <c r="H940" s="8">
        <v>916848845</v>
      </c>
      <c r="I940" s="19">
        <v>916848845</v>
      </c>
      <c r="J940" s="10">
        <v>39170</v>
      </c>
      <c r="K940" s="10">
        <v>12250</v>
      </c>
      <c r="L940" s="10">
        <v>26920</v>
      </c>
      <c r="M940" s="10">
        <v>0</v>
      </c>
      <c r="N940" s="11">
        <v>26920</v>
      </c>
      <c r="O940" s="12">
        <v>916848845</v>
      </c>
      <c r="P940" s="9">
        <v>285123</v>
      </c>
      <c r="Q940" s="9" t="s">
        <v>37</v>
      </c>
      <c r="R940" s="13">
        <v>45674</v>
      </c>
      <c r="S940" s="22">
        <v>45674</v>
      </c>
      <c r="T940" s="13">
        <v>45674</v>
      </c>
      <c r="U940" s="13">
        <v>45674</v>
      </c>
      <c r="V940" s="9" t="s">
        <v>47</v>
      </c>
      <c r="W940" s="9">
        <v>22497981</v>
      </c>
      <c r="X940" s="9">
        <v>1210929</v>
      </c>
      <c r="Y940" s="9">
        <v>68690910</v>
      </c>
      <c r="Z940" s="9" t="s">
        <v>39</v>
      </c>
      <c r="AA940" s="9">
        <v>19012025</v>
      </c>
      <c r="AB940" s="9">
        <v>77381</v>
      </c>
      <c r="AC940" s="9" t="s">
        <v>41</v>
      </c>
      <c r="AD940" s="9" t="s">
        <v>132</v>
      </c>
      <c r="AE940" s="9" t="s">
        <v>133</v>
      </c>
      <c r="AF940" s="9" t="s">
        <v>133</v>
      </c>
      <c r="AG940" s="14" t="str">
        <f t="shared" si="32"/>
        <v>EXAMENES DE LABORATORIO</v>
      </c>
      <c r="AH940" s="9" t="s">
        <v>758</v>
      </c>
      <c r="AI940" s="9">
        <v>0</v>
      </c>
      <c r="AJ940" s="9">
        <v>53125850</v>
      </c>
      <c r="AK940" s="9">
        <v>9</v>
      </c>
      <c r="AL940" s="26" t="s">
        <v>62</v>
      </c>
      <c r="AM940" s="14" t="s">
        <v>533</v>
      </c>
      <c r="AN940" s="27" t="str">
        <f t="shared" si="31"/>
        <v>16427949|53125850|916848845|916848845</v>
      </c>
      <c r="AO940" t="s">
        <v>758</v>
      </c>
      <c r="AP940" t="b">
        <v>1</v>
      </c>
      <c r="AQ940" t="s">
        <v>764</v>
      </c>
    </row>
    <row r="941" spans="1:43" x14ac:dyDescent="0.2">
      <c r="A941" s="14" t="s">
        <v>500</v>
      </c>
      <c r="B941" s="17">
        <v>16427949</v>
      </c>
      <c r="C941" s="14" t="s">
        <v>179</v>
      </c>
      <c r="D941" s="9">
        <v>22445349</v>
      </c>
      <c r="E941" s="9" t="s">
        <v>382</v>
      </c>
      <c r="F941" s="7">
        <v>45717</v>
      </c>
      <c r="G941" s="20" t="s">
        <v>46</v>
      </c>
      <c r="H941" s="8">
        <v>916848845</v>
      </c>
      <c r="I941" s="19">
        <v>65384368</v>
      </c>
      <c r="J941" s="10">
        <v>23434</v>
      </c>
      <c r="K941" s="10">
        <v>0</v>
      </c>
      <c r="L941" s="10">
        <v>23434</v>
      </c>
      <c r="M941" s="10">
        <v>0</v>
      </c>
      <c r="N941" s="11">
        <v>23434</v>
      </c>
      <c r="O941" s="12">
        <v>916848845</v>
      </c>
      <c r="P941" s="9">
        <v>285123</v>
      </c>
      <c r="Q941" s="9" t="s">
        <v>37</v>
      </c>
      <c r="R941" s="13">
        <v>45717</v>
      </c>
      <c r="S941" s="22">
        <v>45742</v>
      </c>
      <c r="T941" s="13">
        <v>45674</v>
      </c>
      <c r="U941" s="13">
        <v>45674</v>
      </c>
      <c r="V941" s="9" t="s">
        <v>47</v>
      </c>
      <c r="W941" s="9">
        <v>22770375</v>
      </c>
      <c r="X941" s="9">
        <v>3311105</v>
      </c>
      <c r="Y941" s="9">
        <v>69251251</v>
      </c>
      <c r="Z941" s="9" t="s">
        <v>39</v>
      </c>
      <c r="AA941" s="9">
        <v>36670179791</v>
      </c>
      <c r="AB941" s="9">
        <v>78070</v>
      </c>
      <c r="AC941" s="9" t="s">
        <v>41</v>
      </c>
      <c r="AD941" s="9" t="s">
        <v>132</v>
      </c>
      <c r="AE941" s="9" t="s">
        <v>133</v>
      </c>
      <c r="AF941" s="9" t="s">
        <v>133</v>
      </c>
      <c r="AG941" s="14" t="str">
        <f t="shared" si="32"/>
        <v>EXAMENES DE LABORATORIO</v>
      </c>
      <c r="AH941" s="9">
        <v>0</v>
      </c>
      <c r="AI941" s="9">
        <v>0</v>
      </c>
      <c r="AJ941" s="9">
        <v>53125850</v>
      </c>
      <c r="AK941" s="9">
        <v>9</v>
      </c>
      <c r="AL941" s="26" t="s">
        <v>52</v>
      </c>
      <c r="AM941" s="14" t="s">
        <v>533</v>
      </c>
      <c r="AN941" s="27" t="str">
        <f t="shared" si="31"/>
        <v>16427949|53125850|916848845|65384368</v>
      </c>
      <c r="AO941" t="s">
        <v>44</v>
      </c>
      <c r="AP941" t="b">
        <v>0</v>
      </c>
      <c r="AQ941" t="s">
        <v>763</v>
      </c>
    </row>
    <row r="942" spans="1:43" x14ac:dyDescent="0.2">
      <c r="A942" s="14" t="s">
        <v>500</v>
      </c>
      <c r="B942" s="17">
        <v>16427949</v>
      </c>
      <c r="C942" s="14" t="s">
        <v>179</v>
      </c>
      <c r="D942" s="9">
        <v>22445349</v>
      </c>
      <c r="E942" s="9" t="s">
        <v>382</v>
      </c>
      <c r="F942" s="7">
        <v>45658</v>
      </c>
      <c r="G942" s="20" t="s">
        <v>36</v>
      </c>
      <c r="H942" s="8">
        <v>916849200</v>
      </c>
      <c r="I942" s="19">
        <v>916849200</v>
      </c>
      <c r="J942" s="10">
        <v>26080</v>
      </c>
      <c r="K942" s="10">
        <v>8150</v>
      </c>
      <c r="L942" s="10">
        <v>17930</v>
      </c>
      <c r="M942" s="10">
        <v>0</v>
      </c>
      <c r="N942" s="11">
        <v>17930</v>
      </c>
      <c r="O942" s="12">
        <v>916849200</v>
      </c>
      <c r="P942" s="9">
        <v>285123</v>
      </c>
      <c r="Q942" s="9" t="s">
        <v>37</v>
      </c>
      <c r="R942" s="13">
        <v>45674</v>
      </c>
      <c r="S942" s="22">
        <v>45674</v>
      </c>
      <c r="T942" s="13">
        <v>45674</v>
      </c>
      <c r="U942" s="13">
        <v>45674</v>
      </c>
      <c r="V942" s="9" t="s">
        <v>47</v>
      </c>
      <c r="W942" s="9">
        <v>22497981</v>
      </c>
      <c r="X942" s="9">
        <v>1210929</v>
      </c>
      <c r="Y942" s="9">
        <v>68690913</v>
      </c>
      <c r="Z942" s="9" t="s">
        <v>39</v>
      </c>
      <c r="AA942" s="9">
        <v>19012025</v>
      </c>
      <c r="AB942" s="9">
        <v>77381</v>
      </c>
      <c r="AC942" s="9" t="s">
        <v>41</v>
      </c>
      <c r="AD942" s="9" t="s">
        <v>132</v>
      </c>
      <c r="AE942" s="9" t="s">
        <v>133</v>
      </c>
      <c r="AF942" s="9" t="s">
        <v>133</v>
      </c>
      <c r="AG942" s="14" t="str">
        <f t="shared" si="32"/>
        <v>EXAMENES DE LABORATORIO</v>
      </c>
      <c r="AH942" s="9" t="s">
        <v>758</v>
      </c>
      <c r="AI942" s="9">
        <v>0</v>
      </c>
      <c r="AJ942" s="9">
        <v>53125850</v>
      </c>
      <c r="AK942" s="9">
        <v>9</v>
      </c>
      <c r="AL942" s="26" t="s">
        <v>62</v>
      </c>
      <c r="AM942" s="14" t="s">
        <v>533</v>
      </c>
      <c r="AN942" s="27" t="str">
        <f t="shared" si="31"/>
        <v>16427949|53125850|916849200|916849200</v>
      </c>
      <c r="AO942" t="s">
        <v>758</v>
      </c>
      <c r="AP942" t="b">
        <v>1</v>
      </c>
      <c r="AQ942" t="s">
        <v>764</v>
      </c>
    </row>
    <row r="943" spans="1:43" x14ac:dyDescent="0.2">
      <c r="A943" s="14" t="s">
        <v>500</v>
      </c>
      <c r="B943" s="17">
        <v>16427949</v>
      </c>
      <c r="C943" s="14" t="s">
        <v>179</v>
      </c>
      <c r="D943" s="9">
        <v>22445349</v>
      </c>
      <c r="E943" s="9" t="s">
        <v>382</v>
      </c>
      <c r="F943" s="7">
        <v>45717</v>
      </c>
      <c r="G943" s="20" t="s">
        <v>46</v>
      </c>
      <c r="H943" s="8">
        <v>916849200</v>
      </c>
      <c r="I943" s="19">
        <v>65384369</v>
      </c>
      <c r="J943" s="10">
        <v>15751</v>
      </c>
      <c r="K943" s="10">
        <v>0</v>
      </c>
      <c r="L943" s="10">
        <v>15751</v>
      </c>
      <c r="M943" s="10">
        <v>0</v>
      </c>
      <c r="N943" s="11">
        <v>15751</v>
      </c>
      <c r="O943" s="12">
        <v>916849200</v>
      </c>
      <c r="P943" s="9">
        <v>285123</v>
      </c>
      <c r="Q943" s="9" t="s">
        <v>37</v>
      </c>
      <c r="R943" s="13">
        <v>45717</v>
      </c>
      <c r="S943" s="22">
        <v>45742</v>
      </c>
      <c r="T943" s="13">
        <v>45674</v>
      </c>
      <c r="U943" s="13">
        <v>45674</v>
      </c>
      <c r="V943" s="9" t="s">
        <v>47</v>
      </c>
      <c r="W943" s="9">
        <v>22770375</v>
      </c>
      <c r="X943" s="9">
        <v>3311105</v>
      </c>
      <c r="Y943" s="9">
        <v>69251252</v>
      </c>
      <c r="Z943" s="9" t="s">
        <v>39</v>
      </c>
      <c r="AA943" s="9">
        <v>36670179791</v>
      </c>
      <c r="AB943" s="9">
        <v>78070</v>
      </c>
      <c r="AC943" s="9" t="s">
        <v>41</v>
      </c>
      <c r="AD943" s="9" t="s">
        <v>132</v>
      </c>
      <c r="AE943" s="9" t="s">
        <v>133</v>
      </c>
      <c r="AF943" s="9" t="s">
        <v>133</v>
      </c>
      <c r="AG943" s="14" t="str">
        <f t="shared" si="32"/>
        <v>EXAMENES DE LABORATORIO</v>
      </c>
      <c r="AH943" s="9">
        <v>0</v>
      </c>
      <c r="AI943" s="9">
        <v>0</v>
      </c>
      <c r="AJ943" s="9">
        <v>53125850</v>
      </c>
      <c r="AK943" s="9">
        <v>9</v>
      </c>
      <c r="AL943" s="26" t="s">
        <v>52</v>
      </c>
      <c r="AM943" s="14" t="s">
        <v>533</v>
      </c>
      <c r="AN943" s="27" t="str">
        <f t="shared" si="31"/>
        <v>16427949|53125850|916849200|65384369</v>
      </c>
      <c r="AO943" t="s">
        <v>44</v>
      </c>
      <c r="AP943" t="b">
        <v>0</v>
      </c>
      <c r="AQ943" t="s">
        <v>763</v>
      </c>
    </row>
    <row r="944" spans="1:43" x14ac:dyDescent="0.2">
      <c r="A944" s="14" t="s">
        <v>500</v>
      </c>
      <c r="B944" s="17">
        <v>10295620</v>
      </c>
      <c r="C944" s="14" t="s">
        <v>383</v>
      </c>
      <c r="D944" s="9">
        <v>10295620</v>
      </c>
      <c r="E944" s="9" t="s">
        <v>383</v>
      </c>
      <c r="F944" s="7">
        <v>45658</v>
      </c>
      <c r="G944" s="20" t="s">
        <v>36</v>
      </c>
      <c r="H944" s="8">
        <v>916858622</v>
      </c>
      <c r="I944" s="19">
        <v>916858622</v>
      </c>
      <c r="J944" s="10">
        <v>28990</v>
      </c>
      <c r="K944" s="10">
        <v>9060</v>
      </c>
      <c r="L944" s="10">
        <v>19930</v>
      </c>
      <c r="M944" s="10">
        <v>0</v>
      </c>
      <c r="N944" s="11">
        <v>19930</v>
      </c>
      <c r="O944" s="12">
        <v>916858622</v>
      </c>
      <c r="P944" s="9">
        <v>285123</v>
      </c>
      <c r="Q944" s="9" t="s">
        <v>37</v>
      </c>
      <c r="R944" s="13">
        <v>45674</v>
      </c>
      <c r="S944" s="22">
        <v>45674</v>
      </c>
      <c r="T944" s="13">
        <v>45674</v>
      </c>
      <c r="U944" s="13">
        <v>45674</v>
      </c>
      <c r="V944" s="9" t="s">
        <v>47</v>
      </c>
      <c r="W944" s="9">
        <v>22497958</v>
      </c>
      <c r="X944" s="9">
        <v>1210929</v>
      </c>
      <c r="Y944" s="9">
        <v>68690977</v>
      </c>
      <c r="Z944" s="9" t="s">
        <v>39</v>
      </c>
      <c r="AA944" s="9">
        <v>19012025</v>
      </c>
      <c r="AB944" s="9">
        <v>77381</v>
      </c>
      <c r="AC944" s="9" t="s">
        <v>41</v>
      </c>
      <c r="AD944" s="9" t="s">
        <v>134</v>
      </c>
      <c r="AE944" s="9" t="s">
        <v>135</v>
      </c>
      <c r="AF944" s="9" t="s">
        <v>135</v>
      </c>
      <c r="AG944" s="14" t="str">
        <f t="shared" si="32"/>
        <v>EXAMENES RADIOLOGICOS</v>
      </c>
      <c r="AH944" s="9" t="s">
        <v>758</v>
      </c>
      <c r="AI944" s="9">
        <v>0</v>
      </c>
      <c r="AJ944" s="9">
        <v>96942400</v>
      </c>
      <c r="AK944" s="9">
        <v>2</v>
      </c>
      <c r="AL944" s="26" t="s">
        <v>62</v>
      </c>
      <c r="AM944" s="14" t="s">
        <v>675</v>
      </c>
      <c r="AN944" s="27" t="str">
        <f t="shared" si="31"/>
        <v>10295620|96942400|916858622|916858622</v>
      </c>
      <c r="AO944" t="s">
        <v>758</v>
      </c>
      <c r="AP944" t="b">
        <v>1</v>
      </c>
      <c r="AQ944" t="s">
        <v>764</v>
      </c>
    </row>
    <row r="945" spans="1:43" x14ac:dyDescent="0.2">
      <c r="A945" s="14" t="s">
        <v>500</v>
      </c>
      <c r="B945" s="17">
        <v>10295620</v>
      </c>
      <c r="C945" s="14" t="s">
        <v>383</v>
      </c>
      <c r="D945" s="9">
        <v>10295620</v>
      </c>
      <c r="E945" s="9" t="s">
        <v>383</v>
      </c>
      <c r="F945" s="7">
        <v>45717</v>
      </c>
      <c r="G945" s="20" t="s">
        <v>46</v>
      </c>
      <c r="H945" s="8">
        <v>916858622</v>
      </c>
      <c r="I945" s="19">
        <v>65383833</v>
      </c>
      <c r="J945" s="10">
        <v>17288</v>
      </c>
      <c r="K945" s="10">
        <v>0</v>
      </c>
      <c r="L945" s="10">
        <v>17288</v>
      </c>
      <c r="M945" s="10">
        <v>0</v>
      </c>
      <c r="N945" s="11">
        <v>17288</v>
      </c>
      <c r="O945" s="12">
        <v>916858622</v>
      </c>
      <c r="P945" s="9">
        <v>285123</v>
      </c>
      <c r="Q945" s="9" t="s">
        <v>37</v>
      </c>
      <c r="R945" s="13">
        <v>45717</v>
      </c>
      <c r="S945" s="22">
        <v>45742</v>
      </c>
      <c r="T945" s="13">
        <v>45674</v>
      </c>
      <c r="U945" s="13">
        <v>45674</v>
      </c>
      <c r="V945" s="9" t="s">
        <v>47</v>
      </c>
      <c r="W945" s="9">
        <v>22770369</v>
      </c>
      <c r="X945" s="9">
        <v>3311105</v>
      </c>
      <c r="Y945" s="9">
        <v>69250722</v>
      </c>
      <c r="Z945" s="9" t="s">
        <v>39</v>
      </c>
      <c r="AA945" s="9">
        <v>32190072443</v>
      </c>
      <c r="AB945" s="9">
        <v>78070</v>
      </c>
      <c r="AC945" s="9" t="s">
        <v>41</v>
      </c>
      <c r="AD945" s="9" t="s">
        <v>134</v>
      </c>
      <c r="AE945" s="9" t="s">
        <v>135</v>
      </c>
      <c r="AF945" s="9" t="s">
        <v>135</v>
      </c>
      <c r="AG945" s="14" t="str">
        <f t="shared" si="32"/>
        <v>EXAMENES RADIOLOGICOS</v>
      </c>
      <c r="AH945" s="9">
        <v>0</v>
      </c>
      <c r="AI945" s="9">
        <v>0</v>
      </c>
      <c r="AJ945" s="9">
        <v>96942400</v>
      </c>
      <c r="AK945" s="9">
        <v>2</v>
      </c>
      <c r="AL945" s="26" t="s">
        <v>52</v>
      </c>
      <c r="AM945" s="14" t="s">
        <v>675</v>
      </c>
      <c r="AN945" s="27" t="str">
        <f t="shared" si="31"/>
        <v>10295620|96942400|916858622|65383833</v>
      </c>
      <c r="AO945" t="s">
        <v>44</v>
      </c>
      <c r="AP945" t="b">
        <v>0</v>
      </c>
      <c r="AQ945" t="s">
        <v>763</v>
      </c>
    </row>
    <row r="946" spans="1:43" x14ac:dyDescent="0.2">
      <c r="A946" s="14" t="s">
        <v>500</v>
      </c>
      <c r="B946" s="17">
        <v>10242781</v>
      </c>
      <c r="C946" s="14" t="s">
        <v>373</v>
      </c>
      <c r="D946" s="9">
        <v>10242781</v>
      </c>
      <c r="E946" s="9" t="s">
        <v>373</v>
      </c>
      <c r="F946" s="7">
        <v>45658</v>
      </c>
      <c r="G946" s="20" t="s">
        <v>36</v>
      </c>
      <c r="H946" s="8">
        <v>916876220</v>
      </c>
      <c r="I946" s="19">
        <v>916876220</v>
      </c>
      <c r="J946" s="10">
        <v>38520</v>
      </c>
      <c r="K946" s="10">
        <v>12040</v>
      </c>
      <c r="L946" s="10">
        <v>26480</v>
      </c>
      <c r="M946" s="10">
        <v>0</v>
      </c>
      <c r="N946" s="11">
        <v>26480</v>
      </c>
      <c r="O946" s="12">
        <v>916876220</v>
      </c>
      <c r="P946" s="9">
        <v>285123</v>
      </c>
      <c r="Q946" s="9" t="s">
        <v>37</v>
      </c>
      <c r="R946" s="13">
        <v>45674</v>
      </c>
      <c r="S946" s="22">
        <v>45674</v>
      </c>
      <c r="T946" s="13">
        <v>45674</v>
      </c>
      <c r="U946" s="13">
        <v>45674</v>
      </c>
      <c r="V946" s="9" t="s">
        <v>58</v>
      </c>
      <c r="W946" s="9">
        <v>22497956</v>
      </c>
      <c r="X946" s="9">
        <v>1210929</v>
      </c>
      <c r="Y946" s="9">
        <v>68691054</v>
      </c>
      <c r="Z946" s="9" t="s">
        <v>39</v>
      </c>
      <c r="AA946" s="9">
        <v>19012025</v>
      </c>
      <c r="AB946" s="9">
        <v>77381</v>
      </c>
      <c r="AC946" s="9" t="s">
        <v>41</v>
      </c>
      <c r="AD946" s="9" t="s">
        <v>71</v>
      </c>
      <c r="AE946" s="9" t="s">
        <v>72</v>
      </c>
      <c r="AF946" s="9" t="s">
        <v>73</v>
      </c>
      <c r="AG946" s="14" t="str">
        <f t="shared" si="32"/>
        <v>CONSULTA PSIQUIATRICA</v>
      </c>
      <c r="AH946" s="9" t="s">
        <v>758</v>
      </c>
      <c r="AI946" s="9">
        <v>0</v>
      </c>
      <c r="AJ946" s="9">
        <v>76416482</v>
      </c>
      <c r="AK946" s="9">
        <v>2</v>
      </c>
      <c r="AL946" s="26" t="s">
        <v>62</v>
      </c>
      <c r="AM946" s="14" t="s">
        <v>668</v>
      </c>
      <c r="AN946" s="27" t="str">
        <f t="shared" si="31"/>
        <v>10242781|76416482|916876220|916876220</v>
      </c>
      <c r="AO946" t="s">
        <v>758</v>
      </c>
      <c r="AP946" t="b">
        <v>1</v>
      </c>
      <c r="AQ946" t="s">
        <v>764</v>
      </c>
    </row>
    <row r="947" spans="1:43" x14ac:dyDescent="0.2">
      <c r="A947" s="14" t="s">
        <v>500</v>
      </c>
      <c r="B947" s="17">
        <v>10242781</v>
      </c>
      <c r="C947" s="14" t="s">
        <v>373</v>
      </c>
      <c r="D947" s="9">
        <v>10242781</v>
      </c>
      <c r="E947" s="9" t="s">
        <v>373</v>
      </c>
      <c r="F947" s="7">
        <v>45717</v>
      </c>
      <c r="G947" s="20" t="s">
        <v>46</v>
      </c>
      <c r="H947" s="8">
        <v>916876220</v>
      </c>
      <c r="I947" s="19">
        <v>65383822</v>
      </c>
      <c r="J947" s="10">
        <v>26509</v>
      </c>
      <c r="K947" s="10">
        <v>0</v>
      </c>
      <c r="L947" s="10">
        <v>26509</v>
      </c>
      <c r="M947" s="10">
        <v>0</v>
      </c>
      <c r="N947" s="11">
        <v>26509</v>
      </c>
      <c r="O947" s="12">
        <v>916876220</v>
      </c>
      <c r="P947" s="9">
        <v>285123</v>
      </c>
      <c r="Q947" s="9" t="s">
        <v>37</v>
      </c>
      <c r="R947" s="13">
        <v>45717</v>
      </c>
      <c r="S947" s="22">
        <v>45742</v>
      </c>
      <c r="T947" s="13">
        <v>45674</v>
      </c>
      <c r="U947" s="13">
        <v>45674</v>
      </c>
      <c r="V947" s="9" t="s">
        <v>58</v>
      </c>
      <c r="W947" s="9">
        <v>22770367</v>
      </c>
      <c r="X947" s="9">
        <v>3311105</v>
      </c>
      <c r="Y947" s="9">
        <v>69250711</v>
      </c>
      <c r="Z947" s="9" t="s">
        <v>39</v>
      </c>
      <c r="AA947" s="9">
        <v>45066906</v>
      </c>
      <c r="AB947" s="9">
        <v>78070</v>
      </c>
      <c r="AC947" s="9" t="s">
        <v>41</v>
      </c>
      <c r="AD947" s="9" t="s">
        <v>71</v>
      </c>
      <c r="AE947" s="9" t="s">
        <v>72</v>
      </c>
      <c r="AF947" s="9" t="s">
        <v>73</v>
      </c>
      <c r="AG947" s="14" t="str">
        <f t="shared" si="32"/>
        <v>CONSULTA PSIQUIATRICA</v>
      </c>
      <c r="AH947" s="9">
        <v>0</v>
      </c>
      <c r="AI947" s="9">
        <v>0</v>
      </c>
      <c r="AJ947" s="9">
        <v>76416482</v>
      </c>
      <c r="AK947" s="9">
        <v>2</v>
      </c>
      <c r="AL947" s="26" t="s">
        <v>52</v>
      </c>
      <c r="AM947" s="14" t="s">
        <v>668</v>
      </c>
      <c r="AN947" s="27" t="str">
        <f t="shared" si="31"/>
        <v>10242781|76416482|916876220|65383822</v>
      </c>
      <c r="AO947" t="s">
        <v>44</v>
      </c>
      <c r="AP947" t="b">
        <v>0</v>
      </c>
      <c r="AQ947" t="s">
        <v>763</v>
      </c>
    </row>
    <row r="948" spans="1:43" x14ac:dyDescent="0.2">
      <c r="A948" s="14" t="s">
        <v>500</v>
      </c>
      <c r="B948" s="17">
        <v>20107537</v>
      </c>
      <c r="C948" s="14" t="s">
        <v>70</v>
      </c>
      <c r="D948" s="9">
        <v>20107537</v>
      </c>
      <c r="E948" s="9" t="s">
        <v>70</v>
      </c>
      <c r="F948" s="7">
        <v>45658</v>
      </c>
      <c r="G948" s="20" t="s">
        <v>36</v>
      </c>
      <c r="H948" s="8">
        <v>916886853</v>
      </c>
      <c r="I948" s="19">
        <v>916886853</v>
      </c>
      <c r="J948" s="10">
        <v>16000</v>
      </c>
      <c r="K948" s="10">
        <v>5000</v>
      </c>
      <c r="L948" s="10">
        <v>11000</v>
      </c>
      <c r="M948" s="10">
        <v>0</v>
      </c>
      <c r="N948" s="11">
        <v>11000</v>
      </c>
      <c r="O948" s="12">
        <v>916886853</v>
      </c>
      <c r="P948" s="9">
        <v>285123</v>
      </c>
      <c r="Q948" s="9" t="s">
        <v>37</v>
      </c>
      <c r="R948" s="13">
        <v>45674</v>
      </c>
      <c r="S948" s="22">
        <v>45674</v>
      </c>
      <c r="T948" s="13">
        <v>45674</v>
      </c>
      <c r="U948" s="13">
        <v>45674</v>
      </c>
      <c r="V948" s="9" t="s">
        <v>47</v>
      </c>
      <c r="W948" s="9">
        <v>22497995</v>
      </c>
      <c r="X948" s="9">
        <v>1210929</v>
      </c>
      <c r="Y948" s="9">
        <v>68691123</v>
      </c>
      <c r="Z948" s="9" t="s">
        <v>39</v>
      </c>
      <c r="AA948" s="9">
        <v>19012025</v>
      </c>
      <c r="AB948" s="9">
        <v>77381</v>
      </c>
      <c r="AC948" s="9" t="s">
        <v>41</v>
      </c>
      <c r="AD948" s="9" t="s">
        <v>132</v>
      </c>
      <c r="AE948" s="9" t="s">
        <v>133</v>
      </c>
      <c r="AF948" s="9" t="s">
        <v>133</v>
      </c>
      <c r="AG948" s="14" t="str">
        <f t="shared" si="32"/>
        <v>EXAMENES DE LABORATORIO</v>
      </c>
      <c r="AH948" s="9" t="s">
        <v>758</v>
      </c>
      <c r="AI948" s="9">
        <v>0</v>
      </c>
      <c r="AJ948" s="9">
        <v>78022810</v>
      </c>
      <c r="AK948" s="9">
        <v>5</v>
      </c>
      <c r="AL948" s="26" t="s">
        <v>62</v>
      </c>
      <c r="AM948" s="14" t="s">
        <v>509</v>
      </c>
      <c r="AN948" s="27" t="str">
        <f t="shared" si="31"/>
        <v>20107537|78022810|916886853|916886853</v>
      </c>
      <c r="AO948" t="s">
        <v>758</v>
      </c>
      <c r="AP948" t="b">
        <v>1</v>
      </c>
      <c r="AQ948" t="s">
        <v>764</v>
      </c>
    </row>
    <row r="949" spans="1:43" x14ac:dyDescent="0.2">
      <c r="A949" s="14" t="s">
        <v>500</v>
      </c>
      <c r="B949" s="17">
        <v>20107537</v>
      </c>
      <c r="C949" s="14" t="s">
        <v>70</v>
      </c>
      <c r="D949" s="9">
        <v>20107537</v>
      </c>
      <c r="E949" s="9" t="s">
        <v>70</v>
      </c>
      <c r="F949" s="7">
        <v>45717</v>
      </c>
      <c r="G949" s="20" t="s">
        <v>46</v>
      </c>
      <c r="H949" s="8">
        <v>916886853</v>
      </c>
      <c r="I949" s="19">
        <v>65384498</v>
      </c>
      <c r="J949" s="10">
        <v>9988</v>
      </c>
      <c r="K949" s="10">
        <v>0</v>
      </c>
      <c r="L949" s="10">
        <v>9988</v>
      </c>
      <c r="M949" s="10">
        <v>0</v>
      </c>
      <c r="N949" s="11">
        <v>9988</v>
      </c>
      <c r="O949" s="12">
        <v>916886853</v>
      </c>
      <c r="P949" s="9">
        <v>285123</v>
      </c>
      <c r="Q949" s="9" t="s">
        <v>37</v>
      </c>
      <c r="R949" s="13">
        <v>45717</v>
      </c>
      <c r="S949" s="22">
        <v>45742</v>
      </c>
      <c r="T949" s="13">
        <v>45674</v>
      </c>
      <c r="U949" s="13">
        <v>45674</v>
      </c>
      <c r="V949" s="9" t="s">
        <v>47</v>
      </c>
      <c r="W949" s="9">
        <v>22770378</v>
      </c>
      <c r="X949" s="9">
        <v>3311105</v>
      </c>
      <c r="Y949" s="9">
        <v>69251364</v>
      </c>
      <c r="Z949" s="9" t="s">
        <v>39</v>
      </c>
      <c r="AA949" s="9">
        <v>20107537</v>
      </c>
      <c r="AB949" s="9">
        <v>78070</v>
      </c>
      <c r="AC949" s="9" t="s">
        <v>41</v>
      </c>
      <c r="AD949" s="9" t="s">
        <v>132</v>
      </c>
      <c r="AE949" s="9" t="s">
        <v>133</v>
      </c>
      <c r="AF949" s="9" t="s">
        <v>133</v>
      </c>
      <c r="AG949" s="14" t="str">
        <f t="shared" si="32"/>
        <v>EXAMENES DE LABORATORIO</v>
      </c>
      <c r="AH949" s="9">
        <v>0</v>
      </c>
      <c r="AI949" s="9">
        <v>0</v>
      </c>
      <c r="AJ949" s="9">
        <v>78022810</v>
      </c>
      <c r="AK949" s="9">
        <v>5</v>
      </c>
      <c r="AL949" s="26" t="s">
        <v>52</v>
      </c>
      <c r="AM949" s="14" t="s">
        <v>509</v>
      </c>
      <c r="AN949" s="27" t="str">
        <f t="shared" si="31"/>
        <v>20107537|78022810|916886853|65384498</v>
      </c>
      <c r="AO949" t="s">
        <v>44</v>
      </c>
      <c r="AP949" t="b">
        <v>0</v>
      </c>
      <c r="AQ949" t="s">
        <v>763</v>
      </c>
    </row>
    <row r="950" spans="1:43" x14ac:dyDescent="0.2">
      <c r="A950" s="14" t="s">
        <v>500</v>
      </c>
      <c r="B950" s="17">
        <v>14157190</v>
      </c>
      <c r="C950" s="14" t="s">
        <v>375</v>
      </c>
      <c r="D950" s="9">
        <v>14157190</v>
      </c>
      <c r="E950" s="9" t="s">
        <v>375</v>
      </c>
      <c r="F950" s="7">
        <v>45658</v>
      </c>
      <c r="G950" s="20" t="s">
        <v>36</v>
      </c>
      <c r="H950" s="8">
        <v>916902146</v>
      </c>
      <c r="I950" s="19">
        <v>916902146</v>
      </c>
      <c r="J950" s="10">
        <v>23230</v>
      </c>
      <c r="K950" s="10">
        <v>13068</v>
      </c>
      <c r="L950" s="10">
        <v>10162</v>
      </c>
      <c r="M950" s="10">
        <v>0</v>
      </c>
      <c r="N950" s="11">
        <v>10162</v>
      </c>
      <c r="O950" s="12">
        <v>916902146</v>
      </c>
      <c r="P950" s="9">
        <v>285123</v>
      </c>
      <c r="Q950" s="9" t="s">
        <v>37</v>
      </c>
      <c r="R950" s="13">
        <v>45674</v>
      </c>
      <c r="S950" s="22">
        <v>45674</v>
      </c>
      <c r="T950" s="13">
        <v>45674</v>
      </c>
      <c r="U950" s="13">
        <v>45674</v>
      </c>
      <c r="V950" s="9" t="s">
        <v>47</v>
      </c>
      <c r="W950" s="9">
        <v>22497977</v>
      </c>
      <c r="X950" s="9">
        <v>1210929</v>
      </c>
      <c r="Y950" s="9">
        <v>68691169</v>
      </c>
      <c r="Z950" s="9" t="s">
        <v>39</v>
      </c>
      <c r="AA950" s="9">
        <v>19012025</v>
      </c>
      <c r="AB950" s="9">
        <v>77381</v>
      </c>
      <c r="AC950" s="9" t="s">
        <v>41</v>
      </c>
      <c r="AD950" s="9" t="s">
        <v>134</v>
      </c>
      <c r="AE950" s="9" t="s">
        <v>135</v>
      </c>
      <c r="AF950" s="9" t="s">
        <v>135</v>
      </c>
      <c r="AG950" s="14" t="str">
        <f t="shared" si="32"/>
        <v>EXAMENES RADIOLOGICOS</v>
      </c>
      <c r="AH950" s="9" t="s">
        <v>758</v>
      </c>
      <c r="AI950" s="9">
        <v>0</v>
      </c>
      <c r="AJ950" s="9">
        <v>76098454</v>
      </c>
      <c r="AK950" s="9" t="s">
        <v>161</v>
      </c>
      <c r="AL950" s="26" t="s">
        <v>62</v>
      </c>
      <c r="AM950" s="14" t="s">
        <v>670</v>
      </c>
      <c r="AN950" s="27" t="str">
        <f t="shared" si="31"/>
        <v>14157190|76098454|916902146|916902146</v>
      </c>
      <c r="AO950" t="s">
        <v>758</v>
      </c>
      <c r="AP950" t="b">
        <v>1</v>
      </c>
      <c r="AQ950" t="s">
        <v>764</v>
      </c>
    </row>
    <row r="951" spans="1:43" x14ac:dyDescent="0.2">
      <c r="A951" s="14" t="s">
        <v>500</v>
      </c>
      <c r="B951" s="17">
        <v>14157190</v>
      </c>
      <c r="C951" s="14" t="s">
        <v>375</v>
      </c>
      <c r="D951" s="9">
        <v>14157190</v>
      </c>
      <c r="E951" s="9" t="s">
        <v>375</v>
      </c>
      <c r="F951" s="7">
        <v>45717</v>
      </c>
      <c r="G951" s="20" t="s">
        <v>46</v>
      </c>
      <c r="H951" s="8">
        <v>916902146</v>
      </c>
      <c r="I951" s="19">
        <v>65384209</v>
      </c>
      <c r="J951" s="10">
        <v>8068</v>
      </c>
      <c r="K951" s="10">
        <v>0</v>
      </c>
      <c r="L951" s="10">
        <v>8068</v>
      </c>
      <c r="M951" s="10">
        <v>0</v>
      </c>
      <c r="N951" s="11">
        <v>8068</v>
      </c>
      <c r="O951" s="12">
        <v>916902146</v>
      </c>
      <c r="P951" s="9">
        <v>285123</v>
      </c>
      <c r="Q951" s="9" t="s">
        <v>37</v>
      </c>
      <c r="R951" s="13">
        <v>45717</v>
      </c>
      <c r="S951" s="22">
        <v>45742</v>
      </c>
      <c r="T951" s="13">
        <v>45674</v>
      </c>
      <c r="U951" s="13">
        <v>45674</v>
      </c>
      <c r="V951" s="9" t="s">
        <v>47</v>
      </c>
      <c r="W951" s="9">
        <v>22770373</v>
      </c>
      <c r="X951" s="9">
        <v>3311105</v>
      </c>
      <c r="Y951" s="9">
        <v>69251084</v>
      </c>
      <c r="Z951" s="9" t="s">
        <v>39</v>
      </c>
      <c r="AA951" s="9">
        <v>15060102662</v>
      </c>
      <c r="AB951" s="9">
        <v>78070</v>
      </c>
      <c r="AC951" s="9" t="s">
        <v>41</v>
      </c>
      <c r="AD951" s="9" t="s">
        <v>134</v>
      </c>
      <c r="AE951" s="9" t="s">
        <v>135</v>
      </c>
      <c r="AF951" s="9" t="s">
        <v>135</v>
      </c>
      <c r="AG951" s="14" t="str">
        <f t="shared" si="32"/>
        <v>EXAMENES RADIOLOGICOS</v>
      </c>
      <c r="AH951" s="9">
        <v>0</v>
      </c>
      <c r="AI951" s="9">
        <v>0</v>
      </c>
      <c r="AJ951" s="9">
        <v>76098454</v>
      </c>
      <c r="AK951" s="9" t="s">
        <v>161</v>
      </c>
      <c r="AL951" s="26" t="s">
        <v>52</v>
      </c>
      <c r="AM951" s="14" t="s">
        <v>670</v>
      </c>
      <c r="AN951" s="27" t="str">
        <f t="shared" si="31"/>
        <v>14157190|76098454|916902146|65384209</v>
      </c>
      <c r="AO951" t="s">
        <v>44</v>
      </c>
      <c r="AP951" t="b">
        <v>0</v>
      </c>
      <c r="AQ951" t="s">
        <v>763</v>
      </c>
    </row>
    <row r="952" spans="1:43" x14ac:dyDescent="0.2">
      <c r="A952" s="14" t="s">
        <v>500</v>
      </c>
      <c r="B952" s="17">
        <v>19517789</v>
      </c>
      <c r="C952" s="14" t="s">
        <v>374</v>
      </c>
      <c r="D952" s="9">
        <v>19517789</v>
      </c>
      <c r="E952" s="9" t="s">
        <v>374</v>
      </c>
      <c r="F952" s="7">
        <v>45658</v>
      </c>
      <c r="G952" s="20" t="s">
        <v>36</v>
      </c>
      <c r="H952" s="8">
        <v>916914338</v>
      </c>
      <c r="I952" s="19">
        <v>916914338</v>
      </c>
      <c r="J952" s="10">
        <v>14850</v>
      </c>
      <c r="K952" s="10">
        <v>8353</v>
      </c>
      <c r="L952" s="10">
        <v>6497</v>
      </c>
      <c r="M952" s="10">
        <v>0</v>
      </c>
      <c r="N952" s="11">
        <v>6497</v>
      </c>
      <c r="O952" s="12">
        <v>916914338</v>
      </c>
      <c r="P952" s="9">
        <v>285123</v>
      </c>
      <c r="Q952" s="9" t="s">
        <v>37</v>
      </c>
      <c r="R952" s="13">
        <v>45674</v>
      </c>
      <c r="S952" s="22">
        <v>45674</v>
      </c>
      <c r="T952" s="13">
        <v>45674</v>
      </c>
      <c r="U952" s="13">
        <v>45674</v>
      </c>
      <c r="V952" s="9" t="s">
        <v>47</v>
      </c>
      <c r="W952" s="9">
        <v>22497990</v>
      </c>
      <c r="X952" s="9">
        <v>1210929</v>
      </c>
      <c r="Y952" s="9">
        <v>68691240</v>
      </c>
      <c r="Z952" s="9" t="s">
        <v>39</v>
      </c>
      <c r="AA952" s="9">
        <v>19012025</v>
      </c>
      <c r="AB952" s="9">
        <v>77381</v>
      </c>
      <c r="AC952" s="9" t="s">
        <v>41</v>
      </c>
      <c r="AD952" s="9" t="s">
        <v>65</v>
      </c>
      <c r="AE952" s="9" t="s">
        <v>66</v>
      </c>
      <c r="AF952" s="9" t="s">
        <v>66</v>
      </c>
      <c r="AG952" s="14" t="str">
        <f t="shared" si="32"/>
        <v>PROCEDIMIENTOS TERAPEUTICOS</v>
      </c>
      <c r="AH952" s="9" t="s">
        <v>758</v>
      </c>
      <c r="AI952" s="9">
        <v>0</v>
      </c>
      <c r="AJ952" s="9">
        <v>96942400</v>
      </c>
      <c r="AK952" s="9">
        <v>2</v>
      </c>
      <c r="AL952" s="26" t="s">
        <v>62</v>
      </c>
      <c r="AM952" s="14" t="s">
        <v>669</v>
      </c>
      <c r="AN952" s="27" t="str">
        <f t="shared" si="31"/>
        <v>19517789|96942400|916914338|916914338</v>
      </c>
      <c r="AO952" t="s">
        <v>758</v>
      </c>
      <c r="AP952" t="b">
        <v>1</v>
      </c>
      <c r="AQ952" t="s">
        <v>764</v>
      </c>
    </row>
    <row r="953" spans="1:43" x14ac:dyDescent="0.2">
      <c r="A953" s="14" t="s">
        <v>500</v>
      </c>
      <c r="B953" s="17">
        <v>19517789</v>
      </c>
      <c r="C953" s="14" t="s">
        <v>374</v>
      </c>
      <c r="D953" s="9">
        <v>19517789</v>
      </c>
      <c r="E953" s="9" t="s">
        <v>374</v>
      </c>
      <c r="F953" s="7">
        <v>45717</v>
      </c>
      <c r="G953" s="20" t="s">
        <v>46</v>
      </c>
      <c r="H953" s="8">
        <v>916914338</v>
      </c>
      <c r="I953" s="19">
        <v>65384491</v>
      </c>
      <c r="J953" s="10">
        <v>5378</v>
      </c>
      <c r="K953" s="10">
        <v>0</v>
      </c>
      <c r="L953" s="10">
        <v>5378</v>
      </c>
      <c r="M953" s="10">
        <v>0</v>
      </c>
      <c r="N953" s="11">
        <v>5378</v>
      </c>
      <c r="O953" s="12">
        <v>916914338</v>
      </c>
      <c r="P953" s="9">
        <v>285123</v>
      </c>
      <c r="Q953" s="9" t="s">
        <v>37</v>
      </c>
      <c r="R953" s="13">
        <v>45717</v>
      </c>
      <c r="S953" s="22">
        <v>45742</v>
      </c>
      <c r="T953" s="13">
        <v>45674</v>
      </c>
      <c r="U953" s="13">
        <v>45674</v>
      </c>
      <c r="V953" s="9" t="s">
        <v>47</v>
      </c>
      <c r="W953" s="9">
        <v>22770376</v>
      </c>
      <c r="X953" s="9">
        <v>3311105</v>
      </c>
      <c r="Y953" s="9">
        <v>69251357</v>
      </c>
      <c r="Z953" s="9" t="s">
        <v>39</v>
      </c>
      <c r="AA953" s="9">
        <v>4011816018</v>
      </c>
      <c r="AB953" s="9">
        <v>78070</v>
      </c>
      <c r="AC953" s="9" t="s">
        <v>41</v>
      </c>
      <c r="AD953" s="9" t="s">
        <v>65</v>
      </c>
      <c r="AE953" s="9" t="s">
        <v>66</v>
      </c>
      <c r="AF953" s="9" t="s">
        <v>66</v>
      </c>
      <c r="AG953" s="14" t="str">
        <f t="shared" si="32"/>
        <v>PROCEDIMIENTOS TERAPEUTICOS</v>
      </c>
      <c r="AH953" s="9">
        <v>0</v>
      </c>
      <c r="AI953" s="9">
        <v>0</v>
      </c>
      <c r="AJ953" s="9">
        <v>96942400</v>
      </c>
      <c r="AK953" s="9">
        <v>2</v>
      </c>
      <c r="AL953" s="26" t="s">
        <v>52</v>
      </c>
      <c r="AM953" s="14" t="s">
        <v>669</v>
      </c>
      <c r="AN953" s="27" t="str">
        <f t="shared" si="31"/>
        <v>19517789|96942400|916914338|65384491</v>
      </c>
      <c r="AO953" t="s">
        <v>44</v>
      </c>
      <c r="AP953" t="b">
        <v>0</v>
      </c>
      <c r="AQ953" t="s">
        <v>763</v>
      </c>
    </row>
    <row r="954" spans="1:43" x14ac:dyDescent="0.2">
      <c r="A954" s="14" t="s">
        <v>500</v>
      </c>
      <c r="B954" s="17">
        <v>16143311</v>
      </c>
      <c r="C954" s="14" t="s">
        <v>377</v>
      </c>
      <c r="D954" s="9">
        <v>25849717</v>
      </c>
      <c r="E954" s="9" t="s">
        <v>378</v>
      </c>
      <c r="F954" s="7">
        <v>45658</v>
      </c>
      <c r="G954" s="20" t="s">
        <v>36</v>
      </c>
      <c r="H954" s="8">
        <v>916924163</v>
      </c>
      <c r="I954" s="19">
        <v>916924163</v>
      </c>
      <c r="J954" s="10">
        <v>6030</v>
      </c>
      <c r="K954" s="10">
        <v>1890</v>
      </c>
      <c r="L954" s="10">
        <v>4140</v>
      </c>
      <c r="M954" s="10">
        <v>0</v>
      </c>
      <c r="N954" s="11">
        <v>4140</v>
      </c>
      <c r="O954" s="12">
        <v>916924163</v>
      </c>
      <c r="P954" s="9">
        <v>285123</v>
      </c>
      <c r="Q954" s="9" t="s">
        <v>37</v>
      </c>
      <c r="R954" s="13">
        <v>45674</v>
      </c>
      <c r="S954" s="22">
        <v>45674</v>
      </c>
      <c r="T954" s="13">
        <v>45674</v>
      </c>
      <c r="U954" s="13">
        <v>45674</v>
      </c>
      <c r="V954" s="9" t="s">
        <v>47</v>
      </c>
      <c r="W954" s="9">
        <v>22497980</v>
      </c>
      <c r="X954" s="9">
        <v>1210929</v>
      </c>
      <c r="Y954" s="9">
        <v>68691314</v>
      </c>
      <c r="Z954" s="9" t="s">
        <v>39</v>
      </c>
      <c r="AA954" s="9">
        <v>19012025</v>
      </c>
      <c r="AB954" s="9">
        <v>77381</v>
      </c>
      <c r="AC954" s="9" t="s">
        <v>41</v>
      </c>
      <c r="AD954" s="9" t="s">
        <v>132</v>
      </c>
      <c r="AE954" s="9" t="s">
        <v>133</v>
      </c>
      <c r="AF954" s="9" t="s">
        <v>133</v>
      </c>
      <c r="AG954" s="14" t="str">
        <f t="shared" si="32"/>
        <v>EXAMENES DE LABORATORIO</v>
      </c>
      <c r="AH954" s="9" t="s">
        <v>758</v>
      </c>
      <c r="AI954" s="9">
        <v>0</v>
      </c>
      <c r="AJ954" s="9">
        <v>96600850</v>
      </c>
      <c r="AK954" s="9">
        <v>4</v>
      </c>
      <c r="AL954" s="26" t="s">
        <v>62</v>
      </c>
      <c r="AM954" s="14" t="s">
        <v>672</v>
      </c>
      <c r="AN954" s="27" t="str">
        <f t="shared" si="31"/>
        <v>16143311|96600850|916924163|916924163</v>
      </c>
      <c r="AO954" t="s">
        <v>758</v>
      </c>
      <c r="AP954" t="b">
        <v>1</v>
      </c>
      <c r="AQ954" t="s">
        <v>764</v>
      </c>
    </row>
    <row r="955" spans="1:43" x14ac:dyDescent="0.2">
      <c r="A955" s="14" t="s">
        <v>500</v>
      </c>
      <c r="B955" s="17">
        <v>16143311</v>
      </c>
      <c r="C955" s="14" t="s">
        <v>377</v>
      </c>
      <c r="D955" s="9">
        <v>25849717</v>
      </c>
      <c r="E955" s="9" t="s">
        <v>378</v>
      </c>
      <c r="F955" s="7">
        <v>45717</v>
      </c>
      <c r="G955" s="20" t="s">
        <v>46</v>
      </c>
      <c r="H955" s="8">
        <v>916924163</v>
      </c>
      <c r="I955" s="19">
        <v>65384365</v>
      </c>
      <c r="J955" s="10">
        <v>3841</v>
      </c>
      <c r="K955" s="10">
        <v>0</v>
      </c>
      <c r="L955" s="10">
        <v>3841</v>
      </c>
      <c r="M955" s="10">
        <v>0</v>
      </c>
      <c r="N955" s="11">
        <v>3841</v>
      </c>
      <c r="O955" s="12">
        <v>916924163</v>
      </c>
      <c r="P955" s="9">
        <v>285123</v>
      </c>
      <c r="Q955" s="9" t="s">
        <v>37</v>
      </c>
      <c r="R955" s="13">
        <v>45717</v>
      </c>
      <c r="S955" s="22">
        <v>45742</v>
      </c>
      <c r="T955" s="13">
        <v>45674</v>
      </c>
      <c r="U955" s="13">
        <v>45674</v>
      </c>
      <c r="V955" s="9" t="s">
        <v>47</v>
      </c>
      <c r="W955" s="9">
        <v>22770374</v>
      </c>
      <c r="X955" s="9">
        <v>3311105</v>
      </c>
      <c r="Y955" s="9">
        <v>69251248</v>
      </c>
      <c r="Z955" s="9" t="s">
        <v>39</v>
      </c>
      <c r="AA955" s="9">
        <v>1709850616</v>
      </c>
      <c r="AB955" s="9">
        <v>78070</v>
      </c>
      <c r="AC955" s="9" t="s">
        <v>41</v>
      </c>
      <c r="AD955" s="9" t="s">
        <v>132</v>
      </c>
      <c r="AE955" s="9" t="s">
        <v>133</v>
      </c>
      <c r="AF955" s="9" t="s">
        <v>133</v>
      </c>
      <c r="AG955" s="14" t="str">
        <f t="shared" si="32"/>
        <v>EXAMENES DE LABORATORIO</v>
      </c>
      <c r="AH955" s="9">
        <v>0</v>
      </c>
      <c r="AI955" s="9">
        <v>0</v>
      </c>
      <c r="AJ955" s="9">
        <v>96600850</v>
      </c>
      <c r="AK955" s="9">
        <v>4</v>
      </c>
      <c r="AL955" s="26" t="s">
        <v>52</v>
      </c>
      <c r="AM955" s="14" t="s">
        <v>672</v>
      </c>
      <c r="AN955" s="27" t="str">
        <f t="shared" si="31"/>
        <v>16143311|96600850|916924163|65384365</v>
      </c>
      <c r="AO955" t="s">
        <v>44</v>
      </c>
      <c r="AP955" t="b">
        <v>0</v>
      </c>
      <c r="AQ955" t="s">
        <v>763</v>
      </c>
    </row>
    <row r="956" spans="1:43" x14ac:dyDescent="0.2">
      <c r="A956" s="14" t="s">
        <v>500</v>
      </c>
      <c r="B956" s="17">
        <v>13937515</v>
      </c>
      <c r="C956" s="14" t="s">
        <v>384</v>
      </c>
      <c r="D956" s="9">
        <v>13937515</v>
      </c>
      <c r="E956" s="9" t="s">
        <v>384</v>
      </c>
      <c r="F956" s="7">
        <v>45658</v>
      </c>
      <c r="G956" s="20" t="s">
        <v>36</v>
      </c>
      <c r="H956" s="8">
        <v>917037886</v>
      </c>
      <c r="I956" s="19">
        <v>917037886</v>
      </c>
      <c r="J956" s="10">
        <v>37650</v>
      </c>
      <c r="K956" s="10">
        <v>11770</v>
      </c>
      <c r="L956" s="10">
        <v>25880</v>
      </c>
      <c r="M956" s="10">
        <v>0</v>
      </c>
      <c r="N956" s="11">
        <v>25880</v>
      </c>
      <c r="O956" s="12">
        <v>917037886</v>
      </c>
      <c r="P956" s="9">
        <v>285123</v>
      </c>
      <c r="Q956" s="9" t="s">
        <v>37</v>
      </c>
      <c r="R956" s="13">
        <v>45677</v>
      </c>
      <c r="S956" s="22">
        <v>45677</v>
      </c>
      <c r="T956" s="13">
        <v>45677</v>
      </c>
      <c r="U956" s="13">
        <v>45677</v>
      </c>
      <c r="V956" s="9" t="s">
        <v>47</v>
      </c>
      <c r="W956" s="9">
        <v>22524601</v>
      </c>
      <c r="X956" s="9">
        <v>1271320</v>
      </c>
      <c r="Y956" s="9">
        <v>68705713</v>
      </c>
      <c r="Z956" s="9" t="s">
        <v>39</v>
      </c>
      <c r="AA956" s="9">
        <v>26012025</v>
      </c>
      <c r="AB956" s="9">
        <v>77442</v>
      </c>
      <c r="AC956" s="9" t="s">
        <v>41</v>
      </c>
      <c r="AD956" s="9" t="s">
        <v>132</v>
      </c>
      <c r="AE956" s="9" t="s">
        <v>133</v>
      </c>
      <c r="AF956" s="9" t="s">
        <v>133</v>
      </c>
      <c r="AG956" s="14" t="str">
        <f t="shared" si="32"/>
        <v>EXAMENES DE LABORATORIO</v>
      </c>
      <c r="AH956" s="9" t="s">
        <v>758</v>
      </c>
      <c r="AI956" s="9">
        <v>0</v>
      </c>
      <c r="AJ956" s="9">
        <v>96898980</v>
      </c>
      <c r="AK956" s="9">
        <v>4</v>
      </c>
      <c r="AL956" s="26" t="s">
        <v>62</v>
      </c>
      <c r="AM956" s="14" t="s">
        <v>676</v>
      </c>
      <c r="AN956" s="27" t="str">
        <f t="shared" si="31"/>
        <v>13937515|96898980|917037886|917037886</v>
      </c>
      <c r="AO956" t="s">
        <v>758</v>
      </c>
      <c r="AP956" t="b">
        <v>1</v>
      </c>
      <c r="AQ956" t="s">
        <v>764</v>
      </c>
    </row>
    <row r="957" spans="1:43" x14ac:dyDescent="0.2">
      <c r="A957" s="14" t="s">
        <v>500</v>
      </c>
      <c r="B957" s="17">
        <v>13937515</v>
      </c>
      <c r="C957" s="14" t="s">
        <v>384</v>
      </c>
      <c r="D957" s="9">
        <v>13937515</v>
      </c>
      <c r="E957" s="9" t="s">
        <v>384</v>
      </c>
      <c r="F957" s="7">
        <v>45717</v>
      </c>
      <c r="G957" s="20" t="s">
        <v>46</v>
      </c>
      <c r="H957" s="8">
        <v>917037886</v>
      </c>
      <c r="I957" s="19">
        <v>65384161</v>
      </c>
      <c r="J957" s="10">
        <v>21893</v>
      </c>
      <c r="K957" s="10">
        <v>0</v>
      </c>
      <c r="L957" s="10">
        <v>21893</v>
      </c>
      <c r="M957" s="10">
        <v>0</v>
      </c>
      <c r="N957" s="11">
        <v>21893</v>
      </c>
      <c r="O957" s="12">
        <v>917037886</v>
      </c>
      <c r="P957" s="9">
        <v>285123</v>
      </c>
      <c r="Q957" s="9" t="s">
        <v>37</v>
      </c>
      <c r="R957" s="13">
        <v>45717</v>
      </c>
      <c r="S957" s="22">
        <v>45742</v>
      </c>
      <c r="T957" s="13">
        <v>45677</v>
      </c>
      <c r="U957" s="13">
        <v>45677</v>
      </c>
      <c r="V957" s="9" t="s">
        <v>47</v>
      </c>
      <c r="W957" s="9">
        <v>22770385</v>
      </c>
      <c r="X957" s="9">
        <v>3311105</v>
      </c>
      <c r="Y957" s="9">
        <v>69251041</v>
      </c>
      <c r="Z957" s="9" t="s">
        <v>39</v>
      </c>
      <c r="AA957" s="9">
        <v>61167282</v>
      </c>
      <c r="AB957" s="9">
        <v>78070</v>
      </c>
      <c r="AC957" s="9" t="s">
        <v>41</v>
      </c>
      <c r="AD957" s="9" t="s">
        <v>132</v>
      </c>
      <c r="AE957" s="9" t="s">
        <v>133</v>
      </c>
      <c r="AF957" s="9" t="s">
        <v>133</v>
      </c>
      <c r="AG957" s="14" t="str">
        <f t="shared" si="32"/>
        <v>EXAMENES DE LABORATORIO</v>
      </c>
      <c r="AH957" s="9">
        <v>0</v>
      </c>
      <c r="AI957" s="9">
        <v>0</v>
      </c>
      <c r="AJ957" s="9">
        <v>96898980</v>
      </c>
      <c r="AK957" s="9">
        <v>4</v>
      </c>
      <c r="AL957" s="26" t="s">
        <v>52</v>
      </c>
      <c r="AM957" s="14" t="s">
        <v>676</v>
      </c>
      <c r="AN957" s="27" t="str">
        <f t="shared" si="31"/>
        <v>13937515|96898980|917037886|65384161</v>
      </c>
      <c r="AO957" t="s">
        <v>44</v>
      </c>
      <c r="AP957" t="b">
        <v>0</v>
      </c>
      <c r="AQ957" t="s">
        <v>763</v>
      </c>
    </row>
    <row r="958" spans="1:43" x14ac:dyDescent="0.2">
      <c r="A958" s="14" t="s">
        <v>500</v>
      </c>
      <c r="B958" s="17">
        <v>13937515</v>
      </c>
      <c r="C958" s="14" t="s">
        <v>384</v>
      </c>
      <c r="D958" s="9">
        <v>13937515</v>
      </c>
      <c r="E958" s="9" t="s">
        <v>384</v>
      </c>
      <c r="F958" s="7">
        <v>45658</v>
      </c>
      <c r="G958" s="20" t="s">
        <v>36</v>
      </c>
      <c r="H958" s="8">
        <v>917037890</v>
      </c>
      <c r="I958" s="19">
        <v>917037890</v>
      </c>
      <c r="J958" s="10">
        <v>1360</v>
      </c>
      <c r="K958" s="10">
        <v>430</v>
      </c>
      <c r="L958" s="10">
        <v>930</v>
      </c>
      <c r="M958" s="10">
        <v>0</v>
      </c>
      <c r="N958" s="11">
        <v>930</v>
      </c>
      <c r="O958" s="12">
        <v>917037890</v>
      </c>
      <c r="P958" s="9">
        <v>285123</v>
      </c>
      <c r="Q958" s="9" t="s">
        <v>37</v>
      </c>
      <c r="R958" s="13">
        <v>45677</v>
      </c>
      <c r="S958" s="22">
        <v>45677</v>
      </c>
      <c r="T958" s="13">
        <v>45677</v>
      </c>
      <c r="U958" s="13">
        <v>45677</v>
      </c>
      <c r="V958" s="9" t="s">
        <v>47</v>
      </c>
      <c r="W958" s="9">
        <v>22524601</v>
      </c>
      <c r="X958" s="9">
        <v>1271320</v>
      </c>
      <c r="Y958" s="9">
        <v>68705714</v>
      </c>
      <c r="Z958" s="9" t="s">
        <v>39</v>
      </c>
      <c r="AA958" s="9">
        <v>26012025</v>
      </c>
      <c r="AB958" s="9">
        <v>77442</v>
      </c>
      <c r="AC958" s="9" t="s">
        <v>41</v>
      </c>
      <c r="AD958" s="9" t="s">
        <v>132</v>
      </c>
      <c r="AE958" s="9" t="s">
        <v>133</v>
      </c>
      <c r="AF958" s="9" t="s">
        <v>133</v>
      </c>
      <c r="AG958" s="14" t="str">
        <f t="shared" si="32"/>
        <v>EXAMENES DE LABORATORIO</v>
      </c>
      <c r="AH958" s="9" t="s">
        <v>758</v>
      </c>
      <c r="AI958" s="9">
        <v>0</v>
      </c>
      <c r="AJ958" s="9">
        <v>76696200</v>
      </c>
      <c r="AK958" s="9">
        <v>9</v>
      </c>
      <c r="AL958" s="26" t="s">
        <v>62</v>
      </c>
      <c r="AM958" s="14" t="s">
        <v>676</v>
      </c>
      <c r="AN958" s="27" t="str">
        <f t="shared" si="31"/>
        <v>13937515|76696200|917037890|917037890</v>
      </c>
      <c r="AO958" t="s">
        <v>758</v>
      </c>
      <c r="AP958" t="b">
        <v>1</v>
      </c>
      <c r="AQ958" t="s">
        <v>764</v>
      </c>
    </row>
    <row r="959" spans="1:43" x14ac:dyDescent="0.2">
      <c r="A959" s="14" t="s">
        <v>500</v>
      </c>
      <c r="B959" s="17">
        <v>13937515</v>
      </c>
      <c r="C959" s="14" t="s">
        <v>384</v>
      </c>
      <c r="D959" s="9">
        <v>13937515</v>
      </c>
      <c r="E959" s="9" t="s">
        <v>384</v>
      </c>
      <c r="F959" s="7">
        <v>45717</v>
      </c>
      <c r="G959" s="20" t="s">
        <v>46</v>
      </c>
      <c r="H959" s="8">
        <v>917037890</v>
      </c>
      <c r="I959" s="19">
        <v>65384162</v>
      </c>
      <c r="J959" s="10">
        <v>768</v>
      </c>
      <c r="K959" s="10">
        <v>0</v>
      </c>
      <c r="L959" s="10">
        <v>768</v>
      </c>
      <c r="M959" s="10">
        <v>0</v>
      </c>
      <c r="N959" s="11">
        <v>768</v>
      </c>
      <c r="O959" s="12">
        <v>917037890</v>
      </c>
      <c r="P959" s="9">
        <v>285123</v>
      </c>
      <c r="Q959" s="9" t="s">
        <v>37</v>
      </c>
      <c r="R959" s="13">
        <v>45717</v>
      </c>
      <c r="S959" s="22">
        <v>45742</v>
      </c>
      <c r="T959" s="13">
        <v>45677</v>
      </c>
      <c r="U959" s="13">
        <v>45677</v>
      </c>
      <c r="V959" s="9" t="s">
        <v>47</v>
      </c>
      <c r="W959" s="9">
        <v>22770385</v>
      </c>
      <c r="X959" s="9">
        <v>3311105</v>
      </c>
      <c r="Y959" s="9">
        <v>69251042</v>
      </c>
      <c r="Z959" s="9" t="s">
        <v>39</v>
      </c>
      <c r="AA959" s="9">
        <v>61167282</v>
      </c>
      <c r="AB959" s="9">
        <v>78070</v>
      </c>
      <c r="AC959" s="9" t="s">
        <v>41</v>
      </c>
      <c r="AD959" s="9" t="s">
        <v>132</v>
      </c>
      <c r="AE959" s="9" t="s">
        <v>133</v>
      </c>
      <c r="AF959" s="9" t="s">
        <v>133</v>
      </c>
      <c r="AG959" s="14" t="str">
        <f t="shared" si="32"/>
        <v>EXAMENES DE LABORATORIO</v>
      </c>
      <c r="AH959" s="9">
        <v>0</v>
      </c>
      <c r="AI959" s="9">
        <v>0</v>
      </c>
      <c r="AJ959" s="9">
        <v>76696200</v>
      </c>
      <c r="AK959" s="9">
        <v>9</v>
      </c>
      <c r="AL959" s="26" t="s">
        <v>52</v>
      </c>
      <c r="AM959" s="14" t="s">
        <v>676</v>
      </c>
      <c r="AN959" s="27" t="str">
        <f t="shared" si="31"/>
        <v>13937515|76696200|917037890|65384162</v>
      </c>
      <c r="AO959" t="s">
        <v>44</v>
      </c>
      <c r="AP959" t="b">
        <v>0</v>
      </c>
      <c r="AQ959" t="s">
        <v>763</v>
      </c>
    </row>
    <row r="960" spans="1:43" x14ac:dyDescent="0.2">
      <c r="A960" s="14" t="s">
        <v>500</v>
      </c>
      <c r="B960" s="17">
        <v>16380701</v>
      </c>
      <c r="C960" s="14" t="s">
        <v>385</v>
      </c>
      <c r="D960" s="9">
        <v>24186825</v>
      </c>
      <c r="E960" s="9" t="s">
        <v>386</v>
      </c>
      <c r="F960" s="7">
        <v>45658</v>
      </c>
      <c r="G960" s="20" t="s">
        <v>36</v>
      </c>
      <c r="H960" s="8">
        <v>917114454</v>
      </c>
      <c r="I960" s="19">
        <v>917114454</v>
      </c>
      <c r="J960" s="10">
        <v>30060</v>
      </c>
      <c r="K960" s="10">
        <v>9400</v>
      </c>
      <c r="L960" s="10">
        <v>20660</v>
      </c>
      <c r="M960" s="10">
        <v>0</v>
      </c>
      <c r="N960" s="11">
        <v>20660</v>
      </c>
      <c r="O960" s="12">
        <v>917114454</v>
      </c>
      <c r="P960" s="9">
        <v>285123</v>
      </c>
      <c r="Q960" s="9" t="s">
        <v>37</v>
      </c>
      <c r="R960" s="13">
        <v>45677</v>
      </c>
      <c r="S960" s="22">
        <v>45677</v>
      </c>
      <c r="T960" s="13">
        <v>45677</v>
      </c>
      <c r="U960" s="13">
        <v>45677</v>
      </c>
      <c r="V960" s="9" t="s">
        <v>47</v>
      </c>
      <c r="W960" s="9">
        <v>22524610</v>
      </c>
      <c r="X960" s="9">
        <v>1271320</v>
      </c>
      <c r="Y960" s="9">
        <v>68706088</v>
      </c>
      <c r="Z960" s="9" t="s">
        <v>39</v>
      </c>
      <c r="AA960" s="9">
        <v>26012025</v>
      </c>
      <c r="AB960" s="9">
        <v>77442</v>
      </c>
      <c r="AC960" s="9" t="s">
        <v>41</v>
      </c>
      <c r="AD960" s="9" t="s">
        <v>134</v>
      </c>
      <c r="AE960" s="9" t="s">
        <v>135</v>
      </c>
      <c r="AF960" s="9" t="s">
        <v>135</v>
      </c>
      <c r="AG960" s="14" t="str">
        <f t="shared" si="32"/>
        <v>EXAMENES RADIOLOGICOS</v>
      </c>
      <c r="AH960" s="9" t="s">
        <v>758</v>
      </c>
      <c r="AI960" s="9">
        <v>0</v>
      </c>
      <c r="AJ960" s="9">
        <v>76110809</v>
      </c>
      <c r="AK960" s="9">
        <v>3</v>
      </c>
      <c r="AL960" s="26" t="s">
        <v>62</v>
      </c>
      <c r="AM960" s="14" t="s">
        <v>677</v>
      </c>
      <c r="AN960" s="27" t="str">
        <f t="shared" si="31"/>
        <v>16380701|76110809|917114454|917114454</v>
      </c>
      <c r="AO960" t="s">
        <v>758</v>
      </c>
      <c r="AP960" t="b">
        <v>1</v>
      </c>
      <c r="AQ960" t="s">
        <v>764</v>
      </c>
    </row>
    <row r="961" spans="1:43" x14ac:dyDescent="0.2">
      <c r="A961" s="14" t="s">
        <v>500</v>
      </c>
      <c r="B961" s="17">
        <v>16380701</v>
      </c>
      <c r="C961" s="14" t="s">
        <v>385</v>
      </c>
      <c r="D961" s="9">
        <v>24186825</v>
      </c>
      <c r="E961" s="9" t="s">
        <v>386</v>
      </c>
      <c r="F961" s="7">
        <v>45717</v>
      </c>
      <c r="G961" s="20" t="s">
        <v>46</v>
      </c>
      <c r="H961" s="8">
        <v>917114454</v>
      </c>
      <c r="I961" s="19">
        <v>65384367</v>
      </c>
      <c r="J961" s="10">
        <v>18053</v>
      </c>
      <c r="K961" s="10">
        <v>0</v>
      </c>
      <c r="L961" s="10">
        <v>18053</v>
      </c>
      <c r="M961" s="10">
        <v>0</v>
      </c>
      <c r="N961" s="11">
        <v>18053</v>
      </c>
      <c r="O961" s="12">
        <v>917114454</v>
      </c>
      <c r="P961" s="9">
        <v>285123</v>
      </c>
      <c r="Q961" s="9" t="s">
        <v>37</v>
      </c>
      <c r="R961" s="13">
        <v>45717</v>
      </c>
      <c r="S961" s="22">
        <v>45742</v>
      </c>
      <c r="T961" s="13">
        <v>45677</v>
      </c>
      <c r="U961" s="13">
        <v>45677</v>
      </c>
      <c r="V961" s="9" t="s">
        <v>47</v>
      </c>
      <c r="W961" s="9">
        <v>22770389</v>
      </c>
      <c r="X961" s="9">
        <v>3311105</v>
      </c>
      <c r="Y961" s="9">
        <v>69251250</v>
      </c>
      <c r="Z961" s="9" t="s">
        <v>39</v>
      </c>
      <c r="AA961" s="9">
        <v>80654762</v>
      </c>
      <c r="AB961" s="9">
        <v>78070</v>
      </c>
      <c r="AC961" s="9" t="s">
        <v>41</v>
      </c>
      <c r="AD961" s="9" t="s">
        <v>134</v>
      </c>
      <c r="AE961" s="9" t="s">
        <v>135</v>
      </c>
      <c r="AF961" s="9" t="s">
        <v>135</v>
      </c>
      <c r="AG961" s="14" t="str">
        <f t="shared" si="32"/>
        <v>EXAMENES RADIOLOGICOS</v>
      </c>
      <c r="AH961" s="9">
        <v>0</v>
      </c>
      <c r="AI961" s="9">
        <v>0</v>
      </c>
      <c r="AJ961" s="9">
        <v>76110809</v>
      </c>
      <c r="AK961" s="9">
        <v>3</v>
      </c>
      <c r="AL961" s="26" t="s">
        <v>52</v>
      </c>
      <c r="AM961" s="14" t="s">
        <v>677</v>
      </c>
      <c r="AN961" s="27" t="str">
        <f t="shared" si="31"/>
        <v>16380701|76110809|917114454|65384367</v>
      </c>
      <c r="AO961" t="s">
        <v>44</v>
      </c>
      <c r="AP961" t="b">
        <v>0</v>
      </c>
      <c r="AQ961" t="s">
        <v>763</v>
      </c>
    </row>
    <row r="962" spans="1:43" x14ac:dyDescent="0.2">
      <c r="A962" s="14" t="s">
        <v>500</v>
      </c>
      <c r="B962" s="17">
        <v>20107537</v>
      </c>
      <c r="C962" s="14" t="s">
        <v>70</v>
      </c>
      <c r="D962" s="9">
        <v>20107537</v>
      </c>
      <c r="E962" s="9" t="s">
        <v>70</v>
      </c>
      <c r="F962" s="7">
        <v>45658</v>
      </c>
      <c r="G962" s="20" t="s">
        <v>36</v>
      </c>
      <c r="H962" s="8">
        <v>917121926</v>
      </c>
      <c r="I962" s="19">
        <v>917121926</v>
      </c>
      <c r="J962" s="10">
        <v>41600</v>
      </c>
      <c r="K962" s="10">
        <v>13000</v>
      </c>
      <c r="L962" s="10">
        <v>28600</v>
      </c>
      <c r="M962" s="10">
        <v>0</v>
      </c>
      <c r="N962" s="11">
        <v>28600</v>
      </c>
      <c r="O962" s="12">
        <v>917121926</v>
      </c>
      <c r="P962" s="9">
        <v>285123</v>
      </c>
      <c r="Q962" s="9" t="s">
        <v>37</v>
      </c>
      <c r="R962" s="13">
        <v>45677</v>
      </c>
      <c r="S962" s="22">
        <v>45677</v>
      </c>
      <c r="T962" s="13">
        <v>45677</v>
      </c>
      <c r="U962" s="13">
        <v>45677</v>
      </c>
      <c r="V962" s="9" t="s">
        <v>47</v>
      </c>
      <c r="W962" s="9">
        <v>22524629</v>
      </c>
      <c r="X962" s="9">
        <v>1271320</v>
      </c>
      <c r="Y962" s="9">
        <v>68706123</v>
      </c>
      <c r="Z962" s="9" t="s">
        <v>39</v>
      </c>
      <c r="AA962" s="9">
        <v>26012025</v>
      </c>
      <c r="AB962" s="9">
        <v>77442</v>
      </c>
      <c r="AC962" s="9" t="s">
        <v>41</v>
      </c>
      <c r="AD962" s="9" t="s">
        <v>134</v>
      </c>
      <c r="AE962" s="9" t="s">
        <v>135</v>
      </c>
      <c r="AF962" s="9" t="s">
        <v>135</v>
      </c>
      <c r="AG962" s="14" t="str">
        <f t="shared" si="32"/>
        <v>EXAMENES RADIOLOGICOS</v>
      </c>
      <c r="AH962" s="9" t="s">
        <v>758</v>
      </c>
      <c r="AI962" s="9">
        <v>0</v>
      </c>
      <c r="AJ962" s="9">
        <v>96938650</v>
      </c>
      <c r="AK962" s="9" t="s">
        <v>161</v>
      </c>
      <c r="AL962" s="26" t="s">
        <v>62</v>
      </c>
      <c r="AM962" s="14" t="s">
        <v>509</v>
      </c>
      <c r="AN962" s="27" t="str">
        <f t="shared" si="31"/>
        <v>20107537|96938650|917121926|917121926</v>
      </c>
      <c r="AO962" t="s">
        <v>758</v>
      </c>
      <c r="AP962" t="b">
        <v>1</v>
      </c>
      <c r="AQ962" t="s">
        <v>764</v>
      </c>
    </row>
    <row r="963" spans="1:43" x14ac:dyDescent="0.2">
      <c r="A963" s="14" t="s">
        <v>500</v>
      </c>
      <c r="B963" s="17">
        <v>20107537</v>
      </c>
      <c r="C963" s="14" t="s">
        <v>70</v>
      </c>
      <c r="D963" s="9">
        <v>20107537</v>
      </c>
      <c r="E963" s="9" t="s">
        <v>70</v>
      </c>
      <c r="F963" s="7">
        <v>45717</v>
      </c>
      <c r="G963" s="20" t="s">
        <v>46</v>
      </c>
      <c r="H963" s="8">
        <v>917121926</v>
      </c>
      <c r="I963" s="19">
        <v>65384499</v>
      </c>
      <c r="J963" s="10">
        <v>24583</v>
      </c>
      <c r="K963" s="10">
        <v>0</v>
      </c>
      <c r="L963" s="10">
        <v>24583</v>
      </c>
      <c r="M963" s="10">
        <v>0</v>
      </c>
      <c r="N963" s="11">
        <v>24583</v>
      </c>
      <c r="O963" s="12">
        <v>917121926</v>
      </c>
      <c r="P963" s="9">
        <v>285123</v>
      </c>
      <c r="Q963" s="9" t="s">
        <v>37</v>
      </c>
      <c r="R963" s="13">
        <v>45717</v>
      </c>
      <c r="S963" s="22">
        <v>45742</v>
      </c>
      <c r="T963" s="13">
        <v>45677</v>
      </c>
      <c r="U963" s="13">
        <v>45677</v>
      </c>
      <c r="V963" s="9" t="s">
        <v>47</v>
      </c>
      <c r="W963" s="9">
        <v>22770391</v>
      </c>
      <c r="X963" s="9">
        <v>3311105</v>
      </c>
      <c r="Y963" s="9">
        <v>69251365</v>
      </c>
      <c r="Z963" s="9" t="s">
        <v>39</v>
      </c>
      <c r="AA963" s="9">
        <v>20107537</v>
      </c>
      <c r="AB963" s="9">
        <v>78070</v>
      </c>
      <c r="AC963" s="9" t="s">
        <v>41</v>
      </c>
      <c r="AD963" s="9" t="s">
        <v>134</v>
      </c>
      <c r="AE963" s="9" t="s">
        <v>135</v>
      </c>
      <c r="AF963" s="9" t="s">
        <v>135</v>
      </c>
      <c r="AG963" s="14" t="str">
        <f t="shared" si="32"/>
        <v>EXAMENES RADIOLOGICOS</v>
      </c>
      <c r="AH963" s="9">
        <v>0</v>
      </c>
      <c r="AI963" s="9">
        <v>0</v>
      </c>
      <c r="AJ963" s="9">
        <v>96938650</v>
      </c>
      <c r="AK963" s="9" t="s">
        <v>161</v>
      </c>
      <c r="AL963" s="26" t="s">
        <v>52</v>
      </c>
      <c r="AM963" s="14" t="s">
        <v>509</v>
      </c>
      <c r="AN963" s="27" t="str">
        <f t="shared" ref="AN963:AN1026" si="33">B963&amp;"|"&amp;AJ963&amp;"|"&amp;H963&amp;"|"&amp;I963</f>
        <v>20107537|96938650|917121926|65384499</v>
      </c>
      <c r="AO963" t="s">
        <v>44</v>
      </c>
      <c r="AP963" t="b">
        <v>0</v>
      </c>
      <c r="AQ963" t="s">
        <v>763</v>
      </c>
    </row>
    <row r="964" spans="1:43" x14ac:dyDescent="0.2">
      <c r="A964" s="14" t="s">
        <v>500</v>
      </c>
      <c r="B964" s="17">
        <v>15552230</v>
      </c>
      <c r="C964" s="14" t="s">
        <v>387</v>
      </c>
      <c r="D964" s="9">
        <v>15552230</v>
      </c>
      <c r="E964" s="9" t="s">
        <v>387</v>
      </c>
      <c r="F964" s="7">
        <v>45658</v>
      </c>
      <c r="G964" s="20" t="s">
        <v>36</v>
      </c>
      <c r="H964" s="8">
        <v>917178577</v>
      </c>
      <c r="I964" s="19">
        <v>917178577</v>
      </c>
      <c r="J964" s="10">
        <v>19260</v>
      </c>
      <c r="K964" s="10">
        <v>6020</v>
      </c>
      <c r="L964" s="10">
        <v>13240</v>
      </c>
      <c r="M964" s="10">
        <v>0</v>
      </c>
      <c r="N964" s="11">
        <v>13240</v>
      </c>
      <c r="O964" s="12">
        <v>917178577</v>
      </c>
      <c r="P964" s="9">
        <v>285123</v>
      </c>
      <c r="Q964" s="9" t="s">
        <v>37</v>
      </c>
      <c r="R964" s="13">
        <v>45677</v>
      </c>
      <c r="S964" s="22">
        <v>45677</v>
      </c>
      <c r="T964" s="13">
        <v>45677</v>
      </c>
      <c r="U964" s="13">
        <v>45677</v>
      </c>
      <c r="V964" s="9" t="s">
        <v>58</v>
      </c>
      <c r="W964" s="9">
        <v>22524607</v>
      </c>
      <c r="X964" s="9">
        <v>1271320</v>
      </c>
      <c r="Y964" s="9">
        <v>68706446</v>
      </c>
      <c r="Z964" s="9" t="s">
        <v>39</v>
      </c>
      <c r="AA964" s="9">
        <v>26012025</v>
      </c>
      <c r="AB964" s="9">
        <v>77442</v>
      </c>
      <c r="AC964" s="9" t="s">
        <v>41</v>
      </c>
      <c r="AD964" s="9" t="s">
        <v>71</v>
      </c>
      <c r="AE964" s="9" t="s">
        <v>72</v>
      </c>
      <c r="AF964" s="9" t="s">
        <v>73</v>
      </c>
      <c r="AG964" s="14" t="str">
        <f t="shared" si="32"/>
        <v>CONSULTA PSIQUIATRICA</v>
      </c>
      <c r="AH964" s="9" t="s">
        <v>758</v>
      </c>
      <c r="AI964" s="9">
        <v>0</v>
      </c>
      <c r="AJ964" s="9">
        <v>76567582</v>
      </c>
      <c r="AK964" s="9">
        <v>0</v>
      </c>
      <c r="AL964" s="26" t="s">
        <v>62</v>
      </c>
      <c r="AM964" s="14" t="s">
        <v>678</v>
      </c>
      <c r="AN964" s="27" t="str">
        <f t="shared" si="33"/>
        <v>15552230|76567582|917178577|917178577</v>
      </c>
      <c r="AO964" t="s">
        <v>758</v>
      </c>
      <c r="AP964" t="b">
        <v>1</v>
      </c>
      <c r="AQ964" t="s">
        <v>764</v>
      </c>
    </row>
    <row r="965" spans="1:43" x14ac:dyDescent="0.2">
      <c r="A965" s="14" t="s">
        <v>500</v>
      </c>
      <c r="B965" s="17">
        <v>15552230</v>
      </c>
      <c r="C965" s="14" t="s">
        <v>387</v>
      </c>
      <c r="D965" s="9">
        <v>15552230</v>
      </c>
      <c r="E965" s="9" t="s">
        <v>387</v>
      </c>
      <c r="F965" s="7">
        <v>45717</v>
      </c>
      <c r="G965" s="20" t="s">
        <v>46</v>
      </c>
      <c r="H965" s="8">
        <v>917178577</v>
      </c>
      <c r="I965" s="19">
        <v>65384323</v>
      </c>
      <c r="J965" s="10">
        <v>13059</v>
      </c>
      <c r="K965" s="10">
        <v>0</v>
      </c>
      <c r="L965" s="10">
        <v>13059</v>
      </c>
      <c r="M965" s="10">
        <v>0</v>
      </c>
      <c r="N965" s="11">
        <v>13059</v>
      </c>
      <c r="O965" s="12">
        <v>917178577</v>
      </c>
      <c r="P965" s="9">
        <v>285123</v>
      </c>
      <c r="Q965" s="9" t="s">
        <v>37</v>
      </c>
      <c r="R965" s="13">
        <v>45717</v>
      </c>
      <c r="S965" s="22">
        <v>45742</v>
      </c>
      <c r="T965" s="13">
        <v>45677</v>
      </c>
      <c r="U965" s="13">
        <v>45677</v>
      </c>
      <c r="V965" s="9" t="s">
        <v>58</v>
      </c>
      <c r="W965" s="9">
        <v>22770388</v>
      </c>
      <c r="X965" s="9">
        <v>3311105</v>
      </c>
      <c r="Y965" s="9">
        <v>69251206</v>
      </c>
      <c r="Z965" s="9" t="s">
        <v>39</v>
      </c>
      <c r="AA965" s="9">
        <v>169190419929</v>
      </c>
      <c r="AB965" s="9">
        <v>78070</v>
      </c>
      <c r="AC965" s="9" t="s">
        <v>41</v>
      </c>
      <c r="AD965" s="9" t="s">
        <v>71</v>
      </c>
      <c r="AE965" s="9" t="s">
        <v>72</v>
      </c>
      <c r="AF965" s="9" t="s">
        <v>73</v>
      </c>
      <c r="AG965" s="14" t="str">
        <f t="shared" si="32"/>
        <v>CONSULTA PSIQUIATRICA</v>
      </c>
      <c r="AH965" s="9">
        <v>0</v>
      </c>
      <c r="AI965" s="9">
        <v>0</v>
      </c>
      <c r="AJ965" s="9">
        <v>76567582</v>
      </c>
      <c r="AK965" s="9">
        <v>0</v>
      </c>
      <c r="AL965" s="26" t="s">
        <v>52</v>
      </c>
      <c r="AM965" s="14" t="s">
        <v>678</v>
      </c>
      <c r="AN965" s="27" t="str">
        <f t="shared" si="33"/>
        <v>15552230|76567582|917178577|65384323</v>
      </c>
      <c r="AO965" t="s">
        <v>44</v>
      </c>
      <c r="AP965" t="b">
        <v>0</v>
      </c>
      <c r="AQ965" t="s">
        <v>763</v>
      </c>
    </row>
    <row r="966" spans="1:43" x14ac:dyDescent="0.2">
      <c r="A966" s="14" t="s">
        <v>500</v>
      </c>
      <c r="B966" s="17">
        <v>11841687</v>
      </c>
      <c r="C966" s="14" t="s">
        <v>388</v>
      </c>
      <c r="D966" s="9">
        <v>11841687</v>
      </c>
      <c r="E966" s="9" t="s">
        <v>388</v>
      </c>
      <c r="F966" s="7">
        <v>45658</v>
      </c>
      <c r="G966" s="20" t="s">
        <v>36</v>
      </c>
      <c r="H966" s="8">
        <v>917187246</v>
      </c>
      <c r="I966" s="19">
        <v>917187246</v>
      </c>
      <c r="J966" s="10">
        <v>11500</v>
      </c>
      <c r="K966" s="10">
        <v>3600</v>
      </c>
      <c r="L966" s="10">
        <v>7900</v>
      </c>
      <c r="M966" s="10">
        <v>0</v>
      </c>
      <c r="N966" s="11">
        <v>7900</v>
      </c>
      <c r="O966" s="12">
        <v>917187246</v>
      </c>
      <c r="P966" s="9">
        <v>285123</v>
      </c>
      <c r="Q966" s="9" t="s">
        <v>37</v>
      </c>
      <c r="R966" s="13">
        <v>45678</v>
      </c>
      <c r="S966" s="22">
        <v>45678</v>
      </c>
      <c r="T966" s="13">
        <v>45678</v>
      </c>
      <c r="U966" s="13">
        <v>45678</v>
      </c>
      <c r="V966" s="9" t="s">
        <v>47</v>
      </c>
      <c r="W966" s="9">
        <v>22524644</v>
      </c>
      <c r="X966" s="9">
        <v>1271320</v>
      </c>
      <c r="Y966" s="9">
        <v>68706534</v>
      </c>
      <c r="Z966" s="9" t="s">
        <v>39</v>
      </c>
      <c r="AA966" s="9">
        <v>26012025</v>
      </c>
      <c r="AB966" s="9">
        <v>77442</v>
      </c>
      <c r="AC966" s="9" t="s">
        <v>41</v>
      </c>
      <c r="AD966" s="9" t="s">
        <v>65</v>
      </c>
      <c r="AE966" s="9" t="s">
        <v>66</v>
      </c>
      <c r="AF966" s="9" t="s">
        <v>66</v>
      </c>
      <c r="AG966" s="14" t="str">
        <f t="shared" si="32"/>
        <v>PROCEDIMIENTOS TERAPEUTICOS</v>
      </c>
      <c r="AH966" s="9" t="s">
        <v>758</v>
      </c>
      <c r="AI966" s="9">
        <v>0</v>
      </c>
      <c r="AJ966" s="9">
        <v>76098454</v>
      </c>
      <c r="AK966" s="9" t="s">
        <v>161</v>
      </c>
      <c r="AL966" s="26" t="s">
        <v>62</v>
      </c>
      <c r="AM966" s="14" t="s">
        <v>679</v>
      </c>
      <c r="AN966" s="27" t="str">
        <f t="shared" si="33"/>
        <v>11841687|76098454|917187246|917187246</v>
      </c>
      <c r="AO966" t="s">
        <v>758</v>
      </c>
      <c r="AP966" t="b">
        <v>1</v>
      </c>
      <c r="AQ966" t="s">
        <v>764</v>
      </c>
    </row>
    <row r="967" spans="1:43" x14ac:dyDescent="0.2">
      <c r="A967" s="14" t="s">
        <v>500</v>
      </c>
      <c r="B967" s="17">
        <v>11841687</v>
      </c>
      <c r="C967" s="14" t="s">
        <v>388</v>
      </c>
      <c r="D967" s="9">
        <v>11841687</v>
      </c>
      <c r="E967" s="9" t="s">
        <v>388</v>
      </c>
      <c r="F967" s="7">
        <v>45717</v>
      </c>
      <c r="G967" s="20" t="s">
        <v>46</v>
      </c>
      <c r="H967" s="8">
        <v>917187246</v>
      </c>
      <c r="I967" s="19">
        <v>65383964</v>
      </c>
      <c r="J967" s="10">
        <v>6913</v>
      </c>
      <c r="K967" s="10">
        <v>0</v>
      </c>
      <c r="L967" s="10">
        <v>6913</v>
      </c>
      <c r="M967" s="10">
        <v>0</v>
      </c>
      <c r="N967" s="11">
        <v>6913</v>
      </c>
      <c r="O967" s="12">
        <v>917187246</v>
      </c>
      <c r="P967" s="9">
        <v>285123</v>
      </c>
      <c r="Q967" s="9" t="s">
        <v>37</v>
      </c>
      <c r="R967" s="13">
        <v>45717</v>
      </c>
      <c r="S967" s="22">
        <v>45742</v>
      </c>
      <c r="T967" s="13">
        <v>45678</v>
      </c>
      <c r="U967" s="13">
        <v>45678</v>
      </c>
      <c r="V967" s="9" t="s">
        <v>47</v>
      </c>
      <c r="W967" s="9">
        <v>22770393</v>
      </c>
      <c r="X967" s="9">
        <v>3311105</v>
      </c>
      <c r="Y967" s="9">
        <v>69250852</v>
      </c>
      <c r="Z967" s="9" t="s">
        <v>39</v>
      </c>
      <c r="AA967" s="9">
        <v>972740144</v>
      </c>
      <c r="AB967" s="9">
        <v>78070</v>
      </c>
      <c r="AC967" s="9" t="s">
        <v>41</v>
      </c>
      <c r="AD967" s="9" t="s">
        <v>65</v>
      </c>
      <c r="AE967" s="9" t="s">
        <v>66</v>
      </c>
      <c r="AF967" s="9" t="s">
        <v>66</v>
      </c>
      <c r="AG967" s="14" t="str">
        <f t="shared" si="32"/>
        <v>PROCEDIMIENTOS TERAPEUTICOS</v>
      </c>
      <c r="AH967" s="9">
        <v>0</v>
      </c>
      <c r="AI967" s="9">
        <v>0</v>
      </c>
      <c r="AJ967" s="9">
        <v>76098454</v>
      </c>
      <c r="AK967" s="9" t="s">
        <v>161</v>
      </c>
      <c r="AL967" s="26" t="s">
        <v>52</v>
      </c>
      <c r="AM967" s="14" t="s">
        <v>679</v>
      </c>
      <c r="AN967" s="27" t="str">
        <f t="shared" si="33"/>
        <v>11841687|76098454|917187246|65383964</v>
      </c>
      <c r="AO967" t="s">
        <v>44</v>
      </c>
      <c r="AP967" t="b">
        <v>0</v>
      </c>
      <c r="AQ967" t="s">
        <v>763</v>
      </c>
    </row>
    <row r="968" spans="1:43" x14ac:dyDescent="0.2">
      <c r="A968" s="14" t="s">
        <v>500</v>
      </c>
      <c r="B968" s="17">
        <v>26464544</v>
      </c>
      <c r="C968" s="14" t="s">
        <v>389</v>
      </c>
      <c r="D968" s="9">
        <v>26464544</v>
      </c>
      <c r="E968" s="9" t="s">
        <v>389</v>
      </c>
      <c r="F968" s="7">
        <v>45658</v>
      </c>
      <c r="G968" s="20" t="s">
        <v>36</v>
      </c>
      <c r="H968" s="8">
        <v>917193497</v>
      </c>
      <c r="I968" s="19">
        <v>917193497</v>
      </c>
      <c r="J968" s="10">
        <v>9680</v>
      </c>
      <c r="K968" s="10">
        <v>3779</v>
      </c>
      <c r="L968" s="10">
        <v>5901</v>
      </c>
      <c r="M968" s="10">
        <v>0</v>
      </c>
      <c r="N968" s="11">
        <v>5901</v>
      </c>
      <c r="O968" s="12">
        <v>917193497</v>
      </c>
      <c r="P968" s="9">
        <v>285123</v>
      </c>
      <c r="Q968" s="9" t="s">
        <v>37</v>
      </c>
      <c r="R968" s="13">
        <v>45678</v>
      </c>
      <c r="S968" s="22">
        <v>45678</v>
      </c>
      <c r="T968" s="13">
        <v>45678</v>
      </c>
      <c r="U968" s="13">
        <v>45678</v>
      </c>
      <c r="V968" s="9" t="s">
        <v>47</v>
      </c>
      <c r="W968" s="9">
        <v>22524679</v>
      </c>
      <c r="X968" s="9">
        <v>1271320</v>
      </c>
      <c r="Y968" s="9">
        <v>68706589</v>
      </c>
      <c r="Z968" s="9" t="s">
        <v>39</v>
      </c>
      <c r="AA968" s="9">
        <v>26012025</v>
      </c>
      <c r="AB968" s="9">
        <v>77442</v>
      </c>
      <c r="AC968" s="9" t="s">
        <v>41</v>
      </c>
      <c r="AD968" s="9" t="s">
        <v>132</v>
      </c>
      <c r="AE968" s="9" t="s">
        <v>133</v>
      </c>
      <c r="AF968" s="9" t="s">
        <v>133</v>
      </c>
      <c r="AG968" s="14" t="str">
        <f t="shared" si="32"/>
        <v>EXAMENES DE LABORATORIO</v>
      </c>
      <c r="AH968" s="9" t="s">
        <v>758</v>
      </c>
      <c r="AI968" s="9">
        <v>0</v>
      </c>
      <c r="AJ968" s="9">
        <v>96986050</v>
      </c>
      <c r="AK968" s="9">
        <v>3</v>
      </c>
      <c r="AL968" s="26" t="s">
        <v>62</v>
      </c>
      <c r="AM968" s="14" t="s">
        <v>680</v>
      </c>
      <c r="AN968" s="27" t="str">
        <f t="shared" si="33"/>
        <v>26464544|96986050|917193497|917193497</v>
      </c>
      <c r="AO968" t="s">
        <v>758</v>
      </c>
      <c r="AP968" t="b">
        <v>1</v>
      </c>
      <c r="AQ968" t="s">
        <v>764</v>
      </c>
    </row>
    <row r="969" spans="1:43" x14ac:dyDescent="0.2">
      <c r="A969" s="14" t="s">
        <v>500</v>
      </c>
      <c r="B969" s="17">
        <v>26464544</v>
      </c>
      <c r="C969" s="14" t="s">
        <v>389</v>
      </c>
      <c r="D969" s="9">
        <v>26464544</v>
      </c>
      <c r="E969" s="9" t="s">
        <v>389</v>
      </c>
      <c r="F969" s="7">
        <v>45717</v>
      </c>
      <c r="G969" s="20" t="s">
        <v>46</v>
      </c>
      <c r="H969" s="8">
        <v>917193497</v>
      </c>
      <c r="I969" s="19">
        <v>65384543</v>
      </c>
      <c r="J969" s="10">
        <v>4993</v>
      </c>
      <c r="K969" s="10">
        <v>0</v>
      </c>
      <c r="L969" s="10">
        <v>4993</v>
      </c>
      <c r="M969" s="10">
        <v>0</v>
      </c>
      <c r="N969" s="11">
        <v>4993</v>
      </c>
      <c r="O969" s="12">
        <v>917193497</v>
      </c>
      <c r="P969" s="9">
        <v>285123</v>
      </c>
      <c r="Q969" s="9" t="s">
        <v>37</v>
      </c>
      <c r="R969" s="13">
        <v>45717</v>
      </c>
      <c r="S969" s="22">
        <v>45742</v>
      </c>
      <c r="T969" s="13">
        <v>45678</v>
      </c>
      <c r="U969" s="13">
        <v>45678</v>
      </c>
      <c r="V969" s="9" t="s">
        <v>47</v>
      </c>
      <c r="W969" s="9">
        <v>22770401</v>
      </c>
      <c r="X969" s="9">
        <v>3311105</v>
      </c>
      <c r="Y969" s="9">
        <v>69251406</v>
      </c>
      <c r="Z969" s="9" t="s">
        <v>39</v>
      </c>
      <c r="AA969" s="9">
        <v>64880648</v>
      </c>
      <c r="AB969" s="9">
        <v>78070</v>
      </c>
      <c r="AC969" s="9" t="s">
        <v>41</v>
      </c>
      <c r="AD969" s="9" t="s">
        <v>132</v>
      </c>
      <c r="AE969" s="9" t="s">
        <v>133</v>
      </c>
      <c r="AF969" s="9" t="s">
        <v>133</v>
      </c>
      <c r="AG969" s="14" t="str">
        <f t="shared" si="32"/>
        <v>EXAMENES DE LABORATORIO</v>
      </c>
      <c r="AH969" s="9">
        <v>0</v>
      </c>
      <c r="AI969" s="9">
        <v>0</v>
      </c>
      <c r="AJ969" s="9">
        <v>96986050</v>
      </c>
      <c r="AK969" s="9">
        <v>3</v>
      </c>
      <c r="AL969" s="26" t="s">
        <v>52</v>
      </c>
      <c r="AM969" s="14" t="s">
        <v>680</v>
      </c>
      <c r="AN969" s="27" t="str">
        <f t="shared" si="33"/>
        <v>26464544|96986050|917193497|65384543</v>
      </c>
      <c r="AO969" t="s">
        <v>44</v>
      </c>
      <c r="AP969" t="b">
        <v>0</v>
      </c>
      <c r="AQ969" t="s">
        <v>763</v>
      </c>
    </row>
    <row r="970" spans="1:43" x14ac:dyDescent="0.2">
      <c r="A970" s="14" t="s">
        <v>500</v>
      </c>
      <c r="B970" s="17">
        <v>26464544</v>
      </c>
      <c r="C970" s="14" t="s">
        <v>389</v>
      </c>
      <c r="D970" s="9">
        <v>26464544</v>
      </c>
      <c r="E970" s="9" t="s">
        <v>389</v>
      </c>
      <c r="F970" s="7">
        <v>45658</v>
      </c>
      <c r="G970" s="20" t="s">
        <v>36</v>
      </c>
      <c r="H970" s="8">
        <v>917194507</v>
      </c>
      <c r="I970" s="19">
        <v>917194507</v>
      </c>
      <c r="J970" s="10">
        <v>31950</v>
      </c>
      <c r="K970" s="10">
        <v>23170</v>
      </c>
      <c r="L970" s="10">
        <v>8780</v>
      </c>
      <c r="M970" s="10">
        <v>0</v>
      </c>
      <c r="N970" s="11">
        <v>8780</v>
      </c>
      <c r="O970" s="12">
        <v>917194507</v>
      </c>
      <c r="P970" s="9">
        <v>285123</v>
      </c>
      <c r="Q970" s="9" t="s">
        <v>37</v>
      </c>
      <c r="R970" s="13">
        <v>45678</v>
      </c>
      <c r="S970" s="22">
        <v>45678</v>
      </c>
      <c r="T970" s="13">
        <v>45678</v>
      </c>
      <c r="U970" s="13">
        <v>45678</v>
      </c>
      <c r="V970" s="9" t="s">
        <v>47</v>
      </c>
      <c r="W970" s="9">
        <v>22524679</v>
      </c>
      <c r="X970" s="9">
        <v>1271320</v>
      </c>
      <c r="Y970" s="9">
        <v>68706593</v>
      </c>
      <c r="Z970" s="9" t="s">
        <v>39</v>
      </c>
      <c r="AA970" s="9">
        <v>26012025</v>
      </c>
      <c r="AB970" s="9">
        <v>77442</v>
      </c>
      <c r="AC970" s="9" t="s">
        <v>41</v>
      </c>
      <c r="AD970" s="9" t="s">
        <v>132</v>
      </c>
      <c r="AE970" s="9" t="s">
        <v>133</v>
      </c>
      <c r="AF970" s="9" t="s">
        <v>133</v>
      </c>
      <c r="AG970" s="14" t="str">
        <f t="shared" si="32"/>
        <v>EXAMENES DE LABORATORIO</v>
      </c>
      <c r="AH970" s="9" t="s">
        <v>758</v>
      </c>
      <c r="AI970" s="9">
        <v>0</v>
      </c>
      <c r="AJ970" s="9">
        <v>96986050</v>
      </c>
      <c r="AK970" s="9">
        <v>3</v>
      </c>
      <c r="AL970" s="26" t="s">
        <v>62</v>
      </c>
      <c r="AM970" s="14" t="s">
        <v>680</v>
      </c>
      <c r="AN970" s="27" t="str">
        <f t="shared" si="33"/>
        <v>26464544|96986050|917194507|917194507</v>
      </c>
      <c r="AO970" t="s">
        <v>758</v>
      </c>
      <c r="AP970" t="b">
        <v>1</v>
      </c>
      <c r="AQ970" t="s">
        <v>764</v>
      </c>
    </row>
    <row r="971" spans="1:43" x14ac:dyDescent="0.2">
      <c r="A971" s="14" t="s">
        <v>500</v>
      </c>
      <c r="B971" s="17">
        <v>26464544</v>
      </c>
      <c r="C971" s="14" t="s">
        <v>389</v>
      </c>
      <c r="D971" s="9">
        <v>26464544</v>
      </c>
      <c r="E971" s="9" t="s">
        <v>389</v>
      </c>
      <c r="F971" s="7">
        <v>45717</v>
      </c>
      <c r="G971" s="20" t="s">
        <v>46</v>
      </c>
      <c r="H971" s="8">
        <v>917194507</v>
      </c>
      <c r="I971" s="19">
        <v>65384544</v>
      </c>
      <c r="J971" s="10">
        <v>8449</v>
      </c>
      <c r="K971" s="10">
        <v>0</v>
      </c>
      <c r="L971" s="10">
        <v>8449</v>
      </c>
      <c r="M971" s="10">
        <v>0</v>
      </c>
      <c r="N971" s="11">
        <v>8449</v>
      </c>
      <c r="O971" s="12">
        <v>917194507</v>
      </c>
      <c r="P971" s="9">
        <v>285123</v>
      </c>
      <c r="Q971" s="9" t="s">
        <v>37</v>
      </c>
      <c r="R971" s="13">
        <v>45717</v>
      </c>
      <c r="S971" s="22">
        <v>45742</v>
      </c>
      <c r="T971" s="13">
        <v>45678</v>
      </c>
      <c r="U971" s="13">
        <v>45678</v>
      </c>
      <c r="V971" s="9" t="s">
        <v>47</v>
      </c>
      <c r="W971" s="9">
        <v>22770401</v>
      </c>
      <c r="X971" s="9">
        <v>3311105</v>
      </c>
      <c r="Y971" s="9">
        <v>69251407</v>
      </c>
      <c r="Z971" s="9" t="s">
        <v>39</v>
      </c>
      <c r="AA971" s="9">
        <v>64880648</v>
      </c>
      <c r="AB971" s="9">
        <v>78070</v>
      </c>
      <c r="AC971" s="9" t="s">
        <v>41</v>
      </c>
      <c r="AD971" s="9" t="s">
        <v>132</v>
      </c>
      <c r="AE971" s="9" t="s">
        <v>133</v>
      </c>
      <c r="AF971" s="9" t="s">
        <v>133</v>
      </c>
      <c r="AG971" s="14" t="str">
        <f t="shared" si="32"/>
        <v>EXAMENES DE LABORATORIO</v>
      </c>
      <c r="AH971" s="9">
        <v>0</v>
      </c>
      <c r="AI971" s="9">
        <v>0</v>
      </c>
      <c r="AJ971" s="9">
        <v>96986050</v>
      </c>
      <c r="AK971" s="9">
        <v>3</v>
      </c>
      <c r="AL971" s="26" t="s">
        <v>52</v>
      </c>
      <c r="AM971" s="14" t="s">
        <v>680</v>
      </c>
      <c r="AN971" s="27" t="str">
        <f t="shared" si="33"/>
        <v>26464544|96986050|917194507|65384544</v>
      </c>
      <c r="AO971" t="s">
        <v>44</v>
      </c>
      <c r="AP971" t="b">
        <v>0</v>
      </c>
      <c r="AQ971" t="s">
        <v>763</v>
      </c>
    </row>
    <row r="972" spans="1:43" x14ac:dyDescent="0.2">
      <c r="A972" s="14" t="s">
        <v>500</v>
      </c>
      <c r="B972" s="17">
        <v>26464544</v>
      </c>
      <c r="C972" s="14" t="s">
        <v>389</v>
      </c>
      <c r="D972" s="9">
        <v>26464544</v>
      </c>
      <c r="E972" s="9" t="s">
        <v>389</v>
      </c>
      <c r="F972" s="7">
        <v>45658</v>
      </c>
      <c r="G972" s="20" t="s">
        <v>36</v>
      </c>
      <c r="H972" s="8">
        <v>917194508</v>
      </c>
      <c r="I972" s="19">
        <v>917194508</v>
      </c>
      <c r="J972" s="10">
        <v>49950</v>
      </c>
      <c r="K972" s="10">
        <v>36218</v>
      </c>
      <c r="L972" s="10">
        <v>13732</v>
      </c>
      <c r="M972" s="10">
        <v>0</v>
      </c>
      <c r="N972" s="11">
        <v>13732</v>
      </c>
      <c r="O972" s="12">
        <v>917194508</v>
      </c>
      <c r="P972" s="9">
        <v>285123</v>
      </c>
      <c r="Q972" s="9" t="s">
        <v>37</v>
      </c>
      <c r="R972" s="13">
        <v>45678</v>
      </c>
      <c r="S972" s="22">
        <v>45678</v>
      </c>
      <c r="T972" s="13">
        <v>45678</v>
      </c>
      <c r="U972" s="13">
        <v>45678</v>
      </c>
      <c r="V972" s="9" t="s">
        <v>47</v>
      </c>
      <c r="W972" s="9">
        <v>22524679</v>
      </c>
      <c r="X972" s="9">
        <v>1271320</v>
      </c>
      <c r="Y972" s="9">
        <v>68706592</v>
      </c>
      <c r="Z972" s="9" t="s">
        <v>39</v>
      </c>
      <c r="AA972" s="9">
        <v>26012025</v>
      </c>
      <c r="AB972" s="9">
        <v>77442</v>
      </c>
      <c r="AC972" s="9" t="s">
        <v>41</v>
      </c>
      <c r="AD972" s="9" t="s">
        <v>132</v>
      </c>
      <c r="AE972" s="9" t="s">
        <v>133</v>
      </c>
      <c r="AF972" s="9" t="s">
        <v>133</v>
      </c>
      <c r="AG972" s="14" t="str">
        <f t="shared" si="32"/>
        <v>EXAMENES DE LABORATORIO</v>
      </c>
      <c r="AH972" s="9" t="s">
        <v>758</v>
      </c>
      <c r="AI972" s="9">
        <v>0</v>
      </c>
      <c r="AJ972" s="9">
        <v>96986050</v>
      </c>
      <c r="AK972" s="9">
        <v>3</v>
      </c>
      <c r="AL972" s="26" t="s">
        <v>62</v>
      </c>
      <c r="AM972" s="14" t="s">
        <v>680</v>
      </c>
      <c r="AN972" s="27" t="str">
        <f t="shared" si="33"/>
        <v>26464544|96986050|917194508|917194508</v>
      </c>
      <c r="AO972" t="s">
        <v>758</v>
      </c>
      <c r="AP972" t="b">
        <v>1</v>
      </c>
      <c r="AQ972" t="s">
        <v>764</v>
      </c>
    </row>
    <row r="973" spans="1:43" x14ac:dyDescent="0.2">
      <c r="A973" s="14" t="s">
        <v>500</v>
      </c>
      <c r="B973" s="17">
        <v>26464544</v>
      </c>
      <c r="C973" s="14" t="s">
        <v>389</v>
      </c>
      <c r="D973" s="9">
        <v>26464544</v>
      </c>
      <c r="E973" s="9" t="s">
        <v>389</v>
      </c>
      <c r="F973" s="7">
        <v>45717</v>
      </c>
      <c r="G973" s="20" t="s">
        <v>46</v>
      </c>
      <c r="H973" s="8">
        <v>917194508</v>
      </c>
      <c r="I973" s="19">
        <v>65384545</v>
      </c>
      <c r="J973" s="10">
        <v>13824</v>
      </c>
      <c r="K973" s="10">
        <v>0</v>
      </c>
      <c r="L973" s="10">
        <v>13824</v>
      </c>
      <c r="M973" s="10">
        <v>0</v>
      </c>
      <c r="N973" s="11">
        <v>13824</v>
      </c>
      <c r="O973" s="12">
        <v>917194508</v>
      </c>
      <c r="P973" s="9">
        <v>285123</v>
      </c>
      <c r="Q973" s="9" t="s">
        <v>37</v>
      </c>
      <c r="R973" s="13">
        <v>45717</v>
      </c>
      <c r="S973" s="22">
        <v>45742</v>
      </c>
      <c r="T973" s="13">
        <v>45678</v>
      </c>
      <c r="U973" s="13">
        <v>45678</v>
      </c>
      <c r="V973" s="9" t="s">
        <v>47</v>
      </c>
      <c r="W973" s="9">
        <v>22770401</v>
      </c>
      <c r="X973" s="9">
        <v>3311105</v>
      </c>
      <c r="Y973" s="9">
        <v>69251408</v>
      </c>
      <c r="Z973" s="9" t="s">
        <v>39</v>
      </c>
      <c r="AA973" s="9">
        <v>64880648</v>
      </c>
      <c r="AB973" s="9">
        <v>78070</v>
      </c>
      <c r="AC973" s="9" t="s">
        <v>41</v>
      </c>
      <c r="AD973" s="9" t="s">
        <v>132</v>
      </c>
      <c r="AE973" s="9" t="s">
        <v>133</v>
      </c>
      <c r="AF973" s="9" t="s">
        <v>133</v>
      </c>
      <c r="AG973" s="14" t="str">
        <f t="shared" si="32"/>
        <v>EXAMENES DE LABORATORIO</v>
      </c>
      <c r="AH973" s="9">
        <v>0</v>
      </c>
      <c r="AI973" s="9">
        <v>0</v>
      </c>
      <c r="AJ973" s="9">
        <v>96986050</v>
      </c>
      <c r="AK973" s="9">
        <v>3</v>
      </c>
      <c r="AL973" s="26" t="s">
        <v>52</v>
      </c>
      <c r="AM973" s="14" t="s">
        <v>680</v>
      </c>
      <c r="AN973" s="27" t="str">
        <f t="shared" si="33"/>
        <v>26464544|96986050|917194508|65384545</v>
      </c>
      <c r="AO973" t="s">
        <v>44</v>
      </c>
      <c r="AP973" t="b">
        <v>0</v>
      </c>
      <c r="AQ973" t="s">
        <v>763</v>
      </c>
    </row>
    <row r="974" spans="1:43" x14ac:dyDescent="0.2">
      <c r="A974" s="14" t="s">
        <v>500</v>
      </c>
      <c r="B974" s="17">
        <v>11841687</v>
      </c>
      <c r="C974" s="14" t="s">
        <v>388</v>
      </c>
      <c r="D974" s="9">
        <v>11841687</v>
      </c>
      <c r="E974" s="9" t="s">
        <v>388</v>
      </c>
      <c r="F974" s="7">
        <v>45658</v>
      </c>
      <c r="G974" s="20" t="s">
        <v>36</v>
      </c>
      <c r="H974" s="8">
        <v>917196933</v>
      </c>
      <c r="I974" s="19">
        <v>917196933</v>
      </c>
      <c r="J974" s="10">
        <v>54240</v>
      </c>
      <c r="K974" s="10">
        <v>16960</v>
      </c>
      <c r="L974" s="10">
        <v>37280</v>
      </c>
      <c r="M974" s="10">
        <v>0</v>
      </c>
      <c r="N974" s="11">
        <v>37280</v>
      </c>
      <c r="O974" s="12">
        <v>917196933</v>
      </c>
      <c r="P974" s="9">
        <v>285123</v>
      </c>
      <c r="Q974" s="9" t="s">
        <v>37</v>
      </c>
      <c r="R974" s="13">
        <v>45678</v>
      </c>
      <c r="S974" s="22">
        <v>45678</v>
      </c>
      <c r="T974" s="13">
        <v>45678</v>
      </c>
      <c r="U974" s="13">
        <v>45678</v>
      </c>
      <c r="V974" s="9" t="s">
        <v>47</v>
      </c>
      <c r="W974" s="9">
        <v>22524644</v>
      </c>
      <c r="X974" s="9">
        <v>1271320</v>
      </c>
      <c r="Y974" s="9">
        <v>68706608</v>
      </c>
      <c r="Z974" s="9" t="s">
        <v>39</v>
      </c>
      <c r="AA974" s="9">
        <v>26012025</v>
      </c>
      <c r="AB974" s="9">
        <v>77442</v>
      </c>
      <c r="AC974" s="9" t="s">
        <v>41</v>
      </c>
      <c r="AD974" s="9" t="s">
        <v>132</v>
      </c>
      <c r="AE974" s="9" t="s">
        <v>133</v>
      </c>
      <c r="AF974" s="9" t="s">
        <v>133</v>
      </c>
      <c r="AG974" s="14" t="str">
        <f t="shared" si="32"/>
        <v>EXAMENES DE LABORATORIO</v>
      </c>
      <c r="AH974" s="9" t="s">
        <v>758</v>
      </c>
      <c r="AI974" s="9">
        <v>0</v>
      </c>
      <c r="AJ974" s="9">
        <v>96986050</v>
      </c>
      <c r="AK974" s="9">
        <v>3</v>
      </c>
      <c r="AL974" s="26" t="s">
        <v>62</v>
      </c>
      <c r="AM974" s="14" t="s">
        <v>679</v>
      </c>
      <c r="AN974" s="27" t="str">
        <f t="shared" si="33"/>
        <v>11841687|96986050|917196933|917196933</v>
      </c>
      <c r="AO974" t="s">
        <v>758</v>
      </c>
      <c r="AP974" t="b">
        <v>1</v>
      </c>
      <c r="AQ974" t="s">
        <v>764</v>
      </c>
    </row>
    <row r="975" spans="1:43" x14ac:dyDescent="0.2">
      <c r="A975" s="14" t="s">
        <v>500</v>
      </c>
      <c r="B975" s="17">
        <v>11841687</v>
      </c>
      <c r="C975" s="14" t="s">
        <v>388</v>
      </c>
      <c r="D975" s="9">
        <v>11841687</v>
      </c>
      <c r="E975" s="9" t="s">
        <v>388</v>
      </c>
      <c r="F975" s="7">
        <v>45717</v>
      </c>
      <c r="G975" s="20" t="s">
        <v>46</v>
      </c>
      <c r="H975" s="8">
        <v>917196933</v>
      </c>
      <c r="I975" s="19">
        <v>65383965</v>
      </c>
      <c r="J975" s="10">
        <v>33030</v>
      </c>
      <c r="K975" s="10">
        <v>0</v>
      </c>
      <c r="L975" s="10">
        <v>33030</v>
      </c>
      <c r="M975" s="10">
        <v>0</v>
      </c>
      <c r="N975" s="11">
        <v>33030</v>
      </c>
      <c r="O975" s="12">
        <v>917196933</v>
      </c>
      <c r="P975" s="9">
        <v>285123</v>
      </c>
      <c r="Q975" s="9" t="s">
        <v>37</v>
      </c>
      <c r="R975" s="13">
        <v>45717</v>
      </c>
      <c r="S975" s="22">
        <v>45742</v>
      </c>
      <c r="T975" s="13">
        <v>45678</v>
      </c>
      <c r="U975" s="13">
        <v>45678</v>
      </c>
      <c r="V975" s="9" t="s">
        <v>47</v>
      </c>
      <c r="W975" s="9">
        <v>22770393</v>
      </c>
      <c r="X975" s="9">
        <v>3311105</v>
      </c>
      <c r="Y975" s="9">
        <v>69250853</v>
      </c>
      <c r="Z975" s="9" t="s">
        <v>39</v>
      </c>
      <c r="AA975" s="9">
        <v>972740144</v>
      </c>
      <c r="AB975" s="9">
        <v>78070</v>
      </c>
      <c r="AC975" s="9" t="s">
        <v>41</v>
      </c>
      <c r="AD975" s="9" t="s">
        <v>132</v>
      </c>
      <c r="AE975" s="9" t="s">
        <v>133</v>
      </c>
      <c r="AF975" s="9" t="s">
        <v>133</v>
      </c>
      <c r="AG975" s="14" t="str">
        <f t="shared" si="32"/>
        <v>EXAMENES DE LABORATORIO</v>
      </c>
      <c r="AH975" s="9">
        <v>0</v>
      </c>
      <c r="AI975" s="9">
        <v>0</v>
      </c>
      <c r="AJ975" s="9">
        <v>96986050</v>
      </c>
      <c r="AK975" s="9">
        <v>3</v>
      </c>
      <c r="AL975" s="26" t="s">
        <v>52</v>
      </c>
      <c r="AM975" s="14" t="s">
        <v>679</v>
      </c>
      <c r="AN975" s="27" t="str">
        <f t="shared" si="33"/>
        <v>11841687|96986050|917196933|65383965</v>
      </c>
      <c r="AO975" t="s">
        <v>44</v>
      </c>
      <c r="AP975" t="b">
        <v>0</v>
      </c>
      <c r="AQ975" t="s">
        <v>763</v>
      </c>
    </row>
    <row r="976" spans="1:43" x14ac:dyDescent="0.2">
      <c r="A976" s="14" t="s">
        <v>500</v>
      </c>
      <c r="B976" s="17">
        <v>11841687</v>
      </c>
      <c r="C976" s="14" t="s">
        <v>388</v>
      </c>
      <c r="D976" s="9">
        <v>11841687</v>
      </c>
      <c r="E976" s="9" t="s">
        <v>388</v>
      </c>
      <c r="F976" s="7">
        <v>45658</v>
      </c>
      <c r="G976" s="20" t="s">
        <v>36</v>
      </c>
      <c r="H976" s="8">
        <v>917196934</v>
      </c>
      <c r="I976" s="19">
        <v>917196934</v>
      </c>
      <c r="J976" s="10">
        <v>50750</v>
      </c>
      <c r="K976" s="10">
        <v>15870</v>
      </c>
      <c r="L976" s="10">
        <v>34880</v>
      </c>
      <c r="M976" s="10">
        <v>0</v>
      </c>
      <c r="N976" s="11">
        <v>34880</v>
      </c>
      <c r="O976" s="12">
        <v>917196934</v>
      </c>
      <c r="P976" s="9">
        <v>285123</v>
      </c>
      <c r="Q976" s="9" t="s">
        <v>37</v>
      </c>
      <c r="R976" s="13">
        <v>45678</v>
      </c>
      <c r="S976" s="22">
        <v>45678</v>
      </c>
      <c r="T976" s="13">
        <v>45678</v>
      </c>
      <c r="U976" s="13">
        <v>45678</v>
      </c>
      <c r="V976" s="9" t="s">
        <v>47</v>
      </c>
      <c r="W976" s="9">
        <v>22524644</v>
      </c>
      <c r="X976" s="9">
        <v>1271320</v>
      </c>
      <c r="Y976" s="9">
        <v>68706607</v>
      </c>
      <c r="Z976" s="9" t="s">
        <v>39</v>
      </c>
      <c r="AA976" s="9">
        <v>26012025</v>
      </c>
      <c r="AB976" s="9">
        <v>77442</v>
      </c>
      <c r="AC976" s="9" t="s">
        <v>41</v>
      </c>
      <c r="AD976" s="9" t="s">
        <v>132</v>
      </c>
      <c r="AE976" s="9" t="s">
        <v>133</v>
      </c>
      <c r="AF976" s="9" t="s">
        <v>133</v>
      </c>
      <c r="AG976" s="14" t="str">
        <f t="shared" si="32"/>
        <v>EXAMENES DE LABORATORIO</v>
      </c>
      <c r="AH976" s="9" t="s">
        <v>758</v>
      </c>
      <c r="AI976" s="9">
        <v>0</v>
      </c>
      <c r="AJ976" s="9">
        <v>96986050</v>
      </c>
      <c r="AK976" s="9">
        <v>3</v>
      </c>
      <c r="AL976" s="26" t="s">
        <v>62</v>
      </c>
      <c r="AM976" s="14" t="s">
        <v>679</v>
      </c>
      <c r="AN976" s="27" t="str">
        <f t="shared" si="33"/>
        <v>11841687|96986050|917196934|917196934</v>
      </c>
      <c r="AO976" t="s">
        <v>758</v>
      </c>
      <c r="AP976" t="b">
        <v>1</v>
      </c>
      <c r="AQ976" t="s">
        <v>764</v>
      </c>
    </row>
    <row r="977" spans="1:43" x14ac:dyDescent="0.2">
      <c r="A977" s="14" t="s">
        <v>500</v>
      </c>
      <c r="B977" s="17">
        <v>11841687</v>
      </c>
      <c r="C977" s="14" t="s">
        <v>388</v>
      </c>
      <c r="D977" s="9">
        <v>11841687</v>
      </c>
      <c r="E977" s="9" t="s">
        <v>388</v>
      </c>
      <c r="F977" s="7">
        <v>45717</v>
      </c>
      <c r="G977" s="20" t="s">
        <v>46</v>
      </c>
      <c r="H977" s="8">
        <v>917196934</v>
      </c>
      <c r="I977" s="19">
        <v>65383966</v>
      </c>
      <c r="J977" s="10">
        <v>30341</v>
      </c>
      <c r="K977" s="10">
        <v>0</v>
      </c>
      <c r="L977" s="10">
        <v>30341</v>
      </c>
      <c r="M977" s="10">
        <v>0</v>
      </c>
      <c r="N977" s="11">
        <v>30341</v>
      </c>
      <c r="O977" s="12">
        <v>917196934</v>
      </c>
      <c r="P977" s="9">
        <v>285123</v>
      </c>
      <c r="Q977" s="9" t="s">
        <v>37</v>
      </c>
      <c r="R977" s="13">
        <v>45717</v>
      </c>
      <c r="S977" s="22">
        <v>45742</v>
      </c>
      <c r="T977" s="13">
        <v>45678</v>
      </c>
      <c r="U977" s="13">
        <v>45678</v>
      </c>
      <c r="V977" s="9" t="s">
        <v>47</v>
      </c>
      <c r="W977" s="9">
        <v>22770393</v>
      </c>
      <c r="X977" s="9">
        <v>3311105</v>
      </c>
      <c r="Y977" s="9">
        <v>69250854</v>
      </c>
      <c r="Z977" s="9" t="s">
        <v>39</v>
      </c>
      <c r="AA977" s="9">
        <v>972740144</v>
      </c>
      <c r="AB977" s="9">
        <v>78070</v>
      </c>
      <c r="AC977" s="9" t="s">
        <v>41</v>
      </c>
      <c r="AD977" s="9" t="s">
        <v>132</v>
      </c>
      <c r="AE977" s="9" t="s">
        <v>133</v>
      </c>
      <c r="AF977" s="9" t="s">
        <v>133</v>
      </c>
      <c r="AG977" s="14" t="str">
        <f t="shared" si="32"/>
        <v>EXAMENES DE LABORATORIO</v>
      </c>
      <c r="AH977" s="9">
        <v>0</v>
      </c>
      <c r="AI977" s="9">
        <v>0</v>
      </c>
      <c r="AJ977" s="9">
        <v>96986050</v>
      </c>
      <c r="AK977" s="9">
        <v>3</v>
      </c>
      <c r="AL977" s="26" t="s">
        <v>52</v>
      </c>
      <c r="AM977" s="14" t="s">
        <v>679</v>
      </c>
      <c r="AN977" s="27" t="str">
        <f t="shared" si="33"/>
        <v>11841687|96986050|917196934|65383966</v>
      </c>
      <c r="AO977" t="s">
        <v>44</v>
      </c>
      <c r="AP977" t="b">
        <v>0</v>
      </c>
      <c r="AQ977" t="s">
        <v>763</v>
      </c>
    </row>
    <row r="978" spans="1:43" x14ac:dyDescent="0.2">
      <c r="A978" s="14" t="s">
        <v>500</v>
      </c>
      <c r="B978" s="17">
        <v>13245307</v>
      </c>
      <c r="C978" s="14" t="s">
        <v>390</v>
      </c>
      <c r="D978" s="9">
        <v>23006183</v>
      </c>
      <c r="E978" s="9" t="s">
        <v>391</v>
      </c>
      <c r="F978" s="7">
        <v>45658</v>
      </c>
      <c r="G978" s="20" t="s">
        <v>36</v>
      </c>
      <c r="H978" s="8">
        <v>917339065</v>
      </c>
      <c r="I978" s="19">
        <v>917339065</v>
      </c>
      <c r="J978" s="10">
        <v>33560</v>
      </c>
      <c r="K978" s="10">
        <v>10500</v>
      </c>
      <c r="L978" s="10">
        <v>23060</v>
      </c>
      <c r="M978" s="10">
        <v>0</v>
      </c>
      <c r="N978" s="11">
        <v>23060</v>
      </c>
      <c r="O978" s="12">
        <v>917339065</v>
      </c>
      <c r="P978" s="9">
        <v>285123</v>
      </c>
      <c r="Q978" s="9" t="s">
        <v>37</v>
      </c>
      <c r="R978" s="13">
        <v>45679</v>
      </c>
      <c r="S978" s="22">
        <v>45679</v>
      </c>
      <c r="T978" s="13">
        <v>45679</v>
      </c>
      <c r="U978" s="13">
        <v>45679</v>
      </c>
      <c r="V978" s="9" t="s">
        <v>47</v>
      </c>
      <c r="W978" s="9">
        <v>22524699</v>
      </c>
      <c r="X978" s="9">
        <v>1271320</v>
      </c>
      <c r="Y978" s="9">
        <v>68707396</v>
      </c>
      <c r="Z978" s="9" t="s">
        <v>39</v>
      </c>
      <c r="AA978" s="9">
        <v>26012025</v>
      </c>
      <c r="AB978" s="9">
        <v>77442</v>
      </c>
      <c r="AC978" s="9" t="s">
        <v>41</v>
      </c>
      <c r="AD978" s="9" t="s">
        <v>132</v>
      </c>
      <c r="AE978" s="9" t="s">
        <v>133</v>
      </c>
      <c r="AF978" s="9" t="s">
        <v>133</v>
      </c>
      <c r="AG978" s="14" t="str">
        <f t="shared" si="32"/>
        <v>EXAMENES DE LABORATORIO</v>
      </c>
      <c r="AH978" s="9" t="s">
        <v>758</v>
      </c>
      <c r="AI978" s="9">
        <v>0</v>
      </c>
      <c r="AJ978" s="9">
        <v>78802190</v>
      </c>
      <c r="AK978" s="9">
        <v>9</v>
      </c>
      <c r="AL978" s="26" t="s">
        <v>62</v>
      </c>
      <c r="AM978" s="14" t="s">
        <v>681</v>
      </c>
      <c r="AN978" s="27" t="str">
        <f t="shared" si="33"/>
        <v>13245307|78802190|917339065|917339065</v>
      </c>
      <c r="AO978" t="s">
        <v>758</v>
      </c>
      <c r="AP978" t="b">
        <v>1</v>
      </c>
      <c r="AQ978" t="s">
        <v>764</v>
      </c>
    </row>
    <row r="979" spans="1:43" x14ac:dyDescent="0.2">
      <c r="A979" s="14" t="s">
        <v>500</v>
      </c>
      <c r="B979" s="17">
        <v>13245307</v>
      </c>
      <c r="C979" s="14" t="s">
        <v>390</v>
      </c>
      <c r="D979" s="9">
        <v>23006183</v>
      </c>
      <c r="E979" s="9" t="s">
        <v>391</v>
      </c>
      <c r="F979" s="7">
        <v>45717</v>
      </c>
      <c r="G979" s="20" t="s">
        <v>46</v>
      </c>
      <c r="H979" s="8">
        <v>917339065</v>
      </c>
      <c r="I979" s="19">
        <v>65384094</v>
      </c>
      <c r="J979" s="10">
        <v>19585</v>
      </c>
      <c r="K979" s="10">
        <v>0</v>
      </c>
      <c r="L979" s="10">
        <v>19585</v>
      </c>
      <c r="M979" s="10">
        <v>0</v>
      </c>
      <c r="N979" s="11">
        <v>19585</v>
      </c>
      <c r="O979" s="12">
        <v>917339065</v>
      </c>
      <c r="P979" s="9">
        <v>285123</v>
      </c>
      <c r="Q979" s="9" t="s">
        <v>37</v>
      </c>
      <c r="R979" s="13">
        <v>45717</v>
      </c>
      <c r="S979" s="22">
        <v>45742</v>
      </c>
      <c r="T979" s="13">
        <v>45679</v>
      </c>
      <c r="U979" s="13">
        <v>45679</v>
      </c>
      <c r="V979" s="9" t="s">
        <v>47</v>
      </c>
      <c r="W979" s="9">
        <v>22770411</v>
      </c>
      <c r="X979" s="9">
        <v>3311105</v>
      </c>
      <c r="Y979" s="9">
        <v>69250981</v>
      </c>
      <c r="Z979" s="9" t="s">
        <v>39</v>
      </c>
      <c r="AA979" s="9">
        <v>66209008</v>
      </c>
      <c r="AB979" s="9">
        <v>78070</v>
      </c>
      <c r="AC979" s="9" t="s">
        <v>41</v>
      </c>
      <c r="AD979" s="9" t="s">
        <v>132</v>
      </c>
      <c r="AE979" s="9" t="s">
        <v>133</v>
      </c>
      <c r="AF979" s="9" t="s">
        <v>133</v>
      </c>
      <c r="AG979" s="14" t="str">
        <f t="shared" si="32"/>
        <v>EXAMENES DE LABORATORIO</v>
      </c>
      <c r="AH979" s="9">
        <v>0</v>
      </c>
      <c r="AI979" s="9">
        <v>0</v>
      </c>
      <c r="AJ979" s="9">
        <v>78802190</v>
      </c>
      <c r="AK979" s="9">
        <v>9</v>
      </c>
      <c r="AL979" s="26" t="s">
        <v>52</v>
      </c>
      <c r="AM979" s="14" t="s">
        <v>681</v>
      </c>
      <c r="AN979" s="27" t="str">
        <f t="shared" si="33"/>
        <v>13245307|78802190|917339065|65384094</v>
      </c>
      <c r="AO979" t="s">
        <v>44</v>
      </c>
      <c r="AP979" t="b">
        <v>0</v>
      </c>
      <c r="AQ979" t="s">
        <v>763</v>
      </c>
    </row>
    <row r="980" spans="1:43" x14ac:dyDescent="0.2">
      <c r="A980" s="14" t="s">
        <v>500</v>
      </c>
      <c r="B980" s="17">
        <v>13245307</v>
      </c>
      <c r="C980" s="14" t="s">
        <v>390</v>
      </c>
      <c r="D980" s="9">
        <v>23006183</v>
      </c>
      <c r="E980" s="9" t="s">
        <v>391</v>
      </c>
      <c r="F980" s="7">
        <v>45658</v>
      </c>
      <c r="G980" s="20" t="s">
        <v>36</v>
      </c>
      <c r="H980" s="8">
        <v>917339066</v>
      </c>
      <c r="I980" s="19">
        <v>917339066</v>
      </c>
      <c r="J980" s="10">
        <v>13520</v>
      </c>
      <c r="K980" s="10">
        <v>4230</v>
      </c>
      <c r="L980" s="10">
        <v>9290</v>
      </c>
      <c r="M980" s="10">
        <v>0</v>
      </c>
      <c r="N980" s="11">
        <v>9290</v>
      </c>
      <c r="O980" s="12">
        <v>917339066</v>
      </c>
      <c r="P980" s="9">
        <v>285123</v>
      </c>
      <c r="Q980" s="9" t="s">
        <v>37</v>
      </c>
      <c r="R980" s="13">
        <v>45679</v>
      </c>
      <c r="S980" s="22">
        <v>45679</v>
      </c>
      <c r="T980" s="13">
        <v>45679</v>
      </c>
      <c r="U980" s="13">
        <v>45679</v>
      </c>
      <c r="V980" s="9" t="s">
        <v>47</v>
      </c>
      <c r="W980" s="9">
        <v>22524699</v>
      </c>
      <c r="X980" s="9">
        <v>1271320</v>
      </c>
      <c r="Y980" s="9">
        <v>68707395</v>
      </c>
      <c r="Z980" s="9" t="s">
        <v>39</v>
      </c>
      <c r="AA980" s="9">
        <v>26012025</v>
      </c>
      <c r="AB980" s="9">
        <v>77442</v>
      </c>
      <c r="AC980" s="9" t="s">
        <v>41</v>
      </c>
      <c r="AD980" s="9" t="s">
        <v>132</v>
      </c>
      <c r="AE980" s="9" t="s">
        <v>133</v>
      </c>
      <c r="AF980" s="9" t="s">
        <v>133</v>
      </c>
      <c r="AG980" s="14" t="str">
        <f t="shared" si="32"/>
        <v>EXAMENES DE LABORATORIO</v>
      </c>
      <c r="AH980" s="9" t="s">
        <v>758</v>
      </c>
      <c r="AI980" s="9">
        <v>0</v>
      </c>
      <c r="AJ980" s="9">
        <v>78802190</v>
      </c>
      <c r="AK980" s="9">
        <v>9</v>
      </c>
      <c r="AL980" s="26" t="s">
        <v>62</v>
      </c>
      <c r="AM980" s="14" t="s">
        <v>681</v>
      </c>
      <c r="AN980" s="27" t="str">
        <f t="shared" si="33"/>
        <v>13245307|78802190|917339066|917339066</v>
      </c>
      <c r="AO980" t="s">
        <v>758</v>
      </c>
      <c r="AP980" t="b">
        <v>1</v>
      </c>
      <c r="AQ980" t="s">
        <v>764</v>
      </c>
    </row>
    <row r="981" spans="1:43" x14ac:dyDescent="0.2">
      <c r="A981" s="14" t="s">
        <v>500</v>
      </c>
      <c r="B981" s="17">
        <v>13245307</v>
      </c>
      <c r="C981" s="14" t="s">
        <v>390</v>
      </c>
      <c r="D981" s="9">
        <v>23006183</v>
      </c>
      <c r="E981" s="9" t="s">
        <v>391</v>
      </c>
      <c r="F981" s="7">
        <v>45717</v>
      </c>
      <c r="G981" s="20" t="s">
        <v>46</v>
      </c>
      <c r="H981" s="8">
        <v>917339066</v>
      </c>
      <c r="I981" s="19">
        <v>65384095</v>
      </c>
      <c r="J981" s="10">
        <v>8065</v>
      </c>
      <c r="K981" s="10">
        <v>0</v>
      </c>
      <c r="L981" s="10">
        <v>8065</v>
      </c>
      <c r="M981" s="10">
        <v>0</v>
      </c>
      <c r="N981" s="11">
        <v>8065</v>
      </c>
      <c r="O981" s="12">
        <v>917339066</v>
      </c>
      <c r="P981" s="9">
        <v>285123</v>
      </c>
      <c r="Q981" s="9" t="s">
        <v>37</v>
      </c>
      <c r="R981" s="13">
        <v>45717</v>
      </c>
      <c r="S981" s="22">
        <v>45742</v>
      </c>
      <c r="T981" s="13">
        <v>45679</v>
      </c>
      <c r="U981" s="13">
        <v>45679</v>
      </c>
      <c r="V981" s="9" t="s">
        <v>47</v>
      </c>
      <c r="W981" s="9">
        <v>22770411</v>
      </c>
      <c r="X981" s="9">
        <v>3311105</v>
      </c>
      <c r="Y981" s="9">
        <v>69250982</v>
      </c>
      <c r="Z981" s="9" t="s">
        <v>39</v>
      </c>
      <c r="AA981" s="9">
        <v>66209008</v>
      </c>
      <c r="AB981" s="9">
        <v>78070</v>
      </c>
      <c r="AC981" s="9" t="s">
        <v>41</v>
      </c>
      <c r="AD981" s="9" t="s">
        <v>132</v>
      </c>
      <c r="AE981" s="9" t="s">
        <v>133</v>
      </c>
      <c r="AF981" s="9" t="s">
        <v>133</v>
      </c>
      <c r="AG981" s="14" t="str">
        <f t="shared" ref="AG981:AG1044" si="34">+AF981</f>
        <v>EXAMENES DE LABORATORIO</v>
      </c>
      <c r="AH981" s="9">
        <v>0</v>
      </c>
      <c r="AI981" s="9">
        <v>0</v>
      </c>
      <c r="AJ981" s="9">
        <v>78802190</v>
      </c>
      <c r="AK981" s="9">
        <v>9</v>
      </c>
      <c r="AL981" s="26" t="s">
        <v>52</v>
      </c>
      <c r="AM981" s="14" t="s">
        <v>681</v>
      </c>
      <c r="AN981" s="27" t="str">
        <f t="shared" si="33"/>
        <v>13245307|78802190|917339066|65384095</v>
      </c>
      <c r="AO981" t="s">
        <v>44</v>
      </c>
      <c r="AP981" t="b">
        <v>0</v>
      </c>
      <c r="AQ981" t="s">
        <v>763</v>
      </c>
    </row>
    <row r="982" spans="1:43" x14ac:dyDescent="0.2">
      <c r="A982" s="14" t="s">
        <v>500</v>
      </c>
      <c r="B982" s="17">
        <v>12026051</v>
      </c>
      <c r="C982" s="14" t="s">
        <v>392</v>
      </c>
      <c r="D982" s="9">
        <v>12026051</v>
      </c>
      <c r="E982" s="9" t="s">
        <v>392</v>
      </c>
      <c r="F982" s="7">
        <v>45658</v>
      </c>
      <c r="G982" s="20" t="s">
        <v>36</v>
      </c>
      <c r="H982" s="8">
        <v>917362947</v>
      </c>
      <c r="I982" s="19">
        <v>917362947</v>
      </c>
      <c r="J982" s="10">
        <v>26660</v>
      </c>
      <c r="K982" s="10">
        <v>8340</v>
      </c>
      <c r="L982" s="10">
        <v>18320</v>
      </c>
      <c r="M982" s="10">
        <v>0</v>
      </c>
      <c r="N982" s="11">
        <v>18320</v>
      </c>
      <c r="O982" s="12">
        <v>917362947</v>
      </c>
      <c r="P982" s="9">
        <v>285123</v>
      </c>
      <c r="Q982" s="9" t="s">
        <v>37</v>
      </c>
      <c r="R982" s="13">
        <v>45679</v>
      </c>
      <c r="S982" s="22">
        <v>45679</v>
      </c>
      <c r="T982" s="13">
        <v>45679</v>
      </c>
      <c r="U982" s="13">
        <v>45679</v>
      </c>
      <c r="V982" s="9" t="s">
        <v>47</v>
      </c>
      <c r="W982" s="9">
        <v>22524694</v>
      </c>
      <c r="X982" s="9">
        <v>1271320</v>
      </c>
      <c r="Y982" s="9">
        <v>68707526</v>
      </c>
      <c r="Z982" s="9" t="s">
        <v>39</v>
      </c>
      <c r="AA982" s="9">
        <v>26012025</v>
      </c>
      <c r="AB982" s="9">
        <v>77442</v>
      </c>
      <c r="AC982" s="9" t="s">
        <v>41</v>
      </c>
      <c r="AD982" s="9" t="s">
        <v>132</v>
      </c>
      <c r="AE982" s="9" t="s">
        <v>133</v>
      </c>
      <c r="AF982" s="9" t="s">
        <v>133</v>
      </c>
      <c r="AG982" s="14" t="str">
        <f t="shared" si="34"/>
        <v>EXAMENES DE LABORATORIO</v>
      </c>
      <c r="AH982" s="9" t="s">
        <v>758</v>
      </c>
      <c r="AI982" s="9">
        <v>0</v>
      </c>
      <c r="AJ982" s="9">
        <v>96617350</v>
      </c>
      <c r="AK982" s="9">
        <v>5</v>
      </c>
      <c r="AL982" s="26" t="s">
        <v>62</v>
      </c>
      <c r="AM982" s="14" t="s">
        <v>682</v>
      </c>
      <c r="AN982" s="27" t="str">
        <f t="shared" si="33"/>
        <v>12026051|96617350|917362947|917362947</v>
      </c>
      <c r="AO982" t="s">
        <v>758</v>
      </c>
      <c r="AP982" t="b">
        <v>1</v>
      </c>
      <c r="AQ982" t="s">
        <v>764</v>
      </c>
    </row>
    <row r="983" spans="1:43" x14ac:dyDescent="0.2">
      <c r="A983" s="14" t="s">
        <v>500</v>
      </c>
      <c r="B983" s="17">
        <v>12026051</v>
      </c>
      <c r="C983" s="14" t="s">
        <v>392</v>
      </c>
      <c r="D983" s="9">
        <v>12026051</v>
      </c>
      <c r="E983" s="9" t="s">
        <v>392</v>
      </c>
      <c r="F983" s="7">
        <v>45717</v>
      </c>
      <c r="G983" s="20" t="s">
        <v>46</v>
      </c>
      <c r="H983" s="8">
        <v>917362947</v>
      </c>
      <c r="I983" s="19">
        <v>65383984</v>
      </c>
      <c r="J983" s="10">
        <v>15361</v>
      </c>
      <c r="K983" s="10">
        <v>0</v>
      </c>
      <c r="L983" s="10">
        <v>15361</v>
      </c>
      <c r="M983" s="10">
        <v>0</v>
      </c>
      <c r="N983" s="11">
        <v>15361</v>
      </c>
      <c r="O983" s="12">
        <v>917362947</v>
      </c>
      <c r="P983" s="9">
        <v>285123</v>
      </c>
      <c r="Q983" s="9" t="s">
        <v>37</v>
      </c>
      <c r="R983" s="13">
        <v>45717</v>
      </c>
      <c r="S983" s="22">
        <v>45742</v>
      </c>
      <c r="T983" s="13">
        <v>45679</v>
      </c>
      <c r="U983" s="13">
        <v>45679</v>
      </c>
      <c r="V983" s="9" t="s">
        <v>47</v>
      </c>
      <c r="W983" s="9">
        <v>22770408</v>
      </c>
      <c r="X983" s="9">
        <v>3311105</v>
      </c>
      <c r="Y983" s="9">
        <v>69250872</v>
      </c>
      <c r="Z983" s="9" t="s">
        <v>39</v>
      </c>
      <c r="AA983" s="9">
        <v>93009178</v>
      </c>
      <c r="AB983" s="9">
        <v>78070</v>
      </c>
      <c r="AC983" s="9" t="s">
        <v>41</v>
      </c>
      <c r="AD983" s="9" t="s">
        <v>132</v>
      </c>
      <c r="AE983" s="9" t="s">
        <v>133</v>
      </c>
      <c r="AF983" s="9" t="s">
        <v>133</v>
      </c>
      <c r="AG983" s="14" t="str">
        <f t="shared" si="34"/>
        <v>EXAMENES DE LABORATORIO</v>
      </c>
      <c r="AH983" s="9">
        <v>0</v>
      </c>
      <c r="AI983" s="9">
        <v>0</v>
      </c>
      <c r="AJ983" s="9">
        <v>96617350</v>
      </c>
      <c r="AK983" s="9">
        <v>5</v>
      </c>
      <c r="AL983" s="26" t="s">
        <v>52</v>
      </c>
      <c r="AM983" s="14" t="s">
        <v>682</v>
      </c>
      <c r="AN983" s="27" t="str">
        <f t="shared" si="33"/>
        <v>12026051|96617350|917362947|65383984</v>
      </c>
      <c r="AO983" t="s">
        <v>44</v>
      </c>
      <c r="AP983" t="b">
        <v>0</v>
      </c>
      <c r="AQ983" t="s">
        <v>763</v>
      </c>
    </row>
    <row r="984" spans="1:43" x14ac:dyDescent="0.2">
      <c r="A984" s="14" t="s">
        <v>500</v>
      </c>
      <c r="B984" s="17">
        <v>12026051</v>
      </c>
      <c r="C984" s="14" t="s">
        <v>392</v>
      </c>
      <c r="D984" s="9">
        <v>12026051</v>
      </c>
      <c r="E984" s="9" t="s">
        <v>392</v>
      </c>
      <c r="F984" s="7">
        <v>45658</v>
      </c>
      <c r="G984" s="20" t="s">
        <v>36</v>
      </c>
      <c r="H984" s="8">
        <v>917362948</v>
      </c>
      <c r="I984" s="19">
        <v>917362948</v>
      </c>
      <c r="J984" s="10">
        <v>37810</v>
      </c>
      <c r="K984" s="10">
        <v>11820</v>
      </c>
      <c r="L984" s="10">
        <v>25990</v>
      </c>
      <c r="M984" s="10">
        <v>0</v>
      </c>
      <c r="N984" s="11">
        <v>25990</v>
      </c>
      <c r="O984" s="12">
        <v>917362948</v>
      </c>
      <c r="P984" s="9">
        <v>285123</v>
      </c>
      <c r="Q984" s="9" t="s">
        <v>37</v>
      </c>
      <c r="R984" s="13">
        <v>45679</v>
      </c>
      <c r="S984" s="22">
        <v>45679</v>
      </c>
      <c r="T984" s="13">
        <v>45679</v>
      </c>
      <c r="U984" s="13">
        <v>45679</v>
      </c>
      <c r="V984" s="9" t="s">
        <v>47</v>
      </c>
      <c r="W984" s="9">
        <v>22524694</v>
      </c>
      <c r="X984" s="9">
        <v>1271320</v>
      </c>
      <c r="Y984" s="9">
        <v>68707525</v>
      </c>
      <c r="Z984" s="9" t="s">
        <v>39</v>
      </c>
      <c r="AA984" s="9">
        <v>26012025</v>
      </c>
      <c r="AB984" s="9">
        <v>77442</v>
      </c>
      <c r="AC984" s="9" t="s">
        <v>41</v>
      </c>
      <c r="AD984" s="9" t="s">
        <v>132</v>
      </c>
      <c r="AE984" s="9" t="s">
        <v>133</v>
      </c>
      <c r="AF984" s="9" t="s">
        <v>133</v>
      </c>
      <c r="AG984" s="14" t="str">
        <f t="shared" si="34"/>
        <v>EXAMENES DE LABORATORIO</v>
      </c>
      <c r="AH984" s="9" t="s">
        <v>758</v>
      </c>
      <c r="AI984" s="9">
        <v>0</v>
      </c>
      <c r="AJ984" s="9">
        <v>96617350</v>
      </c>
      <c r="AK984" s="9">
        <v>5</v>
      </c>
      <c r="AL984" s="26" t="s">
        <v>62</v>
      </c>
      <c r="AM984" s="14" t="s">
        <v>682</v>
      </c>
      <c r="AN984" s="27" t="str">
        <f t="shared" si="33"/>
        <v>12026051|96617350|917362948|917362948</v>
      </c>
      <c r="AO984" t="s">
        <v>758</v>
      </c>
      <c r="AP984" t="b">
        <v>1</v>
      </c>
      <c r="AQ984" t="s">
        <v>764</v>
      </c>
    </row>
    <row r="985" spans="1:43" x14ac:dyDescent="0.2">
      <c r="A985" s="14" t="s">
        <v>500</v>
      </c>
      <c r="B985" s="17">
        <v>12026051</v>
      </c>
      <c r="C985" s="14" t="s">
        <v>392</v>
      </c>
      <c r="D985" s="9">
        <v>12026051</v>
      </c>
      <c r="E985" s="9" t="s">
        <v>392</v>
      </c>
      <c r="F985" s="7">
        <v>45717</v>
      </c>
      <c r="G985" s="20" t="s">
        <v>46</v>
      </c>
      <c r="H985" s="8">
        <v>917362948</v>
      </c>
      <c r="I985" s="19">
        <v>65383985</v>
      </c>
      <c r="J985" s="10">
        <v>22657</v>
      </c>
      <c r="K985" s="10">
        <v>0</v>
      </c>
      <c r="L985" s="10">
        <v>22657</v>
      </c>
      <c r="M985" s="10">
        <v>0</v>
      </c>
      <c r="N985" s="11">
        <v>22657</v>
      </c>
      <c r="O985" s="12">
        <v>917362948</v>
      </c>
      <c r="P985" s="9">
        <v>285123</v>
      </c>
      <c r="Q985" s="9" t="s">
        <v>37</v>
      </c>
      <c r="R985" s="13">
        <v>45717</v>
      </c>
      <c r="S985" s="22">
        <v>45742</v>
      </c>
      <c r="T985" s="13">
        <v>45679</v>
      </c>
      <c r="U985" s="13">
        <v>45679</v>
      </c>
      <c r="V985" s="9" t="s">
        <v>47</v>
      </c>
      <c r="W985" s="9">
        <v>22770408</v>
      </c>
      <c r="X985" s="9">
        <v>3311105</v>
      </c>
      <c r="Y985" s="9">
        <v>69250873</v>
      </c>
      <c r="Z985" s="9" t="s">
        <v>39</v>
      </c>
      <c r="AA985" s="9">
        <v>93009178</v>
      </c>
      <c r="AB985" s="9">
        <v>78070</v>
      </c>
      <c r="AC985" s="9" t="s">
        <v>41</v>
      </c>
      <c r="AD985" s="9" t="s">
        <v>132</v>
      </c>
      <c r="AE985" s="9" t="s">
        <v>133</v>
      </c>
      <c r="AF985" s="9" t="s">
        <v>133</v>
      </c>
      <c r="AG985" s="14" t="str">
        <f t="shared" si="34"/>
        <v>EXAMENES DE LABORATORIO</v>
      </c>
      <c r="AH985" s="9">
        <v>0</v>
      </c>
      <c r="AI985" s="9">
        <v>0</v>
      </c>
      <c r="AJ985" s="9">
        <v>96617350</v>
      </c>
      <c r="AK985" s="9">
        <v>5</v>
      </c>
      <c r="AL985" s="26" t="s">
        <v>52</v>
      </c>
      <c r="AM985" s="14" t="s">
        <v>682</v>
      </c>
      <c r="AN985" s="27" t="str">
        <f t="shared" si="33"/>
        <v>12026051|96617350|917362948|65383985</v>
      </c>
      <c r="AO985" t="s">
        <v>44</v>
      </c>
      <c r="AP985" t="b">
        <v>0</v>
      </c>
      <c r="AQ985" t="s">
        <v>763</v>
      </c>
    </row>
    <row r="986" spans="1:43" x14ac:dyDescent="0.2">
      <c r="A986" s="14" t="s">
        <v>500</v>
      </c>
      <c r="B986" s="17">
        <v>12026051</v>
      </c>
      <c r="C986" s="14" t="s">
        <v>392</v>
      </c>
      <c r="D986" s="9">
        <v>12026051</v>
      </c>
      <c r="E986" s="9" t="s">
        <v>392</v>
      </c>
      <c r="F986" s="7">
        <v>45658</v>
      </c>
      <c r="G986" s="20" t="s">
        <v>36</v>
      </c>
      <c r="H986" s="8">
        <v>917362949</v>
      </c>
      <c r="I986" s="19">
        <v>917362949</v>
      </c>
      <c r="J986" s="10">
        <v>44480</v>
      </c>
      <c r="K986" s="10">
        <v>13920</v>
      </c>
      <c r="L986" s="10">
        <v>30560</v>
      </c>
      <c r="M986" s="10">
        <v>0</v>
      </c>
      <c r="N986" s="11">
        <v>30560</v>
      </c>
      <c r="O986" s="12">
        <v>917362949</v>
      </c>
      <c r="P986" s="9">
        <v>285123</v>
      </c>
      <c r="Q986" s="9" t="s">
        <v>37</v>
      </c>
      <c r="R986" s="13">
        <v>45679</v>
      </c>
      <c r="S986" s="22">
        <v>45679</v>
      </c>
      <c r="T986" s="13">
        <v>45679</v>
      </c>
      <c r="U986" s="13">
        <v>45679</v>
      </c>
      <c r="V986" s="9" t="s">
        <v>47</v>
      </c>
      <c r="W986" s="9">
        <v>22524694</v>
      </c>
      <c r="X986" s="9">
        <v>1271320</v>
      </c>
      <c r="Y986" s="9">
        <v>68707524</v>
      </c>
      <c r="Z986" s="9" t="s">
        <v>39</v>
      </c>
      <c r="AA986" s="9">
        <v>26012025</v>
      </c>
      <c r="AB986" s="9">
        <v>77442</v>
      </c>
      <c r="AC986" s="9" t="s">
        <v>41</v>
      </c>
      <c r="AD986" s="9" t="s">
        <v>132</v>
      </c>
      <c r="AE986" s="9" t="s">
        <v>133</v>
      </c>
      <c r="AF986" s="9" t="s">
        <v>133</v>
      </c>
      <c r="AG986" s="14" t="str">
        <f t="shared" si="34"/>
        <v>EXAMENES DE LABORATORIO</v>
      </c>
      <c r="AH986" s="9" t="s">
        <v>758</v>
      </c>
      <c r="AI986" s="9">
        <v>0</v>
      </c>
      <c r="AJ986" s="9">
        <v>96617350</v>
      </c>
      <c r="AK986" s="9">
        <v>5</v>
      </c>
      <c r="AL986" s="26" t="s">
        <v>62</v>
      </c>
      <c r="AM986" s="14" t="s">
        <v>682</v>
      </c>
      <c r="AN986" s="27" t="str">
        <f t="shared" si="33"/>
        <v>12026051|96617350|917362949|917362949</v>
      </c>
      <c r="AO986" t="s">
        <v>758</v>
      </c>
      <c r="AP986" t="b">
        <v>1</v>
      </c>
      <c r="AQ986" t="s">
        <v>764</v>
      </c>
    </row>
    <row r="987" spans="1:43" x14ac:dyDescent="0.2">
      <c r="A987" s="14" t="s">
        <v>500</v>
      </c>
      <c r="B987" s="17">
        <v>12026051</v>
      </c>
      <c r="C987" s="14" t="s">
        <v>392</v>
      </c>
      <c r="D987" s="9">
        <v>12026051</v>
      </c>
      <c r="E987" s="9" t="s">
        <v>392</v>
      </c>
      <c r="F987" s="7">
        <v>45717</v>
      </c>
      <c r="G987" s="20" t="s">
        <v>46</v>
      </c>
      <c r="H987" s="8">
        <v>917362949</v>
      </c>
      <c r="I987" s="19">
        <v>65383986</v>
      </c>
      <c r="J987" s="10">
        <v>26883</v>
      </c>
      <c r="K987" s="10">
        <v>0</v>
      </c>
      <c r="L987" s="10">
        <v>26883</v>
      </c>
      <c r="M987" s="10">
        <v>0</v>
      </c>
      <c r="N987" s="11">
        <v>26883</v>
      </c>
      <c r="O987" s="12">
        <v>917362949</v>
      </c>
      <c r="P987" s="9">
        <v>285123</v>
      </c>
      <c r="Q987" s="9" t="s">
        <v>37</v>
      </c>
      <c r="R987" s="13">
        <v>45717</v>
      </c>
      <c r="S987" s="22">
        <v>45742</v>
      </c>
      <c r="T987" s="13">
        <v>45679</v>
      </c>
      <c r="U987" s="13">
        <v>45679</v>
      </c>
      <c r="V987" s="9" t="s">
        <v>47</v>
      </c>
      <c r="W987" s="9">
        <v>22770408</v>
      </c>
      <c r="X987" s="9">
        <v>3311105</v>
      </c>
      <c r="Y987" s="9">
        <v>69250874</v>
      </c>
      <c r="Z987" s="9" t="s">
        <v>39</v>
      </c>
      <c r="AA987" s="9">
        <v>93009178</v>
      </c>
      <c r="AB987" s="9">
        <v>78070</v>
      </c>
      <c r="AC987" s="9" t="s">
        <v>41</v>
      </c>
      <c r="AD987" s="9" t="s">
        <v>132</v>
      </c>
      <c r="AE987" s="9" t="s">
        <v>133</v>
      </c>
      <c r="AF987" s="9" t="s">
        <v>133</v>
      </c>
      <c r="AG987" s="14" t="str">
        <f t="shared" si="34"/>
        <v>EXAMENES DE LABORATORIO</v>
      </c>
      <c r="AH987" s="9">
        <v>0</v>
      </c>
      <c r="AI987" s="9">
        <v>0</v>
      </c>
      <c r="AJ987" s="9">
        <v>96617350</v>
      </c>
      <c r="AK987" s="9">
        <v>5</v>
      </c>
      <c r="AL987" s="26" t="s">
        <v>52</v>
      </c>
      <c r="AM987" s="14" t="s">
        <v>682</v>
      </c>
      <c r="AN987" s="27" t="str">
        <f t="shared" si="33"/>
        <v>12026051|96617350|917362949|65383986</v>
      </c>
      <c r="AO987" t="s">
        <v>44</v>
      </c>
      <c r="AP987" t="b">
        <v>0</v>
      </c>
      <c r="AQ987" t="s">
        <v>763</v>
      </c>
    </row>
    <row r="988" spans="1:43" x14ac:dyDescent="0.2">
      <c r="A988" s="14" t="s">
        <v>500</v>
      </c>
      <c r="B988" s="17">
        <v>9004627</v>
      </c>
      <c r="C988" s="14" t="s">
        <v>393</v>
      </c>
      <c r="D988" s="9">
        <v>9004627</v>
      </c>
      <c r="E988" s="9" t="s">
        <v>393</v>
      </c>
      <c r="F988" s="7">
        <v>45658</v>
      </c>
      <c r="G988" s="20" t="s">
        <v>36</v>
      </c>
      <c r="H988" s="8">
        <v>917405017</v>
      </c>
      <c r="I988" s="19">
        <v>917405017</v>
      </c>
      <c r="J988" s="10">
        <v>28990</v>
      </c>
      <c r="K988" s="10">
        <v>9060</v>
      </c>
      <c r="L988" s="10">
        <v>19930</v>
      </c>
      <c r="M988" s="10">
        <v>0</v>
      </c>
      <c r="N988" s="11">
        <v>19930</v>
      </c>
      <c r="O988" s="12">
        <v>917405017</v>
      </c>
      <c r="P988" s="9">
        <v>285123</v>
      </c>
      <c r="Q988" s="9" t="s">
        <v>37</v>
      </c>
      <c r="R988" s="13">
        <v>45679</v>
      </c>
      <c r="S988" s="22">
        <v>45679</v>
      </c>
      <c r="T988" s="13">
        <v>45679</v>
      </c>
      <c r="U988" s="13">
        <v>45679</v>
      </c>
      <c r="V988" s="9" t="s">
        <v>47</v>
      </c>
      <c r="W988" s="9">
        <v>22524685</v>
      </c>
      <c r="X988" s="9">
        <v>1271320</v>
      </c>
      <c r="Y988" s="9">
        <v>68707696</v>
      </c>
      <c r="Z988" s="9" t="s">
        <v>39</v>
      </c>
      <c r="AA988" s="9">
        <v>26012025</v>
      </c>
      <c r="AB988" s="9">
        <v>77442</v>
      </c>
      <c r="AC988" s="9" t="s">
        <v>41</v>
      </c>
      <c r="AD988" s="9" t="s">
        <v>134</v>
      </c>
      <c r="AE988" s="9" t="s">
        <v>135</v>
      </c>
      <c r="AF988" s="9" t="s">
        <v>135</v>
      </c>
      <c r="AG988" s="14" t="str">
        <f t="shared" si="34"/>
        <v>EXAMENES RADIOLOGICOS</v>
      </c>
      <c r="AH988" s="9" t="s">
        <v>758</v>
      </c>
      <c r="AI988" s="9">
        <v>0</v>
      </c>
      <c r="AJ988" s="9">
        <v>96942400</v>
      </c>
      <c r="AK988" s="9">
        <v>2</v>
      </c>
      <c r="AL988" s="26" t="s">
        <v>62</v>
      </c>
      <c r="AM988" s="14" t="s">
        <v>683</v>
      </c>
      <c r="AN988" s="27" t="str">
        <f t="shared" si="33"/>
        <v>9004627|96942400|917405017|917405017</v>
      </c>
      <c r="AO988" t="s">
        <v>758</v>
      </c>
      <c r="AP988" t="b">
        <v>1</v>
      </c>
      <c r="AQ988" t="s">
        <v>764</v>
      </c>
    </row>
    <row r="989" spans="1:43" x14ac:dyDescent="0.2">
      <c r="A989" s="14" t="s">
        <v>500</v>
      </c>
      <c r="B989" s="17">
        <v>9004627</v>
      </c>
      <c r="C989" s="14" t="s">
        <v>393</v>
      </c>
      <c r="D989" s="9">
        <v>9004627</v>
      </c>
      <c r="E989" s="9" t="s">
        <v>393</v>
      </c>
      <c r="F989" s="7">
        <v>45717</v>
      </c>
      <c r="G989" s="20" t="s">
        <v>46</v>
      </c>
      <c r="H989" s="8">
        <v>917405017</v>
      </c>
      <c r="I989" s="19">
        <v>65383698</v>
      </c>
      <c r="J989" s="10">
        <v>17283</v>
      </c>
      <c r="K989" s="10">
        <v>0</v>
      </c>
      <c r="L989" s="10">
        <v>17283</v>
      </c>
      <c r="M989" s="10">
        <v>0</v>
      </c>
      <c r="N989" s="11">
        <v>17283</v>
      </c>
      <c r="O989" s="12">
        <v>917405017</v>
      </c>
      <c r="P989" s="9">
        <v>285123</v>
      </c>
      <c r="Q989" s="9" t="s">
        <v>37</v>
      </c>
      <c r="R989" s="13">
        <v>45717</v>
      </c>
      <c r="S989" s="22">
        <v>45742</v>
      </c>
      <c r="T989" s="13">
        <v>45679</v>
      </c>
      <c r="U989" s="13">
        <v>45679</v>
      </c>
      <c r="V989" s="9" t="s">
        <v>47</v>
      </c>
      <c r="W989" s="9">
        <v>22770403</v>
      </c>
      <c r="X989" s="9">
        <v>3311105</v>
      </c>
      <c r="Y989" s="9">
        <v>69250589</v>
      </c>
      <c r="Z989" s="9" t="s">
        <v>39</v>
      </c>
      <c r="AA989" s="9">
        <v>14076980</v>
      </c>
      <c r="AB989" s="9">
        <v>78070</v>
      </c>
      <c r="AC989" s="9" t="s">
        <v>41</v>
      </c>
      <c r="AD989" s="9" t="s">
        <v>134</v>
      </c>
      <c r="AE989" s="9" t="s">
        <v>135</v>
      </c>
      <c r="AF989" s="9" t="s">
        <v>135</v>
      </c>
      <c r="AG989" s="14" t="str">
        <f t="shared" si="34"/>
        <v>EXAMENES RADIOLOGICOS</v>
      </c>
      <c r="AH989" s="9">
        <v>0</v>
      </c>
      <c r="AI989" s="9">
        <v>0</v>
      </c>
      <c r="AJ989" s="9">
        <v>96942400</v>
      </c>
      <c r="AK989" s="9">
        <v>2</v>
      </c>
      <c r="AL989" s="26" t="s">
        <v>52</v>
      </c>
      <c r="AM989" s="14" t="s">
        <v>683</v>
      </c>
      <c r="AN989" s="27" t="str">
        <f t="shared" si="33"/>
        <v>9004627|96942400|917405017|65383698</v>
      </c>
      <c r="AO989" t="s">
        <v>44</v>
      </c>
      <c r="AP989" t="b">
        <v>0</v>
      </c>
      <c r="AQ989" t="s">
        <v>763</v>
      </c>
    </row>
    <row r="990" spans="1:43" x14ac:dyDescent="0.2">
      <c r="A990" s="14" t="s">
        <v>500</v>
      </c>
      <c r="B990" s="17">
        <v>11635877</v>
      </c>
      <c r="C990" s="14" t="s">
        <v>394</v>
      </c>
      <c r="D990" s="9">
        <v>11635877</v>
      </c>
      <c r="E990" s="9" t="s">
        <v>394</v>
      </c>
      <c r="F990" s="7">
        <v>45658</v>
      </c>
      <c r="G990" s="20" t="s">
        <v>36</v>
      </c>
      <c r="H990" s="8">
        <v>917444124</v>
      </c>
      <c r="I990" s="19">
        <v>917444124</v>
      </c>
      <c r="J990" s="10">
        <v>11500</v>
      </c>
      <c r="K990" s="10">
        <v>3600</v>
      </c>
      <c r="L990" s="10">
        <v>7900</v>
      </c>
      <c r="M990" s="10">
        <v>0</v>
      </c>
      <c r="N990" s="11">
        <v>7900</v>
      </c>
      <c r="O990" s="12">
        <v>917444124</v>
      </c>
      <c r="P990" s="9">
        <v>285123</v>
      </c>
      <c r="Q990" s="9" t="s">
        <v>37</v>
      </c>
      <c r="R990" s="13">
        <v>45679</v>
      </c>
      <c r="S990" s="22">
        <v>45679</v>
      </c>
      <c r="T990" s="13">
        <v>45679</v>
      </c>
      <c r="U990" s="13">
        <v>45679</v>
      </c>
      <c r="V990" s="9" t="s">
        <v>47</v>
      </c>
      <c r="W990" s="9">
        <v>22524691</v>
      </c>
      <c r="X990" s="9">
        <v>1271320</v>
      </c>
      <c r="Y990" s="9">
        <v>68707902</v>
      </c>
      <c r="Z990" s="9" t="s">
        <v>39</v>
      </c>
      <c r="AA990" s="9">
        <v>26012025</v>
      </c>
      <c r="AB990" s="9">
        <v>77442</v>
      </c>
      <c r="AC990" s="9" t="s">
        <v>41</v>
      </c>
      <c r="AD990" s="9" t="s">
        <v>65</v>
      </c>
      <c r="AE990" s="9" t="s">
        <v>66</v>
      </c>
      <c r="AF990" s="9" t="s">
        <v>66</v>
      </c>
      <c r="AG990" s="14" t="str">
        <f t="shared" si="34"/>
        <v>PROCEDIMIENTOS TERAPEUTICOS</v>
      </c>
      <c r="AH990" s="9" t="s">
        <v>758</v>
      </c>
      <c r="AI990" s="9">
        <v>0</v>
      </c>
      <c r="AJ990" s="9">
        <v>96942400</v>
      </c>
      <c r="AK990" s="9">
        <v>2</v>
      </c>
      <c r="AL990" s="26" t="s">
        <v>62</v>
      </c>
      <c r="AM990" s="14" t="s">
        <v>684</v>
      </c>
      <c r="AN990" s="27" t="str">
        <f t="shared" si="33"/>
        <v>11635877|96942400|917444124|917444124</v>
      </c>
      <c r="AO990" t="s">
        <v>758</v>
      </c>
      <c r="AP990" t="b">
        <v>1</v>
      </c>
      <c r="AQ990" t="s">
        <v>764</v>
      </c>
    </row>
    <row r="991" spans="1:43" x14ac:dyDescent="0.2">
      <c r="A991" s="14" t="s">
        <v>500</v>
      </c>
      <c r="B991" s="17">
        <v>11635877</v>
      </c>
      <c r="C991" s="14" t="s">
        <v>394</v>
      </c>
      <c r="D991" s="9">
        <v>11635877</v>
      </c>
      <c r="E991" s="9" t="s">
        <v>394</v>
      </c>
      <c r="F991" s="7">
        <v>45717</v>
      </c>
      <c r="G991" s="20" t="s">
        <v>46</v>
      </c>
      <c r="H991" s="8">
        <v>917444124</v>
      </c>
      <c r="I991" s="19">
        <v>65383947</v>
      </c>
      <c r="J991" s="10">
        <v>6913</v>
      </c>
      <c r="K991" s="10">
        <v>0</v>
      </c>
      <c r="L991" s="10">
        <v>6913</v>
      </c>
      <c r="M991" s="10">
        <v>0</v>
      </c>
      <c r="N991" s="11">
        <v>6913</v>
      </c>
      <c r="O991" s="12">
        <v>917444124</v>
      </c>
      <c r="P991" s="9">
        <v>285123</v>
      </c>
      <c r="Q991" s="9" t="s">
        <v>37</v>
      </c>
      <c r="R991" s="13">
        <v>45717</v>
      </c>
      <c r="S991" s="22">
        <v>45742</v>
      </c>
      <c r="T991" s="13">
        <v>45679</v>
      </c>
      <c r="U991" s="13">
        <v>45679</v>
      </c>
      <c r="V991" s="9" t="s">
        <v>47</v>
      </c>
      <c r="W991" s="9">
        <v>22770405</v>
      </c>
      <c r="X991" s="9">
        <v>3311105</v>
      </c>
      <c r="Y991" s="9">
        <v>69250835</v>
      </c>
      <c r="Z991" s="9" t="s">
        <v>39</v>
      </c>
      <c r="AA991" s="9">
        <v>88189299</v>
      </c>
      <c r="AB991" s="9">
        <v>78070</v>
      </c>
      <c r="AC991" s="9" t="s">
        <v>41</v>
      </c>
      <c r="AD991" s="9" t="s">
        <v>65</v>
      </c>
      <c r="AE991" s="9" t="s">
        <v>66</v>
      </c>
      <c r="AF991" s="9" t="s">
        <v>66</v>
      </c>
      <c r="AG991" s="14" t="str">
        <f t="shared" si="34"/>
        <v>PROCEDIMIENTOS TERAPEUTICOS</v>
      </c>
      <c r="AH991" s="9">
        <v>0</v>
      </c>
      <c r="AI991" s="9">
        <v>0</v>
      </c>
      <c r="AJ991" s="9">
        <v>96942400</v>
      </c>
      <c r="AK991" s="9">
        <v>2</v>
      </c>
      <c r="AL991" s="26" t="s">
        <v>52</v>
      </c>
      <c r="AM991" s="14" t="s">
        <v>684</v>
      </c>
      <c r="AN991" s="27" t="str">
        <f t="shared" si="33"/>
        <v>11635877|96942400|917444124|65383947</v>
      </c>
      <c r="AO991" t="s">
        <v>44</v>
      </c>
      <c r="AP991" t="b">
        <v>0</v>
      </c>
      <c r="AQ991" t="s">
        <v>763</v>
      </c>
    </row>
    <row r="992" spans="1:43" x14ac:dyDescent="0.2">
      <c r="A992" s="14" t="s">
        <v>500</v>
      </c>
      <c r="B992" s="17">
        <v>8586053</v>
      </c>
      <c r="C992" s="14" t="s">
        <v>395</v>
      </c>
      <c r="D992" s="9">
        <v>8586053</v>
      </c>
      <c r="E992" s="9" t="s">
        <v>395</v>
      </c>
      <c r="F992" s="7">
        <v>45658</v>
      </c>
      <c r="G992" s="20" t="s">
        <v>36</v>
      </c>
      <c r="H992" s="8">
        <v>917614541</v>
      </c>
      <c r="I992" s="19">
        <v>917614541</v>
      </c>
      <c r="J992" s="10">
        <v>28990</v>
      </c>
      <c r="K992" s="10">
        <v>9060</v>
      </c>
      <c r="L992" s="10">
        <v>19930</v>
      </c>
      <c r="M992" s="10">
        <v>0</v>
      </c>
      <c r="N992" s="11">
        <v>19930</v>
      </c>
      <c r="O992" s="12">
        <v>917614541</v>
      </c>
      <c r="P992" s="9">
        <v>285123</v>
      </c>
      <c r="Q992" s="9" t="s">
        <v>37</v>
      </c>
      <c r="R992" s="13">
        <v>45681</v>
      </c>
      <c r="S992" s="22">
        <v>45681</v>
      </c>
      <c r="T992" s="13">
        <v>45681</v>
      </c>
      <c r="U992" s="13">
        <v>45681</v>
      </c>
      <c r="V992" s="9" t="s">
        <v>47</v>
      </c>
      <c r="W992" s="9">
        <v>22524781</v>
      </c>
      <c r="X992" s="9">
        <v>1271320</v>
      </c>
      <c r="Y992" s="9">
        <v>68708963</v>
      </c>
      <c r="Z992" s="9" t="s">
        <v>39</v>
      </c>
      <c r="AA992" s="9">
        <v>26012025</v>
      </c>
      <c r="AB992" s="9">
        <v>77442</v>
      </c>
      <c r="AC992" s="9" t="s">
        <v>41</v>
      </c>
      <c r="AD992" s="9" t="s">
        <v>134</v>
      </c>
      <c r="AE992" s="9" t="s">
        <v>135</v>
      </c>
      <c r="AF992" s="9" t="s">
        <v>135</v>
      </c>
      <c r="AG992" s="14" t="str">
        <f t="shared" si="34"/>
        <v>EXAMENES RADIOLOGICOS</v>
      </c>
      <c r="AH992" s="9" t="s">
        <v>758</v>
      </c>
      <c r="AI992" s="9">
        <v>0</v>
      </c>
      <c r="AJ992" s="9">
        <v>96942400</v>
      </c>
      <c r="AK992" s="9">
        <v>2</v>
      </c>
      <c r="AL992" s="26" t="s">
        <v>62</v>
      </c>
      <c r="AM992" s="14" t="s">
        <v>685</v>
      </c>
      <c r="AN992" s="27" t="str">
        <f t="shared" si="33"/>
        <v>8586053|96942400|917614541|917614541</v>
      </c>
      <c r="AO992" t="s">
        <v>758</v>
      </c>
      <c r="AP992" t="b">
        <v>1</v>
      </c>
      <c r="AQ992" t="s">
        <v>764</v>
      </c>
    </row>
    <row r="993" spans="1:43" x14ac:dyDescent="0.2">
      <c r="A993" s="14" t="s">
        <v>500</v>
      </c>
      <c r="B993" s="17">
        <v>8586053</v>
      </c>
      <c r="C993" s="14" t="s">
        <v>395</v>
      </c>
      <c r="D993" s="9">
        <v>8586053</v>
      </c>
      <c r="E993" s="9" t="s">
        <v>395</v>
      </c>
      <c r="F993" s="7">
        <v>45717</v>
      </c>
      <c r="G993" s="20" t="s">
        <v>46</v>
      </c>
      <c r="H993" s="8">
        <v>917614541</v>
      </c>
      <c r="I993" s="19">
        <v>65383684</v>
      </c>
      <c r="J993" s="10">
        <v>17280</v>
      </c>
      <c r="K993" s="10">
        <v>0</v>
      </c>
      <c r="L993" s="10">
        <v>17280</v>
      </c>
      <c r="M993" s="10">
        <v>0</v>
      </c>
      <c r="N993" s="11">
        <v>17280</v>
      </c>
      <c r="O993" s="12">
        <v>917614541</v>
      </c>
      <c r="P993" s="9">
        <v>285123</v>
      </c>
      <c r="Q993" s="9" t="s">
        <v>37</v>
      </c>
      <c r="R993" s="13">
        <v>45717</v>
      </c>
      <c r="S993" s="22">
        <v>45742</v>
      </c>
      <c r="T993" s="13">
        <v>45681</v>
      </c>
      <c r="U993" s="13">
        <v>45681</v>
      </c>
      <c r="V993" s="9" t="s">
        <v>47</v>
      </c>
      <c r="W993" s="9">
        <v>22770425</v>
      </c>
      <c r="X993" s="9">
        <v>3311105</v>
      </c>
      <c r="Y993" s="9">
        <v>69250575</v>
      </c>
      <c r="Z993" s="9" t="s">
        <v>39</v>
      </c>
      <c r="AA993" s="9">
        <v>94056544</v>
      </c>
      <c r="AB993" s="9">
        <v>78070</v>
      </c>
      <c r="AC993" s="9" t="s">
        <v>41</v>
      </c>
      <c r="AD993" s="9" t="s">
        <v>134</v>
      </c>
      <c r="AE993" s="9" t="s">
        <v>135</v>
      </c>
      <c r="AF993" s="9" t="s">
        <v>135</v>
      </c>
      <c r="AG993" s="14" t="str">
        <f t="shared" si="34"/>
        <v>EXAMENES RADIOLOGICOS</v>
      </c>
      <c r="AH993" s="9">
        <v>0</v>
      </c>
      <c r="AI993" s="9">
        <v>0</v>
      </c>
      <c r="AJ993" s="9">
        <v>96942400</v>
      </c>
      <c r="AK993" s="9">
        <v>2</v>
      </c>
      <c r="AL993" s="26" t="s">
        <v>52</v>
      </c>
      <c r="AM993" s="14" t="s">
        <v>685</v>
      </c>
      <c r="AN993" s="27" t="str">
        <f t="shared" si="33"/>
        <v>8586053|96942400|917614541|65383684</v>
      </c>
      <c r="AO993" t="s">
        <v>44</v>
      </c>
      <c r="AP993" t="b">
        <v>0</v>
      </c>
      <c r="AQ993" t="s">
        <v>763</v>
      </c>
    </row>
    <row r="994" spans="1:43" x14ac:dyDescent="0.2">
      <c r="A994" s="14" t="s">
        <v>500</v>
      </c>
      <c r="B994" s="17">
        <v>10438932</v>
      </c>
      <c r="C994" s="14" t="s">
        <v>173</v>
      </c>
      <c r="D994" s="9">
        <v>10438932</v>
      </c>
      <c r="E994" s="9" t="s">
        <v>173</v>
      </c>
      <c r="F994" s="7">
        <v>45658</v>
      </c>
      <c r="G994" s="20" t="s">
        <v>36</v>
      </c>
      <c r="H994" s="8">
        <v>917688749</v>
      </c>
      <c r="I994" s="19">
        <v>917688749</v>
      </c>
      <c r="J994" s="10">
        <v>41600</v>
      </c>
      <c r="K994" s="10">
        <v>21580</v>
      </c>
      <c r="L994" s="10">
        <v>20020</v>
      </c>
      <c r="M994" s="10">
        <v>0</v>
      </c>
      <c r="N994" s="11">
        <v>20020</v>
      </c>
      <c r="O994" s="12">
        <v>917688749</v>
      </c>
      <c r="P994" s="9">
        <v>285123</v>
      </c>
      <c r="Q994" s="9" t="s">
        <v>37</v>
      </c>
      <c r="R994" s="13">
        <v>45681</v>
      </c>
      <c r="S994" s="22">
        <v>45681</v>
      </c>
      <c r="T994" s="13">
        <v>45681</v>
      </c>
      <c r="U994" s="13">
        <v>45681</v>
      </c>
      <c r="V994" s="9" t="s">
        <v>47</v>
      </c>
      <c r="W994" s="9">
        <v>22524785</v>
      </c>
      <c r="X994" s="9">
        <v>1271320</v>
      </c>
      <c r="Y994" s="9">
        <v>68709353</v>
      </c>
      <c r="Z994" s="9" t="s">
        <v>39</v>
      </c>
      <c r="AA994" s="9">
        <v>26012025</v>
      </c>
      <c r="AB994" s="9">
        <v>77442</v>
      </c>
      <c r="AC994" s="9" t="s">
        <v>41</v>
      </c>
      <c r="AD994" s="9" t="s">
        <v>134</v>
      </c>
      <c r="AE994" s="9" t="s">
        <v>135</v>
      </c>
      <c r="AF994" s="9" t="s">
        <v>135</v>
      </c>
      <c r="AG994" s="14" t="str">
        <f t="shared" si="34"/>
        <v>EXAMENES RADIOLOGICOS</v>
      </c>
      <c r="AH994" s="9" t="s">
        <v>758</v>
      </c>
      <c r="AI994" s="9">
        <v>0</v>
      </c>
      <c r="AJ994" s="9">
        <v>76098454</v>
      </c>
      <c r="AK994" s="9" t="s">
        <v>161</v>
      </c>
      <c r="AL994" s="26" t="s">
        <v>62</v>
      </c>
      <c r="AM994" s="14" t="s">
        <v>532</v>
      </c>
      <c r="AN994" s="27" t="str">
        <f t="shared" si="33"/>
        <v>10438932|76098454|917688749|917688749</v>
      </c>
      <c r="AO994" t="s">
        <v>758</v>
      </c>
      <c r="AP994" t="b">
        <v>1</v>
      </c>
      <c r="AQ994" t="s">
        <v>764</v>
      </c>
    </row>
    <row r="995" spans="1:43" x14ac:dyDescent="0.2">
      <c r="A995" s="14" t="s">
        <v>500</v>
      </c>
      <c r="B995" s="17">
        <v>10438932</v>
      </c>
      <c r="C995" s="14" t="s">
        <v>173</v>
      </c>
      <c r="D995" s="9">
        <v>10438932</v>
      </c>
      <c r="E995" s="9" t="s">
        <v>173</v>
      </c>
      <c r="F995" s="7">
        <v>45717</v>
      </c>
      <c r="G995" s="20" t="s">
        <v>46</v>
      </c>
      <c r="H995" s="8">
        <v>917688749</v>
      </c>
      <c r="I995" s="19">
        <v>65383847</v>
      </c>
      <c r="J995" s="10">
        <v>24577</v>
      </c>
      <c r="K995" s="10">
        <v>0</v>
      </c>
      <c r="L995" s="10">
        <v>24577</v>
      </c>
      <c r="M995" s="10">
        <v>0</v>
      </c>
      <c r="N995" s="11">
        <v>24577</v>
      </c>
      <c r="O995" s="12">
        <v>917688749</v>
      </c>
      <c r="P995" s="9">
        <v>285123</v>
      </c>
      <c r="Q995" s="9" t="s">
        <v>37</v>
      </c>
      <c r="R995" s="13">
        <v>45717</v>
      </c>
      <c r="S995" s="22">
        <v>45742</v>
      </c>
      <c r="T995" s="13">
        <v>45681</v>
      </c>
      <c r="U995" s="13">
        <v>45681</v>
      </c>
      <c r="V995" s="9" t="s">
        <v>47</v>
      </c>
      <c r="W995" s="9">
        <v>22770427</v>
      </c>
      <c r="X995" s="9">
        <v>3311105</v>
      </c>
      <c r="Y995" s="9">
        <v>69250736</v>
      </c>
      <c r="Z995" s="9" t="s">
        <v>39</v>
      </c>
      <c r="AA995" s="9">
        <v>19996901851</v>
      </c>
      <c r="AB995" s="9">
        <v>78070</v>
      </c>
      <c r="AC995" s="9" t="s">
        <v>41</v>
      </c>
      <c r="AD995" s="9" t="s">
        <v>134</v>
      </c>
      <c r="AE995" s="9" t="s">
        <v>135</v>
      </c>
      <c r="AF995" s="9" t="s">
        <v>135</v>
      </c>
      <c r="AG995" s="14" t="str">
        <f t="shared" si="34"/>
        <v>EXAMENES RADIOLOGICOS</v>
      </c>
      <c r="AH995" s="9">
        <v>0</v>
      </c>
      <c r="AI995" s="9">
        <v>0</v>
      </c>
      <c r="AJ995" s="9">
        <v>76098454</v>
      </c>
      <c r="AK995" s="9" t="s">
        <v>161</v>
      </c>
      <c r="AL995" s="26" t="s">
        <v>52</v>
      </c>
      <c r="AM995" s="14" t="s">
        <v>532</v>
      </c>
      <c r="AN995" s="27" t="str">
        <f t="shared" si="33"/>
        <v>10438932|76098454|917688749|65383847</v>
      </c>
      <c r="AO995" t="s">
        <v>44</v>
      </c>
      <c r="AP995" t="b">
        <v>0</v>
      </c>
      <c r="AQ995" t="s">
        <v>763</v>
      </c>
    </row>
    <row r="996" spans="1:43" x14ac:dyDescent="0.2">
      <c r="A996" s="14" t="s">
        <v>500</v>
      </c>
      <c r="B996" s="17">
        <v>12462191</v>
      </c>
      <c r="C996" s="14" t="s">
        <v>396</v>
      </c>
      <c r="D996" s="9">
        <v>12462191</v>
      </c>
      <c r="E996" s="9" t="s">
        <v>396</v>
      </c>
      <c r="F996" s="7">
        <v>45658</v>
      </c>
      <c r="G996" s="20" t="s">
        <v>36</v>
      </c>
      <c r="H996" s="8">
        <v>917728603</v>
      </c>
      <c r="I996" s="19">
        <v>917728603</v>
      </c>
      <c r="J996" s="10">
        <v>45620</v>
      </c>
      <c r="K996" s="10">
        <v>14270</v>
      </c>
      <c r="L996" s="10">
        <v>31350</v>
      </c>
      <c r="M996" s="10">
        <v>0</v>
      </c>
      <c r="N996" s="11">
        <v>31350</v>
      </c>
      <c r="O996" s="12">
        <v>917728603</v>
      </c>
      <c r="P996" s="9">
        <v>285123</v>
      </c>
      <c r="Q996" s="9" t="s">
        <v>37</v>
      </c>
      <c r="R996" s="13">
        <v>45682</v>
      </c>
      <c r="S996" s="22">
        <v>45682</v>
      </c>
      <c r="T996" s="13">
        <v>45682</v>
      </c>
      <c r="U996" s="13">
        <v>45682</v>
      </c>
      <c r="V996" s="9" t="s">
        <v>47</v>
      </c>
      <c r="W996" s="9">
        <v>22560775</v>
      </c>
      <c r="X996" s="9">
        <v>2040929</v>
      </c>
      <c r="Y996" s="9">
        <v>68807135</v>
      </c>
      <c r="Z996" s="9" t="s">
        <v>39</v>
      </c>
      <c r="AA996" s="9">
        <v>2022025</v>
      </c>
      <c r="AB996" s="9">
        <v>77562</v>
      </c>
      <c r="AC996" s="9" t="s">
        <v>41</v>
      </c>
      <c r="AD996" s="9" t="s">
        <v>132</v>
      </c>
      <c r="AE996" s="9" t="s">
        <v>133</v>
      </c>
      <c r="AF996" s="9" t="s">
        <v>133</v>
      </c>
      <c r="AG996" s="14" t="str">
        <f t="shared" si="34"/>
        <v>EXAMENES DE LABORATORIO</v>
      </c>
      <c r="AH996" s="9" t="s">
        <v>758</v>
      </c>
      <c r="AI996" s="9">
        <v>0</v>
      </c>
      <c r="AJ996" s="9">
        <v>96986050</v>
      </c>
      <c r="AK996" s="9">
        <v>3</v>
      </c>
      <c r="AL996" s="26" t="s">
        <v>62</v>
      </c>
      <c r="AM996" s="14" t="s">
        <v>686</v>
      </c>
      <c r="AN996" s="27" t="str">
        <f t="shared" si="33"/>
        <v>12462191|96986050|917728603|917728603</v>
      </c>
      <c r="AO996" t="s">
        <v>758</v>
      </c>
      <c r="AP996" t="b">
        <v>1</v>
      </c>
      <c r="AQ996" t="s">
        <v>764</v>
      </c>
    </row>
    <row r="997" spans="1:43" x14ac:dyDescent="0.2">
      <c r="A997" s="14" t="s">
        <v>500</v>
      </c>
      <c r="B997" s="17">
        <v>12462191</v>
      </c>
      <c r="C997" s="14" t="s">
        <v>396</v>
      </c>
      <c r="D997" s="9">
        <v>12462191</v>
      </c>
      <c r="E997" s="9" t="s">
        <v>396</v>
      </c>
      <c r="F997" s="7">
        <v>45717</v>
      </c>
      <c r="G997" s="20" t="s">
        <v>46</v>
      </c>
      <c r="H997" s="8">
        <v>917728603</v>
      </c>
      <c r="I997" s="19">
        <v>65384012</v>
      </c>
      <c r="J997" s="10">
        <v>26875</v>
      </c>
      <c r="K997" s="10">
        <v>0</v>
      </c>
      <c r="L997" s="10">
        <v>26875</v>
      </c>
      <c r="M997" s="10">
        <v>0</v>
      </c>
      <c r="N997" s="11">
        <v>26875</v>
      </c>
      <c r="O997" s="12">
        <v>917728603</v>
      </c>
      <c r="P997" s="9">
        <v>285123</v>
      </c>
      <c r="Q997" s="9" t="s">
        <v>37</v>
      </c>
      <c r="R997" s="13">
        <v>45717</v>
      </c>
      <c r="S997" s="22">
        <v>45742</v>
      </c>
      <c r="T997" s="13">
        <v>45682</v>
      </c>
      <c r="U997" s="13">
        <v>45682</v>
      </c>
      <c r="V997" s="9" t="s">
        <v>47</v>
      </c>
      <c r="W997" s="9">
        <v>22770432</v>
      </c>
      <c r="X997" s="9">
        <v>3311105</v>
      </c>
      <c r="Y997" s="9">
        <v>69250900</v>
      </c>
      <c r="Z997" s="9" t="s">
        <v>39</v>
      </c>
      <c r="AA997" s="9">
        <v>668168</v>
      </c>
      <c r="AB997" s="9">
        <v>78070</v>
      </c>
      <c r="AC997" s="9" t="s">
        <v>41</v>
      </c>
      <c r="AD997" s="9" t="s">
        <v>132</v>
      </c>
      <c r="AE997" s="9" t="s">
        <v>133</v>
      </c>
      <c r="AF997" s="9" t="s">
        <v>133</v>
      </c>
      <c r="AG997" s="14" t="str">
        <f t="shared" si="34"/>
        <v>EXAMENES DE LABORATORIO</v>
      </c>
      <c r="AH997" s="9">
        <v>0</v>
      </c>
      <c r="AI997" s="9">
        <v>0</v>
      </c>
      <c r="AJ997" s="9">
        <v>96986050</v>
      </c>
      <c r="AK997" s="9">
        <v>3</v>
      </c>
      <c r="AL997" s="26" t="s">
        <v>52</v>
      </c>
      <c r="AM997" s="14" t="s">
        <v>686</v>
      </c>
      <c r="AN997" s="27" t="str">
        <f t="shared" si="33"/>
        <v>12462191|96986050|917728603|65384012</v>
      </c>
      <c r="AO997" t="s">
        <v>44</v>
      </c>
      <c r="AP997" t="b">
        <v>0</v>
      </c>
      <c r="AQ997" t="s">
        <v>763</v>
      </c>
    </row>
    <row r="998" spans="1:43" x14ac:dyDescent="0.2">
      <c r="A998" s="14" t="s">
        <v>500</v>
      </c>
      <c r="B998" s="17">
        <v>13470864</v>
      </c>
      <c r="C998" s="14" t="s">
        <v>303</v>
      </c>
      <c r="D998" s="9">
        <v>24963608</v>
      </c>
      <c r="E998" s="9" t="s">
        <v>397</v>
      </c>
      <c r="F998" s="7">
        <v>45658</v>
      </c>
      <c r="G998" s="20" t="s">
        <v>36</v>
      </c>
      <c r="H998" s="8">
        <v>917852890</v>
      </c>
      <c r="I998" s="19">
        <v>917852890</v>
      </c>
      <c r="J998" s="10">
        <v>22130</v>
      </c>
      <c r="K998" s="10">
        <v>6920</v>
      </c>
      <c r="L998" s="10">
        <v>15210</v>
      </c>
      <c r="M998" s="10">
        <v>0</v>
      </c>
      <c r="N998" s="11">
        <v>15210</v>
      </c>
      <c r="O998" s="12">
        <v>917852890</v>
      </c>
      <c r="P998" s="9">
        <v>285123</v>
      </c>
      <c r="Q998" s="9" t="s">
        <v>37</v>
      </c>
      <c r="R998" s="13">
        <v>45684</v>
      </c>
      <c r="S998" s="22">
        <v>45684</v>
      </c>
      <c r="T998" s="13">
        <v>45684</v>
      </c>
      <c r="U998" s="13">
        <v>45684</v>
      </c>
      <c r="V998" s="9" t="s">
        <v>47</v>
      </c>
      <c r="W998" s="9">
        <v>22560815</v>
      </c>
      <c r="X998" s="9">
        <v>2040929</v>
      </c>
      <c r="Y998" s="9">
        <v>68807951</v>
      </c>
      <c r="Z998" s="9" t="s">
        <v>39</v>
      </c>
      <c r="AA998" s="9">
        <v>2022025</v>
      </c>
      <c r="AB998" s="9">
        <v>77562</v>
      </c>
      <c r="AC998" s="9" t="s">
        <v>41</v>
      </c>
      <c r="AD998" s="9" t="s">
        <v>134</v>
      </c>
      <c r="AE998" s="9" t="s">
        <v>135</v>
      </c>
      <c r="AF998" s="9" t="s">
        <v>135</v>
      </c>
      <c r="AG998" s="14" t="str">
        <f t="shared" si="34"/>
        <v>EXAMENES RADIOLOGICOS</v>
      </c>
      <c r="AH998" s="9" t="s">
        <v>758</v>
      </c>
      <c r="AI998" s="9">
        <v>0</v>
      </c>
      <c r="AJ998" s="9">
        <v>93930000</v>
      </c>
      <c r="AK998" s="9">
        <v>7</v>
      </c>
      <c r="AL998" s="26" t="s">
        <v>62</v>
      </c>
      <c r="AM998" s="14" t="s">
        <v>620</v>
      </c>
      <c r="AN998" s="27" t="str">
        <f t="shared" si="33"/>
        <v>13470864|93930000|917852890|917852890</v>
      </c>
      <c r="AO998" t="s">
        <v>758</v>
      </c>
      <c r="AP998" t="b">
        <v>1</v>
      </c>
      <c r="AQ998" t="s">
        <v>764</v>
      </c>
    </row>
    <row r="999" spans="1:43" x14ac:dyDescent="0.2">
      <c r="A999" s="14" t="s">
        <v>500</v>
      </c>
      <c r="B999" s="17">
        <v>13470864</v>
      </c>
      <c r="C999" s="14" t="s">
        <v>303</v>
      </c>
      <c r="D999" s="9">
        <v>24963608</v>
      </c>
      <c r="E999" s="9" t="s">
        <v>397</v>
      </c>
      <c r="F999" s="7">
        <v>45717</v>
      </c>
      <c r="G999" s="20" t="s">
        <v>46</v>
      </c>
      <c r="H999" s="8">
        <v>917852890</v>
      </c>
      <c r="I999" s="19">
        <v>65384122</v>
      </c>
      <c r="J999" s="10">
        <v>13054</v>
      </c>
      <c r="K999" s="10">
        <v>0</v>
      </c>
      <c r="L999" s="10">
        <v>13054</v>
      </c>
      <c r="M999" s="10">
        <v>0</v>
      </c>
      <c r="N999" s="11">
        <v>13054</v>
      </c>
      <c r="O999" s="12">
        <v>917852890</v>
      </c>
      <c r="P999" s="9">
        <v>285123</v>
      </c>
      <c r="Q999" s="9" t="s">
        <v>37</v>
      </c>
      <c r="R999" s="13">
        <v>45717</v>
      </c>
      <c r="S999" s="22">
        <v>45742</v>
      </c>
      <c r="T999" s="13">
        <v>45684</v>
      </c>
      <c r="U999" s="13">
        <v>45684</v>
      </c>
      <c r="V999" s="9" t="s">
        <v>47</v>
      </c>
      <c r="W999" s="9">
        <v>22770439</v>
      </c>
      <c r="X999" s="9">
        <v>3311105</v>
      </c>
      <c r="Y999" s="9">
        <v>69251003</v>
      </c>
      <c r="Z999" s="9" t="s">
        <v>39</v>
      </c>
      <c r="AA999" s="9">
        <v>2516410</v>
      </c>
      <c r="AB999" s="9">
        <v>78070</v>
      </c>
      <c r="AC999" s="9" t="s">
        <v>41</v>
      </c>
      <c r="AD999" s="9" t="s">
        <v>134</v>
      </c>
      <c r="AE999" s="9" t="s">
        <v>135</v>
      </c>
      <c r="AF999" s="9" t="s">
        <v>135</v>
      </c>
      <c r="AG999" s="14" t="str">
        <f t="shared" si="34"/>
        <v>EXAMENES RADIOLOGICOS</v>
      </c>
      <c r="AH999" s="9">
        <v>0</v>
      </c>
      <c r="AI999" s="9">
        <v>0</v>
      </c>
      <c r="AJ999" s="9">
        <v>93930000</v>
      </c>
      <c r="AK999" s="9">
        <v>7</v>
      </c>
      <c r="AL999" s="26" t="s">
        <v>52</v>
      </c>
      <c r="AM999" s="14" t="s">
        <v>620</v>
      </c>
      <c r="AN999" s="27" t="str">
        <f t="shared" si="33"/>
        <v>13470864|93930000|917852890|65384122</v>
      </c>
      <c r="AO999" t="s">
        <v>44</v>
      </c>
      <c r="AP999" t="b">
        <v>0</v>
      </c>
      <c r="AQ999" t="s">
        <v>763</v>
      </c>
    </row>
    <row r="1000" spans="1:43" x14ac:dyDescent="0.2">
      <c r="A1000" s="14" t="s">
        <v>500</v>
      </c>
      <c r="B1000" s="17">
        <v>15549922</v>
      </c>
      <c r="C1000" s="14" t="s">
        <v>367</v>
      </c>
      <c r="D1000" s="9">
        <v>15549922</v>
      </c>
      <c r="E1000" s="9" t="s">
        <v>367</v>
      </c>
      <c r="F1000" s="7">
        <v>45658</v>
      </c>
      <c r="G1000" s="20" t="s">
        <v>36</v>
      </c>
      <c r="H1000" s="8">
        <v>917872730</v>
      </c>
      <c r="I1000" s="19">
        <v>917872730</v>
      </c>
      <c r="J1000" s="10">
        <v>14190</v>
      </c>
      <c r="K1000" s="10">
        <v>7988</v>
      </c>
      <c r="L1000" s="10">
        <v>6202</v>
      </c>
      <c r="M1000" s="10">
        <v>0</v>
      </c>
      <c r="N1000" s="11">
        <v>6202</v>
      </c>
      <c r="O1000" s="12">
        <v>917872730</v>
      </c>
      <c r="P1000" s="9">
        <v>285123</v>
      </c>
      <c r="Q1000" s="9" t="s">
        <v>37</v>
      </c>
      <c r="R1000" s="13">
        <v>45684</v>
      </c>
      <c r="S1000" s="22">
        <v>45684</v>
      </c>
      <c r="T1000" s="13">
        <v>45684</v>
      </c>
      <c r="U1000" s="13">
        <v>45684</v>
      </c>
      <c r="V1000" s="9" t="s">
        <v>47</v>
      </c>
      <c r="W1000" s="9">
        <v>22560825</v>
      </c>
      <c r="X1000" s="9">
        <v>2040929</v>
      </c>
      <c r="Y1000" s="9">
        <v>68808046</v>
      </c>
      <c r="Z1000" s="9" t="s">
        <v>39</v>
      </c>
      <c r="AA1000" s="9">
        <v>2022025</v>
      </c>
      <c r="AB1000" s="9">
        <v>77562</v>
      </c>
      <c r="AC1000" s="9" t="s">
        <v>41</v>
      </c>
      <c r="AD1000" s="9" t="s">
        <v>132</v>
      </c>
      <c r="AE1000" s="9" t="s">
        <v>133</v>
      </c>
      <c r="AF1000" s="9" t="s">
        <v>133</v>
      </c>
      <c r="AG1000" s="14" t="str">
        <f t="shared" si="34"/>
        <v>EXAMENES DE LABORATORIO</v>
      </c>
      <c r="AH1000" s="9" t="s">
        <v>758</v>
      </c>
      <c r="AI1000" s="9">
        <v>0</v>
      </c>
      <c r="AJ1000" s="9">
        <v>96942400</v>
      </c>
      <c r="AK1000" s="9">
        <v>2</v>
      </c>
      <c r="AL1000" s="26" t="s">
        <v>62</v>
      </c>
      <c r="AM1000" s="14" t="s">
        <v>663</v>
      </c>
      <c r="AN1000" s="27" t="str">
        <f t="shared" si="33"/>
        <v>15549922|96942400|917872730|917872730</v>
      </c>
      <c r="AO1000" t="s">
        <v>758</v>
      </c>
      <c r="AP1000" t="b">
        <v>1</v>
      </c>
      <c r="AQ1000" t="s">
        <v>764</v>
      </c>
    </row>
    <row r="1001" spans="1:43" x14ac:dyDescent="0.2">
      <c r="A1001" s="14" t="s">
        <v>500</v>
      </c>
      <c r="B1001" s="17">
        <v>15549922</v>
      </c>
      <c r="C1001" s="14" t="s">
        <v>367</v>
      </c>
      <c r="D1001" s="9">
        <v>15549922</v>
      </c>
      <c r="E1001" s="9" t="s">
        <v>367</v>
      </c>
      <c r="F1001" s="7">
        <v>45717</v>
      </c>
      <c r="G1001" s="20" t="s">
        <v>46</v>
      </c>
      <c r="H1001" s="8">
        <v>917872730</v>
      </c>
      <c r="I1001" s="19">
        <v>65384322</v>
      </c>
      <c r="J1001" s="10">
        <v>4989</v>
      </c>
      <c r="K1001" s="10">
        <v>0</v>
      </c>
      <c r="L1001" s="10">
        <v>4989</v>
      </c>
      <c r="M1001" s="10">
        <v>0</v>
      </c>
      <c r="N1001" s="11">
        <v>4989</v>
      </c>
      <c r="O1001" s="12">
        <v>917872730</v>
      </c>
      <c r="P1001" s="9">
        <v>285123</v>
      </c>
      <c r="Q1001" s="9" t="s">
        <v>37</v>
      </c>
      <c r="R1001" s="13">
        <v>45717</v>
      </c>
      <c r="S1001" s="22">
        <v>45742</v>
      </c>
      <c r="T1001" s="13">
        <v>45684</v>
      </c>
      <c r="U1001" s="13">
        <v>45684</v>
      </c>
      <c r="V1001" s="9" t="s">
        <v>47</v>
      </c>
      <c r="W1001" s="9">
        <v>22770442</v>
      </c>
      <c r="X1001" s="9">
        <v>3311105</v>
      </c>
      <c r="Y1001" s="9">
        <v>69251205</v>
      </c>
      <c r="Z1001" s="9" t="s">
        <v>39</v>
      </c>
      <c r="AA1001" s="9">
        <v>76696217</v>
      </c>
      <c r="AB1001" s="9">
        <v>78070</v>
      </c>
      <c r="AC1001" s="9" t="s">
        <v>41</v>
      </c>
      <c r="AD1001" s="9" t="s">
        <v>132</v>
      </c>
      <c r="AE1001" s="9" t="s">
        <v>133</v>
      </c>
      <c r="AF1001" s="9" t="s">
        <v>133</v>
      </c>
      <c r="AG1001" s="14" t="str">
        <f t="shared" si="34"/>
        <v>EXAMENES DE LABORATORIO</v>
      </c>
      <c r="AH1001" s="9">
        <v>0</v>
      </c>
      <c r="AI1001" s="9">
        <v>0</v>
      </c>
      <c r="AJ1001" s="9">
        <v>96942400</v>
      </c>
      <c r="AK1001" s="9">
        <v>2</v>
      </c>
      <c r="AL1001" s="26" t="s">
        <v>52</v>
      </c>
      <c r="AM1001" s="14" t="s">
        <v>663</v>
      </c>
      <c r="AN1001" s="27" t="str">
        <f t="shared" si="33"/>
        <v>15549922|96942400|917872730|65384322</v>
      </c>
      <c r="AO1001" t="s">
        <v>44</v>
      </c>
      <c r="AP1001" t="b">
        <v>0</v>
      </c>
      <c r="AQ1001" t="s">
        <v>763</v>
      </c>
    </row>
    <row r="1002" spans="1:43" x14ac:dyDescent="0.2">
      <c r="A1002" s="14" t="s">
        <v>500</v>
      </c>
      <c r="B1002" s="17">
        <v>10402393</v>
      </c>
      <c r="C1002" s="14" t="s">
        <v>398</v>
      </c>
      <c r="D1002" s="9">
        <v>10924797</v>
      </c>
      <c r="E1002" s="9" t="s">
        <v>399</v>
      </c>
      <c r="F1002" s="7">
        <v>45658</v>
      </c>
      <c r="G1002" s="20" t="s">
        <v>36</v>
      </c>
      <c r="H1002" s="8">
        <v>917935590</v>
      </c>
      <c r="I1002" s="19">
        <v>917935590</v>
      </c>
      <c r="J1002" s="10">
        <v>45820</v>
      </c>
      <c r="K1002" s="10">
        <v>14330</v>
      </c>
      <c r="L1002" s="10">
        <v>31490</v>
      </c>
      <c r="M1002" s="10">
        <v>0</v>
      </c>
      <c r="N1002" s="11">
        <v>31490</v>
      </c>
      <c r="O1002" s="12">
        <v>917935590</v>
      </c>
      <c r="P1002" s="9">
        <v>285123</v>
      </c>
      <c r="Q1002" s="9" t="s">
        <v>37</v>
      </c>
      <c r="R1002" s="13">
        <v>45685</v>
      </c>
      <c r="S1002" s="22">
        <v>45685</v>
      </c>
      <c r="T1002" s="13">
        <v>45685</v>
      </c>
      <c r="U1002" s="13">
        <v>45685</v>
      </c>
      <c r="V1002" s="9" t="s">
        <v>47</v>
      </c>
      <c r="W1002" s="9">
        <v>22560859</v>
      </c>
      <c r="X1002" s="9">
        <v>2040929</v>
      </c>
      <c r="Y1002" s="9">
        <v>68808454</v>
      </c>
      <c r="Z1002" s="9" t="s">
        <v>39</v>
      </c>
      <c r="AA1002" s="9">
        <v>2022025</v>
      </c>
      <c r="AB1002" s="9">
        <v>77562</v>
      </c>
      <c r="AC1002" s="9" t="s">
        <v>41</v>
      </c>
      <c r="AD1002" s="9" t="s">
        <v>132</v>
      </c>
      <c r="AE1002" s="9" t="s">
        <v>133</v>
      </c>
      <c r="AF1002" s="9" t="s">
        <v>133</v>
      </c>
      <c r="AG1002" s="14" t="str">
        <f t="shared" si="34"/>
        <v>EXAMENES DE LABORATORIO</v>
      </c>
      <c r="AH1002" s="9" t="s">
        <v>758</v>
      </c>
      <c r="AI1002" s="9">
        <v>0</v>
      </c>
      <c r="AJ1002" s="9">
        <v>78582780</v>
      </c>
      <c r="AK1002" s="9">
        <v>5</v>
      </c>
      <c r="AL1002" s="26" t="s">
        <v>62</v>
      </c>
      <c r="AM1002" s="14" t="s">
        <v>687</v>
      </c>
      <c r="AN1002" s="27" t="str">
        <f t="shared" si="33"/>
        <v>10402393|78582780|917935590|917935590</v>
      </c>
      <c r="AO1002" t="s">
        <v>758</v>
      </c>
      <c r="AP1002" t="b">
        <v>1</v>
      </c>
      <c r="AQ1002" t="s">
        <v>764</v>
      </c>
    </row>
    <row r="1003" spans="1:43" x14ac:dyDescent="0.2">
      <c r="A1003" s="14" t="s">
        <v>500</v>
      </c>
      <c r="B1003" s="17">
        <v>10402393</v>
      </c>
      <c r="C1003" s="14" t="s">
        <v>398</v>
      </c>
      <c r="D1003" s="9">
        <v>10924797</v>
      </c>
      <c r="E1003" s="9" t="s">
        <v>399</v>
      </c>
      <c r="F1003" s="7">
        <v>45717</v>
      </c>
      <c r="G1003" s="20" t="s">
        <v>46</v>
      </c>
      <c r="H1003" s="8">
        <v>917935590</v>
      </c>
      <c r="I1003" s="19">
        <v>65383844</v>
      </c>
      <c r="J1003" s="10">
        <v>26872</v>
      </c>
      <c r="K1003" s="10">
        <v>0</v>
      </c>
      <c r="L1003" s="10">
        <v>26872</v>
      </c>
      <c r="M1003" s="10">
        <v>0</v>
      </c>
      <c r="N1003" s="11">
        <v>26872</v>
      </c>
      <c r="O1003" s="12">
        <v>917935590</v>
      </c>
      <c r="P1003" s="9">
        <v>285123</v>
      </c>
      <c r="Q1003" s="9" t="s">
        <v>37</v>
      </c>
      <c r="R1003" s="13">
        <v>45717</v>
      </c>
      <c r="S1003" s="22">
        <v>45742</v>
      </c>
      <c r="T1003" s="13">
        <v>45685</v>
      </c>
      <c r="U1003" s="13">
        <v>45685</v>
      </c>
      <c r="V1003" s="9" t="s">
        <v>47</v>
      </c>
      <c r="W1003" s="9">
        <v>22770451</v>
      </c>
      <c r="X1003" s="9">
        <v>3311105</v>
      </c>
      <c r="Y1003" s="9">
        <v>69250733</v>
      </c>
      <c r="Z1003" s="9" t="s">
        <v>39</v>
      </c>
      <c r="AA1003" s="9">
        <v>205381349</v>
      </c>
      <c r="AB1003" s="9">
        <v>78070</v>
      </c>
      <c r="AC1003" s="9" t="s">
        <v>41</v>
      </c>
      <c r="AD1003" s="9" t="s">
        <v>132</v>
      </c>
      <c r="AE1003" s="9" t="s">
        <v>133</v>
      </c>
      <c r="AF1003" s="9" t="s">
        <v>133</v>
      </c>
      <c r="AG1003" s="14" t="str">
        <f t="shared" si="34"/>
        <v>EXAMENES DE LABORATORIO</v>
      </c>
      <c r="AH1003" s="9">
        <v>0</v>
      </c>
      <c r="AI1003" s="9">
        <v>0</v>
      </c>
      <c r="AJ1003" s="9">
        <v>78582780</v>
      </c>
      <c r="AK1003" s="9">
        <v>5</v>
      </c>
      <c r="AL1003" s="26" t="s">
        <v>52</v>
      </c>
      <c r="AM1003" s="14" t="s">
        <v>687</v>
      </c>
      <c r="AN1003" s="27" t="str">
        <f t="shared" si="33"/>
        <v>10402393|78582780|917935590|65383844</v>
      </c>
      <c r="AO1003" t="s">
        <v>44</v>
      </c>
      <c r="AP1003" t="b">
        <v>0</v>
      </c>
      <c r="AQ1003" t="s">
        <v>763</v>
      </c>
    </row>
    <row r="1004" spans="1:43" x14ac:dyDescent="0.2">
      <c r="A1004" s="14" t="s">
        <v>500</v>
      </c>
      <c r="B1004" s="17">
        <v>10402393</v>
      </c>
      <c r="C1004" s="14" t="s">
        <v>398</v>
      </c>
      <c r="D1004" s="9">
        <v>10924797</v>
      </c>
      <c r="E1004" s="9" t="s">
        <v>399</v>
      </c>
      <c r="F1004" s="7">
        <v>45658</v>
      </c>
      <c r="G1004" s="20" t="s">
        <v>36</v>
      </c>
      <c r="H1004" s="8">
        <v>917935591</v>
      </c>
      <c r="I1004" s="19">
        <v>917935591</v>
      </c>
      <c r="J1004" s="10">
        <v>27440</v>
      </c>
      <c r="K1004" s="10">
        <v>8580</v>
      </c>
      <c r="L1004" s="10">
        <v>18860</v>
      </c>
      <c r="M1004" s="10">
        <v>0</v>
      </c>
      <c r="N1004" s="11">
        <v>18860</v>
      </c>
      <c r="O1004" s="12">
        <v>917935591</v>
      </c>
      <c r="P1004" s="9">
        <v>285123</v>
      </c>
      <c r="Q1004" s="9" t="s">
        <v>37</v>
      </c>
      <c r="R1004" s="13">
        <v>45685</v>
      </c>
      <c r="S1004" s="22">
        <v>45685</v>
      </c>
      <c r="T1004" s="13">
        <v>45685</v>
      </c>
      <c r="U1004" s="13">
        <v>45685</v>
      </c>
      <c r="V1004" s="9" t="s">
        <v>47</v>
      </c>
      <c r="W1004" s="9">
        <v>22560859</v>
      </c>
      <c r="X1004" s="9">
        <v>2040929</v>
      </c>
      <c r="Y1004" s="9">
        <v>68808453</v>
      </c>
      <c r="Z1004" s="9" t="s">
        <v>39</v>
      </c>
      <c r="AA1004" s="9">
        <v>2022025</v>
      </c>
      <c r="AB1004" s="9">
        <v>77562</v>
      </c>
      <c r="AC1004" s="9" t="s">
        <v>41</v>
      </c>
      <c r="AD1004" s="9" t="s">
        <v>132</v>
      </c>
      <c r="AE1004" s="9" t="s">
        <v>133</v>
      </c>
      <c r="AF1004" s="9" t="s">
        <v>133</v>
      </c>
      <c r="AG1004" s="14" t="str">
        <f t="shared" si="34"/>
        <v>EXAMENES DE LABORATORIO</v>
      </c>
      <c r="AH1004" s="9" t="s">
        <v>758</v>
      </c>
      <c r="AI1004" s="9">
        <v>0</v>
      </c>
      <c r="AJ1004" s="9">
        <v>78582780</v>
      </c>
      <c r="AK1004" s="9">
        <v>5</v>
      </c>
      <c r="AL1004" s="26" t="s">
        <v>62</v>
      </c>
      <c r="AM1004" s="14" t="s">
        <v>687</v>
      </c>
      <c r="AN1004" s="27" t="str">
        <f t="shared" si="33"/>
        <v>10402393|78582780|917935591|917935591</v>
      </c>
      <c r="AO1004" t="s">
        <v>758</v>
      </c>
      <c r="AP1004" t="b">
        <v>1</v>
      </c>
      <c r="AQ1004" t="s">
        <v>764</v>
      </c>
    </row>
    <row r="1005" spans="1:43" x14ac:dyDescent="0.2">
      <c r="A1005" s="14" t="s">
        <v>500</v>
      </c>
      <c r="B1005" s="17">
        <v>10402393</v>
      </c>
      <c r="C1005" s="14" t="s">
        <v>398</v>
      </c>
      <c r="D1005" s="9">
        <v>10924797</v>
      </c>
      <c r="E1005" s="9" t="s">
        <v>399</v>
      </c>
      <c r="F1005" s="7">
        <v>45717</v>
      </c>
      <c r="G1005" s="20" t="s">
        <v>46</v>
      </c>
      <c r="H1005" s="8">
        <v>917935591</v>
      </c>
      <c r="I1005" s="19">
        <v>65383845</v>
      </c>
      <c r="J1005" s="10">
        <v>16507</v>
      </c>
      <c r="K1005" s="10">
        <v>0</v>
      </c>
      <c r="L1005" s="10">
        <v>16507</v>
      </c>
      <c r="M1005" s="10">
        <v>0</v>
      </c>
      <c r="N1005" s="11">
        <v>16507</v>
      </c>
      <c r="O1005" s="12">
        <v>917935591</v>
      </c>
      <c r="P1005" s="9">
        <v>285123</v>
      </c>
      <c r="Q1005" s="9" t="s">
        <v>37</v>
      </c>
      <c r="R1005" s="13">
        <v>45717</v>
      </c>
      <c r="S1005" s="22">
        <v>45742</v>
      </c>
      <c r="T1005" s="13">
        <v>45685</v>
      </c>
      <c r="U1005" s="13">
        <v>45685</v>
      </c>
      <c r="V1005" s="9" t="s">
        <v>47</v>
      </c>
      <c r="W1005" s="9">
        <v>22770451</v>
      </c>
      <c r="X1005" s="9">
        <v>3311105</v>
      </c>
      <c r="Y1005" s="9">
        <v>69250734</v>
      </c>
      <c r="Z1005" s="9" t="s">
        <v>39</v>
      </c>
      <c r="AA1005" s="9">
        <v>205381349</v>
      </c>
      <c r="AB1005" s="9">
        <v>78070</v>
      </c>
      <c r="AC1005" s="9" t="s">
        <v>41</v>
      </c>
      <c r="AD1005" s="9" t="s">
        <v>132</v>
      </c>
      <c r="AE1005" s="9" t="s">
        <v>133</v>
      </c>
      <c r="AF1005" s="9" t="s">
        <v>133</v>
      </c>
      <c r="AG1005" s="14" t="str">
        <f t="shared" si="34"/>
        <v>EXAMENES DE LABORATORIO</v>
      </c>
      <c r="AH1005" s="9">
        <v>0</v>
      </c>
      <c r="AI1005" s="9">
        <v>0</v>
      </c>
      <c r="AJ1005" s="9">
        <v>78582780</v>
      </c>
      <c r="AK1005" s="9">
        <v>5</v>
      </c>
      <c r="AL1005" s="26" t="s">
        <v>52</v>
      </c>
      <c r="AM1005" s="14" t="s">
        <v>687</v>
      </c>
      <c r="AN1005" s="27" t="str">
        <f t="shared" si="33"/>
        <v>10402393|78582780|917935591|65383845</v>
      </c>
      <c r="AO1005" t="s">
        <v>44</v>
      </c>
      <c r="AP1005" t="b">
        <v>0</v>
      </c>
      <c r="AQ1005" t="s">
        <v>763</v>
      </c>
    </row>
    <row r="1006" spans="1:43" x14ac:dyDescent="0.2">
      <c r="A1006" s="14" t="s">
        <v>500</v>
      </c>
      <c r="B1006" s="17">
        <v>10402393</v>
      </c>
      <c r="C1006" s="14" t="s">
        <v>398</v>
      </c>
      <c r="D1006" s="9">
        <v>10924797</v>
      </c>
      <c r="E1006" s="9" t="s">
        <v>399</v>
      </c>
      <c r="F1006" s="7">
        <v>45658</v>
      </c>
      <c r="G1006" s="20" t="s">
        <v>36</v>
      </c>
      <c r="H1006" s="8">
        <v>917935727</v>
      </c>
      <c r="I1006" s="19">
        <v>917935727</v>
      </c>
      <c r="J1006" s="10">
        <v>11730</v>
      </c>
      <c r="K1006" s="10">
        <v>3670</v>
      </c>
      <c r="L1006" s="10">
        <v>8060</v>
      </c>
      <c r="M1006" s="10">
        <v>0</v>
      </c>
      <c r="N1006" s="11">
        <v>8060</v>
      </c>
      <c r="O1006" s="12">
        <v>917935727</v>
      </c>
      <c r="P1006" s="9">
        <v>285123</v>
      </c>
      <c r="Q1006" s="9" t="s">
        <v>37</v>
      </c>
      <c r="R1006" s="13">
        <v>45685</v>
      </c>
      <c r="S1006" s="22">
        <v>45685</v>
      </c>
      <c r="T1006" s="13">
        <v>45685</v>
      </c>
      <c r="U1006" s="13">
        <v>45685</v>
      </c>
      <c r="V1006" s="9" t="s">
        <v>47</v>
      </c>
      <c r="W1006" s="9">
        <v>22560859</v>
      </c>
      <c r="X1006" s="9">
        <v>2040929</v>
      </c>
      <c r="Y1006" s="9">
        <v>68808461</v>
      </c>
      <c r="Z1006" s="9" t="s">
        <v>39</v>
      </c>
      <c r="AA1006" s="9">
        <v>2022025</v>
      </c>
      <c r="AB1006" s="9">
        <v>77562</v>
      </c>
      <c r="AC1006" s="9" t="s">
        <v>41</v>
      </c>
      <c r="AD1006" s="9" t="s">
        <v>132</v>
      </c>
      <c r="AE1006" s="9" t="s">
        <v>133</v>
      </c>
      <c r="AF1006" s="9" t="s">
        <v>133</v>
      </c>
      <c r="AG1006" s="14" t="str">
        <f t="shared" si="34"/>
        <v>EXAMENES DE LABORATORIO</v>
      </c>
      <c r="AH1006" s="9" t="s">
        <v>758</v>
      </c>
      <c r="AI1006" s="9">
        <v>0</v>
      </c>
      <c r="AJ1006" s="9">
        <v>78582780</v>
      </c>
      <c r="AK1006" s="9">
        <v>5</v>
      </c>
      <c r="AL1006" s="26" t="s">
        <v>62</v>
      </c>
      <c r="AM1006" s="14" t="s">
        <v>687</v>
      </c>
      <c r="AN1006" s="27" t="str">
        <f t="shared" si="33"/>
        <v>10402393|78582780|917935727|917935727</v>
      </c>
      <c r="AO1006" t="s">
        <v>758</v>
      </c>
      <c r="AP1006" t="b">
        <v>1</v>
      </c>
      <c r="AQ1006" t="s">
        <v>764</v>
      </c>
    </row>
    <row r="1007" spans="1:43" x14ac:dyDescent="0.2">
      <c r="A1007" s="14" t="s">
        <v>500</v>
      </c>
      <c r="B1007" s="17">
        <v>10402393</v>
      </c>
      <c r="C1007" s="14" t="s">
        <v>398</v>
      </c>
      <c r="D1007" s="9">
        <v>10924797</v>
      </c>
      <c r="E1007" s="9" t="s">
        <v>399</v>
      </c>
      <c r="F1007" s="7">
        <v>45717</v>
      </c>
      <c r="G1007" s="20" t="s">
        <v>46</v>
      </c>
      <c r="H1007" s="8">
        <v>917935727</v>
      </c>
      <c r="I1007" s="19">
        <v>65383846</v>
      </c>
      <c r="J1007" s="10">
        <v>7294</v>
      </c>
      <c r="K1007" s="10">
        <v>0</v>
      </c>
      <c r="L1007" s="10">
        <v>7294</v>
      </c>
      <c r="M1007" s="10">
        <v>0</v>
      </c>
      <c r="N1007" s="11">
        <v>7294</v>
      </c>
      <c r="O1007" s="12">
        <v>917935727</v>
      </c>
      <c r="P1007" s="9">
        <v>285123</v>
      </c>
      <c r="Q1007" s="9" t="s">
        <v>37</v>
      </c>
      <c r="R1007" s="13">
        <v>45717</v>
      </c>
      <c r="S1007" s="22">
        <v>45742</v>
      </c>
      <c r="T1007" s="13">
        <v>45685</v>
      </c>
      <c r="U1007" s="13">
        <v>45685</v>
      </c>
      <c r="V1007" s="9" t="s">
        <v>47</v>
      </c>
      <c r="W1007" s="9">
        <v>22770451</v>
      </c>
      <c r="X1007" s="9">
        <v>3311105</v>
      </c>
      <c r="Y1007" s="9">
        <v>69250735</v>
      </c>
      <c r="Z1007" s="9" t="s">
        <v>39</v>
      </c>
      <c r="AA1007" s="9">
        <v>205381349</v>
      </c>
      <c r="AB1007" s="9">
        <v>78070</v>
      </c>
      <c r="AC1007" s="9" t="s">
        <v>41</v>
      </c>
      <c r="AD1007" s="9" t="s">
        <v>132</v>
      </c>
      <c r="AE1007" s="9" t="s">
        <v>133</v>
      </c>
      <c r="AF1007" s="9" t="s">
        <v>133</v>
      </c>
      <c r="AG1007" s="14" t="str">
        <f t="shared" si="34"/>
        <v>EXAMENES DE LABORATORIO</v>
      </c>
      <c r="AH1007" s="9">
        <v>0</v>
      </c>
      <c r="AI1007" s="9">
        <v>0</v>
      </c>
      <c r="AJ1007" s="9">
        <v>78582780</v>
      </c>
      <c r="AK1007" s="9">
        <v>5</v>
      </c>
      <c r="AL1007" s="26" t="s">
        <v>52</v>
      </c>
      <c r="AM1007" s="14" t="s">
        <v>687</v>
      </c>
      <c r="AN1007" s="27" t="str">
        <f t="shared" si="33"/>
        <v>10402393|78582780|917935727|65383846</v>
      </c>
      <c r="AO1007" t="s">
        <v>44</v>
      </c>
      <c r="AP1007" t="b">
        <v>0</v>
      </c>
      <c r="AQ1007" t="s">
        <v>763</v>
      </c>
    </row>
    <row r="1008" spans="1:43" x14ac:dyDescent="0.2">
      <c r="A1008" s="14" t="s">
        <v>500</v>
      </c>
      <c r="B1008" s="17">
        <v>7230416</v>
      </c>
      <c r="C1008" s="14" t="s">
        <v>400</v>
      </c>
      <c r="D1008" s="9">
        <v>7230416</v>
      </c>
      <c r="E1008" s="9" t="s">
        <v>400</v>
      </c>
      <c r="F1008" s="7">
        <v>45658</v>
      </c>
      <c r="G1008" s="20" t="s">
        <v>36</v>
      </c>
      <c r="H1008" s="8">
        <v>917970276</v>
      </c>
      <c r="I1008" s="19">
        <v>917970276</v>
      </c>
      <c r="J1008" s="10">
        <v>1360</v>
      </c>
      <c r="K1008" s="10">
        <v>430</v>
      </c>
      <c r="L1008" s="10">
        <v>930</v>
      </c>
      <c r="M1008" s="10">
        <v>0</v>
      </c>
      <c r="N1008" s="11">
        <v>930</v>
      </c>
      <c r="O1008" s="12">
        <v>917970276</v>
      </c>
      <c r="P1008" s="9">
        <v>285123</v>
      </c>
      <c r="Q1008" s="9" t="s">
        <v>37</v>
      </c>
      <c r="R1008" s="13">
        <v>45685</v>
      </c>
      <c r="S1008" s="22">
        <v>45685</v>
      </c>
      <c r="T1008" s="13">
        <v>45685</v>
      </c>
      <c r="U1008" s="13">
        <v>45685</v>
      </c>
      <c r="V1008" s="9" t="s">
        <v>47</v>
      </c>
      <c r="W1008" s="9">
        <v>22560848</v>
      </c>
      <c r="X1008" s="9">
        <v>2040929</v>
      </c>
      <c r="Y1008" s="9">
        <v>68808658</v>
      </c>
      <c r="Z1008" s="9" t="s">
        <v>39</v>
      </c>
      <c r="AA1008" s="9">
        <v>2022025</v>
      </c>
      <c r="AB1008" s="9">
        <v>77562</v>
      </c>
      <c r="AC1008" s="9" t="s">
        <v>41</v>
      </c>
      <c r="AD1008" s="9" t="s">
        <v>132</v>
      </c>
      <c r="AE1008" s="9" t="s">
        <v>133</v>
      </c>
      <c r="AF1008" s="9" t="s">
        <v>133</v>
      </c>
      <c r="AG1008" s="14" t="str">
        <f t="shared" si="34"/>
        <v>EXAMENES DE LABORATORIO</v>
      </c>
      <c r="AH1008" s="9" t="s">
        <v>758</v>
      </c>
      <c r="AI1008" s="9">
        <v>0</v>
      </c>
      <c r="AJ1008" s="9">
        <v>76696200</v>
      </c>
      <c r="AK1008" s="9">
        <v>9</v>
      </c>
      <c r="AL1008" s="26" t="s">
        <v>62</v>
      </c>
      <c r="AM1008" s="14" t="s">
        <v>688</v>
      </c>
      <c r="AN1008" s="27" t="str">
        <f t="shared" si="33"/>
        <v>7230416|76696200|917970276|917970276</v>
      </c>
      <c r="AO1008" t="s">
        <v>758</v>
      </c>
      <c r="AP1008" t="b">
        <v>1</v>
      </c>
      <c r="AQ1008" t="s">
        <v>764</v>
      </c>
    </row>
    <row r="1009" spans="1:43" x14ac:dyDescent="0.2">
      <c r="A1009" s="14" t="s">
        <v>500</v>
      </c>
      <c r="B1009" s="17">
        <v>7230416</v>
      </c>
      <c r="C1009" s="14" t="s">
        <v>400</v>
      </c>
      <c r="D1009" s="9">
        <v>7230416</v>
      </c>
      <c r="E1009" s="9" t="s">
        <v>400</v>
      </c>
      <c r="F1009" s="7">
        <v>45717</v>
      </c>
      <c r="G1009" s="20" t="s">
        <v>46</v>
      </c>
      <c r="H1009" s="8">
        <v>917970276</v>
      </c>
      <c r="I1009" s="19">
        <v>65383604</v>
      </c>
      <c r="J1009" s="10">
        <v>767</v>
      </c>
      <c r="K1009" s="10">
        <v>0</v>
      </c>
      <c r="L1009" s="10">
        <v>767</v>
      </c>
      <c r="M1009" s="10">
        <v>0</v>
      </c>
      <c r="N1009" s="11">
        <v>767</v>
      </c>
      <c r="O1009" s="12">
        <v>917970276</v>
      </c>
      <c r="P1009" s="9">
        <v>285123</v>
      </c>
      <c r="Q1009" s="9" t="s">
        <v>37</v>
      </c>
      <c r="R1009" s="13">
        <v>45717</v>
      </c>
      <c r="S1009" s="22">
        <v>45742</v>
      </c>
      <c r="T1009" s="13">
        <v>45685</v>
      </c>
      <c r="U1009" s="13">
        <v>45685</v>
      </c>
      <c r="V1009" s="9" t="s">
        <v>47</v>
      </c>
      <c r="W1009" s="9">
        <v>22770446</v>
      </c>
      <c r="X1009" s="9">
        <v>3311105</v>
      </c>
      <c r="Y1009" s="9">
        <v>69250495</v>
      </c>
      <c r="Z1009" s="9" t="s">
        <v>39</v>
      </c>
      <c r="AA1009" s="9">
        <v>99190027763</v>
      </c>
      <c r="AB1009" s="9">
        <v>78070</v>
      </c>
      <c r="AC1009" s="9" t="s">
        <v>41</v>
      </c>
      <c r="AD1009" s="9" t="s">
        <v>132</v>
      </c>
      <c r="AE1009" s="9" t="s">
        <v>133</v>
      </c>
      <c r="AF1009" s="9" t="s">
        <v>133</v>
      </c>
      <c r="AG1009" s="14" t="str">
        <f t="shared" si="34"/>
        <v>EXAMENES DE LABORATORIO</v>
      </c>
      <c r="AH1009" s="9">
        <v>0</v>
      </c>
      <c r="AI1009" s="9">
        <v>0</v>
      </c>
      <c r="AJ1009" s="9">
        <v>76696200</v>
      </c>
      <c r="AK1009" s="9">
        <v>9</v>
      </c>
      <c r="AL1009" s="26" t="s">
        <v>52</v>
      </c>
      <c r="AM1009" s="14" t="s">
        <v>688</v>
      </c>
      <c r="AN1009" s="27" t="str">
        <f t="shared" si="33"/>
        <v>7230416|76696200|917970276|65383604</v>
      </c>
      <c r="AO1009" t="s">
        <v>44</v>
      </c>
      <c r="AP1009" t="b">
        <v>0</v>
      </c>
      <c r="AQ1009" t="s">
        <v>763</v>
      </c>
    </row>
    <row r="1010" spans="1:43" x14ac:dyDescent="0.2">
      <c r="A1010" s="14" t="s">
        <v>500</v>
      </c>
      <c r="B1010" s="17">
        <v>7230416</v>
      </c>
      <c r="C1010" s="14" t="s">
        <v>400</v>
      </c>
      <c r="D1010" s="9">
        <v>7230416</v>
      </c>
      <c r="E1010" s="9" t="s">
        <v>400</v>
      </c>
      <c r="F1010" s="7">
        <v>45658</v>
      </c>
      <c r="G1010" s="20" t="s">
        <v>36</v>
      </c>
      <c r="H1010" s="8">
        <v>917970305</v>
      </c>
      <c r="I1010" s="19">
        <v>917970305</v>
      </c>
      <c r="J1010" s="10">
        <v>14520</v>
      </c>
      <c r="K1010" s="10">
        <v>4550</v>
      </c>
      <c r="L1010" s="10">
        <v>9970</v>
      </c>
      <c r="M1010" s="10">
        <v>0</v>
      </c>
      <c r="N1010" s="11">
        <v>9970</v>
      </c>
      <c r="O1010" s="12">
        <v>917970305</v>
      </c>
      <c r="P1010" s="9">
        <v>285123</v>
      </c>
      <c r="Q1010" s="9" t="s">
        <v>37</v>
      </c>
      <c r="R1010" s="13">
        <v>45685</v>
      </c>
      <c r="S1010" s="22">
        <v>45685</v>
      </c>
      <c r="T1010" s="13">
        <v>45685</v>
      </c>
      <c r="U1010" s="13">
        <v>45685</v>
      </c>
      <c r="V1010" s="9" t="s">
        <v>47</v>
      </c>
      <c r="W1010" s="9">
        <v>22560848</v>
      </c>
      <c r="X1010" s="9">
        <v>2040929</v>
      </c>
      <c r="Y1010" s="9">
        <v>68808661</v>
      </c>
      <c r="Z1010" s="9" t="s">
        <v>39</v>
      </c>
      <c r="AA1010" s="9">
        <v>2022025</v>
      </c>
      <c r="AB1010" s="9">
        <v>77562</v>
      </c>
      <c r="AC1010" s="9" t="s">
        <v>41</v>
      </c>
      <c r="AD1010" s="9" t="s">
        <v>132</v>
      </c>
      <c r="AE1010" s="9" t="s">
        <v>133</v>
      </c>
      <c r="AF1010" s="9" t="s">
        <v>133</v>
      </c>
      <c r="AG1010" s="14" t="str">
        <f t="shared" si="34"/>
        <v>EXAMENES DE LABORATORIO</v>
      </c>
      <c r="AH1010" s="9" t="s">
        <v>758</v>
      </c>
      <c r="AI1010" s="9">
        <v>0</v>
      </c>
      <c r="AJ1010" s="9">
        <v>96898980</v>
      </c>
      <c r="AK1010" s="9">
        <v>4</v>
      </c>
      <c r="AL1010" s="26" t="s">
        <v>62</v>
      </c>
      <c r="AM1010" s="14" t="s">
        <v>688</v>
      </c>
      <c r="AN1010" s="27" t="str">
        <f t="shared" si="33"/>
        <v>7230416|96898980|917970305|917970305</v>
      </c>
      <c r="AO1010" t="s">
        <v>758</v>
      </c>
      <c r="AP1010" t="b">
        <v>1</v>
      </c>
      <c r="AQ1010" t="s">
        <v>764</v>
      </c>
    </row>
    <row r="1011" spans="1:43" x14ac:dyDescent="0.2">
      <c r="A1011" s="14" t="s">
        <v>500</v>
      </c>
      <c r="B1011" s="17">
        <v>7230416</v>
      </c>
      <c r="C1011" s="14" t="s">
        <v>400</v>
      </c>
      <c r="D1011" s="9">
        <v>7230416</v>
      </c>
      <c r="E1011" s="9" t="s">
        <v>400</v>
      </c>
      <c r="F1011" s="7">
        <v>45717</v>
      </c>
      <c r="G1011" s="20" t="s">
        <v>46</v>
      </c>
      <c r="H1011" s="8">
        <v>917970305</v>
      </c>
      <c r="I1011" s="19">
        <v>65383605</v>
      </c>
      <c r="J1011" s="10">
        <v>8059</v>
      </c>
      <c r="K1011" s="10">
        <v>0</v>
      </c>
      <c r="L1011" s="10">
        <v>8059</v>
      </c>
      <c r="M1011" s="10">
        <v>0</v>
      </c>
      <c r="N1011" s="11">
        <v>8059</v>
      </c>
      <c r="O1011" s="12">
        <v>917970305</v>
      </c>
      <c r="P1011" s="9">
        <v>285123</v>
      </c>
      <c r="Q1011" s="9" t="s">
        <v>37</v>
      </c>
      <c r="R1011" s="13">
        <v>45717</v>
      </c>
      <c r="S1011" s="22">
        <v>45742</v>
      </c>
      <c r="T1011" s="13">
        <v>45685</v>
      </c>
      <c r="U1011" s="13">
        <v>45685</v>
      </c>
      <c r="V1011" s="9" t="s">
        <v>47</v>
      </c>
      <c r="W1011" s="9">
        <v>22770446</v>
      </c>
      <c r="X1011" s="9">
        <v>3311105</v>
      </c>
      <c r="Y1011" s="9">
        <v>69250496</v>
      </c>
      <c r="Z1011" s="9" t="s">
        <v>39</v>
      </c>
      <c r="AA1011" s="9">
        <v>99190027763</v>
      </c>
      <c r="AB1011" s="9">
        <v>78070</v>
      </c>
      <c r="AC1011" s="9" t="s">
        <v>41</v>
      </c>
      <c r="AD1011" s="9" t="s">
        <v>132</v>
      </c>
      <c r="AE1011" s="9" t="s">
        <v>133</v>
      </c>
      <c r="AF1011" s="9" t="s">
        <v>133</v>
      </c>
      <c r="AG1011" s="14" t="str">
        <f t="shared" si="34"/>
        <v>EXAMENES DE LABORATORIO</v>
      </c>
      <c r="AH1011" s="9">
        <v>0</v>
      </c>
      <c r="AI1011" s="9">
        <v>0</v>
      </c>
      <c r="AJ1011" s="9">
        <v>96898980</v>
      </c>
      <c r="AK1011" s="9">
        <v>4</v>
      </c>
      <c r="AL1011" s="26" t="s">
        <v>52</v>
      </c>
      <c r="AM1011" s="14" t="s">
        <v>688</v>
      </c>
      <c r="AN1011" s="27" t="str">
        <f t="shared" si="33"/>
        <v>7230416|96898980|917970305|65383605</v>
      </c>
      <c r="AO1011" t="s">
        <v>44</v>
      </c>
      <c r="AP1011" t="b">
        <v>0</v>
      </c>
      <c r="AQ1011" t="s">
        <v>763</v>
      </c>
    </row>
    <row r="1012" spans="1:43" x14ac:dyDescent="0.2">
      <c r="A1012" s="14" t="s">
        <v>500</v>
      </c>
      <c r="B1012" s="17">
        <v>7230416</v>
      </c>
      <c r="C1012" s="14" t="s">
        <v>400</v>
      </c>
      <c r="D1012" s="9">
        <v>7230416</v>
      </c>
      <c r="E1012" s="9" t="s">
        <v>400</v>
      </c>
      <c r="F1012" s="7">
        <v>45658</v>
      </c>
      <c r="G1012" s="20" t="s">
        <v>36</v>
      </c>
      <c r="H1012" s="8">
        <v>917970306</v>
      </c>
      <c r="I1012" s="19">
        <v>917970306</v>
      </c>
      <c r="J1012" s="10">
        <v>50540</v>
      </c>
      <c r="K1012" s="10">
        <v>15810</v>
      </c>
      <c r="L1012" s="10">
        <v>34730</v>
      </c>
      <c r="M1012" s="10">
        <v>0</v>
      </c>
      <c r="N1012" s="11">
        <v>34730</v>
      </c>
      <c r="O1012" s="12">
        <v>917970306</v>
      </c>
      <c r="P1012" s="9">
        <v>285123</v>
      </c>
      <c r="Q1012" s="9" t="s">
        <v>37</v>
      </c>
      <c r="R1012" s="13">
        <v>45685</v>
      </c>
      <c r="S1012" s="22">
        <v>45685</v>
      </c>
      <c r="T1012" s="13">
        <v>45685</v>
      </c>
      <c r="U1012" s="13">
        <v>45685</v>
      </c>
      <c r="V1012" s="9" t="s">
        <v>47</v>
      </c>
      <c r="W1012" s="9">
        <v>22560848</v>
      </c>
      <c r="X1012" s="9">
        <v>2040929</v>
      </c>
      <c r="Y1012" s="9">
        <v>68808660</v>
      </c>
      <c r="Z1012" s="9" t="s">
        <v>39</v>
      </c>
      <c r="AA1012" s="9">
        <v>2022025</v>
      </c>
      <c r="AB1012" s="9">
        <v>77562</v>
      </c>
      <c r="AC1012" s="9" t="s">
        <v>41</v>
      </c>
      <c r="AD1012" s="9" t="s">
        <v>132</v>
      </c>
      <c r="AE1012" s="9" t="s">
        <v>133</v>
      </c>
      <c r="AF1012" s="9" t="s">
        <v>133</v>
      </c>
      <c r="AG1012" s="14" t="str">
        <f t="shared" si="34"/>
        <v>EXAMENES DE LABORATORIO</v>
      </c>
      <c r="AH1012" s="9" t="s">
        <v>758</v>
      </c>
      <c r="AI1012" s="9">
        <v>0</v>
      </c>
      <c r="AJ1012" s="9">
        <v>96898980</v>
      </c>
      <c r="AK1012" s="9">
        <v>4</v>
      </c>
      <c r="AL1012" s="26" t="s">
        <v>62</v>
      </c>
      <c r="AM1012" s="14" t="s">
        <v>688</v>
      </c>
      <c r="AN1012" s="27" t="str">
        <f t="shared" si="33"/>
        <v>7230416|96898980|917970306|917970306</v>
      </c>
      <c r="AO1012" t="s">
        <v>758</v>
      </c>
      <c r="AP1012" t="b">
        <v>1</v>
      </c>
      <c r="AQ1012" t="s">
        <v>764</v>
      </c>
    </row>
    <row r="1013" spans="1:43" x14ac:dyDescent="0.2">
      <c r="A1013" s="14" t="s">
        <v>500</v>
      </c>
      <c r="B1013" s="17">
        <v>7230416</v>
      </c>
      <c r="C1013" s="14" t="s">
        <v>400</v>
      </c>
      <c r="D1013" s="9">
        <v>7230416</v>
      </c>
      <c r="E1013" s="9" t="s">
        <v>400</v>
      </c>
      <c r="F1013" s="7">
        <v>45717</v>
      </c>
      <c r="G1013" s="20" t="s">
        <v>46</v>
      </c>
      <c r="H1013" s="8">
        <v>917970306</v>
      </c>
      <c r="I1013" s="19">
        <v>65383606</v>
      </c>
      <c r="J1013" s="10">
        <v>30711</v>
      </c>
      <c r="K1013" s="10">
        <v>0</v>
      </c>
      <c r="L1013" s="10">
        <v>30711</v>
      </c>
      <c r="M1013" s="10">
        <v>0</v>
      </c>
      <c r="N1013" s="11">
        <v>30711</v>
      </c>
      <c r="O1013" s="12">
        <v>917970306</v>
      </c>
      <c r="P1013" s="9">
        <v>285123</v>
      </c>
      <c r="Q1013" s="9" t="s">
        <v>37</v>
      </c>
      <c r="R1013" s="13">
        <v>45717</v>
      </c>
      <c r="S1013" s="22">
        <v>45742</v>
      </c>
      <c r="T1013" s="13">
        <v>45685</v>
      </c>
      <c r="U1013" s="13">
        <v>45685</v>
      </c>
      <c r="V1013" s="9" t="s">
        <v>47</v>
      </c>
      <c r="W1013" s="9">
        <v>22770446</v>
      </c>
      <c r="X1013" s="9">
        <v>3311105</v>
      </c>
      <c r="Y1013" s="9">
        <v>69250497</v>
      </c>
      <c r="Z1013" s="9" t="s">
        <v>39</v>
      </c>
      <c r="AA1013" s="9">
        <v>99190027763</v>
      </c>
      <c r="AB1013" s="9">
        <v>78070</v>
      </c>
      <c r="AC1013" s="9" t="s">
        <v>41</v>
      </c>
      <c r="AD1013" s="9" t="s">
        <v>132</v>
      </c>
      <c r="AE1013" s="9" t="s">
        <v>133</v>
      </c>
      <c r="AF1013" s="9" t="s">
        <v>133</v>
      </c>
      <c r="AG1013" s="14" t="str">
        <f t="shared" si="34"/>
        <v>EXAMENES DE LABORATORIO</v>
      </c>
      <c r="AH1013" s="9">
        <v>0</v>
      </c>
      <c r="AI1013" s="9">
        <v>0</v>
      </c>
      <c r="AJ1013" s="9">
        <v>96898980</v>
      </c>
      <c r="AK1013" s="9">
        <v>4</v>
      </c>
      <c r="AL1013" s="26" t="s">
        <v>52</v>
      </c>
      <c r="AM1013" s="14" t="s">
        <v>688</v>
      </c>
      <c r="AN1013" s="27" t="str">
        <f t="shared" si="33"/>
        <v>7230416|96898980|917970306|65383606</v>
      </c>
      <c r="AO1013" t="s">
        <v>44</v>
      </c>
      <c r="AP1013" t="b">
        <v>0</v>
      </c>
      <c r="AQ1013" t="s">
        <v>763</v>
      </c>
    </row>
    <row r="1014" spans="1:43" x14ac:dyDescent="0.2">
      <c r="A1014" s="14" t="s">
        <v>500</v>
      </c>
      <c r="B1014" s="17">
        <v>7230416</v>
      </c>
      <c r="C1014" s="14" t="s">
        <v>400</v>
      </c>
      <c r="D1014" s="9">
        <v>7230416</v>
      </c>
      <c r="E1014" s="9" t="s">
        <v>400</v>
      </c>
      <c r="F1014" s="7">
        <v>45658</v>
      </c>
      <c r="G1014" s="20" t="s">
        <v>36</v>
      </c>
      <c r="H1014" s="8">
        <v>917970307</v>
      </c>
      <c r="I1014" s="19">
        <v>917970307</v>
      </c>
      <c r="J1014" s="10">
        <v>8050</v>
      </c>
      <c r="K1014" s="10">
        <v>2530</v>
      </c>
      <c r="L1014" s="10">
        <v>5520</v>
      </c>
      <c r="M1014" s="10">
        <v>0</v>
      </c>
      <c r="N1014" s="11">
        <v>5520</v>
      </c>
      <c r="O1014" s="12">
        <v>917970307</v>
      </c>
      <c r="P1014" s="9">
        <v>285123</v>
      </c>
      <c r="Q1014" s="9" t="s">
        <v>37</v>
      </c>
      <c r="R1014" s="13">
        <v>45685</v>
      </c>
      <c r="S1014" s="22">
        <v>45685</v>
      </c>
      <c r="T1014" s="13">
        <v>45685</v>
      </c>
      <c r="U1014" s="13">
        <v>45685</v>
      </c>
      <c r="V1014" s="9" t="s">
        <v>47</v>
      </c>
      <c r="W1014" s="9">
        <v>22560848</v>
      </c>
      <c r="X1014" s="9">
        <v>2040929</v>
      </c>
      <c r="Y1014" s="9">
        <v>68808659</v>
      </c>
      <c r="Z1014" s="9" t="s">
        <v>39</v>
      </c>
      <c r="AA1014" s="9">
        <v>2022025</v>
      </c>
      <c r="AB1014" s="9">
        <v>77562</v>
      </c>
      <c r="AC1014" s="9" t="s">
        <v>41</v>
      </c>
      <c r="AD1014" s="9" t="s">
        <v>132</v>
      </c>
      <c r="AE1014" s="9" t="s">
        <v>133</v>
      </c>
      <c r="AF1014" s="9" t="s">
        <v>133</v>
      </c>
      <c r="AG1014" s="14" t="str">
        <f t="shared" si="34"/>
        <v>EXAMENES DE LABORATORIO</v>
      </c>
      <c r="AH1014" s="9" t="s">
        <v>758</v>
      </c>
      <c r="AI1014" s="9">
        <v>0</v>
      </c>
      <c r="AJ1014" s="9">
        <v>96898980</v>
      </c>
      <c r="AK1014" s="9">
        <v>4</v>
      </c>
      <c r="AL1014" s="26" t="s">
        <v>62</v>
      </c>
      <c r="AM1014" s="14" t="s">
        <v>688</v>
      </c>
      <c r="AN1014" s="27" t="str">
        <f t="shared" si="33"/>
        <v>7230416|96898980|917970307|917970307</v>
      </c>
      <c r="AO1014" t="s">
        <v>758</v>
      </c>
      <c r="AP1014" t="b">
        <v>1</v>
      </c>
      <c r="AQ1014" t="s">
        <v>764</v>
      </c>
    </row>
    <row r="1015" spans="1:43" x14ac:dyDescent="0.2">
      <c r="A1015" s="14" t="s">
        <v>500</v>
      </c>
      <c r="B1015" s="17">
        <v>7230416</v>
      </c>
      <c r="C1015" s="14" t="s">
        <v>400</v>
      </c>
      <c r="D1015" s="9">
        <v>7230416</v>
      </c>
      <c r="E1015" s="9" t="s">
        <v>400</v>
      </c>
      <c r="F1015" s="7">
        <v>45717</v>
      </c>
      <c r="G1015" s="20" t="s">
        <v>46</v>
      </c>
      <c r="H1015" s="8">
        <v>917970307</v>
      </c>
      <c r="I1015" s="19">
        <v>65383607</v>
      </c>
      <c r="J1015" s="10">
        <v>4604</v>
      </c>
      <c r="K1015" s="10">
        <v>0</v>
      </c>
      <c r="L1015" s="10">
        <v>4604</v>
      </c>
      <c r="M1015" s="10">
        <v>0</v>
      </c>
      <c r="N1015" s="11">
        <v>4604</v>
      </c>
      <c r="O1015" s="12">
        <v>917970307</v>
      </c>
      <c r="P1015" s="9">
        <v>285123</v>
      </c>
      <c r="Q1015" s="9" t="s">
        <v>37</v>
      </c>
      <c r="R1015" s="13">
        <v>45717</v>
      </c>
      <c r="S1015" s="22">
        <v>45742</v>
      </c>
      <c r="T1015" s="13">
        <v>45685</v>
      </c>
      <c r="U1015" s="13">
        <v>45685</v>
      </c>
      <c r="V1015" s="9" t="s">
        <v>47</v>
      </c>
      <c r="W1015" s="9">
        <v>22770446</v>
      </c>
      <c r="X1015" s="9">
        <v>3311105</v>
      </c>
      <c r="Y1015" s="9">
        <v>69250498</v>
      </c>
      <c r="Z1015" s="9" t="s">
        <v>39</v>
      </c>
      <c r="AA1015" s="9">
        <v>99190027763</v>
      </c>
      <c r="AB1015" s="9">
        <v>78070</v>
      </c>
      <c r="AC1015" s="9" t="s">
        <v>41</v>
      </c>
      <c r="AD1015" s="9" t="s">
        <v>132</v>
      </c>
      <c r="AE1015" s="9" t="s">
        <v>133</v>
      </c>
      <c r="AF1015" s="9" t="s">
        <v>133</v>
      </c>
      <c r="AG1015" s="14" t="str">
        <f t="shared" si="34"/>
        <v>EXAMENES DE LABORATORIO</v>
      </c>
      <c r="AH1015" s="9">
        <v>0</v>
      </c>
      <c r="AI1015" s="9">
        <v>0</v>
      </c>
      <c r="AJ1015" s="9">
        <v>96898980</v>
      </c>
      <c r="AK1015" s="9">
        <v>4</v>
      </c>
      <c r="AL1015" s="26" t="s">
        <v>52</v>
      </c>
      <c r="AM1015" s="14" t="s">
        <v>688</v>
      </c>
      <c r="AN1015" s="27" t="str">
        <f t="shared" si="33"/>
        <v>7230416|96898980|917970307|65383607</v>
      </c>
      <c r="AO1015" t="s">
        <v>44</v>
      </c>
      <c r="AP1015" t="b">
        <v>0</v>
      </c>
      <c r="AQ1015" t="s">
        <v>763</v>
      </c>
    </row>
    <row r="1016" spans="1:43" x14ac:dyDescent="0.2">
      <c r="A1016" s="14" t="s">
        <v>500</v>
      </c>
      <c r="B1016" s="17">
        <v>7230416</v>
      </c>
      <c r="C1016" s="14" t="s">
        <v>400</v>
      </c>
      <c r="D1016" s="9">
        <v>7230416</v>
      </c>
      <c r="E1016" s="9" t="s">
        <v>400</v>
      </c>
      <c r="F1016" s="7">
        <v>45658</v>
      </c>
      <c r="G1016" s="20" t="s">
        <v>36</v>
      </c>
      <c r="H1016" s="8">
        <v>917991021</v>
      </c>
      <c r="I1016" s="19">
        <v>917991021</v>
      </c>
      <c r="J1016" s="10">
        <v>19260</v>
      </c>
      <c r="K1016" s="10">
        <v>6020</v>
      </c>
      <c r="L1016" s="10">
        <v>13240</v>
      </c>
      <c r="M1016" s="10">
        <v>0</v>
      </c>
      <c r="N1016" s="11">
        <v>13240</v>
      </c>
      <c r="O1016" s="12">
        <v>917991021</v>
      </c>
      <c r="P1016" s="9">
        <v>285123</v>
      </c>
      <c r="Q1016" s="9" t="s">
        <v>37</v>
      </c>
      <c r="R1016" s="13">
        <v>45685</v>
      </c>
      <c r="S1016" s="22">
        <v>45685</v>
      </c>
      <c r="T1016" s="13">
        <v>45685</v>
      </c>
      <c r="U1016" s="13">
        <v>45685</v>
      </c>
      <c r="V1016" s="9" t="s">
        <v>58</v>
      </c>
      <c r="W1016" s="9">
        <v>22560848</v>
      </c>
      <c r="X1016" s="9">
        <v>2040929</v>
      </c>
      <c r="Y1016" s="9">
        <v>68808765</v>
      </c>
      <c r="Z1016" s="9" t="s">
        <v>39</v>
      </c>
      <c r="AA1016" s="9">
        <v>2022025</v>
      </c>
      <c r="AB1016" s="9">
        <v>77562</v>
      </c>
      <c r="AC1016" s="9" t="s">
        <v>41</v>
      </c>
      <c r="AD1016" s="9" t="s">
        <v>71</v>
      </c>
      <c r="AE1016" s="9" t="s">
        <v>72</v>
      </c>
      <c r="AF1016" s="9" t="s">
        <v>73</v>
      </c>
      <c r="AG1016" s="14" t="str">
        <f t="shared" si="34"/>
        <v>CONSULTA PSIQUIATRICA</v>
      </c>
      <c r="AH1016" s="9" t="s">
        <v>758</v>
      </c>
      <c r="AI1016" s="9">
        <v>0</v>
      </c>
      <c r="AJ1016" s="9">
        <v>76696200</v>
      </c>
      <c r="AK1016" s="9">
        <v>9</v>
      </c>
      <c r="AL1016" s="26" t="s">
        <v>62</v>
      </c>
      <c r="AM1016" s="14" t="s">
        <v>688</v>
      </c>
      <c r="AN1016" s="27" t="str">
        <f t="shared" si="33"/>
        <v>7230416|76696200|917991021|917991021</v>
      </c>
      <c r="AO1016" t="s">
        <v>758</v>
      </c>
      <c r="AP1016" t="b">
        <v>1</v>
      </c>
      <c r="AQ1016" t="s">
        <v>764</v>
      </c>
    </row>
    <row r="1017" spans="1:43" x14ac:dyDescent="0.2">
      <c r="A1017" s="14" t="s">
        <v>500</v>
      </c>
      <c r="B1017" s="17">
        <v>7230416</v>
      </c>
      <c r="C1017" s="14" t="s">
        <v>400</v>
      </c>
      <c r="D1017" s="9">
        <v>7230416</v>
      </c>
      <c r="E1017" s="9" t="s">
        <v>400</v>
      </c>
      <c r="F1017" s="7">
        <v>45717</v>
      </c>
      <c r="G1017" s="20" t="s">
        <v>46</v>
      </c>
      <c r="H1017" s="8">
        <v>917991021</v>
      </c>
      <c r="I1017" s="19">
        <v>65383608</v>
      </c>
      <c r="J1017" s="10">
        <v>13053</v>
      </c>
      <c r="K1017" s="10">
        <v>0</v>
      </c>
      <c r="L1017" s="10">
        <v>13053</v>
      </c>
      <c r="M1017" s="10">
        <v>0</v>
      </c>
      <c r="N1017" s="11">
        <v>13053</v>
      </c>
      <c r="O1017" s="12">
        <v>917991021</v>
      </c>
      <c r="P1017" s="9">
        <v>285123</v>
      </c>
      <c r="Q1017" s="9" t="s">
        <v>37</v>
      </c>
      <c r="R1017" s="13">
        <v>45717</v>
      </c>
      <c r="S1017" s="22">
        <v>45742</v>
      </c>
      <c r="T1017" s="13">
        <v>45685</v>
      </c>
      <c r="U1017" s="13">
        <v>45685</v>
      </c>
      <c r="V1017" s="9" t="s">
        <v>58</v>
      </c>
      <c r="W1017" s="9">
        <v>22770446</v>
      </c>
      <c r="X1017" s="9">
        <v>3311105</v>
      </c>
      <c r="Y1017" s="9">
        <v>69250499</v>
      </c>
      <c r="Z1017" s="9" t="s">
        <v>39</v>
      </c>
      <c r="AA1017" s="9">
        <v>99190027763</v>
      </c>
      <c r="AB1017" s="9">
        <v>78070</v>
      </c>
      <c r="AC1017" s="9" t="s">
        <v>41</v>
      </c>
      <c r="AD1017" s="9" t="s">
        <v>71</v>
      </c>
      <c r="AE1017" s="9" t="s">
        <v>72</v>
      </c>
      <c r="AF1017" s="9" t="s">
        <v>73</v>
      </c>
      <c r="AG1017" s="14" t="str">
        <f t="shared" si="34"/>
        <v>CONSULTA PSIQUIATRICA</v>
      </c>
      <c r="AH1017" s="9">
        <v>0</v>
      </c>
      <c r="AI1017" s="9">
        <v>0</v>
      </c>
      <c r="AJ1017" s="9">
        <v>76696200</v>
      </c>
      <c r="AK1017" s="9">
        <v>9</v>
      </c>
      <c r="AL1017" s="26" t="s">
        <v>52</v>
      </c>
      <c r="AM1017" s="14" t="s">
        <v>688</v>
      </c>
      <c r="AN1017" s="27" t="str">
        <f t="shared" si="33"/>
        <v>7230416|76696200|917991021|65383608</v>
      </c>
      <c r="AO1017" t="s">
        <v>44</v>
      </c>
      <c r="AP1017" t="b">
        <v>0</v>
      </c>
      <c r="AQ1017" t="s">
        <v>763</v>
      </c>
    </row>
    <row r="1018" spans="1:43" x14ac:dyDescent="0.2">
      <c r="A1018" s="14" t="s">
        <v>500</v>
      </c>
      <c r="B1018" s="17">
        <v>8330037</v>
      </c>
      <c r="C1018" s="14" t="s">
        <v>364</v>
      </c>
      <c r="D1018" s="9">
        <v>8330037</v>
      </c>
      <c r="E1018" s="9" t="s">
        <v>364</v>
      </c>
      <c r="F1018" s="7">
        <v>45658</v>
      </c>
      <c r="G1018" s="20" t="s">
        <v>36</v>
      </c>
      <c r="H1018" s="8">
        <v>918136820</v>
      </c>
      <c r="I1018" s="19">
        <v>918136820</v>
      </c>
      <c r="J1018" s="10">
        <v>66790</v>
      </c>
      <c r="K1018" s="10">
        <v>43266</v>
      </c>
      <c r="L1018" s="10">
        <v>23524</v>
      </c>
      <c r="M1018" s="10">
        <v>0</v>
      </c>
      <c r="N1018" s="11">
        <v>23524</v>
      </c>
      <c r="O1018" s="12">
        <v>918136820</v>
      </c>
      <c r="P1018" s="9">
        <v>285123</v>
      </c>
      <c r="Q1018" s="9" t="s">
        <v>37</v>
      </c>
      <c r="R1018" s="13">
        <v>45686</v>
      </c>
      <c r="S1018" s="22">
        <v>45686</v>
      </c>
      <c r="T1018" s="13">
        <v>45686</v>
      </c>
      <c r="U1018" s="13">
        <v>45686</v>
      </c>
      <c r="V1018" s="9" t="s">
        <v>47</v>
      </c>
      <c r="W1018" s="9">
        <v>22560893</v>
      </c>
      <c r="X1018" s="9">
        <v>2040929</v>
      </c>
      <c r="Y1018" s="9">
        <v>68809532</v>
      </c>
      <c r="Z1018" s="9" t="s">
        <v>39</v>
      </c>
      <c r="AA1018" s="9">
        <v>2022025</v>
      </c>
      <c r="AB1018" s="9">
        <v>77562</v>
      </c>
      <c r="AC1018" s="9" t="s">
        <v>41</v>
      </c>
      <c r="AD1018" s="9" t="s">
        <v>132</v>
      </c>
      <c r="AE1018" s="9" t="s">
        <v>133</v>
      </c>
      <c r="AF1018" s="9" t="s">
        <v>133</v>
      </c>
      <c r="AG1018" s="14" t="str">
        <f t="shared" si="34"/>
        <v>EXAMENES DE LABORATORIO</v>
      </c>
      <c r="AH1018" s="9" t="s">
        <v>758</v>
      </c>
      <c r="AI1018" s="9">
        <v>0</v>
      </c>
      <c r="AJ1018" s="9">
        <v>96986050</v>
      </c>
      <c r="AK1018" s="9">
        <v>3</v>
      </c>
      <c r="AL1018" s="26" t="s">
        <v>62</v>
      </c>
      <c r="AM1018" s="14" t="s">
        <v>660</v>
      </c>
      <c r="AN1018" s="27" t="str">
        <f t="shared" si="33"/>
        <v>8330037|96986050|918136820|918136820</v>
      </c>
      <c r="AO1018" t="s">
        <v>758</v>
      </c>
      <c r="AP1018" t="b">
        <v>1</v>
      </c>
      <c r="AQ1018" t="s">
        <v>764</v>
      </c>
    </row>
    <row r="1019" spans="1:43" x14ac:dyDescent="0.2">
      <c r="A1019" s="14" t="s">
        <v>500</v>
      </c>
      <c r="B1019" s="17">
        <v>8330037</v>
      </c>
      <c r="C1019" s="14" t="s">
        <v>364</v>
      </c>
      <c r="D1019" s="9">
        <v>8330037</v>
      </c>
      <c r="E1019" s="9" t="s">
        <v>364</v>
      </c>
      <c r="F1019" s="7">
        <v>45717</v>
      </c>
      <c r="G1019" s="20" t="s">
        <v>46</v>
      </c>
      <c r="H1019" s="8">
        <v>918136820</v>
      </c>
      <c r="I1019" s="19">
        <v>65383649</v>
      </c>
      <c r="J1019" s="10">
        <v>21112</v>
      </c>
      <c r="K1019" s="10">
        <v>0</v>
      </c>
      <c r="L1019" s="10">
        <v>21112</v>
      </c>
      <c r="M1019" s="10">
        <v>0</v>
      </c>
      <c r="N1019" s="11">
        <v>21112</v>
      </c>
      <c r="O1019" s="12">
        <v>918136820</v>
      </c>
      <c r="P1019" s="9">
        <v>285123</v>
      </c>
      <c r="Q1019" s="9" t="s">
        <v>37</v>
      </c>
      <c r="R1019" s="13">
        <v>45717</v>
      </c>
      <c r="S1019" s="22">
        <v>45742</v>
      </c>
      <c r="T1019" s="13">
        <v>45686</v>
      </c>
      <c r="U1019" s="13">
        <v>45686</v>
      </c>
      <c r="V1019" s="9" t="s">
        <v>47</v>
      </c>
      <c r="W1019" s="9">
        <v>22770461</v>
      </c>
      <c r="X1019" s="9">
        <v>3311105</v>
      </c>
      <c r="Y1019" s="9">
        <v>69250540</v>
      </c>
      <c r="Z1019" s="9" t="s">
        <v>39</v>
      </c>
      <c r="AA1019" s="9">
        <v>21874964</v>
      </c>
      <c r="AB1019" s="9">
        <v>78070</v>
      </c>
      <c r="AC1019" s="9" t="s">
        <v>41</v>
      </c>
      <c r="AD1019" s="9" t="s">
        <v>132</v>
      </c>
      <c r="AE1019" s="9" t="s">
        <v>133</v>
      </c>
      <c r="AF1019" s="9" t="s">
        <v>133</v>
      </c>
      <c r="AG1019" s="14" t="str">
        <f t="shared" si="34"/>
        <v>EXAMENES DE LABORATORIO</v>
      </c>
      <c r="AH1019" s="9">
        <v>0</v>
      </c>
      <c r="AI1019" s="9">
        <v>0</v>
      </c>
      <c r="AJ1019" s="9">
        <v>96986050</v>
      </c>
      <c r="AK1019" s="9">
        <v>3</v>
      </c>
      <c r="AL1019" s="26" t="s">
        <v>52</v>
      </c>
      <c r="AM1019" s="14" t="s">
        <v>660</v>
      </c>
      <c r="AN1019" s="27" t="str">
        <f t="shared" si="33"/>
        <v>8330037|96986050|918136820|65383649</v>
      </c>
      <c r="AO1019" t="s">
        <v>44</v>
      </c>
      <c r="AP1019" t="b">
        <v>0</v>
      </c>
      <c r="AQ1019" t="s">
        <v>763</v>
      </c>
    </row>
    <row r="1020" spans="1:43" x14ac:dyDescent="0.2">
      <c r="A1020" s="14" t="s">
        <v>500</v>
      </c>
      <c r="B1020" s="17">
        <v>8330037</v>
      </c>
      <c r="C1020" s="14" t="s">
        <v>364</v>
      </c>
      <c r="D1020" s="9">
        <v>8330037</v>
      </c>
      <c r="E1020" s="9" t="s">
        <v>364</v>
      </c>
      <c r="F1020" s="7">
        <v>45658</v>
      </c>
      <c r="G1020" s="20" t="s">
        <v>36</v>
      </c>
      <c r="H1020" s="8">
        <v>918136821</v>
      </c>
      <c r="I1020" s="19">
        <v>918136821</v>
      </c>
      <c r="J1020" s="10">
        <v>2960</v>
      </c>
      <c r="K1020" s="10">
        <v>2554</v>
      </c>
      <c r="L1020" s="10">
        <v>406</v>
      </c>
      <c r="M1020" s="10">
        <v>0</v>
      </c>
      <c r="N1020" s="11">
        <v>406</v>
      </c>
      <c r="O1020" s="12">
        <v>918136821</v>
      </c>
      <c r="P1020" s="9">
        <v>285123</v>
      </c>
      <c r="Q1020" s="9" t="s">
        <v>37</v>
      </c>
      <c r="R1020" s="13">
        <v>45686</v>
      </c>
      <c r="S1020" s="22">
        <v>45686</v>
      </c>
      <c r="T1020" s="13">
        <v>45686</v>
      </c>
      <c r="U1020" s="13">
        <v>45686</v>
      </c>
      <c r="V1020" s="9" t="s">
        <v>47</v>
      </c>
      <c r="W1020" s="9">
        <v>22560893</v>
      </c>
      <c r="X1020" s="9">
        <v>2040929</v>
      </c>
      <c r="Y1020" s="9">
        <v>68809531</v>
      </c>
      <c r="Z1020" s="9" t="s">
        <v>39</v>
      </c>
      <c r="AA1020" s="9">
        <v>2022025</v>
      </c>
      <c r="AB1020" s="9">
        <v>77562</v>
      </c>
      <c r="AC1020" s="9" t="s">
        <v>41</v>
      </c>
      <c r="AD1020" s="9" t="s">
        <v>132</v>
      </c>
      <c r="AE1020" s="9" t="s">
        <v>133</v>
      </c>
      <c r="AF1020" s="9" t="s">
        <v>133</v>
      </c>
      <c r="AG1020" s="14" t="str">
        <f t="shared" si="34"/>
        <v>EXAMENES DE LABORATORIO</v>
      </c>
      <c r="AH1020" s="9" t="s">
        <v>758</v>
      </c>
      <c r="AI1020" s="9">
        <v>0</v>
      </c>
      <c r="AJ1020" s="9">
        <v>96986050</v>
      </c>
      <c r="AK1020" s="9">
        <v>3</v>
      </c>
      <c r="AL1020" s="26" t="s">
        <v>62</v>
      </c>
      <c r="AM1020" s="14" t="s">
        <v>660</v>
      </c>
      <c r="AN1020" s="27" t="str">
        <f t="shared" si="33"/>
        <v>8330037|96986050|918136821|918136821</v>
      </c>
      <c r="AO1020" t="s">
        <v>758</v>
      </c>
      <c r="AP1020" t="b">
        <v>1</v>
      </c>
      <c r="AQ1020" t="s">
        <v>764</v>
      </c>
    </row>
    <row r="1021" spans="1:43" x14ac:dyDescent="0.2">
      <c r="A1021" s="14" t="s">
        <v>500</v>
      </c>
      <c r="B1021" s="17">
        <v>8330037</v>
      </c>
      <c r="C1021" s="14" t="s">
        <v>364</v>
      </c>
      <c r="D1021" s="9">
        <v>8330037</v>
      </c>
      <c r="E1021" s="9" t="s">
        <v>364</v>
      </c>
      <c r="F1021" s="7">
        <v>45717</v>
      </c>
      <c r="G1021" s="20" t="s">
        <v>46</v>
      </c>
      <c r="H1021" s="8">
        <v>918136821</v>
      </c>
      <c r="I1021" s="19">
        <v>65383650</v>
      </c>
      <c r="J1021" s="10">
        <v>383</v>
      </c>
      <c r="K1021" s="10">
        <v>0</v>
      </c>
      <c r="L1021" s="10">
        <v>383</v>
      </c>
      <c r="M1021" s="10">
        <v>0</v>
      </c>
      <c r="N1021" s="11">
        <v>383</v>
      </c>
      <c r="O1021" s="12">
        <v>918136821</v>
      </c>
      <c r="P1021" s="9">
        <v>285123</v>
      </c>
      <c r="Q1021" s="9" t="s">
        <v>37</v>
      </c>
      <c r="R1021" s="13">
        <v>45717</v>
      </c>
      <c r="S1021" s="22">
        <v>45742</v>
      </c>
      <c r="T1021" s="13">
        <v>45686</v>
      </c>
      <c r="U1021" s="13">
        <v>45686</v>
      </c>
      <c r="V1021" s="9" t="s">
        <v>47</v>
      </c>
      <c r="W1021" s="9">
        <v>22770461</v>
      </c>
      <c r="X1021" s="9">
        <v>3311105</v>
      </c>
      <c r="Y1021" s="9">
        <v>69250541</v>
      </c>
      <c r="Z1021" s="9" t="s">
        <v>39</v>
      </c>
      <c r="AA1021" s="9">
        <v>21874964</v>
      </c>
      <c r="AB1021" s="9">
        <v>78070</v>
      </c>
      <c r="AC1021" s="9" t="s">
        <v>41</v>
      </c>
      <c r="AD1021" s="9" t="s">
        <v>132</v>
      </c>
      <c r="AE1021" s="9" t="s">
        <v>133</v>
      </c>
      <c r="AF1021" s="9" t="s">
        <v>133</v>
      </c>
      <c r="AG1021" s="14" t="str">
        <f t="shared" si="34"/>
        <v>EXAMENES DE LABORATORIO</v>
      </c>
      <c r="AH1021" s="9">
        <v>0</v>
      </c>
      <c r="AI1021" s="9">
        <v>0</v>
      </c>
      <c r="AJ1021" s="9">
        <v>96986050</v>
      </c>
      <c r="AK1021" s="9">
        <v>3</v>
      </c>
      <c r="AL1021" s="26" t="s">
        <v>52</v>
      </c>
      <c r="AM1021" s="14" t="s">
        <v>660</v>
      </c>
      <c r="AN1021" s="27" t="str">
        <f t="shared" si="33"/>
        <v>8330037|96986050|918136821|65383650</v>
      </c>
      <c r="AO1021" t="s">
        <v>44</v>
      </c>
      <c r="AP1021" t="b">
        <v>0</v>
      </c>
      <c r="AQ1021" t="s">
        <v>763</v>
      </c>
    </row>
    <row r="1022" spans="1:43" x14ac:dyDescent="0.2">
      <c r="A1022" s="14" t="s">
        <v>500</v>
      </c>
      <c r="B1022" s="17">
        <v>8330037</v>
      </c>
      <c r="C1022" s="14" t="s">
        <v>364</v>
      </c>
      <c r="D1022" s="9">
        <v>8330037</v>
      </c>
      <c r="E1022" s="9" t="s">
        <v>364</v>
      </c>
      <c r="F1022" s="7">
        <v>45658</v>
      </c>
      <c r="G1022" s="20" t="s">
        <v>36</v>
      </c>
      <c r="H1022" s="8">
        <v>918145278</v>
      </c>
      <c r="I1022" s="19">
        <v>918145278</v>
      </c>
      <c r="J1022" s="10">
        <v>12770</v>
      </c>
      <c r="K1022" s="10">
        <v>11014</v>
      </c>
      <c r="L1022" s="10">
        <v>1756</v>
      </c>
      <c r="M1022" s="10">
        <v>0</v>
      </c>
      <c r="N1022" s="11">
        <v>1756</v>
      </c>
      <c r="O1022" s="12">
        <v>918145278</v>
      </c>
      <c r="P1022" s="9">
        <v>285123</v>
      </c>
      <c r="Q1022" s="9" t="s">
        <v>37</v>
      </c>
      <c r="R1022" s="13">
        <v>45686</v>
      </c>
      <c r="S1022" s="22">
        <v>45686</v>
      </c>
      <c r="T1022" s="13">
        <v>45686</v>
      </c>
      <c r="U1022" s="13">
        <v>45686</v>
      </c>
      <c r="V1022" s="9" t="s">
        <v>47</v>
      </c>
      <c r="W1022" s="9">
        <v>22560893</v>
      </c>
      <c r="X1022" s="9">
        <v>2040929</v>
      </c>
      <c r="Y1022" s="9">
        <v>68809571</v>
      </c>
      <c r="Z1022" s="9" t="s">
        <v>39</v>
      </c>
      <c r="AA1022" s="9">
        <v>2022025</v>
      </c>
      <c r="AB1022" s="9">
        <v>77562</v>
      </c>
      <c r="AC1022" s="9" t="s">
        <v>41</v>
      </c>
      <c r="AD1022" s="9" t="s">
        <v>134</v>
      </c>
      <c r="AE1022" s="9" t="s">
        <v>135</v>
      </c>
      <c r="AF1022" s="9" t="s">
        <v>135</v>
      </c>
      <c r="AG1022" s="14" t="str">
        <f t="shared" si="34"/>
        <v>EXAMENES RADIOLOGICOS</v>
      </c>
      <c r="AH1022" s="9" t="s">
        <v>758</v>
      </c>
      <c r="AI1022" s="9">
        <v>0</v>
      </c>
      <c r="AJ1022" s="9">
        <v>76098454</v>
      </c>
      <c r="AK1022" s="9" t="s">
        <v>161</v>
      </c>
      <c r="AL1022" s="26" t="s">
        <v>62</v>
      </c>
      <c r="AM1022" s="14" t="s">
        <v>660</v>
      </c>
      <c r="AN1022" s="27" t="str">
        <f t="shared" si="33"/>
        <v>8330037|76098454|918145278|918145278</v>
      </c>
      <c r="AO1022" t="s">
        <v>758</v>
      </c>
      <c r="AP1022" t="b">
        <v>1</v>
      </c>
      <c r="AQ1022" t="s">
        <v>764</v>
      </c>
    </row>
    <row r="1023" spans="1:43" x14ac:dyDescent="0.2">
      <c r="A1023" s="14" t="s">
        <v>500</v>
      </c>
      <c r="B1023" s="17">
        <v>8330037</v>
      </c>
      <c r="C1023" s="14" t="s">
        <v>364</v>
      </c>
      <c r="D1023" s="9">
        <v>8330037</v>
      </c>
      <c r="E1023" s="9" t="s">
        <v>364</v>
      </c>
      <c r="F1023" s="7">
        <v>45717</v>
      </c>
      <c r="G1023" s="20" t="s">
        <v>46</v>
      </c>
      <c r="H1023" s="8">
        <v>918145278</v>
      </c>
      <c r="I1023" s="19">
        <v>65383651</v>
      </c>
      <c r="J1023" s="10">
        <v>1919</v>
      </c>
      <c r="K1023" s="10">
        <v>0</v>
      </c>
      <c r="L1023" s="10">
        <v>1919</v>
      </c>
      <c r="M1023" s="10">
        <v>0</v>
      </c>
      <c r="N1023" s="11">
        <v>1919</v>
      </c>
      <c r="O1023" s="12">
        <v>918145278</v>
      </c>
      <c r="P1023" s="9">
        <v>285123</v>
      </c>
      <c r="Q1023" s="9" t="s">
        <v>37</v>
      </c>
      <c r="R1023" s="13">
        <v>45717</v>
      </c>
      <c r="S1023" s="22">
        <v>45742</v>
      </c>
      <c r="T1023" s="13">
        <v>45686</v>
      </c>
      <c r="U1023" s="13">
        <v>45686</v>
      </c>
      <c r="V1023" s="9" t="s">
        <v>47</v>
      </c>
      <c r="W1023" s="9">
        <v>22770461</v>
      </c>
      <c r="X1023" s="9">
        <v>3311105</v>
      </c>
      <c r="Y1023" s="9">
        <v>69250542</v>
      </c>
      <c r="Z1023" s="9" t="s">
        <v>39</v>
      </c>
      <c r="AA1023" s="9">
        <v>21874964</v>
      </c>
      <c r="AB1023" s="9">
        <v>78070</v>
      </c>
      <c r="AC1023" s="9" t="s">
        <v>41</v>
      </c>
      <c r="AD1023" s="9" t="s">
        <v>134</v>
      </c>
      <c r="AE1023" s="9" t="s">
        <v>135</v>
      </c>
      <c r="AF1023" s="9" t="s">
        <v>135</v>
      </c>
      <c r="AG1023" s="14" t="str">
        <f t="shared" si="34"/>
        <v>EXAMENES RADIOLOGICOS</v>
      </c>
      <c r="AH1023" s="9">
        <v>0</v>
      </c>
      <c r="AI1023" s="9">
        <v>0</v>
      </c>
      <c r="AJ1023" s="9">
        <v>76098454</v>
      </c>
      <c r="AK1023" s="9" t="s">
        <v>161</v>
      </c>
      <c r="AL1023" s="26" t="s">
        <v>52</v>
      </c>
      <c r="AM1023" s="14" t="s">
        <v>660</v>
      </c>
      <c r="AN1023" s="27" t="str">
        <f t="shared" si="33"/>
        <v>8330037|76098454|918145278|65383651</v>
      </c>
      <c r="AO1023" t="s">
        <v>44</v>
      </c>
      <c r="AP1023" t="b">
        <v>0</v>
      </c>
      <c r="AQ1023" t="s">
        <v>763</v>
      </c>
    </row>
    <row r="1024" spans="1:43" x14ac:dyDescent="0.2">
      <c r="A1024" s="14" t="s">
        <v>500</v>
      </c>
      <c r="B1024" s="17">
        <v>26464544</v>
      </c>
      <c r="C1024" s="14" t="s">
        <v>389</v>
      </c>
      <c r="D1024" s="9">
        <v>26464544</v>
      </c>
      <c r="E1024" s="9" t="s">
        <v>389</v>
      </c>
      <c r="F1024" s="7">
        <v>45658</v>
      </c>
      <c r="G1024" s="20" t="s">
        <v>36</v>
      </c>
      <c r="H1024" s="8">
        <v>918207792</v>
      </c>
      <c r="I1024" s="19">
        <v>918207792</v>
      </c>
      <c r="J1024" s="10">
        <v>34790</v>
      </c>
      <c r="K1024" s="10">
        <v>25226</v>
      </c>
      <c r="L1024" s="10">
        <v>9564</v>
      </c>
      <c r="M1024" s="10">
        <v>0</v>
      </c>
      <c r="N1024" s="11">
        <v>9564</v>
      </c>
      <c r="O1024" s="12">
        <v>918207792</v>
      </c>
      <c r="P1024" s="9">
        <v>285123</v>
      </c>
      <c r="Q1024" s="9" t="s">
        <v>37</v>
      </c>
      <c r="R1024" s="13">
        <v>45687</v>
      </c>
      <c r="S1024" s="22">
        <v>45687</v>
      </c>
      <c r="T1024" s="13">
        <v>45687</v>
      </c>
      <c r="U1024" s="13">
        <v>45687</v>
      </c>
      <c r="V1024" s="9" t="s">
        <v>47</v>
      </c>
      <c r="W1024" s="9">
        <v>22560989</v>
      </c>
      <c r="X1024" s="9">
        <v>2040929</v>
      </c>
      <c r="Y1024" s="9">
        <v>68809990</v>
      </c>
      <c r="Z1024" s="9" t="s">
        <v>39</v>
      </c>
      <c r="AA1024" s="9">
        <v>2022025</v>
      </c>
      <c r="AB1024" s="9">
        <v>77562</v>
      </c>
      <c r="AC1024" s="9" t="s">
        <v>41</v>
      </c>
      <c r="AD1024" s="9" t="s">
        <v>132</v>
      </c>
      <c r="AE1024" s="9" t="s">
        <v>133</v>
      </c>
      <c r="AF1024" s="9" t="s">
        <v>133</v>
      </c>
      <c r="AG1024" s="14" t="str">
        <f t="shared" si="34"/>
        <v>EXAMENES DE LABORATORIO</v>
      </c>
      <c r="AH1024" s="9" t="s">
        <v>758</v>
      </c>
      <c r="AI1024" s="9">
        <v>0</v>
      </c>
      <c r="AJ1024" s="9">
        <v>96986050</v>
      </c>
      <c r="AK1024" s="9">
        <v>3</v>
      </c>
      <c r="AL1024" s="26" t="s">
        <v>62</v>
      </c>
      <c r="AM1024" s="14" t="s">
        <v>680</v>
      </c>
      <c r="AN1024" s="27" t="str">
        <f t="shared" si="33"/>
        <v>26464544|96986050|918207792|918207792</v>
      </c>
      <c r="AO1024" t="s">
        <v>758</v>
      </c>
      <c r="AP1024" t="b">
        <v>1</v>
      </c>
      <c r="AQ1024" t="s">
        <v>764</v>
      </c>
    </row>
    <row r="1025" spans="1:43" x14ac:dyDescent="0.2">
      <c r="A1025" s="14" t="s">
        <v>500</v>
      </c>
      <c r="B1025" s="17">
        <v>26464544</v>
      </c>
      <c r="C1025" s="14" t="s">
        <v>389</v>
      </c>
      <c r="D1025" s="9">
        <v>26464544</v>
      </c>
      <c r="E1025" s="9" t="s">
        <v>389</v>
      </c>
      <c r="F1025" s="7">
        <v>45717</v>
      </c>
      <c r="G1025" s="20" t="s">
        <v>46</v>
      </c>
      <c r="H1025" s="8">
        <v>918207792</v>
      </c>
      <c r="I1025" s="19">
        <v>65384546</v>
      </c>
      <c r="J1025" s="10">
        <v>9595</v>
      </c>
      <c r="K1025" s="10">
        <v>0</v>
      </c>
      <c r="L1025" s="10">
        <v>9595</v>
      </c>
      <c r="M1025" s="10">
        <v>0</v>
      </c>
      <c r="N1025" s="11">
        <v>9595</v>
      </c>
      <c r="O1025" s="12">
        <v>918207792</v>
      </c>
      <c r="P1025" s="9">
        <v>285123</v>
      </c>
      <c r="Q1025" s="9" t="s">
        <v>37</v>
      </c>
      <c r="R1025" s="13">
        <v>45717</v>
      </c>
      <c r="S1025" s="22">
        <v>45742</v>
      </c>
      <c r="T1025" s="13">
        <v>45687</v>
      </c>
      <c r="U1025" s="13">
        <v>45687</v>
      </c>
      <c r="V1025" s="9" t="s">
        <v>47</v>
      </c>
      <c r="W1025" s="9">
        <v>22770478</v>
      </c>
      <c r="X1025" s="9">
        <v>3311105</v>
      </c>
      <c r="Y1025" s="9">
        <v>69251409</v>
      </c>
      <c r="Z1025" s="9" t="s">
        <v>39</v>
      </c>
      <c r="AA1025" s="9">
        <v>64880648</v>
      </c>
      <c r="AB1025" s="9">
        <v>78070</v>
      </c>
      <c r="AC1025" s="9" t="s">
        <v>41</v>
      </c>
      <c r="AD1025" s="9" t="s">
        <v>132</v>
      </c>
      <c r="AE1025" s="9" t="s">
        <v>133</v>
      </c>
      <c r="AF1025" s="9" t="s">
        <v>133</v>
      </c>
      <c r="AG1025" s="14" t="str">
        <f t="shared" si="34"/>
        <v>EXAMENES DE LABORATORIO</v>
      </c>
      <c r="AH1025" s="9">
        <v>0</v>
      </c>
      <c r="AI1025" s="9">
        <v>0</v>
      </c>
      <c r="AJ1025" s="9">
        <v>96986050</v>
      </c>
      <c r="AK1025" s="9">
        <v>3</v>
      </c>
      <c r="AL1025" s="26" t="s">
        <v>52</v>
      </c>
      <c r="AM1025" s="14" t="s">
        <v>680</v>
      </c>
      <c r="AN1025" s="27" t="str">
        <f t="shared" si="33"/>
        <v>26464544|96986050|918207792|65384546</v>
      </c>
      <c r="AO1025" t="s">
        <v>44</v>
      </c>
      <c r="AP1025" t="b">
        <v>0</v>
      </c>
      <c r="AQ1025" t="s">
        <v>763</v>
      </c>
    </row>
    <row r="1026" spans="1:43" x14ac:dyDescent="0.2">
      <c r="A1026" s="14" t="s">
        <v>500</v>
      </c>
      <c r="B1026" s="17">
        <v>26464544</v>
      </c>
      <c r="C1026" s="14" t="s">
        <v>389</v>
      </c>
      <c r="D1026" s="9">
        <v>26464544</v>
      </c>
      <c r="E1026" s="9" t="s">
        <v>389</v>
      </c>
      <c r="F1026" s="7">
        <v>45658</v>
      </c>
      <c r="G1026" s="20" t="s">
        <v>36</v>
      </c>
      <c r="H1026" s="8">
        <v>918207793</v>
      </c>
      <c r="I1026" s="19">
        <v>918207793</v>
      </c>
      <c r="J1026" s="10">
        <v>26080</v>
      </c>
      <c r="K1026" s="10">
        <v>18908</v>
      </c>
      <c r="L1026" s="10">
        <v>7172</v>
      </c>
      <c r="M1026" s="10">
        <v>0</v>
      </c>
      <c r="N1026" s="11">
        <v>7172</v>
      </c>
      <c r="O1026" s="12">
        <v>918207793</v>
      </c>
      <c r="P1026" s="9">
        <v>285123</v>
      </c>
      <c r="Q1026" s="9" t="s">
        <v>37</v>
      </c>
      <c r="R1026" s="13">
        <v>45687</v>
      </c>
      <c r="S1026" s="22">
        <v>45687</v>
      </c>
      <c r="T1026" s="13">
        <v>45687</v>
      </c>
      <c r="U1026" s="13">
        <v>45687</v>
      </c>
      <c r="V1026" s="9" t="s">
        <v>47</v>
      </c>
      <c r="W1026" s="9">
        <v>22560989</v>
      </c>
      <c r="X1026" s="9">
        <v>2040929</v>
      </c>
      <c r="Y1026" s="9">
        <v>68809989</v>
      </c>
      <c r="Z1026" s="9" t="s">
        <v>39</v>
      </c>
      <c r="AA1026" s="9">
        <v>2022025</v>
      </c>
      <c r="AB1026" s="9">
        <v>77562</v>
      </c>
      <c r="AC1026" s="9" t="s">
        <v>41</v>
      </c>
      <c r="AD1026" s="9" t="s">
        <v>132</v>
      </c>
      <c r="AE1026" s="9" t="s">
        <v>133</v>
      </c>
      <c r="AF1026" s="9" t="s">
        <v>133</v>
      </c>
      <c r="AG1026" s="14" t="str">
        <f t="shared" si="34"/>
        <v>EXAMENES DE LABORATORIO</v>
      </c>
      <c r="AH1026" s="9" t="s">
        <v>758</v>
      </c>
      <c r="AI1026" s="9">
        <v>0</v>
      </c>
      <c r="AJ1026" s="9">
        <v>96986050</v>
      </c>
      <c r="AK1026" s="9">
        <v>3</v>
      </c>
      <c r="AL1026" s="26" t="s">
        <v>62</v>
      </c>
      <c r="AM1026" s="14" t="s">
        <v>680</v>
      </c>
      <c r="AN1026" s="27" t="str">
        <f t="shared" si="33"/>
        <v>26464544|96986050|918207793|918207793</v>
      </c>
      <c r="AO1026" t="s">
        <v>758</v>
      </c>
      <c r="AP1026" t="b">
        <v>1</v>
      </c>
      <c r="AQ1026" t="s">
        <v>764</v>
      </c>
    </row>
    <row r="1027" spans="1:43" x14ac:dyDescent="0.2">
      <c r="A1027" s="14" t="s">
        <v>500</v>
      </c>
      <c r="B1027" s="17">
        <v>26464544</v>
      </c>
      <c r="C1027" s="14" t="s">
        <v>389</v>
      </c>
      <c r="D1027" s="9">
        <v>26464544</v>
      </c>
      <c r="E1027" s="9" t="s">
        <v>389</v>
      </c>
      <c r="F1027" s="7">
        <v>45717</v>
      </c>
      <c r="G1027" s="20" t="s">
        <v>46</v>
      </c>
      <c r="H1027" s="8">
        <v>918207793</v>
      </c>
      <c r="I1027" s="19">
        <v>65384547</v>
      </c>
      <c r="J1027" s="10">
        <v>7293</v>
      </c>
      <c r="K1027" s="10">
        <v>0</v>
      </c>
      <c r="L1027" s="10">
        <v>7293</v>
      </c>
      <c r="M1027" s="10">
        <v>0</v>
      </c>
      <c r="N1027" s="11">
        <v>7293</v>
      </c>
      <c r="O1027" s="12">
        <v>918207793</v>
      </c>
      <c r="P1027" s="9">
        <v>285123</v>
      </c>
      <c r="Q1027" s="9" t="s">
        <v>37</v>
      </c>
      <c r="R1027" s="13">
        <v>45717</v>
      </c>
      <c r="S1027" s="22">
        <v>45742</v>
      </c>
      <c r="T1027" s="13">
        <v>45687</v>
      </c>
      <c r="U1027" s="13">
        <v>45687</v>
      </c>
      <c r="V1027" s="9" t="s">
        <v>47</v>
      </c>
      <c r="W1027" s="9">
        <v>22770478</v>
      </c>
      <c r="X1027" s="9">
        <v>3311105</v>
      </c>
      <c r="Y1027" s="9">
        <v>69251410</v>
      </c>
      <c r="Z1027" s="9" t="s">
        <v>39</v>
      </c>
      <c r="AA1027" s="9">
        <v>64880648</v>
      </c>
      <c r="AB1027" s="9">
        <v>78070</v>
      </c>
      <c r="AC1027" s="9" t="s">
        <v>41</v>
      </c>
      <c r="AD1027" s="9" t="s">
        <v>132</v>
      </c>
      <c r="AE1027" s="9" t="s">
        <v>133</v>
      </c>
      <c r="AF1027" s="9" t="s">
        <v>133</v>
      </c>
      <c r="AG1027" s="14" t="str">
        <f t="shared" si="34"/>
        <v>EXAMENES DE LABORATORIO</v>
      </c>
      <c r="AH1027" s="9">
        <v>0</v>
      </c>
      <c r="AI1027" s="9">
        <v>0</v>
      </c>
      <c r="AJ1027" s="9">
        <v>96986050</v>
      </c>
      <c r="AK1027" s="9">
        <v>3</v>
      </c>
      <c r="AL1027" s="26" t="s">
        <v>52</v>
      </c>
      <c r="AM1027" s="14" t="s">
        <v>680</v>
      </c>
      <c r="AN1027" s="27" t="str">
        <f t="shared" ref="AN1027:AN1090" si="35">B1027&amp;"|"&amp;AJ1027&amp;"|"&amp;H1027&amp;"|"&amp;I1027</f>
        <v>26464544|96986050|918207793|65384547</v>
      </c>
      <c r="AO1027" t="s">
        <v>44</v>
      </c>
      <c r="AP1027" t="b">
        <v>0</v>
      </c>
      <c r="AQ1027" t="s">
        <v>763</v>
      </c>
    </row>
    <row r="1028" spans="1:43" x14ac:dyDescent="0.2">
      <c r="A1028" s="14" t="s">
        <v>500</v>
      </c>
      <c r="B1028" s="17">
        <v>10586495</v>
      </c>
      <c r="C1028" s="14" t="s">
        <v>401</v>
      </c>
      <c r="D1028" s="9">
        <v>10586495</v>
      </c>
      <c r="E1028" s="9" t="s">
        <v>401</v>
      </c>
      <c r="F1028" s="7">
        <v>45658</v>
      </c>
      <c r="G1028" s="20" t="s">
        <v>36</v>
      </c>
      <c r="H1028" s="8">
        <v>918209723</v>
      </c>
      <c r="I1028" s="19">
        <v>918209723</v>
      </c>
      <c r="J1028" s="10">
        <v>123300</v>
      </c>
      <c r="K1028" s="10">
        <v>58320</v>
      </c>
      <c r="L1028" s="10">
        <v>64980</v>
      </c>
      <c r="M1028" s="10">
        <v>0</v>
      </c>
      <c r="N1028" s="11">
        <v>12240</v>
      </c>
      <c r="O1028" s="12">
        <v>918209723</v>
      </c>
      <c r="P1028" s="9">
        <v>285123</v>
      </c>
      <c r="Q1028" s="9" t="s">
        <v>37</v>
      </c>
      <c r="R1028" s="13">
        <v>45687</v>
      </c>
      <c r="S1028" s="22">
        <v>45687</v>
      </c>
      <c r="T1028" s="13">
        <v>45687</v>
      </c>
      <c r="U1028" s="13">
        <v>45687</v>
      </c>
      <c r="V1028" s="9" t="s">
        <v>47</v>
      </c>
      <c r="W1028" s="9">
        <v>22560957</v>
      </c>
      <c r="X1028" s="9">
        <v>2040929</v>
      </c>
      <c r="Y1028" s="9">
        <v>68810012</v>
      </c>
      <c r="Z1028" s="9" t="s">
        <v>39</v>
      </c>
      <c r="AA1028" s="9">
        <v>2022025</v>
      </c>
      <c r="AB1028" s="9">
        <v>77562</v>
      </c>
      <c r="AC1028" s="9" t="s">
        <v>41</v>
      </c>
      <c r="AD1028" s="9" t="s">
        <v>65</v>
      </c>
      <c r="AE1028" s="9" t="s">
        <v>66</v>
      </c>
      <c r="AF1028" s="9" t="s">
        <v>66</v>
      </c>
      <c r="AG1028" s="14" t="str">
        <f t="shared" si="34"/>
        <v>PROCEDIMIENTOS TERAPEUTICOS</v>
      </c>
      <c r="AH1028" s="9" t="s">
        <v>758</v>
      </c>
      <c r="AI1028" s="9">
        <v>0</v>
      </c>
      <c r="AJ1028" s="9">
        <v>78739580</v>
      </c>
      <c r="AK1028" s="9">
        <v>5</v>
      </c>
      <c r="AL1028" s="26" t="s">
        <v>62</v>
      </c>
      <c r="AM1028" s="14" t="s">
        <v>689</v>
      </c>
      <c r="AN1028" s="27" t="str">
        <f t="shared" si="35"/>
        <v>10586495|78739580|918209723|918209723</v>
      </c>
      <c r="AO1028" t="s">
        <v>758</v>
      </c>
      <c r="AP1028" t="b">
        <v>1</v>
      </c>
      <c r="AQ1028" t="s">
        <v>764</v>
      </c>
    </row>
    <row r="1029" spans="1:43" x14ac:dyDescent="0.2">
      <c r="A1029" s="14" t="s">
        <v>500</v>
      </c>
      <c r="B1029" s="17">
        <v>10586495</v>
      </c>
      <c r="C1029" s="14" t="s">
        <v>401</v>
      </c>
      <c r="D1029" s="9">
        <v>10586495</v>
      </c>
      <c r="E1029" s="9" t="s">
        <v>401</v>
      </c>
      <c r="F1029" s="7">
        <v>45717</v>
      </c>
      <c r="G1029" s="20" t="s">
        <v>46</v>
      </c>
      <c r="H1029" s="8">
        <v>918209723</v>
      </c>
      <c r="I1029" s="19">
        <v>65383870</v>
      </c>
      <c r="J1029" s="10">
        <v>36851</v>
      </c>
      <c r="K1029" s="10">
        <v>0</v>
      </c>
      <c r="L1029" s="10">
        <v>36851</v>
      </c>
      <c r="M1029" s="10">
        <v>0</v>
      </c>
      <c r="N1029" s="11">
        <v>36851</v>
      </c>
      <c r="O1029" s="12">
        <v>918209723</v>
      </c>
      <c r="P1029" s="9">
        <v>285123</v>
      </c>
      <c r="Q1029" s="9" t="s">
        <v>37</v>
      </c>
      <c r="R1029" s="13">
        <v>45717</v>
      </c>
      <c r="S1029" s="22">
        <v>45742</v>
      </c>
      <c r="T1029" s="13">
        <v>45687</v>
      </c>
      <c r="U1029" s="13">
        <v>45687</v>
      </c>
      <c r="V1029" s="9" t="s">
        <v>47</v>
      </c>
      <c r="W1029" s="9">
        <v>22770468</v>
      </c>
      <c r="X1029" s="9">
        <v>3311105</v>
      </c>
      <c r="Y1029" s="9">
        <v>69250759</v>
      </c>
      <c r="Z1029" s="9" t="s">
        <v>39</v>
      </c>
      <c r="AA1029" s="9">
        <v>50964119</v>
      </c>
      <c r="AB1029" s="9">
        <v>78070</v>
      </c>
      <c r="AC1029" s="9" t="s">
        <v>41</v>
      </c>
      <c r="AD1029" s="9" t="s">
        <v>65</v>
      </c>
      <c r="AE1029" s="9" t="s">
        <v>66</v>
      </c>
      <c r="AF1029" s="9" t="s">
        <v>66</v>
      </c>
      <c r="AG1029" s="14" t="str">
        <f t="shared" si="34"/>
        <v>PROCEDIMIENTOS TERAPEUTICOS</v>
      </c>
      <c r="AH1029" s="9">
        <v>0</v>
      </c>
      <c r="AI1029" s="9">
        <v>0</v>
      </c>
      <c r="AJ1029" s="9">
        <v>78739580</v>
      </c>
      <c r="AK1029" s="9">
        <v>5</v>
      </c>
      <c r="AL1029" s="26" t="s">
        <v>52</v>
      </c>
      <c r="AM1029" s="14" t="s">
        <v>689</v>
      </c>
      <c r="AN1029" s="27" t="str">
        <f t="shared" si="35"/>
        <v>10586495|78739580|918209723|65383870</v>
      </c>
      <c r="AO1029" t="s">
        <v>44</v>
      </c>
      <c r="AP1029" t="b">
        <v>0</v>
      </c>
      <c r="AQ1029" t="s">
        <v>763</v>
      </c>
    </row>
    <row r="1030" spans="1:43" x14ac:dyDescent="0.2">
      <c r="A1030" s="14" t="s">
        <v>500</v>
      </c>
      <c r="B1030" s="17">
        <v>17884354</v>
      </c>
      <c r="C1030" s="14" t="s">
        <v>363</v>
      </c>
      <c r="D1030" s="9">
        <v>17884354</v>
      </c>
      <c r="E1030" s="9" t="s">
        <v>363</v>
      </c>
      <c r="F1030" s="7">
        <v>45658</v>
      </c>
      <c r="G1030" s="20" t="s">
        <v>36</v>
      </c>
      <c r="H1030" s="8">
        <v>918217648</v>
      </c>
      <c r="I1030" s="19">
        <v>918217648</v>
      </c>
      <c r="J1030" s="10">
        <v>28490</v>
      </c>
      <c r="K1030" s="10">
        <v>8910</v>
      </c>
      <c r="L1030" s="10">
        <v>19580</v>
      </c>
      <c r="M1030" s="10">
        <v>0</v>
      </c>
      <c r="N1030" s="11">
        <v>19580</v>
      </c>
      <c r="O1030" s="12">
        <v>918217648</v>
      </c>
      <c r="P1030" s="9">
        <v>285123</v>
      </c>
      <c r="Q1030" s="9" t="s">
        <v>37</v>
      </c>
      <c r="R1030" s="13">
        <v>45687</v>
      </c>
      <c r="S1030" s="22">
        <v>45687</v>
      </c>
      <c r="T1030" s="13">
        <v>45687</v>
      </c>
      <c r="U1030" s="13">
        <v>45687</v>
      </c>
      <c r="V1030" s="9" t="s">
        <v>47</v>
      </c>
      <c r="W1030" s="9">
        <v>22560983</v>
      </c>
      <c r="X1030" s="9">
        <v>2040929</v>
      </c>
      <c r="Y1030" s="9">
        <v>68810075</v>
      </c>
      <c r="Z1030" s="9" t="s">
        <v>39</v>
      </c>
      <c r="AA1030" s="9">
        <v>2022025</v>
      </c>
      <c r="AB1030" s="9">
        <v>77562</v>
      </c>
      <c r="AC1030" s="9" t="s">
        <v>41</v>
      </c>
      <c r="AD1030" s="9" t="s">
        <v>132</v>
      </c>
      <c r="AE1030" s="9" t="s">
        <v>133</v>
      </c>
      <c r="AF1030" s="9" t="s">
        <v>133</v>
      </c>
      <c r="AG1030" s="14" t="str">
        <f t="shared" si="34"/>
        <v>EXAMENES DE LABORATORIO</v>
      </c>
      <c r="AH1030" s="9" t="s">
        <v>758</v>
      </c>
      <c r="AI1030" s="9">
        <v>0</v>
      </c>
      <c r="AJ1030" s="9">
        <v>9461401</v>
      </c>
      <c r="AK1030" s="9">
        <v>5</v>
      </c>
      <c r="AL1030" s="26" t="s">
        <v>62</v>
      </c>
      <c r="AM1030" s="14" t="s">
        <v>659</v>
      </c>
      <c r="AN1030" s="27" t="str">
        <f t="shared" si="35"/>
        <v>17884354|9461401|918217648|918217648</v>
      </c>
      <c r="AO1030" t="s">
        <v>758</v>
      </c>
      <c r="AP1030" t="b">
        <v>1</v>
      </c>
      <c r="AQ1030" t="s">
        <v>764</v>
      </c>
    </row>
    <row r="1031" spans="1:43" x14ac:dyDescent="0.2">
      <c r="A1031" s="14" t="s">
        <v>500</v>
      </c>
      <c r="B1031" s="17">
        <v>17884354</v>
      </c>
      <c r="C1031" s="14" t="s">
        <v>363</v>
      </c>
      <c r="D1031" s="9">
        <v>17884354</v>
      </c>
      <c r="E1031" s="9" t="s">
        <v>363</v>
      </c>
      <c r="F1031" s="7">
        <v>45717</v>
      </c>
      <c r="G1031" s="20" t="s">
        <v>46</v>
      </c>
      <c r="H1031" s="8">
        <v>918217648</v>
      </c>
      <c r="I1031" s="19">
        <v>65384447</v>
      </c>
      <c r="J1031" s="10">
        <v>18039</v>
      </c>
      <c r="K1031" s="10">
        <v>0</v>
      </c>
      <c r="L1031" s="10">
        <v>18039</v>
      </c>
      <c r="M1031" s="10">
        <v>0</v>
      </c>
      <c r="N1031" s="11">
        <v>18039</v>
      </c>
      <c r="O1031" s="12">
        <v>918217648</v>
      </c>
      <c r="P1031" s="9">
        <v>285123</v>
      </c>
      <c r="Q1031" s="9" t="s">
        <v>37</v>
      </c>
      <c r="R1031" s="13">
        <v>45717</v>
      </c>
      <c r="S1031" s="22">
        <v>45742</v>
      </c>
      <c r="T1031" s="13">
        <v>45687</v>
      </c>
      <c r="U1031" s="13">
        <v>45687</v>
      </c>
      <c r="V1031" s="9" t="s">
        <v>47</v>
      </c>
      <c r="W1031" s="9">
        <v>22770477</v>
      </c>
      <c r="X1031" s="9">
        <v>3311105</v>
      </c>
      <c r="Y1031" s="9">
        <v>69251315</v>
      </c>
      <c r="Z1031" s="9" t="s">
        <v>39</v>
      </c>
      <c r="AA1031" s="9">
        <v>17884354</v>
      </c>
      <c r="AB1031" s="9">
        <v>78070</v>
      </c>
      <c r="AC1031" s="9" t="s">
        <v>41</v>
      </c>
      <c r="AD1031" s="9" t="s">
        <v>132</v>
      </c>
      <c r="AE1031" s="9" t="s">
        <v>133</v>
      </c>
      <c r="AF1031" s="9" t="s">
        <v>133</v>
      </c>
      <c r="AG1031" s="14" t="str">
        <f t="shared" si="34"/>
        <v>EXAMENES DE LABORATORIO</v>
      </c>
      <c r="AH1031" s="9">
        <v>0</v>
      </c>
      <c r="AI1031" s="9">
        <v>0</v>
      </c>
      <c r="AJ1031" s="9">
        <v>9461401</v>
      </c>
      <c r="AK1031" s="9">
        <v>5</v>
      </c>
      <c r="AL1031" s="26" t="s">
        <v>52</v>
      </c>
      <c r="AM1031" s="14" t="s">
        <v>659</v>
      </c>
      <c r="AN1031" s="27" t="str">
        <f t="shared" si="35"/>
        <v>17884354|9461401|918217648|65384447</v>
      </c>
      <c r="AO1031" t="s">
        <v>44</v>
      </c>
      <c r="AP1031" t="b">
        <v>0</v>
      </c>
      <c r="AQ1031" t="s">
        <v>763</v>
      </c>
    </row>
    <row r="1032" spans="1:43" x14ac:dyDescent="0.2">
      <c r="A1032" s="14" t="s">
        <v>500</v>
      </c>
      <c r="B1032" s="17">
        <v>17884354</v>
      </c>
      <c r="C1032" s="14" t="s">
        <v>363</v>
      </c>
      <c r="D1032" s="9">
        <v>17884354</v>
      </c>
      <c r="E1032" s="9" t="s">
        <v>363</v>
      </c>
      <c r="F1032" s="7">
        <v>45658</v>
      </c>
      <c r="G1032" s="20" t="s">
        <v>36</v>
      </c>
      <c r="H1032" s="8">
        <v>918217650</v>
      </c>
      <c r="I1032" s="19">
        <v>918217650</v>
      </c>
      <c r="J1032" s="10">
        <v>7090</v>
      </c>
      <c r="K1032" s="10">
        <v>2220</v>
      </c>
      <c r="L1032" s="10">
        <v>4870</v>
      </c>
      <c r="M1032" s="10">
        <v>0</v>
      </c>
      <c r="N1032" s="11">
        <v>4870</v>
      </c>
      <c r="O1032" s="12">
        <v>918217650</v>
      </c>
      <c r="P1032" s="9">
        <v>285123</v>
      </c>
      <c r="Q1032" s="9" t="s">
        <v>37</v>
      </c>
      <c r="R1032" s="13">
        <v>45687</v>
      </c>
      <c r="S1032" s="22">
        <v>45687</v>
      </c>
      <c r="T1032" s="13">
        <v>45687</v>
      </c>
      <c r="U1032" s="13">
        <v>45687</v>
      </c>
      <c r="V1032" s="9" t="s">
        <v>47</v>
      </c>
      <c r="W1032" s="9">
        <v>22560983</v>
      </c>
      <c r="X1032" s="9">
        <v>2040929</v>
      </c>
      <c r="Y1032" s="9">
        <v>68810074</v>
      </c>
      <c r="Z1032" s="9" t="s">
        <v>39</v>
      </c>
      <c r="AA1032" s="9">
        <v>2022025</v>
      </c>
      <c r="AB1032" s="9">
        <v>77562</v>
      </c>
      <c r="AC1032" s="9" t="s">
        <v>41</v>
      </c>
      <c r="AD1032" s="9" t="s">
        <v>132</v>
      </c>
      <c r="AE1032" s="9" t="s">
        <v>133</v>
      </c>
      <c r="AF1032" s="9" t="s">
        <v>133</v>
      </c>
      <c r="AG1032" s="14" t="str">
        <f t="shared" si="34"/>
        <v>EXAMENES DE LABORATORIO</v>
      </c>
      <c r="AH1032" s="9" t="s">
        <v>758</v>
      </c>
      <c r="AI1032" s="9">
        <v>0</v>
      </c>
      <c r="AJ1032" s="9">
        <v>9461401</v>
      </c>
      <c r="AK1032" s="9">
        <v>5</v>
      </c>
      <c r="AL1032" s="26" t="s">
        <v>62</v>
      </c>
      <c r="AM1032" s="14" t="s">
        <v>659</v>
      </c>
      <c r="AN1032" s="27" t="str">
        <f t="shared" si="35"/>
        <v>17884354|9461401|918217650|918217650</v>
      </c>
      <c r="AO1032" t="s">
        <v>758</v>
      </c>
      <c r="AP1032" t="b">
        <v>1</v>
      </c>
      <c r="AQ1032" t="s">
        <v>764</v>
      </c>
    </row>
    <row r="1033" spans="1:43" x14ac:dyDescent="0.2">
      <c r="A1033" s="14" t="s">
        <v>500</v>
      </c>
      <c r="B1033" s="17">
        <v>17884354</v>
      </c>
      <c r="C1033" s="14" t="s">
        <v>363</v>
      </c>
      <c r="D1033" s="9">
        <v>17884354</v>
      </c>
      <c r="E1033" s="9" t="s">
        <v>363</v>
      </c>
      <c r="F1033" s="7">
        <v>45717</v>
      </c>
      <c r="G1033" s="20" t="s">
        <v>46</v>
      </c>
      <c r="H1033" s="8">
        <v>918217650</v>
      </c>
      <c r="I1033" s="19">
        <v>65384448</v>
      </c>
      <c r="J1033" s="10">
        <v>4221</v>
      </c>
      <c r="K1033" s="10">
        <v>0</v>
      </c>
      <c r="L1033" s="10">
        <v>4221</v>
      </c>
      <c r="M1033" s="10">
        <v>0</v>
      </c>
      <c r="N1033" s="11">
        <v>4221</v>
      </c>
      <c r="O1033" s="12">
        <v>918217650</v>
      </c>
      <c r="P1033" s="9">
        <v>285123</v>
      </c>
      <c r="Q1033" s="9" t="s">
        <v>37</v>
      </c>
      <c r="R1033" s="13">
        <v>45717</v>
      </c>
      <c r="S1033" s="22">
        <v>45742</v>
      </c>
      <c r="T1033" s="13">
        <v>45687</v>
      </c>
      <c r="U1033" s="13">
        <v>45687</v>
      </c>
      <c r="V1033" s="9" t="s">
        <v>47</v>
      </c>
      <c r="W1033" s="9">
        <v>22770477</v>
      </c>
      <c r="X1033" s="9">
        <v>3311105</v>
      </c>
      <c r="Y1033" s="9">
        <v>69251316</v>
      </c>
      <c r="Z1033" s="9" t="s">
        <v>39</v>
      </c>
      <c r="AA1033" s="9">
        <v>17884354</v>
      </c>
      <c r="AB1033" s="9">
        <v>78070</v>
      </c>
      <c r="AC1033" s="9" t="s">
        <v>41</v>
      </c>
      <c r="AD1033" s="9" t="s">
        <v>132</v>
      </c>
      <c r="AE1033" s="9" t="s">
        <v>133</v>
      </c>
      <c r="AF1033" s="9" t="s">
        <v>133</v>
      </c>
      <c r="AG1033" s="14" t="str">
        <f t="shared" si="34"/>
        <v>EXAMENES DE LABORATORIO</v>
      </c>
      <c r="AH1033" s="9">
        <v>0</v>
      </c>
      <c r="AI1033" s="9">
        <v>0</v>
      </c>
      <c r="AJ1033" s="9">
        <v>9461401</v>
      </c>
      <c r="AK1033" s="9">
        <v>5</v>
      </c>
      <c r="AL1033" s="26" t="s">
        <v>52</v>
      </c>
      <c r="AM1033" s="14" t="s">
        <v>659</v>
      </c>
      <c r="AN1033" s="27" t="str">
        <f t="shared" si="35"/>
        <v>17884354|9461401|918217650|65384448</v>
      </c>
      <c r="AO1033" t="s">
        <v>44</v>
      </c>
      <c r="AP1033" t="b">
        <v>0</v>
      </c>
      <c r="AQ1033" t="s">
        <v>763</v>
      </c>
    </row>
    <row r="1034" spans="1:43" x14ac:dyDescent="0.2">
      <c r="A1034" s="14" t="s">
        <v>500</v>
      </c>
      <c r="B1034" s="17">
        <v>17884354</v>
      </c>
      <c r="C1034" s="14" t="s">
        <v>363</v>
      </c>
      <c r="D1034" s="9">
        <v>17884354</v>
      </c>
      <c r="E1034" s="9" t="s">
        <v>363</v>
      </c>
      <c r="F1034" s="7">
        <v>45658</v>
      </c>
      <c r="G1034" s="20" t="s">
        <v>36</v>
      </c>
      <c r="H1034" s="8">
        <v>918218640</v>
      </c>
      <c r="I1034" s="19">
        <v>918218640</v>
      </c>
      <c r="J1034" s="10">
        <v>21960</v>
      </c>
      <c r="K1034" s="10">
        <v>6880</v>
      </c>
      <c r="L1034" s="10">
        <v>15080</v>
      </c>
      <c r="M1034" s="10">
        <v>0</v>
      </c>
      <c r="N1034" s="11">
        <v>15080</v>
      </c>
      <c r="O1034" s="12">
        <v>918218640</v>
      </c>
      <c r="P1034" s="9">
        <v>285123</v>
      </c>
      <c r="Q1034" s="9" t="s">
        <v>37</v>
      </c>
      <c r="R1034" s="13">
        <v>45687</v>
      </c>
      <c r="S1034" s="22">
        <v>45687</v>
      </c>
      <c r="T1034" s="13">
        <v>45687</v>
      </c>
      <c r="U1034" s="13">
        <v>45687</v>
      </c>
      <c r="V1034" s="9" t="s">
        <v>47</v>
      </c>
      <c r="W1034" s="9">
        <v>22560983</v>
      </c>
      <c r="X1034" s="9">
        <v>2040929</v>
      </c>
      <c r="Y1034" s="9">
        <v>68810081</v>
      </c>
      <c r="Z1034" s="9" t="s">
        <v>39</v>
      </c>
      <c r="AA1034" s="9">
        <v>2022025</v>
      </c>
      <c r="AB1034" s="9">
        <v>77562</v>
      </c>
      <c r="AC1034" s="9" t="s">
        <v>41</v>
      </c>
      <c r="AD1034" s="9" t="s">
        <v>132</v>
      </c>
      <c r="AE1034" s="9" t="s">
        <v>133</v>
      </c>
      <c r="AF1034" s="9" t="s">
        <v>133</v>
      </c>
      <c r="AG1034" s="14" t="str">
        <f t="shared" si="34"/>
        <v>EXAMENES DE LABORATORIO</v>
      </c>
      <c r="AH1034" s="9" t="s">
        <v>758</v>
      </c>
      <c r="AI1034" s="9">
        <v>0</v>
      </c>
      <c r="AJ1034" s="9">
        <v>9461401</v>
      </c>
      <c r="AK1034" s="9">
        <v>5</v>
      </c>
      <c r="AL1034" s="26" t="s">
        <v>62</v>
      </c>
      <c r="AM1034" s="14" t="s">
        <v>659</v>
      </c>
      <c r="AN1034" s="27" t="str">
        <f t="shared" si="35"/>
        <v>17884354|9461401|918218640|918218640</v>
      </c>
      <c r="AO1034" t="s">
        <v>758</v>
      </c>
      <c r="AP1034" t="b">
        <v>1</v>
      </c>
      <c r="AQ1034" t="s">
        <v>764</v>
      </c>
    </row>
    <row r="1035" spans="1:43" x14ac:dyDescent="0.2">
      <c r="A1035" s="14" t="s">
        <v>500</v>
      </c>
      <c r="B1035" s="17">
        <v>17884354</v>
      </c>
      <c r="C1035" s="14" t="s">
        <v>363</v>
      </c>
      <c r="D1035" s="9">
        <v>17884354</v>
      </c>
      <c r="E1035" s="9" t="s">
        <v>363</v>
      </c>
      <c r="F1035" s="7">
        <v>45717</v>
      </c>
      <c r="G1035" s="20" t="s">
        <v>46</v>
      </c>
      <c r="H1035" s="8">
        <v>918218640</v>
      </c>
      <c r="I1035" s="19">
        <v>65384449</v>
      </c>
      <c r="J1035" s="10">
        <v>12666</v>
      </c>
      <c r="K1035" s="10">
        <v>0</v>
      </c>
      <c r="L1035" s="10">
        <v>12666</v>
      </c>
      <c r="M1035" s="10">
        <v>0</v>
      </c>
      <c r="N1035" s="11">
        <v>12666</v>
      </c>
      <c r="O1035" s="12">
        <v>918218640</v>
      </c>
      <c r="P1035" s="9">
        <v>285123</v>
      </c>
      <c r="Q1035" s="9" t="s">
        <v>37</v>
      </c>
      <c r="R1035" s="13">
        <v>45717</v>
      </c>
      <c r="S1035" s="22">
        <v>45742</v>
      </c>
      <c r="T1035" s="13">
        <v>45687</v>
      </c>
      <c r="U1035" s="13">
        <v>45687</v>
      </c>
      <c r="V1035" s="9" t="s">
        <v>47</v>
      </c>
      <c r="W1035" s="9">
        <v>22770477</v>
      </c>
      <c r="X1035" s="9">
        <v>3311105</v>
      </c>
      <c r="Y1035" s="9">
        <v>69251317</v>
      </c>
      <c r="Z1035" s="9" t="s">
        <v>39</v>
      </c>
      <c r="AA1035" s="9">
        <v>17884354</v>
      </c>
      <c r="AB1035" s="9">
        <v>78070</v>
      </c>
      <c r="AC1035" s="9" t="s">
        <v>41</v>
      </c>
      <c r="AD1035" s="9" t="s">
        <v>132</v>
      </c>
      <c r="AE1035" s="9" t="s">
        <v>133</v>
      </c>
      <c r="AF1035" s="9" t="s">
        <v>133</v>
      </c>
      <c r="AG1035" s="14" t="str">
        <f t="shared" si="34"/>
        <v>EXAMENES DE LABORATORIO</v>
      </c>
      <c r="AH1035" s="9">
        <v>0</v>
      </c>
      <c r="AI1035" s="9">
        <v>0</v>
      </c>
      <c r="AJ1035" s="9">
        <v>9461401</v>
      </c>
      <c r="AK1035" s="9">
        <v>5</v>
      </c>
      <c r="AL1035" s="26" t="s">
        <v>52</v>
      </c>
      <c r="AM1035" s="14" t="s">
        <v>659</v>
      </c>
      <c r="AN1035" s="27" t="str">
        <f t="shared" si="35"/>
        <v>17884354|9461401|918218640|65384449</v>
      </c>
      <c r="AO1035" t="s">
        <v>44</v>
      </c>
      <c r="AP1035" t="b">
        <v>0</v>
      </c>
      <c r="AQ1035" t="s">
        <v>763</v>
      </c>
    </row>
    <row r="1036" spans="1:43" x14ac:dyDescent="0.2">
      <c r="A1036" s="14" t="s">
        <v>500</v>
      </c>
      <c r="B1036" s="17">
        <v>11883982</v>
      </c>
      <c r="C1036" s="14" t="s">
        <v>327</v>
      </c>
      <c r="D1036" s="9">
        <v>11883982</v>
      </c>
      <c r="E1036" s="9" t="s">
        <v>327</v>
      </c>
      <c r="F1036" s="7">
        <v>45658</v>
      </c>
      <c r="G1036" s="20" t="s">
        <v>36</v>
      </c>
      <c r="H1036" s="8">
        <v>918294084</v>
      </c>
      <c r="I1036" s="19">
        <v>918294084</v>
      </c>
      <c r="J1036" s="10">
        <v>9920</v>
      </c>
      <c r="K1036" s="10">
        <v>5580</v>
      </c>
      <c r="L1036" s="10">
        <v>4340</v>
      </c>
      <c r="M1036" s="10">
        <v>0</v>
      </c>
      <c r="N1036" s="11">
        <v>4340</v>
      </c>
      <c r="O1036" s="12">
        <v>918294084</v>
      </c>
      <c r="P1036" s="9">
        <v>285123</v>
      </c>
      <c r="Q1036" s="9" t="s">
        <v>37</v>
      </c>
      <c r="R1036" s="13">
        <v>45687</v>
      </c>
      <c r="S1036" s="22">
        <v>45687</v>
      </c>
      <c r="T1036" s="13">
        <v>45687</v>
      </c>
      <c r="U1036" s="13">
        <v>45687</v>
      </c>
      <c r="V1036" s="9" t="s">
        <v>47</v>
      </c>
      <c r="W1036" s="9">
        <v>22560959</v>
      </c>
      <c r="X1036" s="9">
        <v>2040929</v>
      </c>
      <c r="Y1036" s="9">
        <v>68810475</v>
      </c>
      <c r="Z1036" s="9" t="s">
        <v>39</v>
      </c>
      <c r="AA1036" s="9">
        <v>2022025</v>
      </c>
      <c r="AB1036" s="9">
        <v>77562</v>
      </c>
      <c r="AC1036" s="9" t="s">
        <v>41</v>
      </c>
      <c r="AD1036" s="9" t="s">
        <v>65</v>
      </c>
      <c r="AE1036" s="9" t="s">
        <v>66</v>
      </c>
      <c r="AF1036" s="9" t="s">
        <v>66</v>
      </c>
      <c r="AG1036" s="14" t="str">
        <f t="shared" si="34"/>
        <v>PROCEDIMIENTOS TERAPEUTICOS</v>
      </c>
      <c r="AH1036" s="9" t="s">
        <v>758</v>
      </c>
      <c r="AI1036" s="9">
        <v>0</v>
      </c>
      <c r="AJ1036" s="9">
        <v>76696200</v>
      </c>
      <c r="AK1036" s="9">
        <v>9</v>
      </c>
      <c r="AL1036" s="26" t="s">
        <v>62</v>
      </c>
      <c r="AM1036" s="14" t="s">
        <v>633</v>
      </c>
      <c r="AN1036" s="27" t="str">
        <f t="shared" si="35"/>
        <v>11883982|76696200|918294084|918294084</v>
      </c>
      <c r="AO1036" t="s">
        <v>758</v>
      </c>
      <c r="AP1036" t="b">
        <v>1</v>
      </c>
      <c r="AQ1036" t="s">
        <v>764</v>
      </c>
    </row>
    <row r="1037" spans="1:43" x14ac:dyDescent="0.2">
      <c r="A1037" s="14" t="s">
        <v>500</v>
      </c>
      <c r="B1037" s="17">
        <v>11883982</v>
      </c>
      <c r="C1037" s="14" t="s">
        <v>327</v>
      </c>
      <c r="D1037" s="9">
        <v>11883982</v>
      </c>
      <c r="E1037" s="9" t="s">
        <v>327</v>
      </c>
      <c r="F1037" s="7">
        <v>45717</v>
      </c>
      <c r="G1037" s="20" t="s">
        <v>46</v>
      </c>
      <c r="H1037" s="8">
        <v>918294084</v>
      </c>
      <c r="I1037" s="19">
        <v>65383974</v>
      </c>
      <c r="J1037" s="10">
        <v>3454</v>
      </c>
      <c r="K1037" s="10">
        <v>0</v>
      </c>
      <c r="L1037" s="10">
        <v>3454</v>
      </c>
      <c r="M1037" s="10">
        <v>0</v>
      </c>
      <c r="N1037" s="11">
        <v>3454</v>
      </c>
      <c r="O1037" s="12">
        <v>918294084</v>
      </c>
      <c r="P1037" s="9">
        <v>285123</v>
      </c>
      <c r="Q1037" s="9" t="s">
        <v>37</v>
      </c>
      <c r="R1037" s="13">
        <v>45717</v>
      </c>
      <c r="S1037" s="22">
        <v>45742</v>
      </c>
      <c r="T1037" s="13">
        <v>45687</v>
      </c>
      <c r="U1037" s="13">
        <v>45687</v>
      </c>
      <c r="V1037" s="9" t="s">
        <v>47</v>
      </c>
      <c r="W1037" s="9">
        <v>22770469</v>
      </c>
      <c r="X1037" s="9">
        <v>3311105</v>
      </c>
      <c r="Y1037" s="9">
        <v>69250862</v>
      </c>
      <c r="Z1037" s="9" t="s">
        <v>39</v>
      </c>
      <c r="AA1037" s="9">
        <v>13915402</v>
      </c>
      <c r="AB1037" s="9">
        <v>78070</v>
      </c>
      <c r="AC1037" s="9" t="s">
        <v>41</v>
      </c>
      <c r="AD1037" s="9" t="s">
        <v>65</v>
      </c>
      <c r="AE1037" s="9" t="s">
        <v>66</v>
      </c>
      <c r="AF1037" s="9" t="s">
        <v>66</v>
      </c>
      <c r="AG1037" s="14" t="str">
        <f t="shared" si="34"/>
        <v>PROCEDIMIENTOS TERAPEUTICOS</v>
      </c>
      <c r="AH1037" s="9">
        <v>0</v>
      </c>
      <c r="AI1037" s="9">
        <v>0</v>
      </c>
      <c r="AJ1037" s="9">
        <v>76696200</v>
      </c>
      <c r="AK1037" s="9">
        <v>9</v>
      </c>
      <c r="AL1037" s="26" t="s">
        <v>52</v>
      </c>
      <c r="AM1037" s="14" t="s">
        <v>633</v>
      </c>
      <c r="AN1037" s="27" t="str">
        <f t="shared" si="35"/>
        <v>11883982|76696200|918294084|65383974</v>
      </c>
      <c r="AO1037" t="s">
        <v>44</v>
      </c>
      <c r="AP1037" t="b">
        <v>0</v>
      </c>
      <c r="AQ1037" t="s">
        <v>763</v>
      </c>
    </row>
    <row r="1038" spans="1:43" x14ac:dyDescent="0.2">
      <c r="A1038" s="14" t="s">
        <v>500</v>
      </c>
      <c r="B1038" s="17">
        <v>10242781</v>
      </c>
      <c r="C1038" s="14" t="s">
        <v>373</v>
      </c>
      <c r="D1038" s="9">
        <v>10242781</v>
      </c>
      <c r="E1038" s="9" t="s">
        <v>373</v>
      </c>
      <c r="F1038" s="7">
        <v>45658</v>
      </c>
      <c r="G1038" s="20" t="s">
        <v>36</v>
      </c>
      <c r="H1038" s="8">
        <v>918373501</v>
      </c>
      <c r="I1038" s="19">
        <v>918373501</v>
      </c>
      <c r="J1038" s="10">
        <v>38520</v>
      </c>
      <c r="K1038" s="10">
        <v>20123</v>
      </c>
      <c r="L1038" s="10">
        <v>18397</v>
      </c>
      <c r="M1038" s="10">
        <v>0</v>
      </c>
      <c r="N1038" s="11">
        <v>18397</v>
      </c>
      <c r="O1038" s="12">
        <v>918373501</v>
      </c>
      <c r="P1038" s="9">
        <v>285123</v>
      </c>
      <c r="Q1038" s="9" t="s">
        <v>37</v>
      </c>
      <c r="R1038" s="13">
        <v>45688</v>
      </c>
      <c r="S1038" s="22">
        <v>45688</v>
      </c>
      <c r="T1038" s="13">
        <v>45688</v>
      </c>
      <c r="U1038" s="13">
        <v>45688</v>
      </c>
      <c r="V1038" s="9" t="s">
        <v>58</v>
      </c>
      <c r="W1038" s="9">
        <v>22560994</v>
      </c>
      <c r="X1038" s="9">
        <v>2040929</v>
      </c>
      <c r="Y1038" s="9">
        <v>68810927</v>
      </c>
      <c r="Z1038" s="9" t="s">
        <v>39</v>
      </c>
      <c r="AA1038" s="9">
        <v>2022025</v>
      </c>
      <c r="AB1038" s="9">
        <v>77562</v>
      </c>
      <c r="AC1038" s="9" t="s">
        <v>41</v>
      </c>
      <c r="AD1038" s="9" t="s">
        <v>71</v>
      </c>
      <c r="AE1038" s="9" t="s">
        <v>72</v>
      </c>
      <c r="AF1038" s="9" t="s">
        <v>73</v>
      </c>
      <c r="AG1038" s="14" t="str">
        <f t="shared" si="34"/>
        <v>CONSULTA PSIQUIATRICA</v>
      </c>
      <c r="AH1038" s="9" t="s">
        <v>758</v>
      </c>
      <c r="AI1038" s="9">
        <v>0</v>
      </c>
      <c r="AJ1038" s="9">
        <v>76416482</v>
      </c>
      <c r="AK1038" s="9">
        <v>2</v>
      </c>
      <c r="AL1038" s="26" t="s">
        <v>62</v>
      </c>
      <c r="AM1038" s="14" t="s">
        <v>668</v>
      </c>
      <c r="AN1038" s="27" t="str">
        <f t="shared" si="35"/>
        <v>10242781|76416482|918373501|918373501</v>
      </c>
      <c r="AO1038" t="s">
        <v>758</v>
      </c>
      <c r="AP1038" t="b">
        <v>1</v>
      </c>
      <c r="AQ1038" t="s">
        <v>764</v>
      </c>
    </row>
    <row r="1039" spans="1:43" x14ac:dyDescent="0.2">
      <c r="A1039" s="14" t="s">
        <v>500</v>
      </c>
      <c r="B1039" s="17">
        <v>10242781</v>
      </c>
      <c r="C1039" s="14" t="s">
        <v>373</v>
      </c>
      <c r="D1039" s="9">
        <v>10242781</v>
      </c>
      <c r="E1039" s="9" t="s">
        <v>373</v>
      </c>
      <c r="F1039" s="7">
        <v>45717</v>
      </c>
      <c r="G1039" s="20" t="s">
        <v>46</v>
      </c>
      <c r="H1039" s="8">
        <v>918373501</v>
      </c>
      <c r="I1039" s="19">
        <v>65383823</v>
      </c>
      <c r="J1039" s="10">
        <v>18424</v>
      </c>
      <c r="K1039" s="10">
        <v>0</v>
      </c>
      <c r="L1039" s="10">
        <v>18424</v>
      </c>
      <c r="M1039" s="10">
        <v>0</v>
      </c>
      <c r="N1039" s="11">
        <v>18424</v>
      </c>
      <c r="O1039" s="12">
        <v>918373501</v>
      </c>
      <c r="P1039" s="9">
        <v>285123</v>
      </c>
      <c r="Q1039" s="9" t="s">
        <v>37</v>
      </c>
      <c r="R1039" s="13">
        <v>45717</v>
      </c>
      <c r="S1039" s="22">
        <v>45742</v>
      </c>
      <c r="T1039" s="13">
        <v>45688</v>
      </c>
      <c r="U1039" s="13">
        <v>45688</v>
      </c>
      <c r="V1039" s="9" t="s">
        <v>58</v>
      </c>
      <c r="W1039" s="9">
        <v>22770481</v>
      </c>
      <c r="X1039" s="9">
        <v>3311105</v>
      </c>
      <c r="Y1039" s="9">
        <v>69250712</v>
      </c>
      <c r="Z1039" s="9" t="s">
        <v>39</v>
      </c>
      <c r="AA1039" s="9">
        <v>45066906</v>
      </c>
      <c r="AB1039" s="9">
        <v>78070</v>
      </c>
      <c r="AC1039" s="9" t="s">
        <v>41</v>
      </c>
      <c r="AD1039" s="9" t="s">
        <v>71</v>
      </c>
      <c r="AE1039" s="9" t="s">
        <v>72</v>
      </c>
      <c r="AF1039" s="9" t="s">
        <v>73</v>
      </c>
      <c r="AG1039" s="14" t="str">
        <f t="shared" si="34"/>
        <v>CONSULTA PSIQUIATRICA</v>
      </c>
      <c r="AH1039" s="9">
        <v>0</v>
      </c>
      <c r="AI1039" s="9">
        <v>0</v>
      </c>
      <c r="AJ1039" s="9">
        <v>76416482</v>
      </c>
      <c r="AK1039" s="9">
        <v>2</v>
      </c>
      <c r="AL1039" s="26" t="s">
        <v>52</v>
      </c>
      <c r="AM1039" s="14" t="s">
        <v>668</v>
      </c>
      <c r="AN1039" s="27" t="str">
        <f t="shared" si="35"/>
        <v>10242781|76416482|918373501|65383823</v>
      </c>
      <c r="AO1039" t="s">
        <v>44</v>
      </c>
      <c r="AP1039" t="b">
        <v>0</v>
      </c>
      <c r="AQ1039" t="s">
        <v>763</v>
      </c>
    </row>
    <row r="1040" spans="1:43" x14ac:dyDescent="0.2">
      <c r="A1040" s="14" t="s">
        <v>500</v>
      </c>
      <c r="B1040" s="17">
        <v>18438475</v>
      </c>
      <c r="C1040" s="14" t="s">
        <v>402</v>
      </c>
      <c r="D1040" s="9">
        <v>18438475</v>
      </c>
      <c r="E1040" s="9" t="s">
        <v>402</v>
      </c>
      <c r="F1040" s="7">
        <v>45658</v>
      </c>
      <c r="G1040" s="20" t="s">
        <v>36</v>
      </c>
      <c r="H1040" s="8">
        <v>918388791</v>
      </c>
      <c r="I1040" s="19">
        <v>918388791</v>
      </c>
      <c r="J1040" s="10">
        <v>115960</v>
      </c>
      <c r="K1040" s="10">
        <v>36240</v>
      </c>
      <c r="L1040" s="10">
        <v>79720</v>
      </c>
      <c r="M1040" s="10">
        <v>0</v>
      </c>
      <c r="N1040" s="11">
        <v>79720</v>
      </c>
      <c r="O1040" s="12">
        <v>918388791</v>
      </c>
      <c r="P1040" s="9">
        <v>285123</v>
      </c>
      <c r="Q1040" s="9" t="s">
        <v>37</v>
      </c>
      <c r="R1040" s="13">
        <v>45688</v>
      </c>
      <c r="S1040" s="22">
        <v>45688</v>
      </c>
      <c r="T1040" s="13">
        <v>45688</v>
      </c>
      <c r="U1040" s="13">
        <v>45688</v>
      </c>
      <c r="V1040" s="9" t="s">
        <v>47</v>
      </c>
      <c r="W1040" s="9">
        <v>22561028</v>
      </c>
      <c r="X1040" s="9">
        <v>2040929</v>
      </c>
      <c r="Y1040" s="9">
        <v>68810997</v>
      </c>
      <c r="Z1040" s="9" t="s">
        <v>39</v>
      </c>
      <c r="AA1040" s="9">
        <v>2022025</v>
      </c>
      <c r="AB1040" s="9">
        <v>77562</v>
      </c>
      <c r="AC1040" s="9" t="s">
        <v>41</v>
      </c>
      <c r="AD1040" s="9" t="s">
        <v>134</v>
      </c>
      <c r="AE1040" s="9" t="s">
        <v>135</v>
      </c>
      <c r="AF1040" s="9" t="s">
        <v>135</v>
      </c>
      <c r="AG1040" s="14" t="str">
        <f t="shared" si="34"/>
        <v>EXAMENES RADIOLOGICOS</v>
      </c>
      <c r="AH1040" s="9" t="s">
        <v>758</v>
      </c>
      <c r="AI1040" s="9">
        <v>0</v>
      </c>
      <c r="AJ1040" s="9">
        <v>96942400</v>
      </c>
      <c r="AK1040" s="9">
        <v>2</v>
      </c>
      <c r="AL1040" s="26" t="s">
        <v>62</v>
      </c>
      <c r="AM1040" s="14" t="s">
        <v>690</v>
      </c>
      <c r="AN1040" s="27" t="str">
        <f t="shared" si="35"/>
        <v>18438475|96942400|918388791|918388791</v>
      </c>
      <c r="AO1040" t="s">
        <v>758</v>
      </c>
      <c r="AP1040" t="b">
        <v>1</v>
      </c>
      <c r="AQ1040" t="s">
        <v>764</v>
      </c>
    </row>
    <row r="1041" spans="1:43" x14ac:dyDescent="0.2">
      <c r="A1041" s="14" t="s">
        <v>500</v>
      </c>
      <c r="B1041" s="17">
        <v>18438475</v>
      </c>
      <c r="C1041" s="14" t="s">
        <v>402</v>
      </c>
      <c r="D1041" s="9">
        <v>18438475</v>
      </c>
      <c r="E1041" s="9" t="s">
        <v>402</v>
      </c>
      <c r="F1041" s="7">
        <v>45717</v>
      </c>
      <c r="G1041" s="20" t="s">
        <v>46</v>
      </c>
      <c r="H1041" s="8">
        <v>918388791</v>
      </c>
      <c r="I1041" s="19">
        <v>65384458</v>
      </c>
      <c r="J1041" s="10">
        <v>69091</v>
      </c>
      <c r="K1041" s="10">
        <v>0</v>
      </c>
      <c r="L1041" s="10">
        <v>69091</v>
      </c>
      <c r="M1041" s="10">
        <v>0</v>
      </c>
      <c r="N1041" s="11">
        <v>69091</v>
      </c>
      <c r="O1041" s="12">
        <v>918388791</v>
      </c>
      <c r="P1041" s="9">
        <v>285123</v>
      </c>
      <c r="Q1041" s="9" t="s">
        <v>37</v>
      </c>
      <c r="R1041" s="13">
        <v>45717</v>
      </c>
      <c r="S1041" s="22">
        <v>45742</v>
      </c>
      <c r="T1041" s="13">
        <v>45688</v>
      </c>
      <c r="U1041" s="13">
        <v>45688</v>
      </c>
      <c r="V1041" s="9" t="s">
        <v>47</v>
      </c>
      <c r="W1041" s="9">
        <v>22770490</v>
      </c>
      <c r="X1041" s="9">
        <v>3311105</v>
      </c>
      <c r="Y1041" s="9">
        <v>69251324</v>
      </c>
      <c r="Z1041" s="9" t="s">
        <v>39</v>
      </c>
      <c r="AA1041" s="9">
        <v>118720288</v>
      </c>
      <c r="AB1041" s="9">
        <v>78070</v>
      </c>
      <c r="AC1041" s="9" t="s">
        <v>41</v>
      </c>
      <c r="AD1041" s="9" t="s">
        <v>134</v>
      </c>
      <c r="AE1041" s="9" t="s">
        <v>135</v>
      </c>
      <c r="AF1041" s="9" t="s">
        <v>135</v>
      </c>
      <c r="AG1041" s="14" t="str">
        <f t="shared" si="34"/>
        <v>EXAMENES RADIOLOGICOS</v>
      </c>
      <c r="AH1041" s="9">
        <v>0</v>
      </c>
      <c r="AI1041" s="9">
        <v>0</v>
      </c>
      <c r="AJ1041" s="9">
        <v>96942400</v>
      </c>
      <c r="AK1041" s="9">
        <v>2</v>
      </c>
      <c r="AL1041" s="26" t="s">
        <v>52</v>
      </c>
      <c r="AM1041" s="14" t="s">
        <v>690</v>
      </c>
      <c r="AN1041" s="27" t="str">
        <f t="shared" si="35"/>
        <v>18438475|96942400|918388791|65384458</v>
      </c>
      <c r="AO1041" t="s">
        <v>44</v>
      </c>
      <c r="AP1041" t="b">
        <v>0</v>
      </c>
      <c r="AQ1041" t="s">
        <v>763</v>
      </c>
    </row>
    <row r="1042" spans="1:43" x14ac:dyDescent="0.2">
      <c r="A1042" s="14" t="s">
        <v>500</v>
      </c>
      <c r="B1042" s="17">
        <v>11507708</v>
      </c>
      <c r="C1042" s="14" t="s">
        <v>403</v>
      </c>
      <c r="D1042" s="9">
        <v>11507708</v>
      </c>
      <c r="E1042" s="9" t="s">
        <v>403</v>
      </c>
      <c r="F1042" s="7">
        <v>45658</v>
      </c>
      <c r="G1042" s="20" t="s">
        <v>36</v>
      </c>
      <c r="H1042" s="8">
        <v>918400161</v>
      </c>
      <c r="I1042" s="19">
        <v>918400161</v>
      </c>
      <c r="J1042" s="10">
        <v>14820</v>
      </c>
      <c r="K1042" s="10">
        <v>7420</v>
      </c>
      <c r="L1042" s="10">
        <v>7400</v>
      </c>
      <c r="M1042" s="10">
        <v>0</v>
      </c>
      <c r="N1042" s="11">
        <v>7400</v>
      </c>
      <c r="O1042" s="12">
        <v>918400161</v>
      </c>
      <c r="P1042" s="9">
        <v>285123</v>
      </c>
      <c r="Q1042" s="9" t="s">
        <v>37</v>
      </c>
      <c r="R1042" s="13">
        <v>45688</v>
      </c>
      <c r="S1042" s="22">
        <v>45688</v>
      </c>
      <c r="T1042" s="13">
        <v>45688</v>
      </c>
      <c r="U1042" s="13">
        <v>45688</v>
      </c>
      <c r="V1042" s="9" t="s">
        <v>47</v>
      </c>
      <c r="W1042" s="9">
        <v>22561000</v>
      </c>
      <c r="X1042" s="9">
        <v>2040929</v>
      </c>
      <c r="Y1042" s="9">
        <v>68811055</v>
      </c>
      <c r="Z1042" s="9" t="s">
        <v>39</v>
      </c>
      <c r="AA1042" s="9">
        <v>2022025</v>
      </c>
      <c r="AB1042" s="9">
        <v>77562</v>
      </c>
      <c r="AC1042" s="9" t="s">
        <v>41</v>
      </c>
      <c r="AD1042" s="9" t="s">
        <v>132</v>
      </c>
      <c r="AE1042" s="9" t="s">
        <v>133</v>
      </c>
      <c r="AF1042" s="9" t="s">
        <v>133</v>
      </c>
      <c r="AG1042" s="14" t="str">
        <f t="shared" si="34"/>
        <v>EXAMENES DE LABORATORIO</v>
      </c>
      <c r="AH1042" s="9" t="s">
        <v>758</v>
      </c>
      <c r="AI1042" s="9">
        <v>0</v>
      </c>
      <c r="AJ1042" s="9">
        <v>76506844</v>
      </c>
      <c r="AK1042" s="9">
        <v>4</v>
      </c>
      <c r="AL1042" s="26" t="s">
        <v>62</v>
      </c>
      <c r="AM1042" s="14" t="s">
        <v>691</v>
      </c>
      <c r="AN1042" s="27" t="str">
        <f t="shared" si="35"/>
        <v>11507708|76506844|918400161|918400161</v>
      </c>
      <c r="AO1042" t="s">
        <v>758</v>
      </c>
      <c r="AP1042" t="b">
        <v>1</v>
      </c>
      <c r="AQ1042" t="s">
        <v>764</v>
      </c>
    </row>
    <row r="1043" spans="1:43" x14ac:dyDescent="0.2">
      <c r="A1043" s="14" t="s">
        <v>500</v>
      </c>
      <c r="B1043" s="17">
        <v>11507708</v>
      </c>
      <c r="C1043" s="14" t="s">
        <v>403</v>
      </c>
      <c r="D1043" s="9">
        <v>11507708</v>
      </c>
      <c r="E1043" s="9" t="s">
        <v>403</v>
      </c>
      <c r="F1043" s="7">
        <v>45717</v>
      </c>
      <c r="G1043" s="20" t="s">
        <v>46</v>
      </c>
      <c r="H1043" s="8">
        <v>918400161</v>
      </c>
      <c r="I1043" s="19">
        <v>65383935</v>
      </c>
      <c r="J1043" s="10">
        <v>7675</v>
      </c>
      <c r="K1043" s="10">
        <v>0</v>
      </c>
      <c r="L1043" s="10">
        <v>7675</v>
      </c>
      <c r="M1043" s="10">
        <v>0</v>
      </c>
      <c r="N1043" s="11">
        <v>7675</v>
      </c>
      <c r="O1043" s="12">
        <v>918400161</v>
      </c>
      <c r="P1043" s="9">
        <v>285123</v>
      </c>
      <c r="Q1043" s="9" t="s">
        <v>37</v>
      </c>
      <c r="R1043" s="13">
        <v>45717</v>
      </c>
      <c r="S1043" s="22">
        <v>45742</v>
      </c>
      <c r="T1043" s="13">
        <v>45688</v>
      </c>
      <c r="U1043" s="13">
        <v>45688</v>
      </c>
      <c r="V1043" s="9" t="s">
        <v>47</v>
      </c>
      <c r="W1043" s="9">
        <v>22770483</v>
      </c>
      <c r="X1043" s="9">
        <v>3311105</v>
      </c>
      <c r="Y1043" s="9">
        <v>69250824</v>
      </c>
      <c r="Z1043" s="9" t="s">
        <v>39</v>
      </c>
      <c r="AA1043" s="9">
        <v>70534533</v>
      </c>
      <c r="AB1043" s="9">
        <v>78070</v>
      </c>
      <c r="AC1043" s="9" t="s">
        <v>41</v>
      </c>
      <c r="AD1043" s="9" t="s">
        <v>132</v>
      </c>
      <c r="AE1043" s="9" t="s">
        <v>133</v>
      </c>
      <c r="AF1043" s="9" t="s">
        <v>133</v>
      </c>
      <c r="AG1043" s="14" t="str">
        <f t="shared" si="34"/>
        <v>EXAMENES DE LABORATORIO</v>
      </c>
      <c r="AH1043" s="9">
        <v>0</v>
      </c>
      <c r="AI1043" s="9">
        <v>0</v>
      </c>
      <c r="AJ1043" s="9">
        <v>76506844</v>
      </c>
      <c r="AK1043" s="9">
        <v>4</v>
      </c>
      <c r="AL1043" s="26" t="s">
        <v>52</v>
      </c>
      <c r="AM1043" s="14" t="s">
        <v>691</v>
      </c>
      <c r="AN1043" s="27" t="str">
        <f t="shared" si="35"/>
        <v>11507708|76506844|918400161|65383935</v>
      </c>
      <c r="AO1043" t="s">
        <v>44</v>
      </c>
      <c r="AP1043" t="b">
        <v>0</v>
      </c>
      <c r="AQ1043" t="s">
        <v>763</v>
      </c>
    </row>
    <row r="1044" spans="1:43" x14ac:dyDescent="0.2">
      <c r="A1044" s="14" t="s">
        <v>500</v>
      </c>
      <c r="B1044" s="17">
        <v>10792213</v>
      </c>
      <c r="C1044" s="14" t="s">
        <v>404</v>
      </c>
      <c r="D1044" s="9">
        <v>21304178</v>
      </c>
      <c r="E1044" s="9" t="s">
        <v>405</v>
      </c>
      <c r="F1044" s="7">
        <v>45658</v>
      </c>
      <c r="G1044" s="20" t="s">
        <v>36</v>
      </c>
      <c r="H1044" s="8">
        <v>918406296</v>
      </c>
      <c r="I1044" s="19">
        <v>918406296</v>
      </c>
      <c r="J1044" s="10">
        <v>11500</v>
      </c>
      <c r="K1044" s="10">
        <v>3600</v>
      </c>
      <c r="L1044" s="10">
        <v>7900</v>
      </c>
      <c r="M1044" s="10">
        <v>0</v>
      </c>
      <c r="N1044" s="11">
        <v>7900</v>
      </c>
      <c r="O1044" s="12">
        <v>918406296</v>
      </c>
      <c r="P1044" s="9">
        <v>285123</v>
      </c>
      <c r="Q1044" s="9" t="s">
        <v>37</v>
      </c>
      <c r="R1044" s="13">
        <v>45688</v>
      </c>
      <c r="S1044" s="22">
        <v>45688</v>
      </c>
      <c r="T1044" s="13">
        <v>45688</v>
      </c>
      <c r="U1044" s="13">
        <v>45688</v>
      </c>
      <c r="V1044" s="9" t="s">
        <v>47</v>
      </c>
      <c r="W1044" s="9">
        <v>22560996</v>
      </c>
      <c r="X1044" s="9">
        <v>2040929</v>
      </c>
      <c r="Y1044" s="9">
        <v>68811087</v>
      </c>
      <c r="Z1044" s="9" t="s">
        <v>39</v>
      </c>
      <c r="AA1044" s="9">
        <v>2022025</v>
      </c>
      <c r="AB1044" s="9">
        <v>77562</v>
      </c>
      <c r="AC1044" s="9" t="s">
        <v>41</v>
      </c>
      <c r="AD1044" s="9" t="s">
        <v>65</v>
      </c>
      <c r="AE1044" s="9" t="s">
        <v>66</v>
      </c>
      <c r="AF1044" s="9" t="s">
        <v>66</v>
      </c>
      <c r="AG1044" s="14" t="str">
        <f t="shared" si="34"/>
        <v>PROCEDIMIENTOS TERAPEUTICOS</v>
      </c>
      <c r="AH1044" s="9" t="s">
        <v>758</v>
      </c>
      <c r="AI1044" s="9">
        <v>0</v>
      </c>
      <c r="AJ1044" s="9">
        <v>96942400</v>
      </c>
      <c r="AK1044" s="9">
        <v>2</v>
      </c>
      <c r="AL1044" s="26" t="s">
        <v>62</v>
      </c>
      <c r="AM1044" s="14" t="s">
        <v>692</v>
      </c>
      <c r="AN1044" s="27" t="str">
        <f t="shared" si="35"/>
        <v>10792213|96942400|918406296|918406296</v>
      </c>
      <c r="AO1044" t="s">
        <v>758</v>
      </c>
      <c r="AP1044" t="b">
        <v>1</v>
      </c>
      <c r="AQ1044" t="s">
        <v>764</v>
      </c>
    </row>
    <row r="1045" spans="1:43" x14ac:dyDescent="0.2">
      <c r="A1045" s="14" t="s">
        <v>500</v>
      </c>
      <c r="B1045" s="17">
        <v>10792213</v>
      </c>
      <c r="C1045" s="14" t="s">
        <v>404</v>
      </c>
      <c r="D1045" s="9">
        <v>21304178</v>
      </c>
      <c r="E1045" s="9" t="s">
        <v>405</v>
      </c>
      <c r="F1045" s="7">
        <v>45717</v>
      </c>
      <c r="G1045" s="20" t="s">
        <v>46</v>
      </c>
      <c r="H1045" s="8">
        <v>918406296</v>
      </c>
      <c r="I1045" s="19">
        <v>65383901</v>
      </c>
      <c r="J1045" s="10">
        <v>6909</v>
      </c>
      <c r="K1045" s="10">
        <v>0</v>
      </c>
      <c r="L1045" s="10">
        <v>6909</v>
      </c>
      <c r="M1045" s="10">
        <v>0</v>
      </c>
      <c r="N1045" s="11">
        <v>6909</v>
      </c>
      <c r="O1045" s="12">
        <v>918406296</v>
      </c>
      <c r="P1045" s="9">
        <v>285123</v>
      </c>
      <c r="Q1045" s="9" t="s">
        <v>37</v>
      </c>
      <c r="R1045" s="13">
        <v>45717</v>
      </c>
      <c r="S1045" s="22">
        <v>45742</v>
      </c>
      <c r="T1045" s="13">
        <v>45688</v>
      </c>
      <c r="U1045" s="13">
        <v>45688</v>
      </c>
      <c r="V1045" s="9" t="s">
        <v>47</v>
      </c>
      <c r="W1045" s="9">
        <v>22770482</v>
      </c>
      <c r="X1045" s="9">
        <v>3311105</v>
      </c>
      <c r="Y1045" s="9">
        <v>69250790</v>
      </c>
      <c r="Z1045" s="9" t="s">
        <v>39</v>
      </c>
      <c r="AA1045" s="9">
        <v>10792213</v>
      </c>
      <c r="AB1045" s="9">
        <v>78070</v>
      </c>
      <c r="AC1045" s="9" t="s">
        <v>41</v>
      </c>
      <c r="AD1045" s="9" t="s">
        <v>65</v>
      </c>
      <c r="AE1045" s="9" t="s">
        <v>66</v>
      </c>
      <c r="AF1045" s="9" t="s">
        <v>66</v>
      </c>
      <c r="AG1045" s="14" t="str">
        <f t="shared" ref="AG1045:AG1108" si="36">+AF1045</f>
        <v>PROCEDIMIENTOS TERAPEUTICOS</v>
      </c>
      <c r="AH1045" s="9">
        <v>0</v>
      </c>
      <c r="AI1045" s="9">
        <v>0</v>
      </c>
      <c r="AJ1045" s="9">
        <v>96942400</v>
      </c>
      <c r="AK1045" s="9">
        <v>2</v>
      </c>
      <c r="AL1045" s="26" t="s">
        <v>52</v>
      </c>
      <c r="AM1045" s="14" t="s">
        <v>692</v>
      </c>
      <c r="AN1045" s="27" t="str">
        <f t="shared" si="35"/>
        <v>10792213|96942400|918406296|65383901</v>
      </c>
      <c r="AO1045" t="s">
        <v>44</v>
      </c>
      <c r="AP1045" t="b">
        <v>0</v>
      </c>
      <c r="AQ1045" t="s">
        <v>763</v>
      </c>
    </row>
    <row r="1046" spans="1:43" x14ac:dyDescent="0.2">
      <c r="A1046" s="14" t="s">
        <v>500</v>
      </c>
      <c r="B1046" s="17">
        <v>26246811</v>
      </c>
      <c r="C1046" s="14" t="s">
        <v>186</v>
      </c>
      <c r="D1046" s="9">
        <v>26246811</v>
      </c>
      <c r="E1046" s="9" t="s">
        <v>186</v>
      </c>
      <c r="F1046" s="7">
        <v>45658</v>
      </c>
      <c r="G1046" s="20" t="s">
        <v>36</v>
      </c>
      <c r="H1046" s="8">
        <v>918429475</v>
      </c>
      <c r="I1046" s="19">
        <v>918429475</v>
      </c>
      <c r="J1046" s="10">
        <v>10740</v>
      </c>
      <c r="K1046" s="10">
        <v>3360</v>
      </c>
      <c r="L1046" s="10">
        <v>7380</v>
      </c>
      <c r="M1046" s="10">
        <v>0</v>
      </c>
      <c r="N1046" s="11">
        <v>7380</v>
      </c>
      <c r="O1046" s="12">
        <v>918429475</v>
      </c>
      <c r="P1046" s="9">
        <v>285123</v>
      </c>
      <c r="Q1046" s="9" t="s">
        <v>37</v>
      </c>
      <c r="R1046" s="13">
        <v>45688</v>
      </c>
      <c r="S1046" s="22">
        <v>45688</v>
      </c>
      <c r="T1046" s="13">
        <v>45688</v>
      </c>
      <c r="U1046" s="13">
        <v>45688</v>
      </c>
      <c r="V1046" s="9" t="s">
        <v>47</v>
      </c>
      <c r="W1046" s="9">
        <v>22561038</v>
      </c>
      <c r="X1046" s="9">
        <v>2040929</v>
      </c>
      <c r="Y1046" s="9">
        <v>68811219</v>
      </c>
      <c r="Z1046" s="9" t="s">
        <v>39</v>
      </c>
      <c r="AA1046" s="9">
        <v>2022025</v>
      </c>
      <c r="AB1046" s="9">
        <v>77562</v>
      </c>
      <c r="AC1046" s="9" t="s">
        <v>41</v>
      </c>
      <c r="AD1046" s="9" t="s">
        <v>65</v>
      </c>
      <c r="AE1046" s="9" t="s">
        <v>66</v>
      </c>
      <c r="AF1046" s="9" t="s">
        <v>66</v>
      </c>
      <c r="AG1046" s="14" t="str">
        <f t="shared" si="36"/>
        <v>PROCEDIMIENTOS TERAPEUTICOS</v>
      </c>
      <c r="AH1046" s="9" t="s">
        <v>758</v>
      </c>
      <c r="AI1046" s="9">
        <v>0</v>
      </c>
      <c r="AJ1046" s="9">
        <v>96530470</v>
      </c>
      <c r="AK1046" s="9">
        <v>3</v>
      </c>
      <c r="AL1046" s="26" t="s">
        <v>62</v>
      </c>
      <c r="AM1046" s="14" t="s">
        <v>536</v>
      </c>
      <c r="AN1046" s="27" t="str">
        <f t="shared" si="35"/>
        <v>26246811|96530470|918429475|918429475</v>
      </c>
      <c r="AO1046" t="s">
        <v>758</v>
      </c>
      <c r="AP1046" t="b">
        <v>1</v>
      </c>
      <c r="AQ1046" t="s">
        <v>764</v>
      </c>
    </row>
    <row r="1047" spans="1:43" x14ac:dyDescent="0.2">
      <c r="A1047" s="14" t="s">
        <v>500</v>
      </c>
      <c r="B1047" s="17">
        <v>26246811</v>
      </c>
      <c r="C1047" s="14" t="s">
        <v>186</v>
      </c>
      <c r="D1047" s="9">
        <v>26246811</v>
      </c>
      <c r="E1047" s="9" t="s">
        <v>186</v>
      </c>
      <c r="F1047" s="7">
        <v>45717</v>
      </c>
      <c r="G1047" s="20" t="s">
        <v>46</v>
      </c>
      <c r="H1047" s="8">
        <v>918429475</v>
      </c>
      <c r="I1047" s="19">
        <v>65384535</v>
      </c>
      <c r="J1047" s="10">
        <v>6141</v>
      </c>
      <c r="K1047" s="10">
        <v>0</v>
      </c>
      <c r="L1047" s="10">
        <v>6141</v>
      </c>
      <c r="M1047" s="10">
        <v>0</v>
      </c>
      <c r="N1047" s="11">
        <v>6141</v>
      </c>
      <c r="O1047" s="12">
        <v>918429475</v>
      </c>
      <c r="P1047" s="9">
        <v>285123</v>
      </c>
      <c r="Q1047" s="9" t="s">
        <v>37</v>
      </c>
      <c r="R1047" s="13">
        <v>45717</v>
      </c>
      <c r="S1047" s="22">
        <v>45742</v>
      </c>
      <c r="T1047" s="13">
        <v>45688</v>
      </c>
      <c r="U1047" s="13">
        <v>45688</v>
      </c>
      <c r="V1047" s="9" t="s">
        <v>47</v>
      </c>
      <c r="W1047" s="9">
        <v>22770493</v>
      </c>
      <c r="X1047" s="9">
        <v>3311105</v>
      </c>
      <c r="Y1047" s="9">
        <v>69251398</v>
      </c>
      <c r="Z1047" s="9" t="s">
        <v>39</v>
      </c>
      <c r="AA1047" s="9">
        <v>83503556</v>
      </c>
      <c r="AB1047" s="9">
        <v>78070</v>
      </c>
      <c r="AC1047" s="9" t="s">
        <v>41</v>
      </c>
      <c r="AD1047" s="9" t="s">
        <v>65</v>
      </c>
      <c r="AE1047" s="9" t="s">
        <v>66</v>
      </c>
      <c r="AF1047" s="9" t="s">
        <v>66</v>
      </c>
      <c r="AG1047" s="14" t="str">
        <f t="shared" si="36"/>
        <v>PROCEDIMIENTOS TERAPEUTICOS</v>
      </c>
      <c r="AH1047" s="9">
        <v>0</v>
      </c>
      <c r="AI1047" s="9">
        <v>0</v>
      </c>
      <c r="AJ1047" s="9">
        <v>96530470</v>
      </c>
      <c r="AK1047" s="9">
        <v>3</v>
      </c>
      <c r="AL1047" s="26" t="s">
        <v>52</v>
      </c>
      <c r="AM1047" s="14" t="s">
        <v>536</v>
      </c>
      <c r="AN1047" s="27" t="str">
        <f t="shared" si="35"/>
        <v>26246811|96530470|918429475|65384535</v>
      </c>
      <c r="AO1047" t="s">
        <v>44</v>
      </c>
      <c r="AP1047" t="b">
        <v>0</v>
      </c>
      <c r="AQ1047" t="s">
        <v>763</v>
      </c>
    </row>
    <row r="1048" spans="1:43" x14ac:dyDescent="0.2">
      <c r="A1048" s="14" t="s">
        <v>500</v>
      </c>
      <c r="B1048" s="17">
        <v>15552230</v>
      </c>
      <c r="C1048" s="14" t="s">
        <v>387</v>
      </c>
      <c r="D1048" s="9">
        <v>15552230</v>
      </c>
      <c r="E1048" s="9" t="s">
        <v>387</v>
      </c>
      <c r="F1048" s="7">
        <v>45658</v>
      </c>
      <c r="G1048" s="20" t="s">
        <v>36</v>
      </c>
      <c r="H1048" s="8">
        <v>918432271</v>
      </c>
      <c r="I1048" s="19">
        <v>918432271</v>
      </c>
      <c r="J1048" s="10">
        <v>35460</v>
      </c>
      <c r="K1048" s="10">
        <v>11080</v>
      </c>
      <c r="L1048" s="10">
        <v>24380</v>
      </c>
      <c r="M1048" s="10">
        <v>0</v>
      </c>
      <c r="N1048" s="11">
        <v>24380</v>
      </c>
      <c r="O1048" s="12">
        <v>918432271</v>
      </c>
      <c r="P1048" s="9">
        <v>285123</v>
      </c>
      <c r="Q1048" s="9" t="s">
        <v>37</v>
      </c>
      <c r="R1048" s="13">
        <v>45688</v>
      </c>
      <c r="S1048" s="22">
        <v>45688</v>
      </c>
      <c r="T1048" s="13">
        <v>45688</v>
      </c>
      <c r="U1048" s="13">
        <v>45688</v>
      </c>
      <c r="V1048" s="9" t="s">
        <v>47</v>
      </c>
      <c r="W1048" s="9">
        <v>22561019</v>
      </c>
      <c r="X1048" s="9">
        <v>2040929</v>
      </c>
      <c r="Y1048" s="9">
        <v>68811235</v>
      </c>
      <c r="Z1048" s="9" t="s">
        <v>39</v>
      </c>
      <c r="AA1048" s="9">
        <v>2022025</v>
      </c>
      <c r="AB1048" s="9">
        <v>77562</v>
      </c>
      <c r="AC1048" s="9" t="s">
        <v>41</v>
      </c>
      <c r="AD1048" s="9" t="s">
        <v>134</v>
      </c>
      <c r="AE1048" s="9" t="s">
        <v>135</v>
      </c>
      <c r="AF1048" s="9" t="s">
        <v>135</v>
      </c>
      <c r="AG1048" s="14" t="str">
        <f t="shared" si="36"/>
        <v>EXAMENES RADIOLOGICOS</v>
      </c>
      <c r="AH1048" s="9" t="s">
        <v>758</v>
      </c>
      <c r="AI1048" s="9">
        <v>0</v>
      </c>
      <c r="AJ1048" s="9">
        <v>96942400</v>
      </c>
      <c r="AK1048" s="9">
        <v>2</v>
      </c>
      <c r="AL1048" s="26" t="s">
        <v>62</v>
      </c>
      <c r="AM1048" s="14" t="s">
        <v>678</v>
      </c>
      <c r="AN1048" s="27" t="str">
        <f t="shared" si="35"/>
        <v>15552230|96942400|918432271|918432271</v>
      </c>
      <c r="AO1048" t="s">
        <v>758</v>
      </c>
      <c r="AP1048" t="b">
        <v>1</v>
      </c>
      <c r="AQ1048" t="s">
        <v>764</v>
      </c>
    </row>
    <row r="1049" spans="1:43" x14ac:dyDescent="0.2">
      <c r="A1049" s="14" t="s">
        <v>500</v>
      </c>
      <c r="B1049" s="17">
        <v>15552230</v>
      </c>
      <c r="C1049" s="14" t="s">
        <v>387</v>
      </c>
      <c r="D1049" s="9">
        <v>15552230</v>
      </c>
      <c r="E1049" s="9" t="s">
        <v>387</v>
      </c>
      <c r="F1049" s="7">
        <v>45717</v>
      </c>
      <c r="G1049" s="20" t="s">
        <v>46</v>
      </c>
      <c r="H1049" s="8">
        <v>918432271</v>
      </c>
      <c r="I1049" s="19">
        <v>65384324</v>
      </c>
      <c r="J1049" s="10">
        <v>21111</v>
      </c>
      <c r="K1049" s="10">
        <v>0</v>
      </c>
      <c r="L1049" s="10">
        <v>21111</v>
      </c>
      <c r="M1049" s="10">
        <v>0</v>
      </c>
      <c r="N1049" s="11">
        <v>21111</v>
      </c>
      <c r="O1049" s="12">
        <v>918432271</v>
      </c>
      <c r="P1049" s="9">
        <v>285123</v>
      </c>
      <c r="Q1049" s="9" t="s">
        <v>37</v>
      </c>
      <c r="R1049" s="13">
        <v>45717</v>
      </c>
      <c r="S1049" s="22">
        <v>45742</v>
      </c>
      <c r="T1049" s="13">
        <v>45688</v>
      </c>
      <c r="U1049" s="13">
        <v>45688</v>
      </c>
      <c r="V1049" s="9" t="s">
        <v>47</v>
      </c>
      <c r="W1049" s="9">
        <v>22770487</v>
      </c>
      <c r="X1049" s="9">
        <v>3311105</v>
      </c>
      <c r="Y1049" s="9">
        <v>69251207</v>
      </c>
      <c r="Z1049" s="9" t="s">
        <v>39</v>
      </c>
      <c r="AA1049" s="9">
        <v>169190419929</v>
      </c>
      <c r="AB1049" s="9">
        <v>78070</v>
      </c>
      <c r="AC1049" s="9" t="s">
        <v>41</v>
      </c>
      <c r="AD1049" s="9" t="s">
        <v>134</v>
      </c>
      <c r="AE1049" s="9" t="s">
        <v>135</v>
      </c>
      <c r="AF1049" s="9" t="s">
        <v>135</v>
      </c>
      <c r="AG1049" s="14" t="str">
        <f t="shared" si="36"/>
        <v>EXAMENES RADIOLOGICOS</v>
      </c>
      <c r="AH1049" s="9">
        <v>0</v>
      </c>
      <c r="AI1049" s="9">
        <v>0</v>
      </c>
      <c r="AJ1049" s="9">
        <v>96942400</v>
      </c>
      <c r="AK1049" s="9">
        <v>2</v>
      </c>
      <c r="AL1049" s="26" t="s">
        <v>52</v>
      </c>
      <c r="AM1049" s="14" t="s">
        <v>678</v>
      </c>
      <c r="AN1049" s="27" t="str">
        <f t="shared" si="35"/>
        <v>15552230|96942400|918432271|65384324</v>
      </c>
      <c r="AO1049" t="s">
        <v>44</v>
      </c>
      <c r="AP1049" t="b">
        <v>0</v>
      </c>
      <c r="AQ1049" t="s">
        <v>763</v>
      </c>
    </row>
    <row r="1050" spans="1:43" x14ac:dyDescent="0.2">
      <c r="A1050" s="14" t="s">
        <v>500</v>
      </c>
      <c r="B1050" s="17">
        <v>14157190</v>
      </c>
      <c r="C1050" s="14" t="s">
        <v>375</v>
      </c>
      <c r="D1050" s="9">
        <v>14157190</v>
      </c>
      <c r="E1050" s="9" t="s">
        <v>375</v>
      </c>
      <c r="F1050" s="7">
        <v>45689</v>
      </c>
      <c r="G1050" s="20" t="s">
        <v>36</v>
      </c>
      <c r="H1050" s="8">
        <v>918557671</v>
      </c>
      <c r="I1050" s="19">
        <v>918557671</v>
      </c>
      <c r="J1050" s="10">
        <v>28990</v>
      </c>
      <c r="K1050" s="10">
        <v>16308</v>
      </c>
      <c r="L1050" s="10">
        <v>12682</v>
      </c>
      <c r="M1050" s="10">
        <v>0</v>
      </c>
      <c r="N1050" s="11">
        <v>12682</v>
      </c>
      <c r="O1050" s="12">
        <v>918557671</v>
      </c>
      <c r="P1050" s="9">
        <v>285123</v>
      </c>
      <c r="Q1050" s="9" t="s">
        <v>37</v>
      </c>
      <c r="R1050" s="13">
        <v>45691</v>
      </c>
      <c r="S1050" s="22">
        <v>45691</v>
      </c>
      <c r="T1050" s="13">
        <v>45691</v>
      </c>
      <c r="U1050" s="13">
        <v>45691</v>
      </c>
      <c r="V1050" s="9" t="s">
        <v>47</v>
      </c>
      <c r="W1050" s="9">
        <v>22566136</v>
      </c>
      <c r="X1050" s="9">
        <v>2101551</v>
      </c>
      <c r="Y1050" s="9">
        <v>68820162</v>
      </c>
      <c r="Z1050" s="9" t="s">
        <v>39</v>
      </c>
      <c r="AA1050" s="9">
        <v>9022025</v>
      </c>
      <c r="AB1050" s="9">
        <v>77586</v>
      </c>
      <c r="AC1050" s="9" t="s">
        <v>41</v>
      </c>
      <c r="AD1050" s="9" t="s">
        <v>134</v>
      </c>
      <c r="AE1050" s="9" t="s">
        <v>135</v>
      </c>
      <c r="AF1050" s="9" t="s">
        <v>135</v>
      </c>
      <c r="AG1050" s="14" t="str">
        <f t="shared" si="36"/>
        <v>EXAMENES RADIOLOGICOS</v>
      </c>
      <c r="AH1050" s="9" t="s">
        <v>758</v>
      </c>
      <c r="AI1050" s="9">
        <v>0</v>
      </c>
      <c r="AJ1050" s="9">
        <v>96942400</v>
      </c>
      <c r="AK1050" s="9">
        <v>2</v>
      </c>
      <c r="AL1050" s="26" t="s">
        <v>62</v>
      </c>
      <c r="AM1050" s="14" t="s">
        <v>670</v>
      </c>
      <c r="AN1050" s="27" t="str">
        <f t="shared" si="35"/>
        <v>14157190|96942400|918557671|918557671</v>
      </c>
      <c r="AO1050" t="s">
        <v>758</v>
      </c>
      <c r="AP1050" t="b">
        <v>1</v>
      </c>
      <c r="AQ1050" t="s">
        <v>764</v>
      </c>
    </row>
    <row r="1051" spans="1:43" x14ac:dyDescent="0.2">
      <c r="A1051" s="14" t="s">
        <v>500</v>
      </c>
      <c r="B1051" s="17">
        <v>14157190</v>
      </c>
      <c r="C1051" s="14" t="s">
        <v>375</v>
      </c>
      <c r="D1051" s="9">
        <v>14157190</v>
      </c>
      <c r="E1051" s="9" t="s">
        <v>375</v>
      </c>
      <c r="F1051" s="7">
        <v>45717</v>
      </c>
      <c r="G1051" s="20" t="s">
        <v>46</v>
      </c>
      <c r="H1051" s="8">
        <v>918557671</v>
      </c>
      <c r="I1051" s="19">
        <v>65384210</v>
      </c>
      <c r="J1051" s="10">
        <v>9978</v>
      </c>
      <c r="K1051" s="10">
        <v>0</v>
      </c>
      <c r="L1051" s="10">
        <v>9978</v>
      </c>
      <c r="M1051" s="10">
        <v>0</v>
      </c>
      <c r="N1051" s="11">
        <v>9978</v>
      </c>
      <c r="O1051" s="12">
        <v>918557671</v>
      </c>
      <c r="P1051" s="9">
        <v>285123</v>
      </c>
      <c r="Q1051" s="9" t="s">
        <v>37</v>
      </c>
      <c r="R1051" s="13">
        <v>45717</v>
      </c>
      <c r="S1051" s="22">
        <v>45742</v>
      </c>
      <c r="T1051" s="13">
        <v>45691</v>
      </c>
      <c r="U1051" s="13">
        <v>45691</v>
      </c>
      <c r="V1051" s="9" t="s">
        <v>47</v>
      </c>
      <c r="W1051" s="9">
        <v>22770515</v>
      </c>
      <c r="X1051" s="9">
        <v>3311105</v>
      </c>
      <c r="Y1051" s="9">
        <v>69251085</v>
      </c>
      <c r="Z1051" s="9" t="s">
        <v>39</v>
      </c>
      <c r="AA1051" s="9">
        <v>15060102662</v>
      </c>
      <c r="AB1051" s="9">
        <v>78070</v>
      </c>
      <c r="AC1051" s="9" t="s">
        <v>41</v>
      </c>
      <c r="AD1051" s="9" t="s">
        <v>134</v>
      </c>
      <c r="AE1051" s="9" t="s">
        <v>135</v>
      </c>
      <c r="AF1051" s="9" t="s">
        <v>135</v>
      </c>
      <c r="AG1051" s="14" t="str">
        <f t="shared" si="36"/>
        <v>EXAMENES RADIOLOGICOS</v>
      </c>
      <c r="AH1051" s="9">
        <v>0</v>
      </c>
      <c r="AI1051" s="9">
        <v>0</v>
      </c>
      <c r="AJ1051" s="9">
        <v>96942400</v>
      </c>
      <c r="AK1051" s="9">
        <v>2</v>
      </c>
      <c r="AL1051" s="26" t="s">
        <v>52</v>
      </c>
      <c r="AM1051" s="14" t="s">
        <v>670</v>
      </c>
      <c r="AN1051" s="27" t="str">
        <f t="shared" si="35"/>
        <v>14157190|96942400|918557671|65384210</v>
      </c>
      <c r="AO1051" t="s">
        <v>44</v>
      </c>
      <c r="AP1051" t="b">
        <v>0</v>
      </c>
      <c r="AQ1051" t="s">
        <v>763</v>
      </c>
    </row>
    <row r="1052" spans="1:43" x14ac:dyDescent="0.2">
      <c r="A1052" s="14" t="s">
        <v>500</v>
      </c>
      <c r="B1052" s="17">
        <v>17897672</v>
      </c>
      <c r="C1052" s="14" t="s">
        <v>406</v>
      </c>
      <c r="D1052" s="9">
        <v>17897672</v>
      </c>
      <c r="E1052" s="9" t="s">
        <v>406</v>
      </c>
      <c r="F1052" s="7">
        <v>45689</v>
      </c>
      <c r="G1052" s="20" t="s">
        <v>36</v>
      </c>
      <c r="H1052" s="8">
        <v>918602630</v>
      </c>
      <c r="I1052" s="19">
        <v>918602630</v>
      </c>
      <c r="J1052" s="10">
        <v>16990</v>
      </c>
      <c r="K1052" s="10">
        <v>5310</v>
      </c>
      <c r="L1052" s="10">
        <v>11680</v>
      </c>
      <c r="M1052" s="10">
        <v>0</v>
      </c>
      <c r="N1052" s="11">
        <v>11680</v>
      </c>
      <c r="O1052" s="12">
        <v>918602630</v>
      </c>
      <c r="P1052" s="9">
        <v>285123</v>
      </c>
      <c r="Q1052" s="9" t="s">
        <v>37</v>
      </c>
      <c r="R1052" s="13">
        <v>45691</v>
      </c>
      <c r="S1052" s="22">
        <v>45691</v>
      </c>
      <c r="T1052" s="13">
        <v>45691</v>
      </c>
      <c r="U1052" s="13">
        <v>45691</v>
      </c>
      <c r="V1052" s="9" t="s">
        <v>47</v>
      </c>
      <c r="W1052" s="9">
        <v>22566147</v>
      </c>
      <c r="X1052" s="9">
        <v>2101551</v>
      </c>
      <c r="Y1052" s="9">
        <v>68820372</v>
      </c>
      <c r="Z1052" s="9" t="s">
        <v>39</v>
      </c>
      <c r="AA1052" s="9">
        <v>9022025</v>
      </c>
      <c r="AB1052" s="9">
        <v>77586</v>
      </c>
      <c r="AC1052" s="9" t="s">
        <v>41</v>
      </c>
      <c r="AD1052" s="9" t="s">
        <v>65</v>
      </c>
      <c r="AE1052" s="9" t="s">
        <v>66</v>
      </c>
      <c r="AF1052" s="9" t="s">
        <v>66</v>
      </c>
      <c r="AG1052" s="14" t="str">
        <f t="shared" si="36"/>
        <v>PROCEDIMIENTOS TERAPEUTICOS</v>
      </c>
      <c r="AH1052" s="9" t="s">
        <v>758</v>
      </c>
      <c r="AI1052" s="9">
        <v>0</v>
      </c>
      <c r="AJ1052" s="9">
        <v>88611600</v>
      </c>
      <c r="AK1052" s="9">
        <v>4</v>
      </c>
      <c r="AL1052" s="26" t="s">
        <v>62</v>
      </c>
      <c r="AM1052" s="14" t="s">
        <v>693</v>
      </c>
      <c r="AN1052" s="27" t="str">
        <f t="shared" si="35"/>
        <v>17897672|88611600|918602630|918602630</v>
      </c>
      <c r="AO1052" t="s">
        <v>758</v>
      </c>
      <c r="AP1052" t="b">
        <v>1</v>
      </c>
      <c r="AQ1052" t="s">
        <v>764</v>
      </c>
    </row>
    <row r="1053" spans="1:43" x14ac:dyDescent="0.2">
      <c r="A1053" s="14" t="s">
        <v>500</v>
      </c>
      <c r="B1053" s="17">
        <v>17897672</v>
      </c>
      <c r="C1053" s="14" t="s">
        <v>406</v>
      </c>
      <c r="D1053" s="9">
        <v>17897672</v>
      </c>
      <c r="E1053" s="9" t="s">
        <v>406</v>
      </c>
      <c r="F1053" s="7">
        <v>45717</v>
      </c>
      <c r="G1053" s="20" t="s">
        <v>46</v>
      </c>
      <c r="H1053" s="8">
        <v>918602630</v>
      </c>
      <c r="I1053" s="19">
        <v>65384451</v>
      </c>
      <c r="J1053" s="10">
        <v>9978</v>
      </c>
      <c r="K1053" s="10">
        <v>0</v>
      </c>
      <c r="L1053" s="10">
        <v>9978</v>
      </c>
      <c r="M1053" s="10">
        <v>0</v>
      </c>
      <c r="N1053" s="11">
        <v>9978</v>
      </c>
      <c r="O1053" s="12">
        <v>918602630</v>
      </c>
      <c r="P1053" s="9">
        <v>285123</v>
      </c>
      <c r="Q1053" s="9" t="s">
        <v>37</v>
      </c>
      <c r="R1053" s="13">
        <v>45717</v>
      </c>
      <c r="S1053" s="22">
        <v>45742</v>
      </c>
      <c r="T1053" s="13">
        <v>45691</v>
      </c>
      <c r="U1053" s="13">
        <v>45691</v>
      </c>
      <c r="V1053" s="9" t="s">
        <v>47</v>
      </c>
      <c r="W1053" s="9">
        <v>22770520</v>
      </c>
      <c r="X1053" s="9">
        <v>3311105</v>
      </c>
      <c r="Y1053" s="9">
        <v>69251319</v>
      </c>
      <c r="Z1053" s="9" t="s">
        <v>39</v>
      </c>
      <c r="AA1053" s="9">
        <v>3280691607</v>
      </c>
      <c r="AB1053" s="9">
        <v>78070</v>
      </c>
      <c r="AC1053" s="9" t="s">
        <v>41</v>
      </c>
      <c r="AD1053" s="9" t="s">
        <v>65</v>
      </c>
      <c r="AE1053" s="9" t="s">
        <v>66</v>
      </c>
      <c r="AF1053" s="9" t="s">
        <v>66</v>
      </c>
      <c r="AG1053" s="14" t="str">
        <f t="shared" si="36"/>
        <v>PROCEDIMIENTOS TERAPEUTICOS</v>
      </c>
      <c r="AH1053" s="9">
        <v>0</v>
      </c>
      <c r="AI1053" s="9">
        <v>0</v>
      </c>
      <c r="AJ1053" s="9">
        <v>88611600</v>
      </c>
      <c r="AK1053" s="9">
        <v>4</v>
      </c>
      <c r="AL1053" s="26" t="s">
        <v>52</v>
      </c>
      <c r="AM1053" s="14" t="s">
        <v>693</v>
      </c>
      <c r="AN1053" s="27" t="str">
        <f t="shared" si="35"/>
        <v>17897672|88611600|918602630|65384451</v>
      </c>
      <c r="AO1053" t="s">
        <v>44</v>
      </c>
      <c r="AP1053" t="b">
        <v>0</v>
      </c>
      <c r="AQ1053" t="s">
        <v>763</v>
      </c>
    </row>
    <row r="1054" spans="1:43" x14ac:dyDescent="0.2">
      <c r="A1054" s="14" t="s">
        <v>500</v>
      </c>
      <c r="B1054" s="17">
        <v>26246811</v>
      </c>
      <c r="C1054" s="14" t="s">
        <v>186</v>
      </c>
      <c r="D1054" s="9">
        <v>26246811</v>
      </c>
      <c r="E1054" s="9" t="s">
        <v>186</v>
      </c>
      <c r="F1054" s="7">
        <v>45689</v>
      </c>
      <c r="G1054" s="20" t="s">
        <v>36</v>
      </c>
      <c r="H1054" s="8">
        <v>918617889</v>
      </c>
      <c r="I1054" s="19">
        <v>918617889</v>
      </c>
      <c r="J1054" s="10">
        <v>14400</v>
      </c>
      <c r="K1054" s="10">
        <v>4500</v>
      </c>
      <c r="L1054" s="10">
        <v>9900</v>
      </c>
      <c r="M1054" s="10">
        <v>0</v>
      </c>
      <c r="N1054" s="11">
        <v>9900</v>
      </c>
      <c r="O1054" s="12">
        <v>918617889</v>
      </c>
      <c r="P1054" s="9">
        <v>285123</v>
      </c>
      <c r="Q1054" s="9" t="s">
        <v>37</v>
      </c>
      <c r="R1054" s="13">
        <v>45691</v>
      </c>
      <c r="S1054" s="22">
        <v>45691</v>
      </c>
      <c r="T1054" s="13">
        <v>45691</v>
      </c>
      <c r="U1054" s="13">
        <v>45691</v>
      </c>
      <c r="V1054" s="9" t="s">
        <v>47</v>
      </c>
      <c r="W1054" s="9">
        <v>22566150</v>
      </c>
      <c r="X1054" s="9">
        <v>2101551</v>
      </c>
      <c r="Y1054" s="9">
        <v>68820441</v>
      </c>
      <c r="Z1054" s="9" t="s">
        <v>39</v>
      </c>
      <c r="AA1054" s="9">
        <v>9022025</v>
      </c>
      <c r="AB1054" s="9">
        <v>77586</v>
      </c>
      <c r="AC1054" s="9" t="s">
        <v>41</v>
      </c>
      <c r="AD1054" s="9" t="s">
        <v>65</v>
      </c>
      <c r="AE1054" s="9" t="s">
        <v>66</v>
      </c>
      <c r="AF1054" s="9" t="s">
        <v>66</v>
      </c>
      <c r="AG1054" s="14" t="str">
        <f t="shared" si="36"/>
        <v>PROCEDIMIENTOS TERAPEUTICOS</v>
      </c>
      <c r="AH1054" s="9" t="s">
        <v>758</v>
      </c>
      <c r="AI1054" s="9">
        <v>0</v>
      </c>
      <c r="AJ1054" s="9">
        <v>79980070</v>
      </c>
      <c r="AK1054" s="9">
        <v>5</v>
      </c>
      <c r="AL1054" s="26" t="s">
        <v>62</v>
      </c>
      <c r="AM1054" s="14" t="s">
        <v>536</v>
      </c>
      <c r="AN1054" s="27" t="str">
        <f t="shared" si="35"/>
        <v>26246811|79980070|918617889|918617889</v>
      </c>
      <c r="AO1054" t="s">
        <v>758</v>
      </c>
      <c r="AP1054" t="b">
        <v>1</v>
      </c>
      <c r="AQ1054" t="s">
        <v>764</v>
      </c>
    </row>
    <row r="1055" spans="1:43" x14ac:dyDescent="0.2">
      <c r="A1055" s="14" t="s">
        <v>500</v>
      </c>
      <c r="B1055" s="17">
        <v>26246811</v>
      </c>
      <c r="C1055" s="14" t="s">
        <v>186</v>
      </c>
      <c r="D1055" s="9">
        <v>26246811</v>
      </c>
      <c r="E1055" s="9" t="s">
        <v>186</v>
      </c>
      <c r="F1055" s="7">
        <v>45717</v>
      </c>
      <c r="G1055" s="20" t="s">
        <v>46</v>
      </c>
      <c r="H1055" s="8">
        <v>918617889</v>
      </c>
      <c r="I1055" s="19">
        <v>65384536</v>
      </c>
      <c r="J1055" s="10">
        <v>8442</v>
      </c>
      <c r="K1055" s="10">
        <v>0</v>
      </c>
      <c r="L1055" s="10">
        <v>8442</v>
      </c>
      <c r="M1055" s="10">
        <v>0</v>
      </c>
      <c r="N1055" s="11">
        <v>8442</v>
      </c>
      <c r="O1055" s="12">
        <v>918617889</v>
      </c>
      <c r="P1055" s="9">
        <v>285123</v>
      </c>
      <c r="Q1055" s="9" t="s">
        <v>37</v>
      </c>
      <c r="R1055" s="13">
        <v>45717</v>
      </c>
      <c r="S1055" s="22">
        <v>45742</v>
      </c>
      <c r="T1055" s="13">
        <v>45691</v>
      </c>
      <c r="U1055" s="13">
        <v>45691</v>
      </c>
      <c r="V1055" s="9" t="s">
        <v>47</v>
      </c>
      <c r="W1055" s="9">
        <v>22770521</v>
      </c>
      <c r="X1055" s="9">
        <v>3311105</v>
      </c>
      <c r="Y1055" s="9">
        <v>69251399</v>
      </c>
      <c r="Z1055" s="9" t="s">
        <v>39</v>
      </c>
      <c r="AA1055" s="9">
        <v>83503556</v>
      </c>
      <c r="AB1055" s="9">
        <v>78070</v>
      </c>
      <c r="AC1055" s="9" t="s">
        <v>41</v>
      </c>
      <c r="AD1055" s="9" t="s">
        <v>65</v>
      </c>
      <c r="AE1055" s="9" t="s">
        <v>66</v>
      </c>
      <c r="AF1055" s="9" t="s">
        <v>66</v>
      </c>
      <c r="AG1055" s="14" t="str">
        <f t="shared" si="36"/>
        <v>PROCEDIMIENTOS TERAPEUTICOS</v>
      </c>
      <c r="AH1055" s="9">
        <v>0</v>
      </c>
      <c r="AI1055" s="9">
        <v>0</v>
      </c>
      <c r="AJ1055" s="9">
        <v>79980070</v>
      </c>
      <c r="AK1055" s="9">
        <v>5</v>
      </c>
      <c r="AL1055" s="26" t="s">
        <v>52</v>
      </c>
      <c r="AM1055" s="14" t="s">
        <v>536</v>
      </c>
      <c r="AN1055" s="27" t="str">
        <f t="shared" si="35"/>
        <v>26246811|79980070|918617889|65384536</v>
      </c>
      <c r="AO1055" t="s">
        <v>44</v>
      </c>
      <c r="AP1055" t="b">
        <v>0</v>
      </c>
      <c r="AQ1055" t="s">
        <v>763</v>
      </c>
    </row>
    <row r="1056" spans="1:43" x14ac:dyDescent="0.2">
      <c r="A1056" s="14" t="s">
        <v>500</v>
      </c>
      <c r="B1056" s="17">
        <v>26246811</v>
      </c>
      <c r="C1056" s="14" t="s">
        <v>186</v>
      </c>
      <c r="D1056" s="9">
        <v>26246811</v>
      </c>
      <c r="E1056" s="9" t="s">
        <v>186</v>
      </c>
      <c r="F1056" s="7">
        <v>45689</v>
      </c>
      <c r="G1056" s="20" t="s">
        <v>36</v>
      </c>
      <c r="H1056" s="8">
        <v>918633302</v>
      </c>
      <c r="I1056" s="19">
        <v>918633302</v>
      </c>
      <c r="J1056" s="10">
        <v>57360</v>
      </c>
      <c r="K1056" s="10">
        <v>17930</v>
      </c>
      <c r="L1056" s="10">
        <v>39430</v>
      </c>
      <c r="M1056" s="10">
        <v>0</v>
      </c>
      <c r="N1056" s="11">
        <v>39430</v>
      </c>
      <c r="O1056" s="12">
        <v>918633302</v>
      </c>
      <c r="P1056" s="9">
        <v>285123</v>
      </c>
      <c r="Q1056" s="9" t="s">
        <v>37</v>
      </c>
      <c r="R1056" s="13">
        <v>45691</v>
      </c>
      <c r="S1056" s="22">
        <v>45691</v>
      </c>
      <c r="T1056" s="13">
        <v>45691</v>
      </c>
      <c r="U1056" s="13">
        <v>45691</v>
      </c>
      <c r="V1056" s="9" t="s">
        <v>47</v>
      </c>
      <c r="W1056" s="9">
        <v>22566150</v>
      </c>
      <c r="X1056" s="9">
        <v>2101551</v>
      </c>
      <c r="Y1056" s="9">
        <v>68820515</v>
      </c>
      <c r="Z1056" s="9" t="s">
        <v>39</v>
      </c>
      <c r="AA1056" s="9">
        <v>9022025</v>
      </c>
      <c r="AB1056" s="9">
        <v>77586</v>
      </c>
      <c r="AC1056" s="9" t="s">
        <v>41</v>
      </c>
      <c r="AD1056" s="9" t="s">
        <v>65</v>
      </c>
      <c r="AE1056" s="9" t="s">
        <v>66</v>
      </c>
      <c r="AF1056" s="9" t="s">
        <v>66</v>
      </c>
      <c r="AG1056" s="14" t="str">
        <f t="shared" si="36"/>
        <v>PROCEDIMIENTOS TERAPEUTICOS</v>
      </c>
      <c r="AH1056" s="9" t="s">
        <v>758</v>
      </c>
      <c r="AI1056" s="9">
        <v>0</v>
      </c>
      <c r="AJ1056" s="9">
        <v>96530470</v>
      </c>
      <c r="AK1056" s="9">
        <v>3</v>
      </c>
      <c r="AL1056" s="26" t="s">
        <v>62</v>
      </c>
      <c r="AM1056" s="14" t="s">
        <v>536</v>
      </c>
      <c r="AN1056" s="27" t="str">
        <f t="shared" si="35"/>
        <v>26246811|96530470|918633302|918633302</v>
      </c>
      <c r="AO1056" t="s">
        <v>758</v>
      </c>
      <c r="AP1056" t="b">
        <v>1</v>
      </c>
      <c r="AQ1056" t="s">
        <v>764</v>
      </c>
    </row>
    <row r="1057" spans="1:43" x14ac:dyDescent="0.2">
      <c r="A1057" s="14" t="s">
        <v>500</v>
      </c>
      <c r="B1057" s="17">
        <v>26246811</v>
      </c>
      <c r="C1057" s="14" t="s">
        <v>186</v>
      </c>
      <c r="D1057" s="9">
        <v>26246811</v>
      </c>
      <c r="E1057" s="9" t="s">
        <v>186</v>
      </c>
      <c r="F1057" s="7">
        <v>45717</v>
      </c>
      <c r="G1057" s="20" t="s">
        <v>46</v>
      </c>
      <c r="H1057" s="8">
        <v>918633302</v>
      </c>
      <c r="I1057" s="19">
        <v>65384537</v>
      </c>
      <c r="J1057" s="10">
        <v>34154</v>
      </c>
      <c r="K1057" s="10">
        <v>0</v>
      </c>
      <c r="L1057" s="10">
        <v>34154</v>
      </c>
      <c r="M1057" s="10">
        <v>0</v>
      </c>
      <c r="N1057" s="11">
        <v>34154</v>
      </c>
      <c r="O1057" s="12">
        <v>918633302</v>
      </c>
      <c r="P1057" s="9">
        <v>285123</v>
      </c>
      <c r="Q1057" s="9" t="s">
        <v>37</v>
      </c>
      <c r="R1057" s="13">
        <v>45717</v>
      </c>
      <c r="S1057" s="22">
        <v>45742</v>
      </c>
      <c r="T1057" s="13">
        <v>45691</v>
      </c>
      <c r="U1057" s="13">
        <v>45691</v>
      </c>
      <c r="V1057" s="9" t="s">
        <v>47</v>
      </c>
      <c r="W1057" s="9">
        <v>22770521</v>
      </c>
      <c r="X1057" s="9">
        <v>3311105</v>
      </c>
      <c r="Y1057" s="9">
        <v>69251400</v>
      </c>
      <c r="Z1057" s="9" t="s">
        <v>39</v>
      </c>
      <c r="AA1057" s="9">
        <v>83503556</v>
      </c>
      <c r="AB1057" s="9">
        <v>78070</v>
      </c>
      <c r="AC1057" s="9" t="s">
        <v>41</v>
      </c>
      <c r="AD1057" s="9" t="s">
        <v>65</v>
      </c>
      <c r="AE1057" s="9" t="s">
        <v>66</v>
      </c>
      <c r="AF1057" s="9" t="s">
        <v>66</v>
      </c>
      <c r="AG1057" s="14" t="str">
        <f t="shared" si="36"/>
        <v>PROCEDIMIENTOS TERAPEUTICOS</v>
      </c>
      <c r="AH1057" s="9">
        <v>0</v>
      </c>
      <c r="AI1057" s="9">
        <v>0</v>
      </c>
      <c r="AJ1057" s="9">
        <v>96530470</v>
      </c>
      <c r="AK1057" s="9">
        <v>3</v>
      </c>
      <c r="AL1057" s="26" t="s">
        <v>52</v>
      </c>
      <c r="AM1057" s="14" t="s">
        <v>536</v>
      </c>
      <c r="AN1057" s="27" t="str">
        <f t="shared" si="35"/>
        <v>26246811|96530470|918633302|65384537</v>
      </c>
      <c r="AO1057" t="s">
        <v>44</v>
      </c>
      <c r="AP1057" t="b">
        <v>0</v>
      </c>
      <c r="AQ1057" t="s">
        <v>763</v>
      </c>
    </row>
    <row r="1058" spans="1:43" x14ac:dyDescent="0.2">
      <c r="A1058" s="14" t="s">
        <v>500</v>
      </c>
      <c r="B1058" s="17">
        <v>26246811</v>
      </c>
      <c r="C1058" s="14" t="s">
        <v>186</v>
      </c>
      <c r="D1058" s="9">
        <v>26246811</v>
      </c>
      <c r="E1058" s="9" t="s">
        <v>186</v>
      </c>
      <c r="F1058" s="7">
        <v>45689</v>
      </c>
      <c r="G1058" s="20" t="s">
        <v>36</v>
      </c>
      <c r="H1058" s="8">
        <v>918633934</v>
      </c>
      <c r="I1058" s="19">
        <v>918633934</v>
      </c>
      <c r="J1058" s="10">
        <v>27020</v>
      </c>
      <c r="K1058" s="10">
        <v>8440</v>
      </c>
      <c r="L1058" s="10">
        <v>18580</v>
      </c>
      <c r="M1058" s="10">
        <v>0</v>
      </c>
      <c r="N1058" s="11">
        <v>18580</v>
      </c>
      <c r="O1058" s="12">
        <v>918633934</v>
      </c>
      <c r="P1058" s="9">
        <v>285123</v>
      </c>
      <c r="Q1058" s="9" t="s">
        <v>37</v>
      </c>
      <c r="R1058" s="13">
        <v>45691</v>
      </c>
      <c r="S1058" s="22">
        <v>45691</v>
      </c>
      <c r="T1058" s="13">
        <v>45691</v>
      </c>
      <c r="U1058" s="13">
        <v>45691</v>
      </c>
      <c r="V1058" s="9" t="s">
        <v>47</v>
      </c>
      <c r="W1058" s="9">
        <v>22566150</v>
      </c>
      <c r="X1058" s="9">
        <v>2101551</v>
      </c>
      <c r="Y1058" s="9">
        <v>68820733</v>
      </c>
      <c r="Z1058" s="9" t="s">
        <v>39</v>
      </c>
      <c r="AA1058" s="9">
        <v>9022025</v>
      </c>
      <c r="AB1058" s="9">
        <v>77586</v>
      </c>
      <c r="AC1058" s="9" t="s">
        <v>41</v>
      </c>
      <c r="AD1058" s="9" t="s">
        <v>65</v>
      </c>
      <c r="AE1058" s="9" t="s">
        <v>66</v>
      </c>
      <c r="AF1058" s="9" t="s">
        <v>66</v>
      </c>
      <c r="AG1058" s="14" t="str">
        <f t="shared" si="36"/>
        <v>PROCEDIMIENTOS TERAPEUTICOS</v>
      </c>
      <c r="AH1058" s="9" t="s">
        <v>758</v>
      </c>
      <c r="AI1058" s="9">
        <v>0</v>
      </c>
      <c r="AJ1058" s="9">
        <v>79980070</v>
      </c>
      <c r="AK1058" s="9">
        <v>5</v>
      </c>
      <c r="AL1058" s="26" t="s">
        <v>62</v>
      </c>
      <c r="AM1058" s="14" t="s">
        <v>536</v>
      </c>
      <c r="AN1058" s="27" t="str">
        <f t="shared" si="35"/>
        <v>26246811|79980070|918633934|918633934</v>
      </c>
      <c r="AO1058" t="s">
        <v>758</v>
      </c>
      <c r="AP1058" t="b">
        <v>1</v>
      </c>
      <c r="AQ1058" t="s">
        <v>764</v>
      </c>
    </row>
    <row r="1059" spans="1:43" x14ac:dyDescent="0.2">
      <c r="A1059" s="14" t="s">
        <v>500</v>
      </c>
      <c r="B1059" s="17">
        <v>26246811</v>
      </c>
      <c r="C1059" s="14" t="s">
        <v>186</v>
      </c>
      <c r="D1059" s="9">
        <v>26246811</v>
      </c>
      <c r="E1059" s="9" t="s">
        <v>186</v>
      </c>
      <c r="F1059" s="7">
        <v>45717</v>
      </c>
      <c r="G1059" s="20" t="s">
        <v>46</v>
      </c>
      <c r="H1059" s="8">
        <v>918633934</v>
      </c>
      <c r="I1059" s="19">
        <v>65384538</v>
      </c>
      <c r="J1059" s="10">
        <v>16118</v>
      </c>
      <c r="K1059" s="10">
        <v>0</v>
      </c>
      <c r="L1059" s="10">
        <v>16118</v>
      </c>
      <c r="M1059" s="10">
        <v>0</v>
      </c>
      <c r="N1059" s="11">
        <v>16118</v>
      </c>
      <c r="O1059" s="12">
        <v>918633934</v>
      </c>
      <c r="P1059" s="9">
        <v>285123</v>
      </c>
      <c r="Q1059" s="9" t="s">
        <v>37</v>
      </c>
      <c r="R1059" s="13">
        <v>45717</v>
      </c>
      <c r="S1059" s="22">
        <v>45742</v>
      </c>
      <c r="T1059" s="13">
        <v>45691</v>
      </c>
      <c r="U1059" s="13">
        <v>45691</v>
      </c>
      <c r="V1059" s="9" t="s">
        <v>47</v>
      </c>
      <c r="W1059" s="9">
        <v>22770521</v>
      </c>
      <c r="X1059" s="9">
        <v>3311105</v>
      </c>
      <c r="Y1059" s="9">
        <v>69251401</v>
      </c>
      <c r="Z1059" s="9" t="s">
        <v>39</v>
      </c>
      <c r="AA1059" s="9">
        <v>83503556</v>
      </c>
      <c r="AB1059" s="9">
        <v>78070</v>
      </c>
      <c r="AC1059" s="9" t="s">
        <v>41</v>
      </c>
      <c r="AD1059" s="9" t="s">
        <v>65</v>
      </c>
      <c r="AE1059" s="9" t="s">
        <v>66</v>
      </c>
      <c r="AF1059" s="9" t="s">
        <v>66</v>
      </c>
      <c r="AG1059" s="14" t="str">
        <f t="shared" si="36"/>
        <v>PROCEDIMIENTOS TERAPEUTICOS</v>
      </c>
      <c r="AH1059" s="9">
        <v>0</v>
      </c>
      <c r="AI1059" s="9">
        <v>0</v>
      </c>
      <c r="AJ1059" s="9">
        <v>79980070</v>
      </c>
      <c r="AK1059" s="9">
        <v>5</v>
      </c>
      <c r="AL1059" s="26" t="s">
        <v>52</v>
      </c>
      <c r="AM1059" s="14" t="s">
        <v>536</v>
      </c>
      <c r="AN1059" s="27" t="str">
        <f t="shared" si="35"/>
        <v>26246811|79980070|918633934|65384538</v>
      </c>
      <c r="AO1059" t="s">
        <v>44</v>
      </c>
      <c r="AP1059" t="b">
        <v>0</v>
      </c>
      <c r="AQ1059" t="s">
        <v>763</v>
      </c>
    </row>
    <row r="1060" spans="1:43" x14ac:dyDescent="0.2">
      <c r="A1060" s="14" t="s">
        <v>500</v>
      </c>
      <c r="B1060" s="17">
        <v>16566260</v>
      </c>
      <c r="C1060" s="14" t="s">
        <v>407</v>
      </c>
      <c r="D1060" s="9">
        <v>16566260</v>
      </c>
      <c r="E1060" s="9" t="s">
        <v>407</v>
      </c>
      <c r="F1060" s="7">
        <v>45689</v>
      </c>
      <c r="G1060" s="20" t="s">
        <v>36</v>
      </c>
      <c r="H1060" s="8">
        <v>918656750</v>
      </c>
      <c r="I1060" s="19">
        <v>918656750</v>
      </c>
      <c r="J1060" s="10">
        <v>166500</v>
      </c>
      <c r="K1060" s="10">
        <v>83250</v>
      </c>
      <c r="L1060" s="10">
        <v>83250</v>
      </c>
      <c r="M1060" s="10">
        <v>0</v>
      </c>
      <c r="N1060" s="11">
        <v>83250</v>
      </c>
      <c r="O1060" s="12">
        <v>918656750</v>
      </c>
      <c r="P1060" s="9">
        <v>285123</v>
      </c>
      <c r="Q1060" s="9" t="s">
        <v>37</v>
      </c>
      <c r="R1060" s="13">
        <v>45691</v>
      </c>
      <c r="S1060" s="22">
        <v>45691</v>
      </c>
      <c r="T1060" s="13">
        <v>45691</v>
      </c>
      <c r="U1060" s="13">
        <v>45691</v>
      </c>
      <c r="V1060" s="9" t="s">
        <v>47</v>
      </c>
      <c r="W1060" s="9">
        <v>22566143</v>
      </c>
      <c r="X1060" s="9">
        <v>2101551</v>
      </c>
      <c r="Y1060" s="9">
        <v>68820651</v>
      </c>
      <c r="Z1060" s="9" t="s">
        <v>39</v>
      </c>
      <c r="AA1060" s="9">
        <v>9022025</v>
      </c>
      <c r="AB1060" s="9">
        <v>77586</v>
      </c>
      <c r="AC1060" s="9" t="s">
        <v>41</v>
      </c>
      <c r="AD1060" s="9" t="s">
        <v>134</v>
      </c>
      <c r="AE1060" s="9" t="s">
        <v>135</v>
      </c>
      <c r="AF1060" s="9" t="s">
        <v>135</v>
      </c>
      <c r="AG1060" s="14" t="str">
        <f t="shared" si="36"/>
        <v>EXAMENES RADIOLOGICOS</v>
      </c>
      <c r="AH1060" s="9" t="s">
        <v>758</v>
      </c>
      <c r="AI1060" s="9">
        <v>0</v>
      </c>
      <c r="AJ1060" s="9">
        <v>77026140</v>
      </c>
      <c r="AK1060" s="9">
        <v>6</v>
      </c>
      <c r="AL1060" s="26" t="s">
        <v>62</v>
      </c>
      <c r="AM1060" s="14" t="s">
        <v>694</v>
      </c>
      <c r="AN1060" s="27" t="str">
        <f t="shared" si="35"/>
        <v>16566260|77026140|918656750|918656750</v>
      </c>
      <c r="AO1060" t="s">
        <v>758</v>
      </c>
      <c r="AP1060" t="b">
        <v>1</v>
      </c>
      <c r="AQ1060" t="s">
        <v>764</v>
      </c>
    </row>
    <row r="1061" spans="1:43" x14ac:dyDescent="0.2">
      <c r="A1061" s="14" t="s">
        <v>500</v>
      </c>
      <c r="B1061" s="17">
        <v>16566260</v>
      </c>
      <c r="C1061" s="14" t="s">
        <v>407</v>
      </c>
      <c r="D1061" s="9">
        <v>16566260</v>
      </c>
      <c r="E1061" s="9" t="s">
        <v>407</v>
      </c>
      <c r="F1061" s="7">
        <v>45717</v>
      </c>
      <c r="G1061" s="20" t="s">
        <v>46</v>
      </c>
      <c r="H1061" s="8">
        <v>918656750</v>
      </c>
      <c r="I1061" s="19">
        <v>65384370</v>
      </c>
      <c r="J1061" s="10">
        <v>83278</v>
      </c>
      <c r="K1061" s="10">
        <v>0</v>
      </c>
      <c r="L1061" s="10">
        <v>83278</v>
      </c>
      <c r="M1061" s="10">
        <v>0</v>
      </c>
      <c r="N1061" s="11">
        <v>83278</v>
      </c>
      <c r="O1061" s="12">
        <v>918656750</v>
      </c>
      <c r="P1061" s="9">
        <v>285123</v>
      </c>
      <c r="Q1061" s="9" t="s">
        <v>37</v>
      </c>
      <c r="R1061" s="13">
        <v>45717</v>
      </c>
      <c r="S1061" s="22">
        <v>45742</v>
      </c>
      <c r="T1061" s="13">
        <v>45691</v>
      </c>
      <c r="U1061" s="13">
        <v>45691</v>
      </c>
      <c r="V1061" s="9" t="s">
        <v>47</v>
      </c>
      <c r="W1061" s="9">
        <v>22770518</v>
      </c>
      <c r="X1061" s="9">
        <v>3311105</v>
      </c>
      <c r="Y1061" s="9">
        <v>69251253</v>
      </c>
      <c r="Z1061" s="9" t="s">
        <v>39</v>
      </c>
      <c r="AA1061" s="9">
        <v>210978449</v>
      </c>
      <c r="AB1061" s="9">
        <v>78070</v>
      </c>
      <c r="AC1061" s="9" t="s">
        <v>41</v>
      </c>
      <c r="AD1061" s="9" t="s">
        <v>134</v>
      </c>
      <c r="AE1061" s="9" t="s">
        <v>135</v>
      </c>
      <c r="AF1061" s="9" t="s">
        <v>135</v>
      </c>
      <c r="AG1061" s="14" t="str">
        <f t="shared" si="36"/>
        <v>EXAMENES RADIOLOGICOS</v>
      </c>
      <c r="AH1061" s="9">
        <v>0</v>
      </c>
      <c r="AI1061" s="9">
        <v>0</v>
      </c>
      <c r="AJ1061" s="9">
        <v>77026140</v>
      </c>
      <c r="AK1061" s="9">
        <v>6</v>
      </c>
      <c r="AL1061" s="26" t="s">
        <v>52</v>
      </c>
      <c r="AM1061" s="14" t="s">
        <v>694</v>
      </c>
      <c r="AN1061" s="27" t="str">
        <f t="shared" si="35"/>
        <v>16566260|77026140|918656750|65384370</v>
      </c>
      <c r="AO1061" t="s">
        <v>44</v>
      </c>
      <c r="AP1061" t="b">
        <v>0</v>
      </c>
      <c r="AQ1061" t="s">
        <v>763</v>
      </c>
    </row>
    <row r="1062" spans="1:43" x14ac:dyDescent="0.2">
      <c r="A1062" s="14" t="s">
        <v>500</v>
      </c>
      <c r="B1062" s="17">
        <v>9120124</v>
      </c>
      <c r="C1062" s="14" t="s">
        <v>408</v>
      </c>
      <c r="D1062" s="9">
        <v>9120124</v>
      </c>
      <c r="E1062" s="9" t="s">
        <v>408</v>
      </c>
      <c r="F1062" s="7">
        <v>45689</v>
      </c>
      <c r="G1062" s="20" t="s">
        <v>36</v>
      </c>
      <c r="H1062" s="8">
        <v>918761161</v>
      </c>
      <c r="I1062" s="19">
        <v>918761161</v>
      </c>
      <c r="J1062" s="10">
        <v>57360</v>
      </c>
      <c r="K1062" s="10">
        <v>17930</v>
      </c>
      <c r="L1062" s="10">
        <v>39430</v>
      </c>
      <c r="M1062" s="10">
        <v>0</v>
      </c>
      <c r="N1062" s="11">
        <v>39430</v>
      </c>
      <c r="O1062" s="12">
        <v>918761161</v>
      </c>
      <c r="P1062" s="9">
        <v>285123</v>
      </c>
      <c r="Q1062" s="9" t="s">
        <v>37</v>
      </c>
      <c r="R1062" s="13">
        <v>45692</v>
      </c>
      <c r="S1062" s="22">
        <v>45692</v>
      </c>
      <c r="T1062" s="13">
        <v>45692</v>
      </c>
      <c r="U1062" s="13">
        <v>45692</v>
      </c>
      <c r="V1062" s="9" t="s">
        <v>47</v>
      </c>
      <c r="W1062" s="9">
        <v>22566154</v>
      </c>
      <c r="X1062" s="9">
        <v>2101551</v>
      </c>
      <c r="Y1062" s="9">
        <v>68821210</v>
      </c>
      <c r="Z1062" s="9" t="s">
        <v>39</v>
      </c>
      <c r="AA1062" s="9">
        <v>9022025</v>
      </c>
      <c r="AB1062" s="9">
        <v>77586</v>
      </c>
      <c r="AC1062" s="9" t="s">
        <v>41</v>
      </c>
      <c r="AD1062" s="9" t="s">
        <v>65</v>
      </c>
      <c r="AE1062" s="9" t="s">
        <v>66</v>
      </c>
      <c r="AF1062" s="9" t="s">
        <v>66</v>
      </c>
      <c r="AG1062" s="14" t="str">
        <f t="shared" si="36"/>
        <v>PROCEDIMIENTOS TERAPEUTICOS</v>
      </c>
      <c r="AH1062" s="9" t="s">
        <v>758</v>
      </c>
      <c r="AI1062" s="9">
        <v>0</v>
      </c>
      <c r="AJ1062" s="9">
        <v>76110809</v>
      </c>
      <c r="AK1062" s="9">
        <v>3</v>
      </c>
      <c r="AL1062" s="26" t="s">
        <v>62</v>
      </c>
      <c r="AM1062" s="14" t="s">
        <v>695</v>
      </c>
      <c r="AN1062" s="27" t="str">
        <f t="shared" si="35"/>
        <v>9120124|76110809|918761161|918761161</v>
      </c>
      <c r="AO1062" t="s">
        <v>758</v>
      </c>
      <c r="AP1062" t="b">
        <v>1</v>
      </c>
      <c r="AQ1062" t="s">
        <v>764</v>
      </c>
    </row>
    <row r="1063" spans="1:43" x14ac:dyDescent="0.2">
      <c r="A1063" s="14" t="s">
        <v>500</v>
      </c>
      <c r="B1063" s="17">
        <v>9120124</v>
      </c>
      <c r="C1063" s="14" t="s">
        <v>408</v>
      </c>
      <c r="D1063" s="9">
        <v>9120124</v>
      </c>
      <c r="E1063" s="9" t="s">
        <v>408</v>
      </c>
      <c r="F1063" s="7">
        <v>45717</v>
      </c>
      <c r="G1063" s="20" t="s">
        <v>46</v>
      </c>
      <c r="H1063" s="8">
        <v>918761161</v>
      </c>
      <c r="I1063" s="19">
        <v>65383713</v>
      </c>
      <c r="J1063" s="10">
        <v>34152</v>
      </c>
      <c r="K1063" s="10">
        <v>0</v>
      </c>
      <c r="L1063" s="10">
        <v>34152</v>
      </c>
      <c r="M1063" s="10">
        <v>0</v>
      </c>
      <c r="N1063" s="11">
        <v>34152</v>
      </c>
      <c r="O1063" s="12">
        <v>918761161</v>
      </c>
      <c r="P1063" s="9">
        <v>285123</v>
      </c>
      <c r="Q1063" s="9" t="s">
        <v>37</v>
      </c>
      <c r="R1063" s="13">
        <v>45717</v>
      </c>
      <c r="S1063" s="22">
        <v>45742</v>
      </c>
      <c r="T1063" s="13">
        <v>45692</v>
      </c>
      <c r="U1063" s="13">
        <v>45692</v>
      </c>
      <c r="V1063" s="9" t="s">
        <v>47</v>
      </c>
      <c r="W1063" s="9">
        <v>22770525</v>
      </c>
      <c r="X1063" s="9">
        <v>3311105</v>
      </c>
      <c r="Y1063" s="9">
        <v>69250604</v>
      </c>
      <c r="Z1063" s="9" t="s">
        <v>39</v>
      </c>
      <c r="AA1063" s="9">
        <v>57200004561</v>
      </c>
      <c r="AB1063" s="9">
        <v>78070</v>
      </c>
      <c r="AC1063" s="9" t="s">
        <v>41</v>
      </c>
      <c r="AD1063" s="9" t="s">
        <v>65</v>
      </c>
      <c r="AE1063" s="9" t="s">
        <v>66</v>
      </c>
      <c r="AF1063" s="9" t="s">
        <v>66</v>
      </c>
      <c r="AG1063" s="14" t="str">
        <f t="shared" si="36"/>
        <v>PROCEDIMIENTOS TERAPEUTICOS</v>
      </c>
      <c r="AH1063" s="9">
        <v>0</v>
      </c>
      <c r="AI1063" s="9">
        <v>0</v>
      </c>
      <c r="AJ1063" s="9">
        <v>76110809</v>
      </c>
      <c r="AK1063" s="9">
        <v>3</v>
      </c>
      <c r="AL1063" s="26" t="s">
        <v>52</v>
      </c>
      <c r="AM1063" s="14" t="s">
        <v>695</v>
      </c>
      <c r="AN1063" s="27" t="str">
        <f t="shared" si="35"/>
        <v>9120124|76110809|918761161|65383713</v>
      </c>
      <c r="AO1063" t="s">
        <v>44</v>
      </c>
      <c r="AP1063" t="b">
        <v>0</v>
      </c>
      <c r="AQ1063" t="s">
        <v>763</v>
      </c>
    </row>
    <row r="1064" spans="1:43" x14ac:dyDescent="0.2">
      <c r="A1064" s="14" t="s">
        <v>500</v>
      </c>
      <c r="B1064" s="17">
        <v>8586053</v>
      </c>
      <c r="C1064" s="14" t="s">
        <v>395</v>
      </c>
      <c r="D1064" s="9">
        <v>8586053</v>
      </c>
      <c r="E1064" s="9" t="s">
        <v>395</v>
      </c>
      <c r="F1064" s="7">
        <v>45689</v>
      </c>
      <c r="G1064" s="20" t="s">
        <v>36</v>
      </c>
      <c r="H1064" s="8">
        <v>918783008</v>
      </c>
      <c r="I1064" s="19">
        <v>918783008</v>
      </c>
      <c r="J1064" s="10">
        <v>11790</v>
      </c>
      <c r="K1064" s="10">
        <v>3690</v>
      </c>
      <c r="L1064" s="10">
        <v>8100</v>
      </c>
      <c r="M1064" s="10">
        <v>0</v>
      </c>
      <c r="N1064" s="11">
        <v>8100</v>
      </c>
      <c r="O1064" s="12">
        <v>918783008</v>
      </c>
      <c r="P1064" s="9">
        <v>285123</v>
      </c>
      <c r="Q1064" s="9" t="s">
        <v>37</v>
      </c>
      <c r="R1064" s="13">
        <v>45692</v>
      </c>
      <c r="S1064" s="22">
        <v>45692</v>
      </c>
      <c r="T1064" s="13">
        <v>45692</v>
      </c>
      <c r="U1064" s="13">
        <v>45692</v>
      </c>
      <c r="V1064" s="9" t="s">
        <v>47</v>
      </c>
      <c r="W1064" s="9">
        <v>22566153</v>
      </c>
      <c r="X1064" s="9">
        <v>2101551</v>
      </c>
      <c r="Y1064" s="9">
        <v>68821316</v>
      </c>
      <c r="Z1064" s="9" t="s">
        <v>39</v>
      </c>
      <c r="AA1064" s="9">
        <v>9022025</v>
      </c>
      <c r="AB1064" s="9">
        <v>77586</v>
      </c>
      <c r="AC1064" s="9" t="s">
        <v>41</v>
      </c>
      <c r="AD1064" s="9" t="s">
        <v>65</v>
      </c>
      <c r="AE1064" s="9" t="s">
        <v>66</v>
      </c>
      <c r="AF1064" s="9" t="s">
        <v>66</v>
      </c>
      <c r="AG1064" s="14" t="str">
        <f t="shared" si="36"/>
        <v>PROCEDIMIENTOS TERAPEUTICOS</v>
      </c>
      <c r="AH1064" s="9" t="s">
        <v>758</v>
      </c>
      <c r="AI1064" s="9">
        <v>0</v>
      </c>
      <c r="AJ1064" s="9">
        <v>96942400</v>
      </c>
      <c r="AK1064" s="9">
        <v>2</v>
      </c>
      <c r="AL1064" s="26" t="s">
        <v>62</v>
      </c>
      <c r="AM1064" s="14" t="s">
        <v>685</v>
      </c>
      <c r="AN1064" s="27" t="str">
        <f t="shared" si="35"/>
        <v>8586053|96942400|918783008|918783008</v>
      </c>
      <c r="AO1064" t="s">
        <v>758</v>
      </c>
      <c r="AP1064" t="b">
        <v>1</v>
      </c>
      <c r="AQ1064" t="s">
        <v>764</v>
      </c>
    </row>
    <row r="1065" spans="1:43" x14ac:dyDescent="0.2">
      <c r="A1065" s="14" t="s">
        <v>500</v>
      </c>
      <c r="B1065" s="17">
        <v>8586053</v>
      </c>
      <c r="C1065" s="14" t="s">
        <v>395</v>
      </c>
      <c r="D1065" s="9">
        <v>8586053</v>
      </c>
      <c r="E1065" s="9" t="s">
        <v>395</v>
      </c>
      <c r="F1065" s="7">
        <v>45717</v>
      </c>
      <c r="G1065" s="20" t="s">
        <v>46</v>
      </c>
      <c r="H1065" s="8">
        <v>918783008</v>
      </c>
      <c r="I1065" s="19">
        <v>65383685</v>
      </c>
      <c r="J1065" s="10">
        <v>6907</v>
      </c>
      <c r="K1065" s="10">
        <v>0</v>
      </c>
      <c r="L1065" s="10">
        <v>6907</v>
      </c>
      <c r="M1065" s="10">
        <v>0</v>
      </c>
      <c r="N1065" s="11">
        <v>6907</v>
      </c>
      <c r="O1065" s="12">
        <v>918783008</v>
      </c>
      <c r="P1065" s="9">
        <v>285123</v>
      </c>
      <c r="Q1065" s="9" t="s">
        <v>37</v>
      </c>
      <c r="R1065" s="13">
        <v>45717</v>
      </c>
      <c r="S1065" s="22">
        <v>45742</v>
      </c>
      <c r="T1065" s="13">
        <v>45692</v>
      </c>
      <c r="U1065" s="13">
        <v>45692</v>
      </c>
      <c r="V1065" s="9" t="s">
        <v>47</v>
      </c>
      <c r="W1065" s="9">
        <v>22770524</v>
      </c>
      <c r="X1065" s="9">
        <v>3311105</v>
      </c>
      <c r="Y1065" s="9">
        <v>69250576</v>
      </c>
      <c r="Z1065" s="9" t="s">
        <v>39</v>
      </c>
      <c r="AA1065" s="9">
        <v>94056544</v>
      </c>
      <c r="AB1065" s="9">
        <v>78070</v>
      </c>
      <c r="AC1065" s="9" t="s">
        <v>41</v>
      </c>
      <c r="AD1065" s="9" t="s">
        <v>65</v>
      </c>
      <c r="AE1065" s="9" t="s">
        <v>66</v>
      </c>
      <c r="AF1065" s="9" t="s">
        <v>66</v>
      </c>
      <c r="AG1065" s="14" t="str">
        <f t="shared" si="36"/>
        <v>PROCEDIMIENTOS TERAPEUTICOS</v>
      </c>
      <c r="AH1065" s="9">
        <v>0</v>
      </c>
      <c r="AI1065" s="9">
        <v>0</v>
      </c>
      <c r="AJ1065" s="9">
        <v>96942400</v>
      </c>
      <c r="AK1065" s="9">
        <v>2</v>
      </c>
      <c r="AL1065" s="26" t="s">
        <v>52</v>
      </c>
      <c r="AM1065" s="14" t="s">
        <v>685</v>
      </c>
      <c r="AN1065" s="27" t="str">
        <f t="shared" si="35"/>
        <v>8586053|96942400|918783008|65383685</v>
      </c>
      <c r="AO1065" t="s">
        <v>44</v>
      </c>
      <c r="AP1065" t="b">
        <v>0</v>
      </c>
      <c r="AQ1065" t="s">
        <v>763</v>
      </c>
    </row>
    <row r="1066" spans="1:43" x14ac:dyDescent="0.2">
      <c r="A1066" s="14" t="s">
        <v>500</v>
      </c>
      <c r="B1066" s="17">
        <v>13240926</v>
      </c>
      <c r="C1066" s="14" t="s">
        <v>409</v>
      </c>
      <c r="D1066" s="9">
        <v>13240926</v>
      </c>
      <c r="E1066" s="9" t="s">
        <v>409</v>
      </c>
      <c r="F1066" s="7">
        <v>45689</v>
      </c>
      <c r="G1066" s="20" t="s">
        <v>36</v>
      </c>
      <c r="H1066" s="8">
        <v>918805895</v>
      </c>
      <c r="I1066" s="19">
        <v>918805895</v>
      </c>
      <c r="J1066" s="10">
        <v>10560</v>
      </c>
      <c r="K1066" s="10">
        <v>3310</v>
      </c>
      <c r="L1066" s="10">
        <v>7250</v>
      </c>
      <c r="M1066" s="10">
        <v>0</v>
      </c>
      <c r="N1066" s="11">
        <v>7250</v>
      </c>
      <c r="O1066" s="12">
        <v>918805895</v>
      </c>
      <c r="P1066" s="9">
        <v>285123</v>
      </c>
      <c r="Q1066" s="9" t="s">
        <v>37</v>
      </c>
      <c r="R1066" s="13">
        <v>45693</v>
      </c>
      <c r="S1066" s="22">
        <v>45693</v>
      </c>
      <c r="T1066" s="13">
        <v>45693</v>
      </c>
      <c r="U1066" s="13">
        <v>45693</v>
      </c>
      <c r="V1066" s="9" t="s">
        <v>47</v>
      </c>
      <c r="W1066" s="9">
        <v>22566213</v>
      </c>
      <c r="X1066" s="9">
        <v>2101551</v>
      </c>
      <c r="Y1066" s="9">
        <v>68821488</v>
      </c>
      <c r="Z1066" s="9" t="s">
        <v>39</v>
      </c>
      <c r="AA1066" s="9">
        <v>9022025</v>
      </c>
      <c r="AB1066" s="9">
        <v>77586</v>
      </c>
      <c r="AC1066" s="9" t="s">
        <v>41</v>
      </c>
      <c r="AD1066" s="9" t="s">
        <v>132</v>
      </c>
      <c r="AE1066" s="9" t="s">
        <v>133</v>
      </c>
      <c r="AF1066" s="9" t="s">
        <v>133</v>
      </c>
      <c r="AG1066" s="14" t="str">
        <f t="shared" si="36"/>
        <v>EXAMENES DE LABORATORIO</v>
      </c>
      <c r="AH1066" s="9" t="s">
        <v>758</v>
      </c>
      <c r="AI1066" s="9">
        <v>0</v>
      </c>
      <c r="AJ1066" s="9">
        <v>60910000</v>
      </c>
      <c r="AK1066" s="9">
        <v>1</v>
      </c>
      <c r="AL1066" s="26" t="s">
        <v>62</v>
      </c>
      <c r="AM1066" s="14" t="s">
        <v>696</v>
      </c>
      <c r="AN1066" s="27" t="str">
        <f t="shared" si="35"/>
        <v>13240926|60910000|918805895|918805895</v>
      </c>
      <c r="AO1066" t="s">
        <v>758</v>
      </c>
      <c r="AP1066" t="b">
        <v>1</v>
      </c>
      <c r="AQ1066" t="s">
        <v>764</v>
      </c>
    </row>
    <row r="1067" spans="1:43" x14ac:dyDescent="0.2">
      <c r="A1067" s="14" t="s">
        <v>500</v>
      </c>
      <c r="B1067" s="17">
        <v>13240926</v>
      </c>
      <c r="C1067" s="14" t="s">
        <v>409</v>
      </c>
      <c r="D1067" s="9">
        <v>13240926</v>
      </c>
      <c r="E1067" s="9" t="s">
        <v>409</v>
      </c>
      <c r="F1067" s="7">
        <v>45717</v>
      </c>
      <c r="G1067" s="20" t="s">
        <v>46</v>
      </c>
      <c r="H1067" s="8">
        <v>918805895</v>
      </c>
      <c r="I1067" s="19">
        <v>65384088</v>
      </c>
      <c r="J1067" s="10">
        <v>7290</v>
      </c>
      <c r="K1067" s="10">
        <v>0</v>
      </c>
      <c r="L1067" s="10">
        <v>7290</v>
      </c>
      <c r="M1067" s="10">
        <v>0</v>
      </c>
      <c r="N1067" s="11">
        <v>7290</v>
      </c>
      <c r="O1067" s="12">
        <v>918805895</v>
      </c>
      <c r="P1067" s="9">
        <v>285123</v>
      </c>
      <c r="Q1067" s="9" t="s">
        <v>37</v>
      </c>
      <c r="R1067" s="13">
        <v>45717</v>
      </c>
      <c r="S1067" s="22">
        <v>45742</v>
      </c>
      <c r="T1067" s="13">
        <v>45693</v>
      </c>
      <c r="U1067" s="13">
        <v>45693</v>
      </c>
      <c r="V1067" s="9" t="s">
        <v>47</v>
      </c>
      <c r="W1067" s="9">
        <v>22770542</v>
      </c>
      <c r="X1067" s="9">
        <v>3311105</v>
      </c>
      <c r="Y1067" s="9">
        <v>69250975</v>
      </c>
      <c r="Z1067" s="9" t="s">
        <v>39</v>
      </c>
      <c r="AA1067" s="9">
        <v>105921314</v>
      </c>
      <c r="AB1067" s="9">
        <v>78070</v>
      </c>
      <c r="AC1067" s="9" t="s">
        <v>41</v>
      </c>
      <c r="AD1067" s="9" t="s">
        <v>132</v>
      </c>
      <c r="AE1067" s="9" t="s">
        <v>133</v>
      </c>
      <c r="AF1067" s="9" t="s">
        <v>133</v>
      </c>
      <c r="AG1067" s="14" t="str">
        <f t="shared" si="36"/>
        <v>EXAMENES DE LABORATORIO</v>
      </c>
      <c r="AH1067" s="9">
        <v>0</v>
      </c>
      <c r="AI1067" s="9">
        <v>0</v>
      </c>
      <c r="AJ1067" s="9">
        <v>60910000</v>
      </c>
      <c r="AK1067" s="9">
        <v>1</v>
      </c>
      <c r="AL1067" s="26" t="s">
        <v>52</v>
      </c>
      <c r="AM1067" s="14" t="s">
        <v>696</v>
      </c>
      <c r="AN1067" s="27" t="str">
        <f t="shared" si="35"/>
        <v>13240926|60910000|918805895|65384088</v>
      </c>
      <c r="AO1067" t="s">
        <v>44</v>
      </c>
      <c r="AP1067" t="b">
        <v>0</v>
      </c>
      <c r="AQ1067" t="s">
        <v>763</v>
      </c>
    </row>
    <row r="1068" spans="1:43" x14ac:dyDescent="0.2">
      <c r="A1068" s="14" t="s">
        <v>500</v>
      </c>
      <c r="B1068" s="17">
        <v>15154446</v>
      </c>
      <c r="C1068" s="14" t="s">
        <v>410</v>
      </c>
      <c r="D1068" s="9">
        <v>15154446</v>
      </c>
      <c r="E1068" s="9" t="s">
        <v>410</v>
      </c>
      <c r="F1068" s="7">
        <v>45689</v>
      </c>
      <c r="G1068" s="20" t="s">
        <v>36</v>
      </c>
      <c r="H1068" s="8">
        <v>918831887</v>
      </c>
      <c r="I1068" s="19">
        <v>918831887</v>
      </c>
      <c r="J1068" s="10">
        <v>28990</v>
      </c>
      <c r="K1068" s="10">
        <v>9060</v>
      </c>
      <c r="L1068" s="10">
        <v>19930</v>
      </c>
      <c r="M1068" s="10">
        <v>0</v>
      </c>
      <c r="N1068" s="11">
        <v>19930</v>
      </c>
      <c r="O1068" s="12">
        <v>918831887</v>
      </c>
      <c r="P1068" s="9">
        <v>285123</v>
      </c>
      <c r="Q1068" s="9" t="s">
        <v>37</v>
      </c>
      <c r="R1068" s="13">
        <v>45693</v>
      </c>
      <c r="S1068" s="22">
        <v>45693</v>
      </c>
      <c r="T1068" s="13">
        <v>45693</v>
      </c>
      <c r="U1068" s="13">
        <v>45693</v>
      </c>
      <c r="V1068" s="9" t="s">
        <v>47</v>
      </c>
      <c r="W1068" s="9">
        <v>22566223</v>
      </c>
      <c r="X1068" s="9">
        <v>2101551</v>
      </c>
      <c r="Y1068" s="9">
        <v>68821637</v>
      </c>
      <c r="Z1068" s="9" t="s">
        <v>39</v>
      </c>
      <c r="AA1068" s="9">
        <v>9022025</v>
      </c>
      <c r="AB1068" s="9">
        <v>77586</v>
      </c>
      <c r="AC1068" s="9" t="s">
        <v>41</v>
      </c>
      <c r="AD1068" s="9" t="s">
        <v>134</v>
      </c>
      <c r="AE1068" s="9" t="s">
        <v>135</v>
      </c>
      <c r="AF1068" s="9" t="s">
        <v>135</v>
      </c>
      <c r="AG1068" s="14" t="str">
        <f t="shared" si="36"/>
        <v>EXAMENES RADIOLOGICOS</v>
      </c>
      <c r="AH1068" s="9" t="s">
        <v>758</v>
      </c>
      <c r="AI1068" s="9">
        <v>0</v>
      </c>
      <c r="AJ1068" s="9">
        <v>76098454</v>
      </c>
      <c r="AK1068" s="9" t="s">
        <v>161</v>
      </c>
      <c r="AL1068" s="26" t="s">
        <v>62</v>
      </c>
      <c r="AM1068" s="14" t="s">
        <v>697</v>
      </c>
      <c r="AN1068" s="27" t="str">
        <f t="shared" si="35"/>
        <v>15154446|76098454|918831887|918831887</v>
      </c>
      <c r="AO1068" t="s">
        <v>758</v>
      </c>
      <c r="AP1068" t="b">
        <v>1</v>
      </c>
      <c r="AQ1068" t="s">
        <v>764</v>
      </c>
    </row>
    <row r="1069" spans="1:43" x14ac:dyDescent="0.2">
      <c r="A1069" s="14" t="s">
        <v>500</v>
      </c>
      <c r="B1069" s="17">
        <v>15154446</v>
      </c>
      <c r="C1069" s="14" t="s">
        <v>410</v>
      </c>
      <c r="D1069" s="9">
        <v>15154446</v>
      </c>
      <c r="E1069" s="9" t="s">
        <v>410</v>
      </c>
      <c r="F1069" s="7">
        <v>45717</v>
      </c>
      <c r="G1069" s="20" t="s">
        <v>46</v>
      </c>
      <c r="H1069" s="8">
        <v>918831887</v>
      </c>
      <c r="I1069" s="19">
        <v>65384255</v>
      </c>
      <c r="J1069" s="10">
        <v>17267</v>
      </c>
      <c r="K1069" s="10">
        <v>0</v>
      </c>
      <c r="L1069" s="10">
        <v>17267</v>
      </c>
      <c r="M1069" s="10">
        <v>0</v>
      </c>
      <c r="N1069" s="11">
        <v>17267</v>
      </c>
      <c r="O1069" s="12">
        <v>918831887</v>
      </c>
      <c r="P1069" s="9">
        <v>285123</v>
      </c>
      <c r="Q1069" s="9" t="s">
        <v>37</v>
      </c>
      <c r="R1069" s="13">
        <v>45717</v>
      </c>
      <c r="S1069" s="22">
        <v>45742</v>
      </c>
      <c r="T1069" s="13">
        <v>45693</v>
      </c>
      <c r="U1069" s="13">
        <v>45693</v>
      </c>
      <c r="V1069" s="9" t="s">
        <v>47</v>
      </c>
      <c r="W1069" s="9">
        <v>22770545</v>
      </c>
      <c r="X1069" s="9">
        <v>3311105</v>
      </c>
      <c r="Y1069" s="9">
        <v>69251128</v>
      </c>
      <c r="Z1069" s="9" t="s">
        <v>39</v>
      </c>
      <c r="AA1069" s="9">
        <v>48421357</v>
      </c>
      <c r="AB1069" s="9">
        <v>78070</v>
      </c>
      <c r="AC1069" s="9" t="s">
        <v>41</v>
      </c>
      <c r="AD1069" s="9" t="s">
        <v>134</v>
      </c>
      <c r="AE1069" s="9" t="s">
        <v>135</v>
      </c>
      <c r="AF1069" s="9" t="s">
        <v>135</v>
      </c>
      <c r="AG1069" s="14" t="str">
        <f t="shared" si="36"/>
        <v>EXAMENES RADIOLOGICOS</v>
      </c>
      <c r="AH1069" s="9">
        <v>0</v>
      </c>
      <c r="AI1069" s="9">
        <v>0</v>
      </c>
      <c r="AJ1069" s="9">
        <v>76098454</v>
      </c>
      <c r="AK1069" s="9" t="s">
        <v>161</v>
      </c>
      <c r="AL1069" s="26" t="s">
        <v>52</v>
      </c>
      <c r="AM1069" s="14" t="s">
        <v>697</v>
      </c>
      <c r="AN1069" s="27" t="str">
        <f t="shared" si="35"/>
        <v>15154446|76098454|918831887|65384255</v>
      </c>
      <c r="AO1069" t="s">
        <v>44</v>
      </c>
      <c r="AP1069" t="b">
        <v>0</v>
      </c>
      <c r="AQ1069" t="s">
        <v>763</v>
      </c>
    </row>
    <row r="1070" spans="1:43" x14ac:dyDescent="0.2">
      <c r="A1070" s="14" t="s">
        <v>500</v>
      </c>
      <c r="B1070" s="17">
        <v>17884354</v>
      </c>
      <c r="C1070" s="14" t="s">
        <v>363</v>
      </c>
      <c r="D1070" s="9">
        <v>17884354</v>
      </c>
      <c r="E1070" s="9" t="s">
        <v>363</v>
      </c>
      <c r="F1070" s="7">
        <v>45689</v>
      </c>
      <c r="G1070" s="20" t="s">
        <v>36</v>
      </c>
      <c r="H1070" s="8">
        <v>918856387</v>
      </c>
      <c r="I1070" s="19">
        <v>918856387</v>
      </c>
      <c r="J1070" s="10">
        <v>95100</v>
      </c>
      <c r="K1070" s="10">
        <v>29720</v>
      </c>
      <c r="L1070" s="10">
        <v>65380</v>
      </c>
      <c r="M1070" s="10">
        <v>0</v>
      </c>
      <c r="N1070" s="11">
        <v>65380</v>
      </c>
      <c r="O1070" s="12">
        <v>918856387</v>
      </c>
      <c r="P1070" s="9">
        <v>285123</v>
      </c>
      <c r="Q1070" s="9" t="s">
        <v>37</v>
      </c>
      <c r="R1070" s="13">
        <v>45693</v>
      </c>
      <c r="S1070" s="22">
        <v>45693</v>
      </c>
      <c r="T1070" s="13">
        <v>45693</v>
      </c>
      <c r="U1070" s="13">
        <v>45693</v>
      </c>
      <c r="V1070" s="9" t="s">
        <v>47</v>
      </c>
      <c r="W1070" s="9">
        <v>22566240</v>
      </c>
      <c r="X1070" s="9">
        <v>2101551</v>
      </c>
      <c r="Y1070" s="9">
        <v>68821766</v>
      </c>
      <c r="Z1070" s="9" t="s">
        <v>39</v>
      </c>
      <c r="AA1070" s="9">
        <v>9022025</v>
      </c>
      <c r="AB1070" s="9">
        <v>77586</v>
      </c>
      <c r="AC1070" s="9" t="s">
        <v>41</v>
      </c>
      <c r="AD1070" s="9" t="s">
        <v>134</v>
      </c>
      <c r="AE1070" s="9" t="s">
        <v>135</v>
      </c>
      <c r="AF1070" s="9" t="s">
        <v>135</v>
      </c>
      <c r="AG1070" s="14" t="str">
        <f t="shared" si="36"/>
        <v>EXAMENES RADIOLOGICOS</v>
      </c>
      <c r="AH1070" s="9" t="s">
        <v>758</v>
      </c>
      <c r="AI1070" s="9">
        <v>0</v>
      </c>
      <c r="AJ1070" s="9">
        <v>10048316</v>
      </c>
      <c r="AK1070" s="9">
        <v>5</v>
      </c>
      <c r="AL1070" s="26" t="s">
        <v>62</v>
      </c>
      <c r="AM1070" s="14" t="s">
        <v>659</v>
      </c>
      <c r="AN1070" s="27" t="str">
        <f t="shared" si="35"/>
        <v>17884354|10048316|918856387|918856387</v>
      </c>
      <c r="AO1070" t="s">
        <v>758</v>
      </c>
      <c r="AP1070" t="b">
        <v>1</v>
      </c>
      <c r="AQ1070" t="s">
        <v>764</v>
      </c>
    </row>
    <row r="1071" spans="1:43" x14ac:dyDescent="0.2">
      <c r="A1071" s="14" t="s">
        <v>500</v>
      </c>
      <c r="B1071" s="17">
        <v>17884354</v>
      </c>
      <c r="C1071" s="14" t="s">
        <v>363</v>
      </c>
      <c r="D1071" s="9">
        <v>17884354</v>
      </c>
      <c r="E1071" s="9" t="s">
        <v>363</v>
      </c>
      <c r="F1071" s="7">
        <v>45717</v>
      </c>
      <c r="G1071" s="20" t="s">
        <v>46</v>
      </c>
      <c r="H1071" s="8">
        <v>918856387</v>
      </c>
      <c r="I1071" s="19">
        <v>65384450</v>
      </c>
      <c r="J1071" s="10">
        <v>56406</v>
      </c>
      <c r="K1071" s="10">
        <v>0</v>
      </c>
      <c r="L1071" s="10">
        <v>56406</v>
      </c>
      <c r="M1071" s="10">
        <v>0</v>
      </c>
      <c r="N1071" s="11">
        <v>56406</v>
      </c>
      <c r="O1071" s="12">
        <v>918856387</v>
      </c>
      <c r="P1071" s="9">
        <v>285123</v>
      </c>
      <c r="Q1071" s="9" t="s">
        <v>37</v>
      </c>
      <c r="R1071" s="13">
        <v>45717</v>
      </c>
      <c r="S1071" s="22">
        <v>45742</v>
      </c>
      <c r="T1071" s="13">
        <v>45693</v>
      </c>
      <c r="U1071" s="13">
        <v>45693</v>
      </c>
      <c r="V1071" s="9" t="s">
        <v>47</v>
      </c>
      <c r="W1071" s="9">
        <v>22770549</v>
      </c>
      <c r="X1071" s="9">
        <v>3311105</v>
      </c>
      <c r="Y1071" s="9">
        <v>69251318</v>
      </c>
      <c r="Z1071" s="9" t="s">
        <v>39</v>
      </c>
      <c r="AA1071" s="9">
        <v>17884354</v>
      </c>
      <c r="AB1071" s="9">
        <v>78070</v>
      </c>
      <c r="AC1071" s="9" t="s">
        <v>41</v>
      </c>
      <c r="AD1071" s="9" t="s">
        <v>134</v>
      </c>
      <c r="AE1071" s="9" t="s">
        <v>135</v>
      </c>
      <c r="AF1071" s="9" t="s">
        <v>135</v>
      </c>
      <c r="AG1071" s="14" t="str">
        <f t="shared" si="36"/>
        <v>EXAMENES RADIOLOGICOS</v>
      </c>
      <c r="AH1071" s="9">
        <v>0</v>
      </c>
      <c r="AI1071" s="9">
        <v>0</v>
      </c>
      <c r="AJ1071" s="9">
        <v>10048316</v>
      </c>
      <c r="AK1071" s="9">
        <v>5</v>
      </c>
      <c r="AL1071" s="26" t="s">
        <v>52</v>
      </c>
      <c r="AM1071" s="14" t="s">
        <v>659</v>
      </c>
      <c r="AN1071" s="27" t="str">
        <f t="shared" si="35"/>
        <v>17884354|10048316|918856387|65384450</v>
      </c>
      <c r="AO1071" t="s">
        <v>44</v>
      </c>
      <c r="AP1071" t="b">
        <v>0</v>
      </c>
      <c r="AQ1071" t="s">
        <v>763</v>
      </c>
    </row>
    <row r="1072" spans="1:43" x14ac:dyDescent="0.2">
      <c r="A1072" s="14" t="s">
        <v>500</v>
      </c>
      <c r="B1072" s="17">
        <v>11513719</v>
      </c>
      <c r="C1072" s="14" t="s">
        <v>411</v>
      </c>
      <c r="D1072" s="9">
        <v>22482255</v>
      </c>
      <c r="E1072" s="9" t="s">
        <v>412</v>
      </c>
      <c r="F1072" s="7">
        <v>45689</v>
      </c>
      <c r="G1072" s="20" t="s">
        <v>36</v>
      </c>
      <c r="H1072" s="8">
        <v>918857677</v>
      </c>
      <c r="I1072" s="19">
        <v>918857677</v>
      </c>
      <c r="J1072" s="10">
        <v>40050</v>
      </c>
      <c r="K1072" s="10">
        <v>12520</v>
      </c>
      <c r="L1072" s="10">
        <v>27530</v>
      </c>
      <c r="M1072" s="10">
        <v>0</v>
      </c>
      <c r="N1072" s="11">
        <v>27530</v>
      </c>
      <c r="O1072" s="12">
        <v>918857677</v>
      </c>
      <c r="P1072" s="9">
        <v>285123</v>
      </c>
      <c r="Q1072" s="9" t="s">
        <v>37</v>
      </c>
      <c r="R1072" s="13">
        <v>45693</v>
      </c>
      <c r="S1072" s="22">
        <v>45693</v>
      </c>
      <c r="T1072" s="13">
        <v>45693</v>
      </c>
      <c r="U1072" s="13">
        <v>45693</v>
      </c>
      <c r="V1072" s="9" t="s">
        <v>47</v>
      </c>
      <c r="W1072" s="9">
        <v>22566205</v>
      </c>
      <c r="X1072" s="9">
        <v>2101551</v>
      </c>
      <c r="Y1072" s="9">
        <v>68821772</v>
      </c>
      <c r="Z1072" s="9" t="s">
        <v>39</v>
      </c>
      <c r="AA1072" s="9">
        <v>9022025</v>
      </c>
      <c r="AB1072" s="9">
        <v>77586</v>
      </c>
      <c r="AC1072" s="9" t="s">
        <v>41</v>
      </c>
      <c r="AD1072" s="9" t="s">
        <v>132</v>
      </c>
      <c r="AE1072" s="9" t="s">
        <v>133</v>
      </c>
      <c r="AF1072" s="9" t="s">
        <v>133</v>
      </c>
      <c r="AG1072" s="14" t="str">
        <f t="shared" si="36"/>
        <v>EXAMENES DE LABORATORIO</v>
      </c>
      <c r="AH1072" s="9" t="s">
        <v>758</v>
      </c>
      <c r="AI1072" s="9">
        <v>0</v>
      </c>
      <c r="AJ1072" s="9">
        <v>96986050</v>
      </c>
      <c r="AK1072" s="9">
        <v>3</v>
      </c>
      <c r="AL1072" s="26" t="s">
        <v>62</v>
      </c>
      <c r="AM1072" s="14" t="s">
        <v>698</v>
      </c>
      <c r="AN1072" s="27" t="str">
        <f t="shared" si="35"/>
        <v>11513719|96986050|918857677|918857677</v>
      </c>
      <c r="AO1072" t="s">
        <v>758</v>
      </c>
      <c r="AP1072" t="b">
        <v>1</v>
      </c>
      <c r="AQ1072" t="s">
        <v>764</v>
      </c>
    </row>
    <row r="1073" spans="1:43" x14ac:dyDescent="0.2">
      <c r="A1073" s="14" t="s">
        <v>500</v>
      </c>
      <c r="B1073" s="17">
        <v>11513719</v>
      </c>
      <c r="C1073" s="14" t="s">
        <v>411</v>
      </c>
      <c r="D1073" s="9">
        <v>22482255</v>
      </c>
      <c r="E1073" s="9" t="s">
        <v>412</v>
      </c>
      <c r="F1073" s="7">
        <v>45717</v>
      </c>
      <c r="G1073" s="20" t="s">
        <v>46</v>
      </c>
      <c r="H1073" s="8">
        <v>918857677</v>
      </c>
      <c r="I1073" s="19">
        <v>65383938</v>
      </c>
      <c r="J1073" s="10">
        <v>23788</v>
      </c>
      <c r="K1073" s="10">
        <v>0</v>
      </c>
      <c r="L1073" s="10">
        <v>23788</v>
      </c>
      <c r="M1073" s="10">
        <v>0</v>
      </c>
      <c r="N1073" s="11">
        <v>23788</v>
      </c>
      <c r="O1073" s="12">
        <v>918857677</v>
      </c>
      <c r="P1073" s="9">
        <v>285123</v>
      </c>
      <c r="Q1073" s="9" t="s">
        <v>37</v>
      </c>
      <c r="R1073" s="13">
        <v>45717</v>
      </c>
      <c r="S1073" s="22">
        <v>45742</v>
      </c>
      <c r="T1073" s="13">
        <v>45693</v>
      </c>
      <c r="U1073" s="13">
        <v>45693</v>
      </c>
      <c r="V1073" s="9" t="s">
        <v>47</v>
      </c>
      <c r="W1073" s="9">
        <v>22770539</v>
      </c>
      <c r="X1073" s="9">
        <v>3311105</v>
      </c>
      <c r="Y1073" s="9">
        <v>69250826</v>
      </c>
      <c r="Z1073" s="9" t="s">
        <v>39</v>
      </c>
      <c r="AA1073" s="9">
        <v>11513719</v>
      </c>
      <c r="AB1073" s="9">
        <v>78070</v>
      </c>
      <c r="AC1073" s="9" t="s">
        <v>41</v>
      </c>
      <c r="AD1073" s="9" t="s">
        <v>132</v>
      </c>
      <c r="AE1073" s="9" t="s">
        <v>133</v>
      </c>
      <c r="AF1073" s="9" t="s">
        <v>133</v>
      </c>
      <c r="AG1073" s="14" t="str">
        <f t="shared" si="36"/>
        <v>EXAMENES DE LABORATORIO</v>
      </c>
      <c r="AH1073" s="9">
        <v>0</v>
      </c>
      <c r="AI1073" s="9">
        <v>0</v>
      </c>
      <c r="AJ1073" s="9">
        <v>96986050</v>
      </c>
      <c r="AK1073" s="9">
        <v>3</v>
      </c>
      <c r="AL1073" s="26" t="s">
        <v>52</v>
      </c>
      <c r="AM1073" s="14" t="s">
        <v>698</v>
      </c>
      <c r="AN1073" s="27" t="str">
        <f t="shared" si="35"/>
        <v>11513719|96986050|918857677|65383938</v>
      </c>
      <c r="AO1073" t="s">
        <v>44</v>
      </c>
      <c r="AP1073" t="b">
        <v>0</v>
      </c>
      <c r="AQ1073" t="s">
        <v>763</v>
      </c>
    </row>
    <row r="1074" spans="1:43" x14ac:dyDescent="0.2">
      <c r="A1074" s="14" t="s">
        <v>500</v>
      </c>
      <c r="B1074" s="17">
        <v>11513719</v>
      </c>
      <c r="C1074" s="14" t="s">
        <v>411</v>
      </c>
      <c r="D1074" s="9">
        <v>22482255</v>
      </c>
      <c r="E1074" s="9" t="s">
        <v>412</v>
      </c>
      <c r="F1074" s="7">
        <v>45689</v>
      </c>
      <c r="G1074" s="20" t="s">
        <v>36</v>
      </c>
      <c r="H1074" s="8">
        <v>918857678</v>
      </c>
      <c r="I1074" s="19">
        <v>918857678</v>
      </c>
      <c r="J1074" s="10">
        <v>49670</v>
      </c>
      <c r="K1074" s="10">
        <v>15530</v>
      </c>
      <c r="L1074" s="10">
        <v>34140</v>
      </c>
      <c r="M1074" s="10">
        <v>0</v>
      </c>
      <c r="N1074" s="11">
        <v>34140</v>
      </c>
      <c r="O1074" s="12">
        <v>918857678</v>
      </c>
      <c r="P1074" s="9">
        <v>285123</v>
      </c>
      <c r="Q1074" s="9" t="s">
        <v>37</v>
      </c>
      <c r="R1074" s="13">
        <v>45693</v>
      </c>
      <c r="S1074" s="22">
        <v>45693</v>
      </c>
      <c r="T1074" s="13">
        <v>45693</v>
      </c>
      <c r="U1074" s="13">
        <v>45693</v>
      </c>
      <c r="V1074" s="9" t="s">
        <v>47</v>
      </c>
      <c r="W1074" s="9">
        <v>22566205</v>
      </c>
      <c r="X1074" s="9">
        <v>2101551</v>
      </c>
      <c r="Y1074" s="9">
        <v>68821771</v>
      </c>
      <c r="Z1074" s="9" t="s">
        <v>39</v>
      </c>
      <c r="AA1074" s="9">
        <v>9022025</v>
      </c>
      <c r="AB1074" s="9">
        <v>77586</v>
      </c>
      <c r="AC1074" s="9" t="s">
        <v>41</v>
      </c>
      <c r="AD1074" s="9" t="s">
        <v>132</v>
      </c>
      <c r="AE1074" s="9" t="s">
        <v>133</v>
      </c>
      <c r="AF1074" s="9" t="s">
        <v>133</v>
      </c>
      <c r="AG1074" s="14" t="str">
        <f t="shared" si="36"/>
        <v>EXAMENES DE LABORATORIO</v>
      </c>
      <c r="AH1074" s="9" t="s">
        <v>758</v>
      </c>
      <c r="AI1074" s="9">
        <v>0</v>
      </c>
      <c r="AJ1074" s="9">
        <v>96986050</v>
      </c>
      <c r="AK1074" s="9">
        <v>3</v>
      </c>
      <c r="AL1074" s="26" t="s">
        <v>62</v>
      </c>
      <c r="AM1074" s="14" t="s">
        <v>698</v>
      </c>
      <c r="AN1074" s="27" t="str">
        <f t="shared" si="35"/>
        <v>11513719|96986050|918857678|918857678</v>
      </c>
      <c r="AO1074" t="s">
        <v>758</v>
      </c>
      <c r="AP1074" t="b">
        <v>1</v>
      </c>
      <c r="AQ1074" t="s">
        <v>764</v>
      </c>
    </row>
    <row r="1075" spans="1:43" x14ac:dyDescent="0.2">
      <c r="A1075" s="14" t="s">
        <v>500</v>
      </c>
      <c r="B1075" s="17">
        <v>11513719</v>
      </c>
      <c r="C1075" s="14" t="s">
        <v>411</v>
      </c>
      <c r="D1075" s="9">
        <v>22482255</v>
      </c>
      <c r="E1075" s="9" t="s">
        <v>412</v>
      </c>
      <c r="F1075" s="7">
        <v>45717</v>
      </c>
      <c r="G1075" s="20" t="s">
        <v>46</v>
      </c>
      <c r="H1075" s="8">
        <v>918857678</v>
      </c>
      <c r="I1075" s="19">
        <v>65383939</v>
      </c>
      <c r="J1075" s="10">
        <v>30694</v>
      </c>
      <c r="K1075" s="10">
        <v>0</v>
      </c>
      <c r="L1075" s="10">
        <v>30694</v>
      </c>
      <c r="M1075" s="10">
        <v>0</v>
      </c>
      <c r="N1075" s="11">
        <v>30694</v>
      </c>
      <c r="O1075" s="12">
        <v>918857678</v>
      </c>
      <c r="P1075" s="9">
        <v>285123</v>
      </c>
      <c r="Q1075" s="9" t="s">
        <v>37</v>
      </c>
      <c r="R1075" s="13">
        <v>45717</v>
      </c>
      <c r="S1075" s="22">
        <v>45742</v>
      </c>
      <c r="T1075" s="13">
        <v>45693</v>
      </c>
      <c r="U1075" s="13">
        <v>45693</v>
      </c>
      <c r="V1075" s="9" t="s">
        <v>47</v>
      </c>
      <c r="W1075" s="9">
        <v>22770539</v>
      </c>
      <c r="X1075" s="9">
        <v>3311105</v>
      </c>
      <c r="Y1075" s="9">
        <v>69250827</v>
      </c>
      <c r="Z1075" s="9" t="s">
        <v>39</v>
      </c>
      <c r="AA1075" s="9">
        <v>11513719</v>
      </c>
      <c r="AB1075" s="9">
        <v>78070</v>
      </c>
      <c r="AC1075" s="9" t="s">
        <v>41</v>
      </c>
      <c r="AD1075" s="9" t="s">
        <v>132</v>
      </c>
      <c r="AE1075" s="9" t="s">
        <v>133</v>
      </c>
      <c r="AF1075" s="9" t="s">
        <v>133</v>
      </c>
      <c r="AG1075" s="14" t="str">
        <f t="shared" si="36"/>
        <v>EXAMENES DE LABORATORIO</v>
      </c>
      <c r="AH1075" s="9">
        <v>0</v>
      </c>
      <c r="AI1075" s="9">
        <v>0</v>
      </c>
      <c r="AJ1075" s="9">
        <v>96986050</v>
      </c>
      <c r="AK1075" s="9">
        <v>3</v>
      </c>
      <c r="AL1075" s="26" t="s">
        <v>52</v>
      </c>
      <c r="AM1075" s="14" t="s">
        <v>698</v>
      </c>
      <c r="AN1075" s="27" t="str">
        <f t="shared" si="35"/>
        <v>11513719|96986050|918857678|65383939</v>
      </c>
      <c r="AO1075" t="s">
        <v>44</v>
      </c>
      <c r="AP1075" t="b">
        <v>0</v>
      </c>
      <c r="AQ1075" t="s">
        <v>763</v>
      </c>
    </row>
    <row r="1076" spans="1:43" x14ac:dyDescent="0.2">
      <c r="A1076" s="14" t="s">
        <v>500</v>
      </c>
      <c r="B1076" s="17">
        <v>11513719</v>
      </c>
      <c r="C1076" s="14" t="s">
        <v>411</v>
      </c>
      <c r="D1076" s="9">
        <v>22482255</v>
      </c>
      <c r="E1076" s="9" t="s">
        <v>412</v>
      </c>
      <c r="F1076" s="7">
        <v>45689</v>
      </c>
      <c r="G1076" s="20" t="s">
        <v>36</v>
      </c>
      <c r="H1076" s="8">
        <v>918857679</v>
      </c>
      <c r="I1076" s="19">
        <v>918857679</v>
      </c>
      <c r="J1076" s="10">
        <v>17420</v>
      </c>
      <c r="K1076" s="10">
        <v>5450</v>
      </c>
      <c r="L1076" s="10">
        <v>11970</v>
      </c>
      <c r="M1076" s="10">
        <v>0</v>
      </c>
      <c r="N1076" s="11">
        <v>11970</v>
      </c>
      <c r="O1076" s="12">
        <v>918857679</v>
      </c>
      <c r="P1076" s="9">
        <v>285123</v>
      </c>
      <c r="Q1076" s="9" t="s">
        <v>37</v>
      </c>
      <c r="R1076" s="13">
        <v>45693</v>
      </c>
      <c r="S1076" s="22">
        <v>45693</v>
      </c>
      <c r="T1076" s="13">
        <v>45693</v>
      </c>
      <c r="U1076" s="13">
        <v>45693</v>
      </c>
      <c r="V1076" s="9" t="s">
        <v>47</v>
      </c>
      <c r="W1076" s="9">
        <v>22566205</v>
      </c>
      <c r="X1076" s="9">
        <v>2101551</v>
      </c>
      <c r="Y1076" s="9">
        <v>68821770</v>
      </c>
      <c r="Z1076" s="9" t="s">
        <v>39</v>
      </c>
      <c r="AA1076" s="9">
        <v>9022025</v>
      </c>
      <c r="AB1076" s="9">
        <v>77586</v>
      </c>
      <c r="AC1076" s="9" t="s">
        <v>41</v>
      </c>
      <c r="AD1076" s="9" t="s">
        <v>132</v>
      </c>
      <c r="AE1076" s="9" t="s">
        <v>133</v>
      </c>
      <c r="AF1076" s="9" t="s">
        <v>133</v>
      </c>
      <c r="AG1076" s="14" t="str">
        <f t="shared" si="36"/>
        <v>EXAMENES DE LABORATORIO</v>
      </c>
      <c r="AH1076" s="9" t="s">
        <v>758</v>
      </c>
      <c r="AI1076" s="9">
        <v>0</v>
      </c>
      <c r="AJ1076" s="9">
        <v>96986050</v>
      </c>
      <c r="AK1076" s="9">
        <v>3</v>
      </c>
      <c r="AL1076" s="26" t="s">
        <v>62</v>
      </c>
      <c r="AM1076" s="14" t="s">
        <v>698</v>
      </c>
      <c r="AN1076" s="27" t="str">
        <f t="shared" si="35"/>
        <v>11513719|96986050|918857679|918857679</v>
      </c>
      <c r="AO1076" t="s">
        <v>758</v>
      </c>
      <c r="AP1076" t="b">
        <v>1</v>
      </c>
      <c r="AQ1076" t="s">
        <v>764</v>
      </c>
    </row>
    <row r="1077" spans="1:43" x14ac:dyDescent="0.2">
      <c r="A1077" s="14" t="s">
        <v>500</v>
      </c>
      <c r="B1077" s="17">
        <v>11513719</v>
      </c>
      <c r="C1077" s="14" t="s">
        <v>411</v>
      </c>
      <c r="D1077" s="9">
        <v>22482255</v>
      </c>
      <c r="E1077" s="9" t="s">
        <v>412</v>
      </c>
      <c r="F1077" s="7">
        <v>45717</v>
      </c>
      <c r="G1077" s="20" t="s">
        <v>46</v>
      </c>
      <c r="H1077" s="8">
        <v>918857679</v>
      </c>
      <c r="I1077" s="19">
        <v>65383940</v>
      </c>
      <c r="J1077" s="10">
        <v>10359</v>
      </c>
      <c r="K1077" s="10">
        <v>0</v>
      </c>
      <c r="L1077" s="10">
        <v>10359</v>
      </c>
      <c r="M1077" s="10">
        <v>0</v>
      </c>
      <c r="N1077" s="11">
        <v>10359</v>
      </c>
      <c r="O1077" s="12">
        <v>918857679</v>
      </c>
      <c r="P1077" s="9">
        <v>285123</v>
      </c>
      <c r="Q1077" s="9" t="s">
        <v>37</v>
      </c>
      <c r="R1077" s="13">
        <v>45717</v>
      </c>
      <c r="S1077" s="22">
        <v>45742</v>
      </c>
      <c r="T1077" s="13">
        <v>45693</v>
      </c>
      <c r="U1077" s="13">
        <v>45693</v>
      </c>
      <c r="V1077" s="9" t="s">
        <v>47</v>
      </c>
      <c r="W1077" s="9">
        <v>22770539</v>
      </c>
      <c r="X1077" s="9">
        <v>3311105</v>
      </c>
      <c r="Y1077" s="9">
        <v>69250828</v>
      </c>
      <c r="Z1077" s="9" t="s">
        <v>39</v>
      </c>
      <c r="AA1077" s="9">
        <v>11513719</v>
      </c>
      <c r="AB1077" s="9">
        <v>78070</v>
      </c>
      <c r="AC1077" s="9" t="s">
        <v>41</v>
      </c>
      <c r="AD1077" s="9" t="s">
        <v>132</v>
      </c>
      <c r="AE1077" s="9" t="s">
        <v>133</v>
      </c>
      <c r="AF1077" s="9" t="s">
        <v>133</v>
      </c>
      <c r="AG1077" s="14" t="str">
        <f t="shared" si="36"/>
        <v>EXAMENES DE LABORATORIO</v>
      </c>
      <c r="AH1077" s="9">
        <v>0</v>
      </c>
      <c r="AI1077" s="9">
        <v>0</v>
      </c>
      <c r="AJ1077" s="9">
        <v>96986050</v>
      </c>
      <c r="AK1077" s="9">
        <v>3</v>
      </c>
      <c r="AL1077" s="26" t="s">
        <v>52</v>
      </c>
      <c r="AM1077" s="14" t="s">
        <v>698</v>
      </c>
      <c r="AN1077" s="27" t="str">
        <f t="shared" si="35"/>
        <v>11513719|96986050|918857679|65383940</v>
      </c>
      <c r="AO1077" t="s">
        <v>44</v>
      </c>
      <c r="AP1077" t="b">
        <v>0</v>
      </c>
      <c r="AQ1077" t="s">
        <v>763</v>
      </c>
    </row>
    <row r="1078" spans="1:43" x14ac:dyDescent="0.2">
      <c r="A1078" s="14" t="s">
        <v>500</v>
      </c>
      <c r="B1078" s="17">
        <v>8330037</v>
      </c>
      <c r="C1078" s="14" t="s">
        <v>364</v>
      </c>
      <c r="D1078" s="9">
        <v>8330037</v>
      </c>
      <c r="E1078" s="9" t="s">
        <v>364</v>
      </c>
      <c r="F1078" s="7">
        <v>45689</v>
      </c>
      <c r="G1078" s="20" t="s">
        <v>36</v>
      </c>
      <c r="H1078" s="8">
        <v>918881699</v>
      </c>
      <c r="I1078" s="19">
        <v>918881699</v>
      </c>
      <c r="J1078" s="10">
        <v>23120</v>
      </c>
      <c r="K1078" s="10">
        <v>19942</v>
      </c>
      <c r="L1078" s="10">
        <v>3178</v>
      </c>
      <c r="M1078" s="10">
        <v>0</v>
      </c>
      <c r="N1078" s="11">
        <v>3178</v>
      </c>
      <c r="O1078" s="12">
        <v>918881699</v>
      </c>
      <c r="P1078" s="9">
        <v>285123</v>
      </c>
      <c r="Q1078" s="9" t="s">
        <v>37</v>
      </c>
      <c r="R1078" s="13">
        <v>45693</v>
      </c>
      <c r="S1078" s="22">
        <v>45693</v>
      </c>
      <c r="T1078" s="13">
        <v>45693</v>
      </c>
      <c r="U1078" s="13">
        <v>45693</v>
      </c>
      <c r="V1078" s="9" t="s">
        <v>47</v>
      </c>
      <c r="W1078" s="9">
        <v>22566197</v>
      </c>
      <c r="X1078" s="9">
        <v>2101551</v>
      </c>
      <c r="Y1078" s="9">
        <v>68821866</v>
      </c>
      <c r="Z1078" s="9" t="s">
        <v>39</v>
      </c>
      <c r="AA1078" s="9">
        <v>9022025</v>
      </c>
      <c r="AB1078" s="9">
        <v>77586</v>
      </c>
      <c r="AC1078" s="9" t="s">
        <v>41</v>
      </c>
      <c r="AD1078" s="9" t="s">
        <v>134</v>
      </c>
      <c r="AE1078" s="9" t="s">
        <v>135</v>
      </c>
      <c r="AF1078" s="9" t="s">
        <v>135</v>
      </c>
      <c r="AG1078" s="14" t="str">
        <f t="shared" si="36"/>
        <v>EXAMENES RADIOLOGICOS</v>
      </c>
      <c r="AH1078" s="9" t="s">
        <v>758</v>
      </c>
      <c r="AI1078" s="9">
        <v>0</v>
      </c>
      <c r="AJ1078" s="9">
        <v>76098454</v>
      </c>
      <c r="AK1078" s="9" t="s">
        <v>161</v>
      </c>
      <c r="AL1078" s="26" t="s">
        <v>62</v>
      </c>
      <c r="AM1078" s="14" t="s">
        <v>660</v>
      </c>
      <c r="AN1078" s="27" t="str">
        <f t="shared" si="35"/>
        <v>8330037|76098454|918881699|918881699</v>
      </c>
      <c r="AO1078" t="s">
        <v>758</v>
      </c>
      <c r="AP1078" t="b">
        <v>1</v>
      </c>
      <c r="AQ1078" t="s">
        <v>764</v>
      </c>
    </row>
    <row r="1079" spans="1:43" x14ac:dyDescent="0.2">
      <c r="A1079" s="14" t="s">
        <v>500</v>
      </c>
      <c r="B1079" s="17">
        <v>8330037</v>
      </c>
      <c r="C1079" s="14" t="s">
        <v>364</v>
      </c>
      <c r="D1079" s="9">
        <v>8330037</v>
      </c>
      <c r="E1079" s="9" t="s">
        <v>364</v>
      </c>
      <c r="F1079" s="7">
        <v>45717</v>
      </c>
      <c r="G1079" s="20" t="s">
        <v>46</v>
      </c>
      <c r="H1079" s="8">
        <v>918881699</v>
      </c>
      <c r="I1079" s="19">
        <v>65383652</v>
      </c>
      <c r="J1079" s="10">
        <v>13430</v>
      </c>
      <c r="K1079" s="10">
        <v>0</v>
      </c>
      <c r="L1079" s="10">
        <v>13430</v>
      </c>
      <c r="M1079" s="10">
        <v>0</v>
      </c>
      <c r="N1079" s="11">
        <v>13430</v>
      </c>
      <c r="O1079" s="12">
        <v>918881699</v>
      </c>
      <c r="P1079" s="9">
        <v>285123</v>
      </c>
      <c r="Q1079" s="9" t="s">
        <v>37</v>
      </c>
      <c r="R1079" s="13">
        <v>45717</v>
      </c>
      <c r="S1079" s="22">
        <v>45742</v>
      </c>
      <c r="T1079" s="13">
        <v>45693</v>
      </c>
      <c r="U1079" s="13">
        <v>45693</v>
      </c>
      <c r="V1079" s="9" t="s">
        <v>47</v>
      </c>
      <c r="W1079" s="9">
        <v>22770537</v>
      </c>
      <c r="X1079" s="9">
        <v>3311105</v>
      </c>
      <c r="Y1079" s="9">
        <v>69250543</v>
      </c>
      <c r="Z1079" s="9" t="s">
        <v>39</v>
      </c>
      <c r="AA1079" s="9">
        <v>21874964</v>
      </c>
      <c r="AB1079" s="9">
        <v>78070</v>
      </c>
      <c r="AC1079" s="9" t="s">
        <v>41</v>
      </c>
      <c r="AD1079" s="9" t="s">
        <v>134</v>
      </c>
      <c r="AE1079" s="9" t="s">
        <v>135</v>
      </c>
      <c r="AF1079" s="9" t="s">
        <v>135</v>
      </c>
      <c r="AG1079" s="14" t="str">
        <f t="shared" si="36"/>
        <v>EXAMENES RADIOLOGICOS</v>
      </c>
      <c r="AH1079" s="9">
        <v>0</v>
      </c>
      <c r="AI1079" s="9">
        <v>0</v>
      </c>
      <c r="AJ1079" s="9">
        <v>76098454</v>
      </c>
      <c r="AK1079" s="9" t="s">
        <v>161</v>
      </c>
      <c r="AL1079" s="26" t="s">
        <v>52</v>
      </c>
      <c r="AM1079" s="14" t="s">
        <v>660</v>
      </c>
      <c r="AN1079" s="27" t="str">
        <f t="shared" si="35"/>
        <v>8330037|76098454|918881699|65383652</v>
      </c>
      <c r="AO1079" t="s">
        <v>44</v>
      </c>
      <c r="AP1079" t="b">
        <v>0</v>
      </c>
      <c r="AQ1079" t="s">
        <v>763</v>
      </c>
    </row>
    <row r="1080" spans="1:43" x14ac:dyDescent="0.2">
      <c r="A1080" s="14" t="s">
        <v>500</v>
      </c>
      <c r="B1080" s="17">
        <v>10295620</v>
      </c>
      <c r="C1080" s="14" t="s">
        <v>383</v>
      </c>
      <c r="D1080" s="9">
        <v>10295620</v>
      </c>
      <c r="E1080" s="9" t="s">
        <v>383</v>
      </c>
      <c r="F1080" s="7">
        <v>45689</v>
      </c>
      <c r="G1080" s="20" t="s">
        <v>36</v>
      </c>
      <c r="H1080" s="8">
        <v>919072281</v>
      </c>
      <c r="I1080" s="19">
        <v>919072281</v>
      </c>
      <c r="J1080" s="10">
        <v>25750</v>
      </c>
      <c r="K1080" s="10">
        <v>8060</v>
      </c>
      <c r="L1080" s="10">
        <v>17690</v>
      </c>
      <c r="M1080" s="10">
        <v>0</v>
      </c>
      <c r="N1080" s="11">
        <v>17690</v>
      </c>
      <c r="O1080" s="12">
        <v>919072281</v>
      </c>
      <c r="P1080" s="9">
        <v>285123</v>
      </c>
      <c r="Q1080" s="9" t="s">
        <v>37</v>
      </c>
      <c r="R1080" s="13">
        <v>45695</v>
      </c>
      <c r="S1080" s="22">
        <v>45695</v>
      </c>
      <c r="T1080" s="13">
        <v>45695</v>
      </c>
      <c r="U1080" s="13">
        <v>45695</v>
      </c>
      <c r="V1080" s="9" t="s">
        <v>47</v>
      </c>
      <c r="W1080" s="9">
        <v>22566283</v>
      </c>
      <c r="X1080" s="9">
        <v>2101551</v>
      </c>
      <c r="Y1080" s="9">
        <v>68822876</v>
      </c>
      <c r="Z1080" s="9" t="s">
        <v>39</v>
      </c>
      <c r="AA1080" s="9">
        <v>9022025</v>
      </c>
      <c r="AB1080" s="9">
        <v>77586</v>
      </c>
      <c r="AC1080" s="9" t="s">
        <v>41</v>
      </c>
      <c r="AD1080" s="9" t="s">
        <v>132</v>
      </c>
      <c r="AE1080" s="9" t="s">
        <v>133</v>
      </c>
      <c r="AF1080" s="9" t="s">
        <v>133</v>
      </c>
      <c r="AG1080" s="14" t="str">
        <f t="shared" si="36"/>
        <v>EXAMENES DE LABORATORIO</v>
      </c>
      <c r="AH1080" s="9" t="s">
        <v>758</v>
      </c>
      <c r="AI1080" s="9">
        <v>0</v>
      </c>
      <c r="AJ1080" s="9">
        <v>78258910</v>
      </c>
      <c r="AK1080" s="9">
        <v>5</v>
      </c>
      <c r="AL1080" s="26" t="s">
        <v>62</v>
      </c>
      <c r="AM1080" s="14" t="s">
        <v>675</v>
      </c>
      <c r="AN1080" s="27" t="str">
        <f t="shared" si="35"/>
        <v>10295620|78258910|919072281|919072281</v>
      </c>
      <c r="AO1080" t="s">
        <v>758</v>
      </c>
      <c r="AP1080" t="b">
        <v>1</v>
      </c>
      <c r="AQ1080" t="s">
        <v>764</v>
      </c>
    </row>
    <row r="1081" spans="1:43" x14ac:dyDescent="0.2">
      <c r="A1081" s="14" t="s">
        <v>500</v>
      </c>
      <c r="B1081" s="17">
        <v>10295620</v>
      </c>
      <c r="C1081" s="14" t="s">
        <v>383</v>
      </c>
      <c r="D1081" s="9">
        <v>10295620</v>
      </c>
      <c r="E1081" s="9" t="s">
        <v>383</v>
      </c>
      <c r="F1081" s="7">
        <v>45717</v>
      </c>
      <c r="G1081" s="20" t="s">
        <v>46</v>
      </c>
      <c r="H1081" s="8">
        <v>919072281</v>
      </c>
      <c r="I1081" s="19">
        <v>65383834</v>
      </c>
      <c r="J1081" s="10">
        <v>15729</v>
      </c>
      <c r="K1081" s="10">
        <v>0</v>
      </c>
      <c r="L1081" s="10">
        <v>15729</v>
      </c>
      <c r="M1081" s="10">
        <v>0</v>
      </c>
      <c r="N1081" s="11">
        <v>15729</v>
      </c>
      <c r="O1081" s="12">
        <v>919072281</v>
      </c>
      <c r="P1081" s="9">
        <v>285123</v>
      </c>
      <c r="Q1081" s="9" t="s">
        <v>37</v>
      </c>
      <c r="R1081" s="13">
        <v>45717</v>
      </c>
      <c r="S1081" s="22">
        <v>45742</v>
      </c>
      <c r="T1081" s="13">
        <v>45695</v>
      </c>
      <c r="U1081" s="13">
        <v>45695</v>
      </c>
      <c r="V1081" s="9" t="s">
        <v>47</v>
      </c>
      <c r="W1081" s="9">
        <v>22770556</v>
      </c>
      <c r="X1081" s="9">
        <v>3311105</v>
      </c>
      <c r="Y1081" s="9">
        <v>69250723</v>
      </c>
      <c r="Z1081" s="9" t="s">
        <v>39</v>
      </c>
      <c r="AA1081" s="9">
        <v>32190072443</v>
      </c>
      <c r="AB1081" s="9">
        <v>78070</v>
      </c>
      <c r="AC1081" s="9" t="s">
        <v>41</v>
      </c>
      <c r="AD1081" s="9" t="s">
        <v>132</v>
      </c>
      <c r="AE1081" s="9" t="s">
        <v>133</v>
      </c>
      <c r="AF1081" s="9" t="s">
        <v>133</v>
      </c>
      <c r="AG1081" s="14" t="str">
        <f t="shared" si="36"/>
        <v>EXAMENES DE LABORATORIO</v>
      </c>
      <c r="AH1081" s="9">
        <v>0</v>
      </c>
      <c r="AI1081" s="9">
        <v>0</v>
      </c>
      <c r="AJ1081" s="9">
        <v>78258910</v>
      </c>
      <c r="AK1081" s="9">
        <v>5</v>
      </c>
      <c r="AL1081" s="26" t="s">
        <v>52</v>
      </c>
      <c r="AM1081" s="14" t="s">
        <v>675</v>
      </c>
      <c r="AN1081" s="27" t="str">
        <f t="shared" si="35"/>
        <v>10295620|78258910|919072281|65383834</v>
      </c>
      <c r="AO1081" t="s">
        <v>44</v>
      </c>
      <c r="AP1081" t="b">
        <v>0</v>
      </c>
      <c r="AQ1081" t="s">
        <v>763</v>
      </c>
    </row>
    <row r="1082" spans="1:43" x14ac:dyDescent="0.2">
      <c r="A1082" s="14" t="s">
        <v>500</v>
      </c>
      <c r="B1082" s="17">
        <v>10295620</v>
      </c>
      <c r="C1082" s="14" t="s">
        <v>383</v>
      </c>
      <c r="D1082" s="9">
        <v>20872324</v>
      </c>
      <c r="E1082" s="9" t="s">
        <v>413</v>
      </c>
      <c r="F1082" s="7">
        <v>45689</v>
      </c>
      <c r="G1082" s="20" t="s">
        <v>36</v>
      </c>
      <c r="H1082" s="8">
        <v>919077775</v>
      </c>
      <c r="I1082" s="19">
        <v>919077775</v>
      </c>
      <c r="J1082" s="10">
        <v>39310</v>
      </c>
      <c r="K1082" s="10">
        <v>12300</v>
      </c>
      <c r="L1082" s="10">
        <v>27010</v>
      </c>
      <c r="M1082" s="10">
        <v>0</v>
      </c>
      <c r="N1082" s="11">
        <v>27010</v>
      </c>
      <c r="O1082" s="12">
        <v>919077775</v>
      </c>
      <c r="P1082" s="9">
        <v>285123</v>
      </c>
      <c r="Q1082" s="9" t="s">
        <v>37</v>
      </c>
      <c r="R1082" s="13">
        <v>45695</v>
      </c>
      <c r="S1082" s="22">
        <v>45695</v>
      </c>
      <c r="T1082" s="13">
        <v>45695</v>
      </c>
      <c r="U1082" s="13">
        <v>45695</v>
      </c>
      <c r="V1082" s="9" t="s">
        <v>47</v>
      </c>
      <c r="W1082" s="9">
        <v>22566283</v>
      </c>
      <c r="X1082" s="9">
        <v>2101551</v>
      </c>
      <c r="Y1082" s="9">
        <v>68822906</v>
      </c>
      <c r="Z1082" s="9" t="s">
        <v>39</v>
      </c>
      <c r="AA1082" s="9">
        <v>9022025</v>
      </c>
      <c r="AB1082" s="9">
        <v>77586</v>
      </c>
      <c r="AC1082" s="9" t="s">
        <v>41</v>
      </c>
      <c r="AD1082" s="9" t="s">
        <v>132</v>
      </c>
      <c r="AE1082" s="9" t="s">
        <v>133</v>
      </c>
      <c r="AF1082" s="9" t="s">
        <v>133</v>
      </c>
      <c r="AG1082" s="14" t="str">
        <f t="shared" si="36"/>
        <v>EXAMENES DE LABORATORIO</v>
      </c>
      <c r="AH1082" s="9" t="s">
        <v>758</v>
      </c>
      <c r="AI1082" s="9">
        <v>0</v>
      </c>
      <c r="AJ1082" s="9">
        <v>78258910</v>
      </c>
      <c r="AK1082" s="9">
        <v>5</v>
      </c>
      <c r="AL1082" s="26" t="s">
        <v>62</v>
      </c>
      <c r="AM1082" s="14" t="s">
        <v>675</v>
      </c>
      <c r="AN1082" s="27" t="str">
        <f t="shared" si="35"/>
        <v>10295620|78258910|919077775|919077775</v>
      </c>
      <c r="AO1082" t="s">
        <v>758</v>
      </c>
      <c r="AP1082" t="b">
        <v>1</v>
      </c>
      <c r="AQ1082" t="s">
        <v>764</v>
      </c>
    </row>
    <row r="1083" spans="1:43" x14ac:dyDescent="0.2">
      <c r="A1083" s="14" t="s">
        <v>500</v>
      </c>
      <c r="B1083" s="17">
        <v>10295620</v>
      </c>
      <c r="C1083" s="14" t="s">
        <v>383</v>
      </c>
      <c r="D1083" s="9">
        <v>20872324</v>
      </c>
      <c r="E1083" s="9" t="s">
        <v>413</v>
      </c>
      <c r="F1083" s="7">
        <v>45717</v>
      </c>
      <c r="G1083" s="20" t="s">
        <v>46</v>
      </c>
      <c r="H1083" s="8">
        <v>919077775</v>
      </c>
      <c r="I1083" s="19">
        <v>65383836</v>
      </c>
      <c r="J1083" s="10">
        <v>23787</v>
      </c>
      <c r="K1083" s="10">
        <v>0</v>
      </c>
      <c r="L1083" s="10">
        <v>23787</v>
      </c>
      <c r="M1083" s="10">
        <v>0</v>
      </c>
      <c r="N1083" s="11">
        <v>23787</v>
      </c>
      <c r="O1083" s="12">
        <v>919077775</v>
      </c>
      <c r="P1083" s="9">
        <v>285123</v>
      </c>
      <c r="Q1083" s="9" t="s">
        <v>37</v>
      </c>
      <c r="R1083" s="13">
        <v>45717</v>
      </c>
      <c r="S1083" s="22">
        <v>45742</v>
      </c>
      <c r="T1083" s="13">
        <v>45695</v>
      </c>
      <c r="U1083" s="13">
        <v>45695</v>
      </c>
      <c r="V1083" s="9" t="s">
        <v>47</v>
      </c>
      <c r="W1083" s="9">
        <v>22770556</v>
      </c>
      <c r="X1083" s="9">
        <v>3311105</v>
      </c>
      <c r="Y1083" s="9">
        <v>69250725</v>
      </c>
      <c r="Z1083" s="9" t="s">
        <v>39</v>
      </c>
      <c r="AA1083" s="9">
        <v>32190072443</v>
      </c>
      <c r="AB1083" s="9">
        <v>78070</v>
      </c>
      <c r="AC1083" s="9" t="s">
        <v>41</v>
      </c>
      <c r="AD1083" s="9" t="s">
        <v>132</v>
      </c>
      <c r="AE1083" s="9" t="s">
        <v>133</v>
      </c>
      <c r="AF1083" s="9" t="s">
        <v>133</v>
      </c>
      <c r="AG1083" s="14" t="str">
        <f t="shared" si="36"/>
        <v>EXAMENES DE LABORATORIO</v>
      </c>
      <c r="AH1083" s="9">
        <v>0</v>
      </c>
      <c r="AI1083" s="9">
        <v>0</v>
      </c>
      <c r="AJ1083" s="9">
        <v>78258910</v>
      </c>
      <c r="AK1083" s="9">
        <v>5</v>
      </c>
      <c r="AL1083" s="26" t="s">
        <v>52</v>
      </c>
      <c r="AM1083" s="14" t="s">
        <v>675</v>
      </c>
      <c r="AN1083" s="27" t="str">
        <f t="shared" si="35"/>
        <v>10295620|78258910|919077775|65383836</v>
      </c>
      <c r="AO1083" t="s">
        <v>44</v>
      </c>
      <c r="AP1083" t="b">
        <v>0</v>
      </c>
      <c r="AQ1083" t="s">
        <v>763</v>
      </c>
    </row>
    <row r="1084" spans="1:43" x14ac:dyDescent="0.2">
      <c r="A1084" s="14" t="s">
        <v>500</v>
      </c>
      <c r="B1084" s="17">
        <v>10295620</v>
      </c>
      <c r="C1084" s="14" t="s">
        <v>383</v>
      </c>
      <c r="D1084" s="9">
        <v>20872324</v>
      </c>
      <c r="E1084" s="9" t="s">
        <v>413</v>
      </c>
      <c r="F1084" s="7">
        <v>45689</v>
      </c>
      <c r="G1084" s="20" t="s">
        <v>36</v>
      </c>
      <c r="H1084" s="8">
        <v>919077776</v>
      </c>
      <c r="I1084" s="19">
        <v>919077776</v>
      </c>
      <c r="J1084" s="10">
        <v>11910</v>
      </c>
      <c r="K1084" s="10">
        <v>3730</v>
      </c>
      <c r="L1084" s="10">
        <v>8180</v>
      </c>
      <c r="M1084" s="10">
        <v>0</v>
      </c>
      <c r="N1084" s="11">
        <v>8180</v>
      </c>
      <c r="O1084" s="12">
        <v>919077776</v>
      </c>
      <c r="P1084" s="9">
        <v>285123</v>
      </c>
      <c r="Q1084" s="9" t="s">
        <v>37</v>
      </c>
      <c r="R1084" s="13">
        <v>45695</v>
      </c>
      <c r="S1084" s="22">
        <v>45695</v>
      </c>
      <c r="T1084" s="13">
        <v>45695</v>
      </c>
      <c r="U1084" s="13">
        <v>45695</v>
      </c>
      <c r="V1084" s="9" t="s">
        <v>47</v>
      </c>
      <c r="W1084" s="9">
        <v>22566283</v>
      </c>
      <c r="X1084" s="9">
        <v>2101551</v>
      </c>
      <c r="Y1084" s="9">
        <v>68822905</v>
      </c>
      <c r="Z1084" s="9" t="s">
        <v>39</v>
      </c>
      <c r="AA1084" s="9">
        <v>9022025</v>
      </c>
      <c r="AB1084" s="9">
        <v>77586</v>
      </c>
      <c r="AC1084" s="9" t="s">
        <v>41</v>
      </c>
      <c r="AD1084" s="9" t="s">
        <v>132</v>
      </c>
      <c r="AE1084" s="9" t="s">
        <v>133</v>
      </c>
      <c r="AF1084" s="9" t="s">
        <v>133</v>
      </c>
      <c r="AG1084" s="14" t="str">
        <f t="shared" si="36"/>
        <v>EXAMENES DE LABORATORIO</v>
      </c>
      <c r="AH1084" s="9" t="s">
        <v>758</v>
      </c>
      <c r="AI1084" s="9">
        <v>0</v>
      </c>
      <c r="AJ1084" s="9">
        <v>78258910</v>
      </c>
      <c r="AK1084" s="9">
        <v>5</v>
      </c>
      <c r="AL1084" s="26" t="s">
        <v>62</v>
      </c>
      <c r="AM1084" s="14" t="s">
        <v>675</v>
      </c>
      <c r="AN1084" s="27" t="str">
        <f t="shared" si="35"/>
        <v>10295620|78258910|919077776|919077776</v>
      </c>
      <c r="AO1084" t="s">
        <v>758</v>
      </c>
      <c r="AP1084" t="b">
        <v>1</v>
      </c>
      <c r="AQ1084" t="s">
        <v>764</v>
      </c>
    </row>
    <row r="1085" spans="1:43" x14ac:dyDescent="0.2">
      <c r="A1085" s="14" t="s">
        <v>500</v>
      </c>
      <c r="B1085" s="17">
        <v>10295620</v>
      </c>
      <c r="C1085" s="14" t="s">
        <v>383</v>
      </c>
      <c r="D1085" s="9">
        <v>20872324</v>
      </c>
      <c r="E1085" s="9" t="s">
        <v>413</v>
      </c>
      <c r="F1085" s="7">
        <v>45717</v>
      </c>
      <c r="G1085" s="20" t="s">
        <v>46</v>
      </c>
      <c r="H1085" s="8">
        <v>919077776</v>
      </c>
      <c r="I1085" s="19">
        <v>65383837</v>
      </c>
      <c r="J1085" s="10">
        <v>6905</v>
      </c>
      <c r="K1085" s="10">
        <v>0</v>
      </c>
      <c r="L1085" s="10">
        <v>6905</v>
      </c>
      <c r="M1085" s="10">
        <v>0</v>
      </c>
      <c r="N1085" s="11">
        <v>6905</v>
      </c>
      <c r="O1085" s="12">
        <v>919077776</v>
      </c>
      <c r="P1085" s="9">
        <v>285123</v>
      </c>
      <c r="Q1085" s="9" t="s">
        <v>37</v>
      </c>
      <c r="R1085" s="13">
        <v>45717</v>
      </c>
      <c r="S1085" s="22">
        <v>45742</v>
      </c>
      <c r="T1085" s="13">
        <v>45695</v>
      </c>
      <c r="U1085" s="13">
        <v>45695</v>
      </c>
      <c r="V1085" s="9" t="s">
        <v>47</v>
      </c>
      <c r="W1085" s="9">
        <v>22770556</v>
      </c>
      <c r="X1085" s="9">
        <v>3311105</v>
      </c>
      <c r="Y1085" s="9">
        <v>69250726</v>
      </c>
      <c r="Z1085" s="9" t="s">
        <v>39</v>
      </c>
      <c r="AA1085" s="9">
        <v>32190072443</v>
      </c>
      <c r="AB1085" s="9">
        <v>78070</v>
      </c>
      <c r="AC1085" s="9" t="s">
        <v>41</v>
      </c>
      <c r="AD1085" s="9" t="s">
        <v>132</v>
      </c>
      <c r="AE1085" s="9" t="s">
        <v>133</v>
      </c>
      <c r="AF1085" s="9" t="s">
        <v>133</v>
      </c>
      <c r="AG1085" s="14" t="str">
        <f t="shared" si="36"/>
        <v>EXAMENES DE LABORATORIO</v>
      </c>
      <c r="AH1085" s="9">
        <v>0</v>
      </c>
      <c r="AI1085" s="9">
        <v>0</v>
      </c>
      <c r="AJ1085" s="9">
        <v>78258910</v>
      </c>
      <c r="AK1085" s="9">
        <v>5</v>
      </c>
      <c r="AL1085" s="26" t="s">
        <v>52</v>
      </c>
      <c r="AM1085" s="14" t="s">
        <v>675</v>
      </c>
      <c r="AN1085" s="27" t="str">
        <f t="shared" si="35"/>
        <v>10295620|78258910|919077776|65383837</v>
      </c>
      <c r="AO1085" t="s">
        <v>44</v>
      </c>
      <c r="AP1085" t="b">
        <v>0</v>
      </c>
      <c r="AQ1085" t="s">
        <v>763</v>
      </c>
    </row>
    <row r="1086" spans="1:43" x14ac:dyDescent="0.2">
      <c r="A1086" s="14" t="s">
        <v>500</v>
      </c>
      <c r="B1086" s="17">
        <v>10295620</v>
      </c>
      <c r="C1086" s="14" t="s">
        <v>383</v>
      </c>
      <c r="D1086" s="9">
        <v>20872324</v>
      </c>
      <c r="E1086" s="9" t="s">
        <v>413</v>
      </c>
      <c r="F1086" s="7">
        <v>45689</v>
      </c>
      <c r="G1086" s="20" t="s">
        <v>36</v>
      </c>
      <c r="H1086" s="8">
        <v>919078469</v>
      </c>
      <c r="I1086" s="19">
        <v>919078469</v>
      </c>
      <c r="J1086" s="10">
        <v>8370</v>
      </c>
      <c r="K1086" s="10">
        <v>2620</v>
      </c>
      <c r="L1086" s="10">
        <v>5750</v>
      </c>
      <c r="M1086" s="10">
        <v>0</v>
      </c>
      <c r="N1086" s="11">
        <v>5750</v>
      </c>
      <c r="O1086" s="12">
        <v>919078469</v>
      </c>
      <c r="P1086" s="9">
        <v>285123</v>
      </c>
      <c r="Q1086" s="9" t="s">
        <v>37</v>
      </c>
      <c r="R1086" s="13">
        <v>45695</v>
      </c>
      <c r="S1086" s="22">
        <v>45695</v>
      </c>
      <c r="T1086" s="13">
        <v>45695</v>
      </c>
      <c r="U1086" s="13">
        <v>45695</v>
      </c>
      <c r="V1086" s="9" t="s">
        <v>47</v>
      </c>
      <c r="W1086" s="9">
        <v>22566283</v>
      </c>
      <c r="X1086" s="9">
        <v>2101551</v>
      </c>
      <c r="Y1086" s="9">
        <v>68822911</v>
      </c>
      <c r="Z1086" s="9" t="s">
        <v>39</v>
      </c>
      <c r="AA1086" s="9">
        <v>9022025</v>
      </c>
      <c r="AB1086" s="9">
        <v>77586</v>
      </c>
      <c r="AC1086" s="9" t="s">
        <v>41</v>
      </c>
      <c r="AD1086" s="9" t="s">
        <v>132</v>
      </c>
      <c r="AE1086" s="9" t="s">
        <v>133</v>
      </c>
      <c r="AF1086" s="9" t="s">
        <v>133</v>
      </c>
      <c r="AG1086" s="14" t="str">
        <f t="shared" si="36"/>
        <v>EXAMENES DE LABORATORIO</v>
      </c>
      <c r="AH1086" s="9" t="s">
        <v>758</v>
      </c>
      <c r="AI1086" s="9">
        <v>0</v>
      </c>
      <c r="AJ1086" s="9">
        <v>78258910</v>
      </c>
      <c r="AK1086" s="9">
        <v>5</v>
      </c>
      <c r="AL1086" s="26" t="s">
        <v>62</v>
      </c>
      <c r="AM1086" s="14" t="s">
        <v>675</v>
      </c>
      <c r="AN1086" s="27" t="str">
        <f t="shared" si="35"/>
        <v>10295620|78258910|919078469|919078469</v>
      </c>
      <c r="AO1086" t="s">
        <v>758</v>
      </c>
      <c r="AP1086" t="b">
        <v>1</v>
      </c>
      <c r="AQ1086" t="s">
        <v>764</v>
      </c>
    </row>
    <row r="1087" spans="1:43" x14ac:dyDescent="0.2">
      <c r="A1087" s="14" t="s">
        <v>500</v>
      </c>
      <c r="B1087" s="17">
        <v>10295620</v>
      </c>
      <c r="C1087" s="14" t="s">
        <v>383</v>
      </c>
      <c r="D1087" s="9">
        <v>20872324</v>
      </c>
      <c r="E1087" s="9" t="s">
        <v>413</v>
      </c>
      <c r="F1087" s="7">
        <v>45717</v>
      </c>
      <c r="G1087" s="20" t="s">
        <v>46</v>
      </c>
      <c r="H1087" s="8">
        <v>919078469</v>
      </c>
      <c r="I1087" s="19">
        <v>65383838</v>
      </c>
      <c r="J1087" s="10">
        <v>4987</v>
      </c>
      <c r="K1087" s="10">
        <v>0</v>
      </c>
      <c r="L1087" s="10">
        <v>4987</v>
      </c>
      <c r="M1087" s="10">
        <v>0</v>
      </c>
      <c r="N1087" s="11">
        <v>4987</v>
      </c>
      <c r="O1087" s="12">
        <v>919078469</v>
      </c>
      <c r="P1087" s="9">
        <v>285123</v>
      </c>
      <c r="Q1087" s="9" t="s">
        <v>37</v>
      </c>
      <c r="R1087" s="13">
        <v>45717</v>
      </c>
      <c r="S1087" s="22">
        <v>45742</v>
      </c>
      <c r="T1087" s="13">
        <v>45695</v>
      </c>
      <c r="U1087" s="13">
        <v>45695</v>
      </c>
      <c r="V1087" s="9" t="s">
        <v>47</v>
      </c>
      <c r="W1087" s="9">
        <v>22770556</v>
      </c>
      <c r="X1087" s="9">
        <v>3311105</v>
      </c>
      <c r="Y1087" s="9">
        <v>69250727</v>
      </c>
      <c r="Z1087" s="9" t="s">
        <v>39</v>
      </c>
      <c r="AA1087" s="9">
        <v>32190072443</v>
      </c>
      <c r="AB1087" s="9">
        <v>78070</v>
      </c>
      <c r="AC1087" s="9" t="s">
        <v>41</v>
      </c>
      <c r="AD1087" s="9" t="s">
        <v>132</v>
      </c>
      <c r="AE1087" s="9" t="s">
        <v>133</v>
      </c>
      <c r="AF1087" s="9" t="s">
        <v>133</v>
      </c>
      <c r="AG1087" s="14" t="str">
        <f t="shared" si="36"/>
        <v>EXAMENES DE LABORATORIO</v>
      </c>
      <c r="AH1087" s="9">
        <v>0</v>
      </c>
      <c r="AI1087" s="9">
        <v>0</v>
      </c>
      <c r="AJ1087" s="9">
        <v>78258910</v>
      </c>
      <c r="AK1087" s="9">
        <v>5</v>
      </c>
      <c r="AL1087" s="26" t="s">
        <v>52</v>
      </c>
      <c r="AM1087" s="14" t="s">
        <v>675</v>
      </c>
      <c r="AN1087" s="27" t="str">
        <f t="shared" si="35"/>
        <v>10295620|78258910|919078469|65383838</v>
      </c>
      <c r="AO1087" t="s">
        <v>44</v>
      </c>
      <c r="AP1087" t="b">
        <v>0</v>
      </c>
      <c r="AQ1087" t="s">
        <v>763</v>
      </c>
    </row>
    <row r="1088" spans="1:43" x14ac:dyDescent="0.2">
      <c r="A1088" s="14" t="s">
        <v>500</v>
      </c>
      <c r="B1088" s="17">
        <v>13937515</v>
      </c>
      <c r="C1088" s="14" t="s">
        <v>384</v>
      </c>
      <c r="D1088" s="9">
        <v>13937515</v>
      </c>
      <c r="E1088" s="9" t="s">
        <v>384</v>
      </c>
      <c r="F1088" s="7">
        <v>45689</v>
      </c>
      <c r="G1088" s="20" t="s">
        <v>36</v>
      </c>
      <c r="H1088" s="8">
        <v>919078976</v>
      </c>
      <c r="I1088" s="19">
        <v>919078976</v>
      </c>
      <c r="J1088" s="10">
        <v>203070</v>
      </c>
      <c r="K1088" s="10">
        <v>130110</v>
      </c>
      <c r="L1088" s="10">
        <v>72960</v>
      </c>
      <c r="M1088" s="10">
        <v>0</v>
      </c>
      <c r="N1088" s="11">
        <v>72960</v>
      </c>
      <c r="O1088" s="12">
        <v>919078976</v>
      </c>
      <c r="P1088" s="9">
        <v>285123</v>
      </c>
      <c r="Q1088" s="9" t="s">
        <v>37</v>
      </c>
      <c r="R1088" s="13">
        <v>45695</v>
      </c>
      <c r="S1088" s="22">
        <v>45695</v>
      </c>
      <c r="T1088" s="13">
        <v>45695</v>
      </c>
      <c r="U1088" s="13">
        <v>45695</v>
      </c>
      <c r="V1088" s="9" t="s">
        <v>47</v>
      </c>
      <c r="W1088" s="9">
        <v>22566295</v>
      </c>
      <c r="X1088" s="9">
        <v>2101551</v>
      </c>
      <c r="Y1088" s="9">
        <v>68822924</v>
      </c>
      <c r="Z1088" s="9" t="s">
        <v>39</v>
      </c>
      <c r="AA1088" s="9">
        <v>9022025</v>
      </c>
      <c r="AB1088" s="9">
        <v>77586</v>
      </c>
      <c r="AC1088" s="9" t="s">
        <v>41</v>
      </c>
      <c r="AD1088" s="9" t="s">
        <v>134</v>
      </c>
      <c r="AE1088" s="9" t="s">
        <v>135</v>
      </c>
      <c r="AF1088" s="9" t="s">
        <v>135</v>
      </c>
      <c r="AG1088" s="14" t="str">
        <f t="shared" si="36"/>
        <v>EXAMENES RADIOLOGICOS</v>
      </c>
      <c r="AH1088" s="9" t="s">
        <v>758</v>
      </c>
      <c r="AI1088" s="9">
        <v>0</v>
      </c>
      <c r="AJ1088" s="9">
        <v>99540210</v>
      </c>
      <c r="AK1088" s="9">
        <v>6</v>
      </c>
      <c r="AL1088" s="26" t="s">
        <v>62</v>
      </c>
      <c r="AM1088" s="14" t="s">
        <v>676</v>
      </c>
      <c r="AN1088" s="27" t="str">
        <f t="shared" si="35"/>
        <v>13937515|99540210|919078976|919078976</v>
      </c>
      <c r="AO1088" t="s">
        <v>758</v>
      </c>
      <c r="AP1088" t="b">
        <v>1</v>
      </c>
      <c r="AQ1088" t="s">
        <v>764</v>
      </c>
    </row>
    <row r="1089" spans="1:43" x14ac:dyDescent="0.2">
      <c r="A1089" s="14" t="s">
        <v>500</v>
      </c>
      <c r="B1089" s="17">
        <v>13937515</v>
      </c>
      <c r="C1089" s="14" t="s">
        <v>384</v>
      </c>
      <c r="D1089" s="9">
        <v>13937515</v>
      </c>
      <c r="E1089" s="9" t="s">
        <v>384</v>
      </c>
      <c r="F1089" s="7">
        <v>45717</v>
      </c>
      <c r="G1089" s="20" t="s">
        <v>46</v>
      </c>
      <c r="H1089" s="8">
        <v>919078976</v>
      </c>
      <c r="I1089" s="19">
        <v>65384163</v>
      </c>
      <c r="J1089" s="10">
        <v>73281</v>
      </c>
      <c r="K1089" s="10">
        <v>0</v>
      </c>
      <c r="L1089" s="10">
        <v>73281</v>
      </c>
      <c r="M1089" s="10">
        <v>0</v>
      </c>
      <c r="N1089" s="11">
        <v>73281</v>
      </c>
      <c r="O1089" s="12">
        <v>919078976</v>
      </c>
      <c r="P1089" s="9">
        <v>285123</v>
      </c>
      <c r="Q1089" s="9" t="s">
        <v>37</v>
      </c>
      <c r="R1089" s="13">
        <v>45717</v>
      </c>
      <c r="S1089" s="22">
        <v>45742</v>
      </c>
      <c r="T1089" s="13">
        <v>45695</v>
      </c>
      <c r="U1089" s="13">
        <v>45695</v>
      </c>
      <c r="V1089" s="9" t="s">
        <v>47</v>
      </c>
      <c r="W1089" s="9">
        <v>22770560</v>
      </c>
      <c r="X1089" s="9">
        <v>3311105</v>
      </c>
      <c r="Y1089" s="9">
        <v>69251043</v>
      </c>
      <c r="Z1089" s="9" t="s">
        <v>39</v>
      </c>
      <c r="AA1089" s="9">
        <v>61167282</v>
      </c>
      <c r="AB1089" s="9">
        <v>78070</v>
      </c>
      <c r="AC1089" s="9" t="s">
        <v>41</v>
      </c>
      <c r="AD1089" s="9" t="s">
        <v>134</v>
      </c>
      <c r="AE1089" s="9" t="s">
        <v>135</v>
      </c>
      <c r="AF1089" s="9" t="s">
        <v>135</v>
      </c>
      <c r="AG1089" s="14" t="str">
        <f t="shared" si="36"/>
        <v>EXAMENES RADIOLOGICOS</v>
      </c>
      <c r="AH1089" s="9">
        <v>0</v>
      </c>
      <c r="AI1089" s="9">
        <v>0</v>
      </c>
      <c r="AJ1089" s="9">
        <v>99540210</v>
      </c>
      <c r="AK1089" s="9">
        <v>6</v>
      </c>
      <c r="AL1089" s="26" t="s">
        <v>52</v>
      </c>
      <c r="AM1089" s="14" t="s">
        <v>676</v>
      </c>
      <c r="AN1089" s="27" t="str">
        <f t="shared" si="35"/>
        <v>13937515|99540210|919078976|65384163</v>
      </c>
      <c r="AO1089" t="s">
        <v>44</v>
      </c>
      <c r="AP1089" t="b">
        <v>0</v>
      </c>
      <c r="AQ1089" t="s">
        <v>763</v>
      </c>
    </row>
    <row r="1090" spans="1:43" x14ac:dyDescent="0.2">
      <c r="A1090" s="14" t="s">
        <v>500</v>
      </c>
      <c r="B1090" s="17">
        <v>18196635</v>
      </c>
      <c r="C1090" s="14" t="s">
        <v>414</v>
      </c>
      <c r="D1090" s="9">
        <v>18196635</v>
      </c>
      <c r="E1090" s="9" t="s">
        <v>414</v>
      </c>
      <c r="F1090" s="7">
        <v>45689</v>
      </c>
      <c r="G1090" s="20" t="s">
        <v>36</v>
      </c>
      <c r="H1090" s="8">
        <v>919175701</v>
      </c>
      <c r="I1090" s="19">
        <v>919175701</v>
      </c>
      <c r="J1090" s="10">
        <v>10740</v>
      </c>
      <c r="K1090" s="10">
        <v>3360</v>
      </c>
      <c r="L1090" s="10">
        <v>7380</v>
      </c>
      <c r="M1090" s="10">
        <v>0</v>
      </c>
      <c r="N1090" s="11">
        <v>7380</v>
      </c>
      <c r="O1090" s="12">
        <v>919175701</v>
      </c>
      <c r="P1090" s="9">
        <v>285123</v>
      </c>
      <c r="Q1090" s="9" t="s">
        <v>37</v>
      </c>
      <c r="R1090" s="13">
        <v>45695</v>
      </c>
      <c r="S1090" s="22">
        <v>45695</v>
      </c>
      <c r="T1090" s="13">
        <v>45695</v>
      </c>
      <c r="U1090" s="13">
        <v>45695</v>
      </c>
      <c r="V1090" s="9" t="s">
        <v>47</v>
      </c>
      <c r="W1090" s="9">
        <v>22566308</v>
      </c>
      <c r="X1090" s="9">
        <v>2101551</v>
      </c>
      <c r="Y1090" s="9">
        <v>68823478</v>
      </c>
      <c r="Z1090" s="9" t="s">
        <v>39</v>
      </c>
      <c r="AA1090" s="9">
        <v>9022025</v>
      </c>
      <c r="AB1090" s="9">
        <v>77586</v>
      </c>
      <c r="AC1090" s="9" t="s">
        <v>41</v>
      </c>
      <c r="AD1090" s="9" t="s">
        <v>65</v>
      </c>
      <c r="AE1090" s="9" t="s">
        <v>66</v>
      </c>
      <c r="AF1090" s="9" t="s">
        <v>66</v>
      </c>
      <c r="AG1090" s="14" t="str">
        <f t="shared" si="36"/>
        <v>PROCEDIMIENTOS TERAPEUTICOS</v>
      </c>
      <c r="AH1090" s="9" t="s">
        <v>758</v>
      </c>
      <c r="AI1090" s="9">
        <v>0</v>
      </c>
      <c r="AJ1090" s="9">
        <v>96942400</v>
      </c>
      <c r="AK1090" s="9">
        <v>2</v>
      </c>
      <c r="AL1090" s="26" t="s">
        <v>62</v>
      </c>
      <c r="AM1090" s="14" t="s">
        <v>699</v>
      </c>
      <c r="AN1090" s="27" t="str">
        <f t="shared" si="35"/>
        <v>18196635|96942400|919175701|919175701</v>
      </c>
      <c r="AO1090" t="s">
        <v>758</v>
      </c>
      <c r="AP1090" t="b">
        <v>1</v>
      </c>
      <c r="AQ1090" t="s">
        <v>764</v>
      </c>
    </row>
    <row r="1091" spans="1:43" x14ac:dyDescent="0.2">
      <c r="A1091" s="14" t="s">
        <v>500</v>
      </c>
      <c r="B1091" s="17">
        <v>18196635</v>
      </c>
      <c r="C1091" s="14" t="s">
        <v>414</v>
      </c>
      <c r="D1091" s="9">
        <v>18196635</v>
      </c>
      <c r="E1091" s="9" t="s">
        <v>414</v>
      </c>
      <c r="F1091" s="7">
        <v>45717</v>
      </c>
      <c r="G1091" s="20" t="s">
        <v>46</v>
      </c>
      <c r="H1091" s="8">
        <v>919175701</v>
      </c>
      <c r="I1091" s="19">
        <v>65384453</v>
      </c>
      <c r="J1091" s="10">
        <v>6138</v>
      </c>
      <c r="K1091" s="10">
        <v>0</v>
      </c>
      <c r="L1091" s="10">
        <v>6138</v>
      </c>
      <c r="M1091" s="10">
        <v>0</v>
      </c>
      <c r="N1091" s="11">
        <v>6138</v>
      </c>
      <c r="O1091" s="12">
        <v>919175701</v>
      </c>
      <c r="P1091" s="9">
        <v>285123</v>
      </c>
      <c r="Q1091" s="9" t="s">
        <v>37</v>
      </c>
      <c r="R1091" s="13">
        <v>45717</v>
      </c>
      <c r="S1091" s="22">
        <v>45742</v>
      </c>
      <c r="T1091" s="13">
        <v>45695</v>
      </c>
      <c r="U1091" s="13">
        <v>45695</v>
      </c>
      <c r="V1091" s="9" t="s">
        <v>47</v>
      </c>
      <c r="W1091" s="9">
        <v>22770563</v>
      </c>
      <c r="X1091" s="9">
        <v>3311105</v>
      </c>
      <c r="Y1091" s="9">
        <v>69251320</v>
      </c>
      <c r="Z1091" s="9" t="s">
        <v>39</v>
      </c>
      <c r="AA1091" s="9">
        <v>10013561232</v>
      </c>
      <c r="AB1091" s="9">
        <v>78070</v>
      </c>
      <c r="AC1091" s="9" t="s">
        <v>41</v>
      </c>
      <c r="AD1091" s="9" t="s">
        <v>65</v>
      </c>
      <c r="AE1091" s="9" t="s">
        <v>66</v>
      </c>
      <c r="AF1091" s="9" t="s">
        <v>66</v>
      </c>
      <c r="AG1091" s="14" t="str">
        <f t="shared" si="36"/>
        <v>PROCEDIMIENTOS TERAPEUTICOS</v>
      </c>
      <c r="AH1091" s="9">
        <v>0</v>
      </c>
      <c r="AI1091" s="9">
        <v>0</v>
      </c>
      <c r="AJ1091" s="9">
        <v>96942400</v>
      </c>
      <c r="AK1091" s="9">
        <v>2</v>
      </c>
      <c r="AL1091" s="26" t="s">
        <v>52</v>
      </c>
      <c r="AM1091" s="14" t="s">
        <v>699</v>
      </c>
      <c r="AN1091" s="27" t="str">
        <f t="shared" ref="AN1091:AN1154" si="37">B1091&amp;"|"&amp;AJ1091&amp;"|"&amp;H1091&amp;"|"&amp;I1091</f>
        <v>18196635|96942400|919175701|65384453</v>
      </c>
      <c r="AO1091" t="s">
        <v>44</v>
      </c>
      <c r="AP1091" t="b">
        <v>0</v>
      </c>
      <c r="AQ1091" t="s">
        <v>763</v>
      </c>
    </row>
    <row r="1092" spans="1:43" x14ac:dyDescent="0.2">
      <c r="A1092" s="14" t="s">
        <v>500</v>
      </c>
      <c r="B1092" s="17">
        <v>13937515</v>
      </c>
      <c r="C1092" s="14" t="s">
        <v>384</v>
      </c>
      <c r="D1092" s="9">
        <v>13937515</v>
      </c>
      <c r="E1092" s="9" t="s">
        <v>384</v>
      </c>
      <c r="F1092" s="7">
        <v>45689</v>
      </c>
      <c r="G1092" s="20" t="s">
        <v>36</v>
      </c>
      <c r="H1092" s="8">
        <v>919194831</v>
      </c>
      <c r="I1092" s="19">
        <v>919194831</v>
      </c>
      <c r="J1092" s="10">
        <v>49200</v>
      </c>
      <c r="K1092" s="10">
        <v>27680</v>
      </c>
      <c r="L1092" s="10">
        <v>21520</v>
      </c>
      <c r="M1092" s="10">
        <v>0</v>
      </c>
      <c r="N1092" s="11">
        <v>21520</v>
      </c>
      <c r="O1092" s="12">
        <v>919194831</v>
      </c>
      <c r="P1092" s="9">
        <v>285123</v>
      </c>
      <c r="Q1092" s="9" t="s">
        <v>37</v>
      </c>
      <c r="R1092" s="13">
        <v>45696</v>
      </c>
      <c r="S1092" s="22">
        <v>45696</v>
      </c>
      <c r="T1092" s="13">
        <v>45696</v>
      </c>
      <c r="U1092" s="13">
        <v>45696</v>
      </c>
      <c r="V1092" s="9" t="s">
        <v>47</v>
      </c>
      <c r="W1092" s="9">
        <v>22598302</v>
      </c>
      <c r="X1092" s="9">
        <v>2171709</v>
      </c>
      <c r="Y1092" s="9">
        <v>68875264</v>
      </c>
      <c r="Z1092" s="9" t="s">
        <v>39</v>
      </c>
      <c r="AA1092" s="9">
        <v>16022025</v>
      </c>
      <c r="AB1092" s="9">
        <v>77646</v>
      </c>
      <c r="AC1092" s="9" t="s">
        <v>41</v>
      </c>
      <c r="AD1092" s="9" t="s">
        <v>65</v>
      </c>
      <c r="AE1092" s="9" t="s">
        <v>66</v>
      </c>
      <c r="AF1092" s="9" t="s">
        <v>66</v>
      </c>
      <c r="AG1092" s="14" t="str">
        <f t="shared" si="36"/>
        <v>PROCEDIMIENTOS TERAPEUTICOS</v>
      </c>
      <c r="AH1092" s="9" t="s">
        <v>758</v>
      </c>
      <c r="AI1092" s="9">
        <v>0</v>
      </c>
      <c r="AJ1092" s="9">
        <v>76696200</v>
      </c>
      <c r="AK1092" s="9">
        <v>9</v>
      </c>
      <c r="AL1092" s="26" t="s">
        <v>62</v>
      </c>
      <c r="AM1092" s="14" t="s">
        <v>676</v>
      </c>
      <c r="AN1092" s="27" t="str">
        <f t="shared" si="37"/>
        <v>13937515|76696200|919194831|919194831</v>
      </c>
      <c r="AO1092" t="s">
        <v>758</v>
      </c>
      <c r="AP1092" t="b">
        <v>1</v>
      </c>
      <c r="AQ1092" t="s">
        <v>764</v>
      </c>
    </row>
    <row r="1093" spans="1:43" x14ac:dyDescent="0.2">
      <c r="A1093" s="14" t="s">
        <v>500</v>
      </c>
      <c r="B1093" s="17">
        <v>13937515</v>
      </c>
      <c r="C1093" s="14" t="s">
        <v>384</v>
      </c>
      <c r="D1093" s="9">
        <v>13937515</v>
      </c>
      <c r="E1093" s="9" t="s">
        <v>384</v>
      </c>
      <c r="F1093" s="7">
        <v>45717</v>
      </c>
      <c r="G1093" s="20" t="s">
        <v>46</v>
      </c>
      <c r="H1093" s="8">
        <v>919194831</v>
      </c>
      <c r="I1093" s="19">
        <v>65384164</v>
      </c>
      <c r="J1093" s="10">
        <v>17263</v>
      </c>
      <c r="K1093" s="10">
        <v>0</v>
      </c>
      <c r="L1093" s="10">
        <v>17263</v>
      </c>
      <c r="M1093" s="10">
        <v>0</v>
      </c>
      <c r="N1093" s="11">
        <v>17263</v>
      </c>
      <c r="O1093" s="12">
        <v>919194831</v>
      </c>
      <c r="P1093" s="9">
        <v>285123</v>
      </c>
      <c r="Q1093" s="9" t="s">
        <v>37</v>
      </c>
      <c r="R1093" s="13">
        <v>45717</v>
      </c>
      <c r="S1093" s="22">
        <v>45742</v>
      </c>
      <c r="T1093" s="13">
        <v>45696</v>
      </c>
      <c r="U1093" s="13">
        <v>45696</v>
      </c>
      <c r="V1093" s="9" t="s">
        <v>47</v>
      </c>
      <c r="W1093" s="9">
        <v>22770568</v>
      </c>
      <c r="X1093" s="9">
        <v>3311105</v>
      </c>
      <c r="Y1093" s="9">
        <v>69251044</v>
      </c>
      <c r="Z1093" s="9" t="s">
        <v>39</v>
      </c>
      <c r="AA1093" s="9">
        <v>61167282</v>
      </c>
      <c r="AB1093" s="9">
        <v>78070</v>
      </c>
      <c r="AC1093" s="9" t="s">
        <v>41</v>
      </c>
      <c r="AD1093" s="9" t="s">
        <v>65</v>
      </c>
      <c r="AE1093" s="9" t="s">
        <v>66</v>
      </c>
      <c r="AF1093" s="9" t="s">
        <v>66</v>
      </c>
      <c r="AG1093" s="14" t="str">
        <f t="shared" si="36"/>
        <v>PROCEDIMIENTOS TERAPEUTICOS</v>
      </c>
      <c r="AH1093" s="9">
        <v>0</v>
      </c>
      <c r="AI1093" s="9">
        <v>0</v>
      </c>
      <c r="AJ1093" s="9">
        <v>76696200</v>
      </c>
      <c r="AK1093" s="9">
        <v>9</v>
      </c>
      <c r="AL1093" s="26" t="s">
        <v>52</v>
      </c>
      <c r="AM1093" s="14" t="s">
        <v>676</v>
      </c>
      <c r="AN1093" s="27" t="str">
        <f t="shared" si="37"/>
        <v>13937515|76696200|919194831|65384164</v>
      </c>
      <c r="AO1093" t="s">
        <v>44</v>
      </c>
      <c r="AP1093" t="b">
        <v>0</v>
      </c>
      <c r="AQ1093" t="s">
        <v>763</v>
      </c>
    </row>
    <row r="1094" spans="1:43" x14ac:dyDescent="0.2">
      <c r="A1094" s="14" t="s">
        <v>500</v>
      </c>
      <c r="B1094" s="17">
        <v>10792213</v>
      </c>
      <c r="C1094" s="14" t="s">
        <v>404</v>
      </c>
      <c r="D1094" s="9">
        <v>10792213</v>
      </c>
      <c r="E1094" s="9" t="s">
        <v>404</v>
      </c>
      <c r="F1094" s="7">
        <v>45689</v>
      </c>
      <c r="G1094" s="20" t="s">
        <v>36</v>
      </c>
      <c r="H1094" s="8">
        <v>919203796</v>
      </c>
      <c r="I1094" s="19">
        <v>919203796</v>
      </c>
      <c r="J1094" s="10">
        <v>89000</v>
      </c>
      <c r="K1094" s="10">
        <v>27820</v>
      </c>
      <c r="L1094" s="10">
        <v>61180</v>
      </c>
      <c r="M1094" s="10">
        <v>0</v>
      </c>
      <c r="N1094" s="11">
        <v>61180</v>
      </c>
      <c r="O1094" s="12">
        <v>919203796</v>
      </c>
      <c r="P1094" s="9">
        <v>285123</v>
      </c>
      <c r="Q1094" s="9" t="s">
        <v>37</v>
      </c>
      <c r="R1094" s="13">
        <v>45696</v>
      </c>
      <c r="S1094" s="22">
        <v>45696</v>
      </c>
      <c r="T1094" s="13">
        <v>45696</v>
      </c>
      <c r="U1094" s="13">
        <v>45696</v>
      </c>
      <c r="V1094" s="9" t="s">
        <v>47</v>
      </c>
      <c r="W1094" s="9">
        <v>22598293</v>
      </c>
      <c r="X1094" s="9">
        <v>2171709</v>
      </c>
      <c r="Y1094" s="9">
        <v>68875345</v>
      </c>
      <c r="Z1094" s="9" t="s">
        <v>39</v>
      </c>
      <c r="AA1094" s="9">
        <v>16022025</v>
      </c>
      <c r="AB1094" s="9">
        <v>77646</v>
      </c>
      <c r="AC1094" s="9" t="s">
        <v>41</v>
      </c>
      <c r="AD1094" s="9" t="s">
        <v>65</v>
      </c>
      <c r="AE1094" s="9" t="s">
        <v>66</v>
      </c>
      <c r="AF1094" s="9" t="s">
        <v>66</v>
      </c>
      <c r="AG1094" s="14" t="str">
        <f t="shared" si="36"/>
        <v>PROCEDIMIENTOS TERAPEUTICOS</v>
      </c>
      <c r="AH1094" s="9" t="s">
        <v>758</v>
      </c>
      <c r="AI1094" s="9">
        <v>0</v>
      </c>
      <c r="AJ1094" s="9">
        <v>77774340</v>
      </c>
      <c r="AK1094" s="9">
        <v>6</v>
      </c>
      <c r="AL1094" s="26" t="s">
        <v>62</v>
      </c>
      <c r="AM1094" s="14" t="s">
        <v>692</v>
      </c>
      <c r="AN1094" s="27" t="str">
        <f t="shared" si="37"/>
        <v>10792213|77774340|919203796|919203796</v>
      </c>
      <c r="AO1094" t="s">
        <v>758</v>
      </c>
      <c r="AP1094" t="b">
        <v>1</v>
      </c>
      <c r="AQ1094" t="s">
        <v>764</v>
      </c>
    </row>
    <row r="1095" spans="1:43" x14ac:dyDescent="0.2">
      <c r="A1095" s="14" t="s">
        <v>500</v>
      </c>
      <c r="B1095" s="17">
        <v>10792213</v>
      </c>
      <c r="C1095" s="14" t="s">
        <v>404</v>
      </c>
      <c r="D1095" s="9">
        <v>10792213</v>
      </c>
      <c r="E1095" s="9" t="s">
        <v>404</v>
      </c>
      <c r="F1095" s="7">
        <v>45717</v>
      </c>
      <c r="G1095" s="20" t="s">
        <v>46</v>
      </c>
      <c r="H1095" s="8">
        <v>919203796</v>
      </c>
      <c r="I1095" s="19">
        <v>65383900</v>
      </c>
      <c r="J1095" s="10">
        <v>52559</v>
      </c>
      <c r="K1095" s="10">
        <v>0</v>
      </c>
      <c r="L1095" s="10">
        <v>52559</v>
      </c>
      <c r="M1095" s="10">
        <v>0</v>
      </c>
      <c r="N1095" s="11">
        <v>52559</v>
      </c>
      <c r="O1095" s="12">
        <v>919203796</v>
      </c>
      <c r="P1095" s="9">
        <v>285123</v>
      </c>
      <c r="Q1095" s="9" t="s">
        <v>37</v>
      </c>
      <c r="R1095" s="13">
        <v>45717</v>
      </c>
      <c r="S1095" s="22">
        <v>45742</v>
      </c>
      <c r="T1095" s="13">
        <v>45696</v>
      </c>
      <c r="U1095" s="13">
        <v>45696</v>
      </c>
      <c r="V1095" s="9" t="s">
        <v>47</v>
      </c>
      <c r="W1095" s="9">
        <v>22770566</v>
      </c>
      <c r="X1095" s="9">
        <v>3311105</v>
      </c>
      <c r="Y1095" s="9">
        <v>69250789</v>
      </c>
      <c r="Z1095" s="9" t="s">
        <v>39</v>
      </c>
      <c r="AA1095" s="9">
        <v>10792213</v>
      </c>
      <c r="AB1095" s="9">
        <v>78070</v>
      </c>
      <c r="AC1095" s="9" t="s">
        <v>41</v>
      </c>
      <c r="AD1095" s="9" t="s">
        <v>65</v>
      </c>
      <c r="AE1095" s="9" t="s">
        <v>66</v>
      </c>
      <c r="AF1095" s="9" t="s">
        <v>66</v>
      </c>
      <c r="AG1095" s="14" t="str">
        <f t="shared" si="36"/>
        <v>PROCEDIMIENTOS TERAPEUTICOS</v>
      </c>
      <c r="AH1095" s="9">
        <v>0</v>
      </c>
      <c r="AI1095" s="9">
        <v>0</v>
      </c>
      <c r="AJ1095" s="9">
        <v>77774340</v>
      </c>
      <c r="AK1095" s="9">
        <v>6</v>
      </c>
      <c r="AL1095" s="26" t="s">
        <v>52</v>
      </c>
      <c r="AM1095" s="14" t="s">
        <v>692</v>
      </c>
      <c r="AN1095" s="27" t="str">
        <f t="shared" si="37"/>
        <v>10792213|77774340|919203796|65383900</v>
      </c>
      <c r="AO1095" t="s">
        <v>44</v>
      </c>
      <c r="AP1095" t="b">
        <v>0</v>
      </c>
      <c r="AQ1095" t="s">
        <v>763</v>
      </c>
    </row>
    <row r="1096" spans="1:43" x14ac:dyDescent="0.2">
      <c r="A1096" s="14" t="s">
        <v>500</v>
      </c>
      <c r="B1096" s="17">
        <v>26246811</v>
      </c>
      <c r="C1096" s="14" t="s">
        <v>186</v>
      </c>
      <c r="D1096" s="9">
        <v>26246811</v>
      </c>
      <c r="E1096" s="9" t="s">
        <v>186</v>
      </c>
      <c r="F1096" s="7">
        <v>45689</v>
      </c>
      <c r="G1096" s="20" t="s">
        <v>36</v>
      </c>
      <c r="H1096" s="8">
        <v>919209701</v>
      </c>
      <c r="I1096" s="19">
        <v>919209701</v>
      </c>
      <c r="J1096" s="10">
        <v>36320</v>
      </c>
      <c r="K1096" s="10">
        <v>11360</v>
      </c>
      <c r="L1096" s="10">
        <v>24960</v>
      </c>
      <c r="M1096" s="10">
        <v>0</v>
      </c>
      <c r="N1096" s="11">
        <v>24960</v>
      </c>
      <c r="O1096" s="12">
        <v>919209701</v>
      </c>
      <c r="P1096" s="9">
        <v>285123</v>
      </c>
      <c r="Q1096" s="9" t="s">
        <v>37</v>
      </c>
      <c r="R1096" s="13">
        <v>45696</v>
      </c>
      <c r="S1096" s="22">
        <v>45696</v>
      </c>
      <c r="T1096" s="13">
        <v>45696</v>
      </c>
      <c r="U1096" s="13">
        <v>45696</v>
      </c>
      <c r="V1096" s="9" t="s">
        <v>47</v>
      </c>
      <c r="W1096" s="9">
        <v>22598309</v>
      </c>
      <c r="X1096" s="9">
        <v>2171709</v>
      </c>
      <c r="Y1096" s="9">
        <v>68875408</v>
      </c>
      <c r="Z1096" s="9" t="s">
        <v>39</v>
      </c>
      <c r="AA1096" s="9">
        <v>16022025</v>
      </c>
      <c r="AB1096" s="9">
        <v>77646</v>
      </c>
      <c r="AC1096" s="9" t="s">
        <v>41</v>
      </c>
      <c r="AD1096" s="9" t="s">
        <v>132</v>
      </c>
      <c r="AE1096" s="9" t="s">
        <v>133</v>
      </c>
      <c r="AF1096" s="9" t="s">
        <v>133</v>
      </c>
      <c r="AG1096" s="14" t="str">
        <f t="shared" si="36"/>
        <v>EXAMENES DE LABORATORIO</v>
      </c>
      <c r="AH1096" s="9" t="s">
        <v>758</v>
      </c>
      <c r="AI1096" s="9">
        <v>0</v>
      </c>
      <c r="AJ1096" s="9">
        <v>96617350</v>
      </c>
      <c r="AK1096" s="9">
        <v>5</v>
      </c>
      <c r="AL1096" s="26" t="s">
        <v>62</v>
      </c>
      <c r="AM1096" s="14" t="s">
        <v>536</v>
      </c>
      <c r="AN1096" s="27" t="str">
        <f t="shared" si="37"/>
        <v>26246811|96617350|919209701|919209701</v>
      </c>
      <c r="AO1096" t="s">
        <v>758</v>
      </c>
      <c r="AP1096" t="b">
        <v>1</v>
      </c>
      <c r="AQ1096" t="s">
        <v>764</v>
      </c>
    </row>
    <row r="1097" spans="1:43" x14ac:dyDescent="0.2">
      <c r="A1097" s="14" t="s">
        <v>500</v>
      </c>
      <c r="B1097" s="17">
        <v>26246811</v>
      </c>
      <c r="C1097" s="14" t="s">
        <v>186</v>
      </c>
      <c r="D1097" s="9">
        <v>26246811</v>
      </c>
      <c r="E1097" s="9" t="s">
        <v>186</v>
      </c>
      <c r="F1097" s="7">
        <v>45717</v>
      </c>
      <c r="G1097" s="20" t="s">
        <v>46</v>
      </c>
      <c r="H1097" s="8">
        <v>919209701</v>
      </c>
      <c r="I1097" s="19">
        <v>65384539</v>
      </c>
      <c r="J1097" s="10">
        <v>21865</v>
      </c>
      <c r="K1097" s="10">
        <v>0</v>
      </c>
      <c r="L1097" s="10">
        <v>21865</v>
      </c>
      <c r="M1097" s="10">
        <v>0</v>
      </c>
      <c r="N1097" s="11">
        <v>21865</v>
      </c>
      <c r="O1097" s="12">
        <v>919209701</v>
      </c>
      <c r="P1097" s="9">
        <v>285123</v>
      </c>
      <c r="Q1097" s="9" t="s">
        <v>37</v>
      </c>
      <c r="R1097" s="13">
        <v>45717</v>
      </c>
      <c r="S1097" s="22">
        <v>45742</v>
      </c>
      <c r="T1097" s="13">
        <v>45696</v>
      </c>
      <c r="U1097" s="13">
        <v>45696</v>
      </c>
      <c r="V1097" s="9" t="s">
        <v>47</v>
      </c>
      <c r="W1097" s="9">
        <v>22770570</v>
      </c>
      <c r="X1097" s="9">
        <v>3311105</v>
      </c>
      <c r="Y1097" s="9">
        <v>69251402</v>
      </c>
      <c r="Z1097" s="9" t="s">
        <v>39</v>
      </c>
      <c r="AA1097" s="9">
        <v>83503556</v>
      </c>
      <c r="AB1097" s="9">
        <v>78070</v>
      </c>
      <c r="AC1097" s="9" t="s">
        <v>41</v>
      </c>
      <c r="AD1097" s="9" t="s">
        <v>132</v>
      </c>
      <c r="AE1097" s="9" t="s">
        <v>133</v>
      </c>
      <c r="AF1097" s="9" t="s">
        <v>133</v>
      </c>
      <c r="AG1097" s="14" t="str">
        <f t="shared" si="36"/>
        <v>EXAMENES DE LABORATORIO</v>
      </c>
      <c r="AH1097" s="9">
        <v>0</v>
      </c>
      <c r="AI1097" s="9">
        <v>0</v>
      </c>
      <c r="AJ1097" s="9">
        <v>96617350</v>
      </c>
      <c r="AK1097" s="9">
        <v>5</v>
      </c>
      <c r="AL1097" s="26" t="s">
        <v>52</v>
      </c>
      <c r="AM1097" s="14" t="s">
        <v>536</v>
      </c>
      <c r="AN1097" s="27" t="str">
        <f t="shared" si="37"/>
        <v>26246811|96617350|919209701|65384539</v>
      </c>
      <c r="AO1097" t="s">
        <v>44</v>
      </c>
      <c r="AP1097" t="b">
        <v>0</v>
      </c>
      <c r="AQ1097" t="s">
        <v>763</v>
      </c>
    </row>
    <row r="1098" spans="1:43" x14ac:dyDescent="0.2">
      <c r="A1098" s="14" t="s">
        <v>500</v>
      </c>
      <c r="B1098" s="17">
        <v>26246811</v>
      </c>
      <c r="C1098" s="14" t="s">
        <v>186</v>
      </c>
      <c r="D1098" s="9">
        <v>26246811</v>
      </c>
      <c r="E1098" s="9" t="s">
        <v>186</v>
      </c>
      <c r="F1098" s="7">
        <v>45689</v>
      </c>
      <c r="G1098" s="20" t="s">
        <v>36</v>
      </c>
      <c r="H1098" s="8">
        <v>919209702</v>
      </c>
      <c r="I1098" s="19">
        <v>919209702</v>
      </c>
      <c r="J1098" s="10">
        <v>20200</v>
      </c>
      <c r="K1098" s="10">
        <v>6320</v>
      </c>
      <c r="L1098" s="10">
        <v>13880</v>
      </c>
      <c r="M1098" s="10">
        <v>0</v>
      </c>
      <c r="N1098" s="11">
        <v>13880</v>
      </c>
      <c r="O1098" s="12">
        <v>919209702</v>
      </c>
      <c r="P1098" s="9">
        <v>285123</v>
      </c>
      <c r="Q1098" s="9" t="s">
        <v>37</v>
      </c>
      <c r="R1098" s="13">
        <v>45696</v>
      </c>
      <c r="S1098" s="22">
        <v>45696</v>
      </c>
      <c r="T1098" s="13">
        <v>45696</v>
      </c>
      <c r="U1098" s="13">
        <v>45696</v>
      </c>
      <c r="V1098" s="9" t="s">
        <v>47</v>
      </c>
      <c r="W1098" s="9">
        <v>22598309</v>
      </c>
      <c r="X1098" s="9">
        <v>2171709</v>
      </c>
      <c r="Y1098" s="9">
        <v>68875407</v>
      </c>
      <c r="Z1098" s="9" t="s">
        <v>39</v>
      </c>
      <c r="AA1098" s="9">
        <v>16022025</v>
      </c>
      <c r="AB1098" s="9">
        <v>77646</v>
      </c>
      <c r="AC1098" s="9" t="s">
        <v>41</v>
      </c>
      <c r="AD1098" s="9" t="s">
        <v>132</v>
      </c>
      <c r="AE1098" s="9" t="s">
        <v>133</v>
      </c>
      <c r="AF1098" s="9" t="s">
        <v>133</v>
      </c>
      <c r="AG1098" s="14" t="str">
        <f t="shared" si="36"/>
        <v>EXAMENES DE LABORATORIO</v>
      </c>
      <c r="AH1098" s="9" t="s">
        <v>758</v>
      </c>
      <c r="AI1098" s="9">
        <v>0</v>
      </c>
      <c r="AJ1098" s="9">
        <v>96617350</v>
      </c>
      <c r="AK1098" s="9">
        <v>5</v>
      </c>
      <c r="AL1098" s="26" t="s">
        <v>62</v>
      </c>
      <c r="AM1098" s="14" t="s">
        <v>536</v>
      </c>
      <c r="AN1098" s="27" t="str">
        <f t="shared" si="37"/>
        <v>26246811|96617350|919209702|919209702</v>
      </c>
      <c r="AO1098" t="s">
        <v>758</v>
      </c>
      <c r="AP1098" t="b">
        <v>1</v>
      </c>
      <c r="AQ1098" t="s">
        <v>764</v>
      </c>
    </row>
    <row r="1099" spans="1:43" x14ac:dyDescent="0.2">
      <c r="A1099" s="14" t="s">
        <v>500</v>
      </c>
      <c r="B1099" s="17">
        <v>26246811</v>
      </c>
      <c r="C1099" s="14" t="s">
        <v>186</v>
      </c>
      <c r="D1099" s="9">
        <v>26246811</v>
      </c>
      <c r="E1099" s="9" t="s">
        <v>186</v>
      </c>
      <c r="F1099" s="7">
        <v>45717</v>
      </c>
      <c r="G1099" s="20" t="s">
        <v>46</v>
      </c>
      <c r="H1099" s="8">
        <v>919209702</v>
      </c>
      <c r="I1099" s="19">
        <v>65384540</v>
      </c>
      <c r="J1099" s="10">
        <v>12657</v>
      </c>
      <c r="K1099" s="10">
        <v>0</v>
      </c>
      <c r="L1099" s="10">
        <v>12657</v>
      </c>
      <c r="M1099" s="10">
        <v>0</v>
      </c>
      <c r="N1099" s="11">
        <v>12657</v>
      </c>
      <c r="O1099" s="12">
        <v>919209702</v>
      </c>
      <c r="P1099" s="9">
        <v>285123</v>
      </c>
      <c r="Q1099" s="9" t="s">
        <v>37</v>
      </c>
      <c r="R1099" s="13">
        <v>45717</v>
      </c>
      <c r="S1099" s="22">
        <v>45742</v>
      </c>
      <c r="T1099" s="13">
        <v>45696</v>
      </c>
      <c r="U1099" s="13">
        <v>45696</v>
      </c>
      <c r="V1099" s="9" t="s">
        <v>47</v>
      </c>
      <c r="W1099" s="9">
        <v>22770570</v>
      </c>
      <c r="X1099" s="9">
        <v>3311105</v>
      </c>
      <c r="Y1099" s="9">
        <v>69251403</v>
      </c>
      <c r="Z1099" s="9" t="s">
        <v>39</v>
      </c>
      <c r="AA1099" s="9">
        <v>83503556</v>
      </c>
      <c r="AB1099" s="9">
        <v>78070</v>
      </c>
      <c r="AC1099" s="9" t="s">
        <v>41</v>
      </c>
      <c r="AD1099" s="9" t="s">
        <v>132</v>
      </c>
      <c r="AE1099" s="9" t="s">
        <v>133</v>
      </c>
      <c r="AF1099" s="9" t="s">
        <v>133</v>
      </c>
      <c r="AG1099" s="14" t="str">
        <f t="shared" si="36"/>
        <v>EXAMENES DE LABORATORIO</v>
      </c>
      <c r="AH1099" s="9">
        <v>0</v>
      </c>
      <c r="AI1099" s="9">
        <v>0</v>
      </c>
      <c r="AJ1099" s="9">
        <v>96617350</v>
      </c>
      <c r="AK1099" s="9">
        <v>5</v>
      </c>
      <c r="AL1099" s="26" t="s">
        <v>52</v>
      </c>
      <c r="AM1099" s="14" t="s">
        <v>536</v>
      </c>
      <c r="AN1099" s="27" t="str">
        <f t="shared" si="37"/>
        <v>26246811|96617350|919209702|65384540</v>
      </c>
      <c r="AO1099" t="s">
        <v>44</v>
      </c>
      <c r="AP1099" t="b">
        <v>0</v>
      </c>
      <c r="AQ1099" t="s">
        <v>763</v>
      </c>
    </row>
    <row r="1100" spans="1:43" x14ac:dyDescent="0.2">
      <c r="A1100" s="14" t="s">
        <v>500</v>
      </c>
      <c r="B1100" s="17">
        <v>13937515</v>
      </c>
      <c r="C1100" s="14" t="s">
        <v>384</v>
      </c>
      <c r="D1100" s="9">
        <v>13937515</v>
      </c>
      <c r="E1100" s="9" t="s">
        <v>384</v>
      </c>
      <c r="F1100" s="7">
        <v>45689</v>
      </c>
      <c r="G1100" s="20" t="s">
        <v>36</v>
      </c>
      <c r="H1100" s="8">
        <v>919253655</v>
      </c>
      <c r="I1100" s="19">
        <v>919253655</v>
      </c>
      <c r="J1100" s="10">
        <v>95100</v>
      </c>
      <c r="K1100" s="10">
        <v>53495</v>
      </c>
      <c r="L1100" s="10">
        <v>41605</v>
      </c>
      <c r="M1100" s="10">
        <v>0</v>
      </c>
      <c r="N1100" s="11">
        <v>41605</v>
      </c>
      <c r="O1100" s="12">
        <v>919253655</v>
      </c>
      <c r="P1100" s="9">
        <v>285123</v>
      </c>
      <c r="Q1100" s="9" t="s">
        <v>37</v>
      </c>
      <c r="R1100" s="13">
        <v>45697</v>
      </c>
      <c r="S1100" s="22">
        <v>45697</v>
      </c>
      <c r="T1100" s="13">
        <v>45697</v>
      </c>
      <c r="U1100" s="13">
        <v>45697</v>
      </c>
      <c r="V1100" s="9" t="s">
        <v>47</v>
      </c>
      <c r="W1100" s="9">
        <v>22598310</v>
      </c>
      <c r="X1100" s="9">
        <v>2171709</v>
      </c>
      <c r="Y1100" s="9">
        <v>68875722</v>
      </c>
      <c r="Z1100" s="9" t="s">
        <v>39</v>
      </c>
      <c r="AA1100" s="9">
        <v>16022025</v>
      </c>
      <c r="AB1100" s="9">
        <v>77646</v>
      </c>
      <c r="AC1100" s="9" t="s">
        <v>41</v>
      </c>
      <c r="AD1100" s="9" t="s">
        <v>134</v>
      </c>
      <c r="AE1100" s="9" t="s">
        <v>135</v>
      </c>
      <c r="AF1100" s="9" t="s">
        <v>135</v>
      </c>
      <c r="AG1100" s="14" t="str">
        <f t="shared" si="36"/>
        <v>EXAMENES RADIOLOGICOS</v>
      </c>
      <c r="AH1100" s="9" t="s">
        <v>758</v>
      </c>
      <c r="AI1100" s="9">
        <v>0</v>
      </c>
      <c r="AJ1100" s="9">
        <v>76696200</v>
      </c>
      <c r="AK1100" s="9">
        <v>9</v>
      </c>
      <c r="AL1100" s="26" t="s">
        <v>62</v>
      </c>
      <c r="AM1100" s="14" t="s">
        <v>676</v>
      </c>
      <c r="AN1100" s="27" t="str">
        <f t="shared" si="37"/>
        <v>13937515|76696200|919253655|919253655</v>
      </c>
      <c r="AO1100" t="s">
        <v>758</v>
      </c>
      <c r="AP1100" t="b">
        <v>1</v>
      </c>
      <c r="AQ1100" t="s">
        <v>764</v>
      </c>
    </row>
    <row r="1101" spans="1:43" x14ac:dyDescent="0.2">
      <c r="A1101" s="14" t="s">
        <v>500</v>
      </c>
      <c r="B1101" s="17">
        <v>13937515</v>
      </c>
      <c r="C1101" s="14" t="s">
        <v>384</v>
      </c>
      <c r="D1101" s="9">
        <v>13937515</v>
      </c>
      <c r="E1101" s="9" t="s">
        <v>384</v>
      </c>
      <c r="F1101" s="7">
        <v>45717</v>
      </c>
      <c r="G1101" s="20" t="s">
        <v>46</v>
      </c>
      <c r="H1101" s="8">
        <v>919253655</v>
      </c>
      <c r="I1101" s="19">
        <v>65384165</v>
      </c>
      <c r="J1101" s="10">
        <v>32607</v>
      </c>
      <c r="K1101" s="10">
        <v>0</v>
      </c>
      <c r="L1101" s="10">
        <v>32607</v>
      </c>
      <c r="M1101" s="10">
        <v>0</v>
      </c>
      <c r="N1101" s="11">
        <v>32607</v>
      </c>
      <c r="O1101" s="12">
        <v>919253655</v>
      </c>
      <c r="P1101" s="9">
        <v>285123</v>
      </c>
      <c r="Q1101" s="9" t="s">
        <v>37</v>
      </c>
      <c r="R1101" s="13">
        <v>45717</v>
      </c>
      <c r="S1101" s="22">
        <v>45742</v>
      </c>
      <c r="T1101" s="13">
        <v>45697</v>
      </c>
      <c r="U1101" s="13">
        <v>45697</v>
      </c>
      <c r="V1101" s="9" t="s">
        <v>47</v>
      </c>
      <c r="W1101" s="9">
        <v>22770571</v>
      </c>
      <c r="X1101" s="9">
        <v>3311105</v>
      </c>
      <c r="Y1101" s="9">
        <v>69251045</v>
      </c>
      <c r="Z1101" s="9" t="s">
        <v>39</v>
      </c>
      <c r="AA1101" s="9">
        <v>61167282</v>
      </c>
      <c r="AB1101" s="9">
        <v>78070</v>
      </c>
      <c r="AC1101" s="9" t="s">
        <v>41</v>
      </c>
      <c r="AD1101" s="9" t="s">
        <v>134</v>
      </c>
      <c r="AE1101" s="9" t="s">
        <v>135</v>
      </c>
      <c r="AF1101" s="9" t="s">
        <v>135</v>
      </c>
      <c r="AG1101" s="14" t="str">
        <f t="shared" si="36"/>
        <v>EXAMENES RADIOLOGICOS</v>
      </c>
      <c r="AH1101" s="9">
        <v>0</v>
      </c>
      <c r="AI1101" s="9">
        <v>0</v>
      </c>
      <c r="AJ1101" s="9">
        <v>76696200</v>
      </c>
      <c r="AK1101" s="9">
        <v>9</v>
      </c>
      <c r="AL1101" s="26" t="s">
        <v>52</v>
      </c>
      <c r="AM1101" s="14" t="s">
        <v>676</v>
      </c>
      <c r="AN1101" s="27" t="str">
        <f t="shared" si="37"/>
        <v>13937515|76696200|919253655|65384165</v>
      </c>
      <c r="AO1101" t="s">
        <v>44</v>
      </c>
      <c r="AP1101" t="b">
        <v>0</v>
      </c>
      <c r="AQ1101" t="s">
        <v>763</v>
      </c>
    </row>
    <row r="1102" spans="1:43" x14ac:dyDescent="0.2">
      <c r="A1102" s="14" t="s">
        <v>500</v>
      </c>
      <c r="B1102" s="17">
        <v>10131449</v>
      </c>
      <c r="C1102" s="14" t="s">
        <v>415</v>
      </c>
      <c r="D1102" s="9">
        <v>11029567</v>
      </c>
      <c r="E1102" s="9" t="s">
        <v>416</v>
      </c>
      <c r="F1102" s="7">
        <v>45689</v>
      </c>
      <c r="G1102" s="20" t="s">
        <v>36</v>
      </c>
      <c r="H1102" s="8">
        <v>919354077</v>
      </c>
      <c r="I1102" s="19">
        <v>919354077</v>
      </c>
      <c r="J1102" s="10">
        <v>3440</v>
      </c>
      <c r="K1102" s="10">
        <v>1080</v>
      </c>
      <c r="L1102" s="10">
        <v>2360</v>
      </c>
      <c r="M1102" s="10">
        <v>0</v>
      </c>
      <c r="N1102" s="11">
        <v>2360</v>
      </c>
      <c r="O1102" s="12">
        <v>919354077</v>
      </c>
      <c r="P1102" s="9">
        <v>285123</v>
      </c>
      <c r="Q1102" s="9" t="s">
        <v>37</v>
      </c>
      <c r="R1102" s="13">
        <v>45698</v>
      </c>
      <c r="S1102" s="22">
        <v>45698</v>
      </c>
      <c r="T1102" s="13">
        <v>45698</v>
      </c>
      <c r="U1102" s="13">
        <v>45698</v>
      </c>
      <c r="V1102" s="9" t="s">
        <v>47</v>
      </c>
      <c r="W1102" s="9">
        <v>22598320</v>
      </c>
      <c r="X1102" s="9">
        <v>2171709</v>
      </c>
      <c r="Y1102" s="9">
        <v>68876166</v>
      </c>
      <c r="Z1102" s="9" t="s">
        <v>39</v>
      </c>
      <c r="AA1102" s="9">
        <v>16022025</v>
      </c>
      <c r="AB1102" s="9">
        <v>77646</v>
      </c>
      <c r="AC1102" s="9" t="s">
        <v>41</v>
      </c>
      <c r="AD1102" s="9" t="s">
        <v>132</v>
      </c>
      <c r="AE1102" s="9" t="s">
        <v>133</v>
      </c>
      <c r="AF1102" s="9" t="s">
        <v>133</v>
      </c>
      <c r="AG1102" s="14" t="str">
        <f t="shared" si="36"/>
        <v>EXAMENES DE LABORATORIO</v>
      </c>
      <c r="AH1102" s="9" t="s">
        <v>758</v>
      </c>
      <c r="AI1102" s="9">
        <v>0</v>
      </c>
      <c r="AJ1102" s="9">
        <v>70377400</v>
      </c>
      <c r="AK1102" s="9">
        <v>8</v>
      </c>
      <c r="AL1102" s="26" t="s">
        <v>62</v>
      </c>
      <c r="AM1102" s="14" t="s">
        <v>700</v>
      </c>
      <c r="AN1102" s="27" t="str">
        <f t="shared" si="37"/>
        <v>10131449|70377400|919354077|919354077</v>
      </c>
      <c r="AO1102" t="s">
        <v>758</v>
      </c>
      <c r="AP1102" t="b">
        <v>1</v>
      </c>
      <c r="AQ1102" t="s">
        <v>764</v>
      </c>
    </row>
    <row r="1103" spans="1:43" x14ac:dyDescent="0.2">
      <c r="A1103" s="14" t="s">
        <v>500</v>
      </c>
      <c r="B1103" s="17">
        <v>10131449</v>
      </c>
      <c r="C1103" s="14" t="s">
        <v>415</v>
      </c>
      <c r="D1103" s="9">
        <v>11029567</v>
      </c>
      <c r="E1103" s="9" t="s">
        <v>416</v>
      </c>
      <c r="F1103" s="7">
        <v>45717</v>
      </c>
      <c r="G1103" s="20" t="s">
        <v>46</v>
      </c>
      <c r="H1103" s="8">
        <v>919354077</v>
      </c>
      <c r="I1103" s="19">
        <v>65383802</v>
      </c>
      <c r="J1103" s="10">
        <v>1917</v>
      </c>
      <c r="K1103" s="10">
        <v>0</v>
      </c>
      <c r="L1103" s="10">
        <v>1917</v>
      </c>
      <c r="M1103" s="10">
        <v>0</v>
      </c>
      <c r="N1103" s="11">
        <v>1917</v>
      </c>
      <c r="O1103" s="12">
        <v>919354077</v>
      </c>
      <c r="P1103" s="9">
        <v>285123</v>
      </c>
      <c r="Q1103" s="9" t="s">
        <v>37</v>
      </c>
      <c r="R1103" s="13">
        <v>45717</v>
      </c>
      <c r="S1103" s="22">
        <v>45742</v>
      </c>
      <c r="T1103" s="13">
        <v>45698</v>
      </c>
      <c r="U1103" s="13">
        <v>45698</v>
      </c>
      <c r="V1103" s="9" t="s">
        <v>47</v>
      </c>
      <c r="W1103" s="9">
        <v>22770576</v>
      </c>
      <c r="X1103" s="9">
        <v>3311105</v>
      </c>
      <c r="Y1103" s="9">
        <v>69250691</v>
      </c>
      <c r="Z1103" s="9" t="s">
        <v>39</v>
      </c>
      <c r="AA1103" s="9">
        <v>3350003908</v>
      </c>
      <c r="AB1103" s="9">
        <v>78070</v>
      </c>
      <c r="AC1103" s="9" t="s">
        <v>41</v>
      </c>
      <c r="AD1103" s="9" t="s">
        <v>132</v>
      </c>
      <c r="AE1103" s="9" t="s">
        <v>133</v>
      </c>
      <c r="AF1103" s="9" t="s">
        <v>133</v>
      </c>
      <c r="AG1103" s="14" t="str">
        <f t="shared" si="36"/>
        <v>EXAMENES DE LABORATORIO</v>
      </c>
      <c r="AH1103" s="9">
        <v>0</v>
      </c>
      <c r="AI1103" s="9">
        <v>0</v>
      </c>
      <c r="AJ1103" s="9">
        <v>70377400</v>
      </c>
      <c r="AK1103" s="9">
        <v>8</v>
      </c>
      <c r="AL1103" s="26" t="s">
        <v>52</v>
      </c>
      <c r="AM1103" s="14" t="s">
        <v>700</v>
      </c>
      <c r="AN1103" s="27" t="str">
        <f t="shared" si="37"/>
        <v>10131449|70377400|919354077|65383802</v>
      </c>
      <c r="AO1103" t="s">
        <v>44</v>
      </c>
      <c r="AP1103" t="b">
        <v>0</v>
      </c>
      <c r="AQ1103" t="s">
        <v>763</v>
      </c>
    </row>
    <row r="1104" spans="1:43" x14ac:dyDescent="0.2">
      <c r="A1104" s="14" t="s">
        <v>500</v>
      </c>
      <c r="B1104" s="17">
        <v>10295620</v>
      </c>
      <c r="C1104" s="14" t="s">
        <v>383</v>
      </c>
      <c r="D1104" s="9">
        <v>10295620</v>
      </c>
      <c r="E1104" s="9" t="s">
        <v>383</v>
      </c>
      <c r="F1104" s="7">
        <v>45689</v>
      </c>
      <c r="G1104" s="20" t="s">
        <v>36</v>
      </c>
      <c r="H1104" s="8">
        <v>919378936</v>
      </c>
      <c r="I1104" s="19">
        <v>919378936</v>
      </c>
      <c r="J1104" s="10">
        <v>11500</v>
      </c>
      <c r="K1104" s="10">
        <v>3600</v>
      </c>
      <c r="L1104" s="10">
        <v>7900</v>
      </c>
      <c r="M1104" s="10">
        <v>0</v>
      </c>
      <c r="N1104" s="11">
        <v>7900</v>
      </c>
      <c r="O1104" s="12">
        <v>919378936</v>
      </c>
      <c r="P1104" s="9">
        <v>285123</v>
      </c>
      <c r="Q1104" s="9" t="s">
        <v>37</v>
      </c>
      <c r="R1104" s="13">
        <v>45698</v>
      </c>
      <c r="S1104" s="22">
        <v>45698</v>
      </c>
      <c r="T1104" s="13">
        <v>45698</v>
      </c>
      <c r="U1104" s="13">
        <v>45698</v>
      </c>
      <c r="V1104" s="9" t="s">
        <v>47</v>
      </c>
      <c r="W1104" s="9">
        <v>22598323</v>
      </c>
      <c r="X1104" s="9">
        <v>2171709</v>
      </c>
      <c r="Y1104" s="9">
        <v>68876274</v>
      </c>
      <c r="Z1104" s="9" t="s">
        <v>39</v>
      </c>
      <c r="AA1104" s="9">
        <v>16022025</v>
      </c>
      <c r="AB1104" s="9">
        <v>77646</v>
      </c>
      <c r="AC1104" s="9" t="s">
        <v>41</v>
      </c>
      <c r="AD1104" s="9" t="s">
        <v>65</v>
      </c>
      <c r="AE1104" s="9" t="s">
        <v>66</v>
      </c>
      <c r="AF1104" s="9" t="s">
        <v>66</v>
      </c>
      <c r="AG1104" s="14" t="str">
        <f t="shared" si="36"/>
        <v>PROCEDIMIENTOS TERAPEUTICOS</v>
      </c>
      <c r="AH1104" s="9" t="s">
        <v>758</v>
      </c>
      <c r="AI1104" s="9">
        <v>0</v>
      </c>
      <c r="AJ1104" s="9">
        <v>96942400</v>
      </c>
      <c r="AK1104" s="9">
        <v>2</v>
      </c>
      <c r="AL1104" s="26" t="s">
        <v>62</v>
      </c>
      <c r="AM1104" s="14" t="s">
        <v>675</v>
      </c>
      <c r="AN1104" s="27" t="str">
        <f t="shared" si="37"/>
        <v>10295620|96942400|919378936|919378936</v>
      </c>
      <c r="AO1104" t="s">
        <v>758</v>
      </c>
      <c r="AP1104" t="b">
        <v>1</v>
      </c>
      <c r="AQ1104" t="s">
        <v>764</v>
      </c>
    </row>
    <row r="1105" spans="1:43" x14ac:dyDescent="0.2">
      <c r="A1105" s="14" t="s">
        <v>500</v>
      </c>
      <c r="B1105" s="17">
        <v>10295620</v>
      </c>
      <c r="C1105" s="14" t="s">
        <v>383</v>
      </c>
      <c r="D1105" s="9">
        <v>10295620</v>
      </c>
      <c r="E1105" s="9" t="s">
        <v>383</v>
      </c>
      <c r="F1105" s="7">
        <v>45717</v>
      </c>
      <c r="G1105" s="20" t="s">
        <v>46</v>
      </c>
      <c r="H1105" s="8">
        <v>919378936</v>
      </c>
      <c r="I1105" s="19">
        <v>65383835</v>
      </c>
      <c r="J1105" s="10">
        <v>6905</v>
      </c>
      <c r="K1105" s="10">
        <v>0</v>
      </c>
      <c r="L1105" s="10">
        <v>6905</v>
      </c>
      <c r="M1105" s="10">
        <v>0</v>
      </c>
      <c r="N1105" s="11">
        <v>6905</v>
      </c>
      <c r="O1105" s="12">
        <v>919378936</v>
      </c>
      <c r="P1105" s="9">
        <v>285123</v>
      </c>
      <c r="Q1105" s="9" t="s">
        <v>37</v>
      </c>
      <c r="R1105" s="13">
        <v>45717</v>
      </c>
      <c r="S1105" s="22">
        <v>45742</v>
      </c>
      <c r="T1105" s="13">
        <v>45698</v>
      </c>
      <c r="U1105" s="13">
        <v>45698</v>
      </c>
      <c r="V1105" s="9" t="s">
        <v>47</v>
      </c>
      <c r="W1105" s="9">
        <v>22770578</v>
      </c>
      <c r="X1105" s="9">
        <v>3311105</v>
      </c>
      <c r="Y1105" s="9">
        <v>69250724</v>
      </c>
      <c r="Z1105" s="9" t="s">
        <v>39</v>
      </c>
      <c r="AA1105" s="9">
        <v>32190072443</v>
      </c>
      <c r="AB1105" s="9">
        <v>78070</v>
      </c>
      <c r="AC1105" s="9" t="s">
        <v>41</v>
      </c>
      <c r="AD1105" s="9" t="s">
        <v>65</v>
      </c>
      <c r="AE1105" s="9" t="s">
        <v>66</v>
      </c>
      <c r="AF1105" s="9" t="s">
        <v>66</v>
      </c>
      <c r="AG1105" s="14" t="str">
        <f t="shared" si="36"/>
        <v>PROCEDIMIENTOS TERAPEUTICOS</v>
      </c>
      <c r="AH1105" s="9">
        <v>0</v>
      </c>
      <c r="AI1105" s="9">
        <v>0</v>
      </c>
      <c r="AJ1105" s="9">
        <v>96942400</v>
      </c>
      <c r="AK1105" s="9">
        <v>2</v>
      </c>
      <c r="AL1105" s="26" t="s">
        <v>52</v>
      </c>
      <c r="AM1105" s="14" t="s">
        <v>675</v>
      </c>
      <c r="AN1105" s="27" t="str">
        <f t="shared" si="37"/>
        <v>10295620|96942400|919378936|65383835</v>
      </c>
      <c r="AO1105" t="s">
        <v>44</v>
      </c>
      <c r="AP1105" t="b">
        <v>0</v>
      </c>
      <c r="AQ1105" t="s">
        <v>763</v>
      </c>
    </row>
    <row r="1106" spans="1:43" x14ac:dyDescent="0.2">
      <c r="A1106" s="14" t="s">
        <v>500</v>
      </c>
      <c r="B1106" s="17">
        <v>21442073</v>
      </c>
      <c r="C1106" s="14" t="s">
        <v>232</v>
      </c>
      <c r="D1106" s="9">
        <v>21442073</v>
      </c>
      <c r="E1106" s="9" t="s">
        <v>232</v>
      </c>
      <c r="F1106" s="7">
        <v>45689</v>
      </c>
      <c r="G1106" s="20" t="s">
        <v>36</v>
      </c>
      <c r="H1106" s="8">
        <v>919394889</v>
      </c>
      <c r="I1106" s="19">
        <v>919394889</v>
      </c>
      <c r="J1106" s="10">
        <v>37700</v>
      </c>
      <c r="K1106" s="10">
        <v>17864</v>
      </c>
      <c r="L1106" s="10">
        <v>19836</v>
      </c>
      <c r="M1106" s="10">
        <v>0</v>
      </c>
      <c r="N1106" s="11">
        <v>19836</v>
      </c>
      <c r="O1106" s="12">
        <v>919394889</v>
      </c>
      <c r="P1106" s="9">
        <v>285123</v>
      </c>
      <c r="Q1106" s="9" t="s">
        <v>37</v>
      </c>
      <c r="R1106" s="13">
        <v>45699</v>
      </c>
      <c r="S1106" s="22">
        <v>45699</v>
      </c>
      <c r="T1106" s="13">
        <v>45699</v>
      </c>
      <c r="U1106" s="13">
        <v>45699</v>
      </c>
      <c r="V1106" s="9" t="s">
        <v>47</v>
      </c>
      <c r="W1106" s="9">
        <v>22598380</v>
      </c>
      <c r="X1106" s="9">
        <v>2171709</v>
      </c>
      <c r="Y1106" s="9">
        <v>68876390</v>
      </c>
      <c r="Z1106" s="9" t="s">
        <v>39</v>
      </c>
      <c r="AA1106" s="9">
        <v>16022025</v>
      </c>
      <c r="AB1106" s="9">
        <v>77646</v>
      </c>
      <c r="AC1106" s="9" t="s">
        <v>41</v>
      </c>
      <c r="AD1106" s="9" t="s">
        <v>65</v>
      </c>
      <c r="AE1106" s="9" t="s">
        <v>66</v>
      </c>
      <c r="AF1106" s="9" t="s">
        <v>66</v>
      </c>
      <c r="AG1106" s="14" t="str">
        <f t="shared" si="36"/>
        <v>PROCEDIMIENTOS TERAPEUTICOS</v>
      </c>
      <c r="AH1106" s="9" t="s">
        <v>758</v>
      </c>
      <c r="AI1106" s="9">
        <v>0</v>
      </c>
      <c r="AJ1106" s="9">
        <v>76098454</v>
      </c>
      <c r="AK1106" s="9" t="s">
        <v>161</v>
      </c>
      <c r="AL1106" s="26" t="s">
        <v>62</v>
      </c>
      <c r="AM1106" s="14" t="s">
        <v>572</v>
      </c>
      <c r="AN1106" s="27" t="str">
        <f t="shared" si="37"/>
        <v>21442073|76098454|919394889|919394889</v>
      </c>
      <c r="AO1106" t="s">
        <v>758</v>
      </c>
      <c r="AP1106" t="b">
        <v>1</v>
      </c>
      <c r="AQ1106" t="s">
        <v>764</v>
      </c>
    </row>
    <row r="1107" spans="1:43" x14ac:dyDescent="0.2">
      <c r="A1107" s="14" t="s">
        <v>500</v>
      </c>
      <c r="B1107" s="17">
        <v>21442073</v>
      </c>
      <c r="C1107" s="14" t="s">
        <v>232</v>
      </c>
      <c r="D1107" s="9">
        <v>21442073</v>
      </c>
      <c r="E1107" s="9" t="s">
        <v>232</v>
      </c>
      <c r="F1107" s="7">
        <v>45717</v>
      </c>
      <c r="G1107" s="20" t="s">
        <v>46</v>
      </c>
      <c r="H1107" s="8">
        <v>919394889</v>
      </c>
      <c r="I1107" s="19">
        <v>65384502</v>
      </c>
      <c r="J1107" s="10">
        <v>16508</v>
      </c>
      <c r="K1107" s="10">
        <v>0</v>
      </c>
      <c r="L1107" s="10">
        <v>16508</v>
      </c>
      <c r="M1107" s="10">
        <v>0</v>
      </c>
      <c r="N1107" s="11">
        <v>16508</v>
      </c>
      <c r="O1107" s="12">
        <v>919394889</v>
      </c>
      <c r="P1107" s="9">
        <v>285123</v>
      </c>
      <c r="Q1107" s="9" t="s">
        <v>37</v>
      </c>
      <c r="R1107" s="13">
        <v>45717</v>
      </c>
      <c r="S1107" s="22">
        <v>45742</v>
      </c>
      <c r="T1107" s="13">
        <v>45699</v>
      </c>
      <c r="U1107" s="13">
        <v>45699</v>
      </c>
      <c r="V1107" s="9" t="s">
        <v>47</v>
      </c>
      <c r="W1107" s="9">
        <v>22770595</v>
      </c>
      <c r="X1107" s="9">
        <v>3311105</v>
      </c>
      <c r="Y1107" s="9">
        <v>69251366</v>
      </c>
      <c r="Z1107" s="9" t="s">
        <v>39</v>
      </c>
      <c r="AA1107" s="9">
        <v>1713549343</v>
      </c>
      <c r="AB1107" s="9">
        <v>78070</v>
      </c>
      <c r="AC1107" s="9" t="s">
        <v>41</v>
      </c>
      <c r="AD1107" s="9" t="s">
        <v>65</v>
      </c>
      <c r="AE1107" s="9" t="s">
        <v>66</v>
      </c>
      <c r="AF1107" s="9" t="s">
        <v>66</v>
      </c>
      <c r="AG1107" s="14" t="str">
        <f t="shared" si="36"/>
        <v>PROCEDIMIENTOS TERAPEUTICOS</v>
      </c>
      <c r="AH1107" s="9">
        <v>0</v>
      </c>
      <c r="AI1107" s="9">
        <v>0</v>
      </c>
      <c r="AJ1107" s="9">
        <v>76098454</v>
      </c>
      <c r="AK1107" s="9" t="s">
        <v>161</v>
      </c>
      <c r="AL1107" s="26" t="s">
        <v>52</v>
      </c>
      <c r="AM1107" s="14" t="s">
        <v>572</v>
      </c>
      <c r="AN1107" s="27" t="str">
        <f t="shared" si="37"/>
        <v>21442073|76098454|919394889|65384502</v>
      </c>
      <c r="AO1107" t="s">
        <v>44</v>
      </c>
      <c r="AP1107" t="b">
        <v>0</v>
      </c>
      <c r="AQ1107" t="s">
        <v>763</v>
      </c>
    </row>
    <row r="1108" spans="1:43" x14ac:dyDescent="0.2">
      <c r="A1108" s="14" t="s">
        <v>500</v>
      </c>
      <c r="B1108" s="17">
        <v>10586495</v>
      </c>
      <c r="C1108" s="14" t="s">
        <v>401</v>
      </c>
      <c r="D1108" s="9">
        <v>10586495</v>
      </c>
      <c r="E1108" s="9" t="s">
        <v>401</v>
      </c>
      <c r="F1108" s="7">
        <v>45689</v>
      </c>
      <c r="G1108" s="20" t="s">
        <v>36</v>
      </c>
      <c r="H1108" s="8">
        <v>919427185</v>
      </c>
      <c r="I1108" s="19">
        <v>919427185</v>
      </c>
      <c r="J1108" s="10">
        <v>51590</v>
      </c>
      <c r="K1108" s="10">
        <v>29029</v>
      </c>
      <c r="L1108" s="10">
        <v>22561</v>
      </c>
      <c r="M1108" s="10">
        <v>0</v>
      </c>
      <c r="N1108" s="11">
        <v>22561</v>
      </c>
      <c r="O1108" s="12">
        <v>919427185</v>
      </c>
      <c r="P1108" s="9">
        <v>285123</v>
      </c>
      <c r="Q1108" s="9" t="s">
        <v>37</v>
      </c>
      <c r="R1108" s="13">
        <v>45699</v>
      </c>
      <c r="S1108" s="22">
        <v>45699</v>
      </c>
      <c r="T1108" s="13">
        <v>45699</v>
      </c>
      <c r="U1108" s="13">
        <v>45699</v>
      </c>
      <c r="V1108" s="9" t="s">
        <v>47</v>
      </c>
      <c r="W1108" s="9">
        <v>22598354</v>
      </c>
      <c r="X1108" s="9">
        <v>2171709</v>
      </c>
      <c r="Y1108" s="9">
        <v>68876580</v>
      </c>
      <c r="Z1108" s="9" t="s">
        <v>39</v>
      </c>
      <c r="AA1108" s="9">
        <v>16022025</v>
      </c>
      <c r="AB1108" s="9">
        <v>77646</v>
      </c>
      <c r="AC1108" s="9" t="s">
        <v>41</v>
      </c>
      <c r="AD1108" s="9" t="s">
        <v>132</v>
      </c>
      <c r="AE1108" s="9" t="s">
        <v>133</v>
      </c>
      <c r="AF1108" s="9" t="s">
        <v>133</v>
      </c>
      <c r="AG1108" s="14" t="str">
        <f t="shared" si="36"/>
        <v>EXAMENES DE LABORATORIO</v>
      </c>
      <c r="AH1108" s="9" t="s">
        <v>758</v>
      </c>
      <c r="AI1108" s="9">
        <v>0</v>
      </c>
      <c r="AJ1108" s="9">
        <v>96942400</v>
      </c>
      <c r="AK1108" s="9">
        <v>2</v>
      </c>
      <c r="AL1108" s="26" t="s">
        <v>62</v>
      </c>
      <c r="AM1108" s="14" t="s">
        <v>689</v>
      </c>
      <c r="AN1108" s="27" t="str">
        <f t="shared" si="37"/>
        <v>10586495|96942400|919427185|919427185</v>
      </c>
      <c r="AO1108" t="s">
        <v>758</v>
      </c>
      <c r="AP1108" t="b">
        <v>1</v>
      </c>
      <c r="AQ1108" t="s">
        <v>764</v>
      </c>
    </row>
    <row r="1109" spans="1:43" x14ac:dyDescent="0.2">
      <c r="A1109" s="14" t="s">
        <v>500</v>
      </c>
      <c r="B1109" s="17">
        <v>10586495</v>
      </c>
      <c r="C1109" s="14" t="s">
        <v>401</v>
      </c>
      <c r="D1109" s="9">
        <v>10586495</v>
      </c>
      <c r="E1109" s="9" t="s">
        <v>401</v>
      </c>
      <c r="F1109" s="7">
        <v>45717</v>
      </c>
      <c r="G1109" s="20" t="s">
        <v>46</v>
      </c>
      <c r="H1109" s="8">
        <v>919427185</v>
      </c>
      <c r="I1109" s="19">
        <v>65383871</v>
      </c>
      <c r="J1109" s="10">
        <v>18810</v>
      </c>
      <c r="K1109" s="10">
        <v>0</v>
      </c>
      <c r="L1109" s="10">
        <v>18810</v>
      </c>
      <c r="M1109" s="10">
        <v>0</v>
      </c>
      <c r="N1109" s="11">
        <v>18810</v>
      </c>
      <c r="O1109" s="12">
        <v>919427185</v>
      </c>
      <c r="P1109" s="9">
        <v>285123</v>
      </c>
      <c r="Q1109" s="9" t="s">
        <v>37</v>
      </c>
      <c r="R1109" s="13">
        <v>45717</v>
      </c>
      <c r="S1109" s="22">
        <v>45742</v>
      </c>
      <c r="T1109" s="13">
        <v>45699</v>
      </c>
      <c r="U1109" s="13">
        <v>45699</v>
      </c>
      <c r="V1109" s="9" t="s">
        <v>47</v>
      </c>
      <c r="W1109" s="9">
        <v>22770587</v>
      </c>
      <c r="X1109" s="9">
        <v>3311105</v>
      </c>
      <c r="Y1109" s="9">
        <v>69250760</v>
      </c>
      <c r="Z1109" s="9" t="s">
        <v>39</v>
      </c>
      <c r="AA1109" s="9">
        <v>50964119</v>
      </c>
      <c r="AB1109" s="9">
        <v>78070</v>
      </c>
      <c r="AC1109" s="9" t="s">
        <v>41</v>
      </c>
      <c r="AD1109" s="9" t="s">
        <v>132</v>
      </c>
      <c r="AE1109" s="9" t="s">
        <v>133</v>
      </c>
      <c r="AF1109" s="9" t="s">
        <v>133</v>
      </c>
      <c r="AG1109" s="14" t="str">
        <f t="shared" ref="AG1109:AG1172" si="38">+AF1109</f>
        <v>EXAMENES DE LABORATORIO</v>
      </c>
      <c r="AH1109" s="9">
        <v>0</v>
      </c>
      <c r="AI1109" s="9">
        <v>0</v>
      </c>
      <c r="AJ1109" s="9">
        <v>96942400</v>
      </c>
      <c r="AK1109" s="9">
        <v>2</v>
      </c>
      <c r="AL1109" s="26" t="s">
        <v>52</v>
      </c>
      <c r="AM1109" s="14" t="s">
        <v>689</v>
      </c>
      <c r="AN1109" s="27" t="str">
        <f t="shared" si="37"/>
        <v>10586495|96942400|919427185|65383871</v>
      </c>
      <c r="AO1109" t="s">
        <v>44</v>
      </c>
      <c r="AP1109" t="b">
        <v>0</v>
      </c>
      <c r="AQ1109" t="s">
        <v>763</v>
      </c>
    </row>
    <row r="1110" spans="1:43" x14ac:dyDescent="0.2">
      <c r="A1110" s="14" t="s">
        <v>500</v>
      </c>
      <c r="B1110" s="17">
        <v>10586495</v>
      </c>
      <c r="C1110" s="14" t="s">
        <v>401</v>
      </c>
      <c r="D1110" s="9">
        <v>10586495</v>
      </c>
      <c r="E1110" s="9" t="s">
        <v>401</v>
      </c>
      <c r="F1110" s="7">
        <v>45689</v>
      </c>
      <c r="G1110" s="20" t="s">
        <v>36</v>
      </c>
      <c r="H1110" s="8">
        <v>919427186</v>
      </c>
      <c r="I1110" s="19">
        <v>919427186</v>
      </c>
      <c r="J1110" s="10">
        <v>26470</v>
      </c>
      <c r="K1110" s="10">
        <v>14908</v>
      </c>
      <c r="L1110" s="10">
        <v>11562</v>
      </c>
      <c r="M1110" s="10">
        <v>0</v>
      </c>
      <c r="N1110" s="11">
        <v>11562</v>
      </c>
      <c r="O1110" s="12">
        <v>919427186</v>
      </c>
      <c r="P1110" s="9">
        <v>285123</v>
      </c>
      <c r="Q1110" s="9" t="s">
        <v>37</v>
      </c>
      <c r="R1110" s="13">
        <v>45699</v>
      </c>
      <c r="S1110" s="22">
        <v>45699</v>
      </c>
      <c r="T1110" s="13">
        <v>45699</v>
      </c>
      <c r="U1110" s="13">
        <v>45699</v>
      </c>
      <c r="V1110" s="9" t="s">
        <v>47</v>
      </c>
      <c r="W1110" s="9">
        <v>22598354</v>
      </c>
      <c r="X1110" s="9">
        <v>2171709</v>
      </c>
      <c r="Y1110" s="9">
        <v>68876579</v>
      </c>
      <c r="Z1110" s="9" t="s">
        <v>39</v>
      </c>
      <c r="AA1110" s="9">
        <v>16022025</v>
      </c>
      <c r="AB1110" s="9">
        <v>77646</v>
      </c>
      <c r="AC1110" s="9" t="s">
        <v>41</v>
      </c>
      <c r="AD1110" s="9" t="s">
        <v>132</v>
      </c>
      <c r="AE1110" s="9" t="s">
        <v>133</v>
      </c>
      <c r="AF1110" s="9" t="s">
        <v>133</v>
      </c>
      <c r="AG1110" s="14" t="str">
        <f t="shared" si="38"/>
        <v>EXAMENES DE LABORATORIO</v>
      </c>
      <c r="AH1110" s="9" t="s">
        <v>758</v>
      </c>
      <c r="AI1110" s="9">
        <v>0</v>
      </c>
      <c r="AJ1110" s="9">
        <v>96942400</v>
      </c>
      <c r="AK1110" s="9">
        <v>2</v>
      </c>
      <c r="AL1110" s="26" t="s">
        <v>62</v>
      </c>
      <c r="AM1110" s="14" t="s">
        <v>689</v>
      </c>
      <c r="AN1110" s="27" t="str">
        <f t="shared" si="37"/>
        <v>10586495|96942400|919427186|919427186</v>
      </c>
      <c r="AO1110" t="s">
        <v>758</v>
      </c>
      <c r="AP1110" t="b">
        <v>1</v>
      </c>
      <c r="AQ1110" t="s">
        <v>764</v>
      </c>
    </row>
    <row r="1111" spans="1:43" x14ac:dyDescent="0.2">
      <c r="A1111" s="14" t="s">
        <v>500</v>
      </c>
      <c r="B1111" s="17">
        <v>10586495</v>
      </c>
      <c r="C1111" s="14" t="s">
        <v>401</v>
      </c>
      <c r="D1111" s="9">
        <v>10586495</v>
      </c>
      <c r="E1111" s="9" t="s">
        <v>401</v>
      </c>
      <c r="F1111" s="7">
        <v>45717</v>
      </c>
      <c r="G1111" s="20" t="s">
        <v>46</v>
      </c>
      <c r="H1111" s="8">
        <v>919427186</v>
      </c>
      <c r="I1111" s="19">
        <v>65383872</v>
      </c>
      <c r="J1111" s="10">
        <v>9211</v>
      </c>
      <c r="K1111" s="10">
        <v>0</v>
      </c>
      <c r="L1111" s="10">
        <v>9211</v>
      </c>
      <c r="M1111" s="10">
        <v>0</v>
      </c>
      <c r="N1111" s="11">
        <v>9211</v>
      </c>
      <c r="O1111" s="12">
        <v>919427186</v>
      </c>
      <c r="P1111" s="9">
        <v>285123</v>
      </c>
      <c r="Q1111" s="9" t="s">
        <v>37</v>
      </c>
      <c r="R1111" s="13">
        <v>45717</v>
      </c>
      <c r="S1111" s="22">
        <v>45742</v>
      </c>
      <c r="T1111" s="13">
        <v>45699</v>
      </c>
      <c r="U1111" s="13">
        <v>45699</v>
      </c>
      <c r="V1111" s="9" t="s">
        <v>47</v>
      </c>
      <c r="W1111" s="9">
        <v>22770587</v>
      </c>
      <c r="X1111" s="9">
        <v>3311105</v>
      </c>
      <c r="Y1111" s="9">
        <v>69250761</v>
      </c>
      <c r="Z1111" s="9" t="s">
        <v>39</v>
      </c>
      <c r="AA1111" s="9">
        <v>50964119</v>
      </c>
      <c r="AB1111" s="9">
        <v>78070</v>
      </c>
      <c r="AC1111" s="9" t="s">
        <v>41</v>
      </c>
      <c r="AD1111" s="9" t="s">
        <v>132</v>
      </c>
      <c r="AE1111" s="9" t="s">
        <v>133</v>
      </c>
      <c r="AF1111" s="9" t="s">
        <v>133</v>
      </c>
      <c r="AG1111" s="14" t="str">
        <f t="shared" si="38"/>
        <v>EXAMENES DE LABORATORIO</v>
      </c>
      <c r="AH1111" s="9">
        <v>0</v>
      </c>
      <c r="AI1111" s="9">
        <v>0</v>
      </c>
      <c r="AJ1111" s="9">
        <v>96942400</v>
      </c>
      <c r="AK1111" s="9">
        <v>2</v>
      </c>
      <c r="AL1111" s="26" t="s">
        <v>52</v>
      </c>
      <c r="AM1111" s="14" t="s">
        <v>689</v>
      </c>
      <c r="AN1111" s="27" t="str">
        <f t="shared" si="37"/>
        <v>10586495|96942400|919427186|65383872</v>
      </c>
      <c r="AO1111" t="s">
        <v>44</v>
      </c>
      <c r="AP1111" t="b">
        <v>0</v>
      </c>
      <c r="AQ1111" t="s">
        <v>763</v>
      </c>
    </row>
    <row r="1112" spans="1:43" x14ac:dyDescent="0.2">
      <c r="A1112" s="14" t="s">
        <v>500</v>
      </c>
      <c r="B1112" s="17">
        <v>10586495</v>
      </c>
      <c r="C1112" s="14" t="s">
        <v>401</v>
      </c>
      <c r="D1112" s="9">
        <v>10586495</v>
      </c>
      <c r="E1112" s="9" t="s">
        <v>401</v>
      </c>
      <c r="F1112" s="7">
        <v>45689</v>
      </c>
      <c r="G1112" s="20" t="s">
        <v>36</v>
      </c>
      <c r="H1112" s="8">
        <v>919427187</v>
      </c>
      <c r="I1112" s="19">
        <v>919427187</v>
      </c>
      <c r="J1112" s="10">
        <v>20530</v>
      </c>
      <c r="K1112" s="10">
        <v>11553</v>
      </c>
      <c r="L1112" s="10">
        <v>8977</v>
      </c>
      <c r="M1112" s="10">
        <v>0</v>
      </c>
      <c r="N1112" s="11">
        <v>8977</v>
      </c>
      <c r="O1112" s="12">
        <v>919427187</v>
      </c>
      <c r="P1112" s="9">
        <v>285123</v>
      </c>
      <c r="Q1112" s="9" t="s">
        <v>37</v>
      </c>
      <c r="R1112" s="13">
        <v>45699</v>
      </c>
      <c r="S1112" s="22">
        <v>45699</v>
      </c>
      <c r="T1112" s="13">
        <v>45699</v>
      </c>
      <c r="U1112" s="13">
        <v>45699</v>
      </c>
      <c r="V1112" s="9" t="s">
        <v>47</v>
      </c>
      <c r="W1112" s="9">
        <v>22598354</v>
      </c>
      <c r="X1112" s="9">
        <v>2171709</v>
      </c>
      <c r="Y1112" s="9">
        <v>68876578</v>
      </c>
      <c r="Z1112" s="9" t="s">
        <v>39</v>
      </c>
      <c r="AA1112" s="9">
        <v>16022025</v>
      </c>
      <c r="AB1112" s="9">
        <v>77646</v>
      </c>
      <c r="AC1112" s="9" t="s">
        <v>41</v>
      </c>
      <c r="AD1112" s="9" t="s">
        <v>132</v>
      </c>
      <c r="AE1112" s="9" t="s">
        <v>133</v>
      </c>
      <c r="AF1112" s="9" t="s">
        <v>133</v>
      </c>
      <c r="AG1112" s="14" t="str">
        <f t="shared" si="38"/>
        <v>EXAMENES DE LABORATORIO</v>
      </c>
      <c r="AH1112" s="9" t="s">
        <v>758</v>
      </c>
      <c r="AI1112" s="9">
        <v>0</v>
      </c>
      <c r="AJ1112" s="9">
        <v>96942400</v>
      </c>
      <c r="AK1112" s="9">
        <v>2</v>
      </c>
      <c r="AL1112" s="26" t="s">
        <v>62</v>
      </c>
      <c r="AM1112" s="14" t="s">
        <v>689</v>
      </c>
      <c r="AN1112" s="27" t="str">
        <f t="shared" si="37"/>
        <v>10586495|96942400|919427187|919427187</v>
      </c>
      <c r="AO1112" t="s">
        <v>758</v>
      </c>
      <c r="AP1112" t="b">
        <v>1</v>
      </c>
      <c r="AQ1112" t="s">
        <v>764</v>
      </c>
    </row>
    <row r="1113" spans="1:43" x14ac:dyDescent="0.2">
      <c r="A1113" s="14" t="s">
        <v>500</v>
      </c>
      <c r="B1113" s="17">
        <v>10586495</v>
      </c>
      <c r="C1113" s="14" t="s">
        <v>401</v>
      </c>
      <c r="D1113" s="9">
        <v>10586495</v>
      </c>
      <c r="E1113" s="9" t="s">
        <v>401</v>
      </c>
      <c r="F1113" s="7">
        <v>45717</v>
      </c>
      <c r="G1113" s="20" t="s">
        <v>46</v>
      </c>
      <c r="H1113" s="8">
        <v>919427187</v>
      </c>
      <c r="I1113" s="19">
        <v>65383873</v>
      </c>
      <c r="J1113" s="10">
        <v>7293</v>
      </c>
      <c r="K1113" s="10">
        <v>0</v>
      </c>
      <c r="L1113" s="10">
        <v>7293</v>
      </c>
      <c r="M1113" s="10">
        <v>0</v>
      </c>
      <c r="N1113" s="11">
        <v>7293</v>
      </c>
      <c r="O1113" s="12">
        <v>919427187</v>
      </c>
      <c r="P1113" s="9">
        <v>285123</v>
      </c>
      <c r="Q1113" s="9" t="s">
        <v>37</v>
      </c>
      <c r="R1113" s="13">
        <v>45717</v>
      </c>
      <c r="S1113" s="22">
        <v>45742</v>
      </c>
      <c r="T1113" s="13">
        <v>45699</v>
      </c>
      <c r="U1113" s="13">
        <v>45699</v>
      </c>
      <c r="V1113" s="9" t="s">
        <v>47</v>
      </c>
      <c r="W1113" s="9">
        <v>22770587</v>
      </c>
      <c r="X1113" s="9">
        <v>3311105</v>
      </c>
      <c r="Y1113" s="9">
        <v>69250762</v>
      </c>
      <c r="Z1113" s="9" t="s">
        <v>39</v>
      </c>
      <c r="AA1113" s="9">
        <v>50964119</v>
      </c>
      <c r="AB1113" s="9">
        <v>78070</v>
      </c>
      <c r="AC1113" s="9" t="s">
        <v>41</v>
      </c>
      <c r="AD1113" s="9" t="s">
        <v>132</v>
      </c>
      <c r="AE1113" s="9" t="s">
        <v>133</v>
      </c>
      <c r="AF1113" s="9" t="s">
        <v>133</v>
      </c>
      <c r="AG1113" s="14" t="str">
        <f t="shared" si="38"/>
        <v>EXAMENES DE LABORATORIO</v>
      </c>
      <c r="AH1113" s="9">
        <v>0</v>
      </c>
      <c r="AI1113" s="9">
        <v>0</v>
      </c>
      <c r="AJ1113" s="9">
        <v>96942400</v>
      </c>
      <c r="AK1113" s="9">
        <v>2</v>
      </c>
      <c r="AL1113" s="26" t="s">
        <v>52</v>
      </c>
      <c r="AM1113" s="14" t="s">
        <v>689</v>
      </c>
      <c r="AN1113" s="27" t="str">
        <f t="shared" si="37"/>
        <v>10586495|96942400|919427187|65383873</v>
      </c>
      <c r="AO1113" t="s">
        <v>44</v>
      </c>
      <c r="AP1113" t="b">
        <v>0</v>
      </c>
      <c r="AQ1113" t="s">
        <v>763</v>
      </c>
    </row>
    <row r="1114" spans="1:43" x14ac:dyDescent="0.2">
      <c r="A1114" s="14" t="s">
        <v>500</v>
      </c>
      <c r="B1114" s="17">
        <v>10586495</v>
      </c>
      <c r="C1114" s="14" t="s">
        <v>401</v>
      </c>
      <c r="D1114" s="9">
        <v>10586495</v>
      </c>
      <c r="E1114" s="9" t="s">
        <v>401</v>
      </c>
      <c r="F1114" s="7">
        <v>45689</v>
      </c>
      <c r="G1114" s="20" t="s">
        <v>36</v>
      </c>
      <c r="H1114" s="8">
        <v>919428118</v>
      </c>
      <c r="I1114" s="19">
        <v>919428118</v>
      </c>
      <c r="J1114" s="10">
        <v>7010</v>
      </c>
      <c r="K1114" s="10">
        <v>5260</v>
      </c>
      <c r="L1114" s="10">
        <v>1750</v>
      </c>
      <c r="M1114" s="10">
        <v>0</v>
      </c>
      <c r="N1114" s="11">
        <v>1750</v>
      </c>
      <c r="O1114" s="12">
        <v>919428118</v>
      </c>
      <c r="P1114" s="9">
        <v>285123</v>
      </c>
      <c r="Q1114" s="9" t="s">
        <v>37</v>
      </c>
      <c r="R1114" s="13">
        <v>45699</v>
      </c>
      <c r="S1114" s="22">
        <v>45699</v>
      </c>
      <c r="T1114" s="13">
        <v>45699</v>
      </c>
      <c r="U1114" s="13">
        <v>45699</v>
      </c>
      <c r="V1114" s="9" t="s">
        <v>47</v>
      </c>
      <c r="W1114" s="9">
        <v>22598354</v>
      </c>
      <c r="X1114" s="9">
        <v>2171709</v>
      </c>
      <c r="Y1114" s="9">
        <v>68876589</v>
      </c>
      <c r="Z1114" s="9" t="s">
        <v>39</v>
      </c>
      <c r="AA1114" s="9">
        <v>16022025</v>
      </c>
      <c r="AB1114" s="9">
        <v>77646</v>
      </c>
      <c r="AC1114" s="9" t="s">
        <v>41</v>
      </c>
      <c r="AD1114" s="9" t="s">
        <v>132</v>
      </c>
      <c r="AE1114" s="9" t="s">
        <v>133</v>
      </c>
      <c r="AF1114" s="9" t="s">
        <v>133</v>
      </c>
      <c r="AG1114" s="14" t="str">
        <f t="shared" si="38"/>
        <v>EXAMENES DE LABORATORIO</v>
      </c>
      <c r="AH1114" s="9" t="s">
        <v>758</v>
      </c>
      <c r="AI1114" s="9">
        <v>0</v>
      </c>
      <c r="AJ1114" s="9">
        <v>96942400</v>
      </c>
      <c r="AK1114" s="9">
        <v>2</v>
      </c>
      <c r="AL1114" s="26" t="s">
        <v>62</v>
      </c>
      <c r="AM1114" s="14" t="s">
        <v>689</v>
      </c>
      <c r="AN1114" s="27" t="str">
        <f t="shared" si="37"/>
        <v>10586495|96942400|919428118|919428118</v>
      </c>
      <c r="AO1114" t="s">
        <v>758</v>
      </c>
      <c r="AP1114" t="b">
        <v>1</v>
      </c>
      <c r="AQ1114" t="s">
        <v>764</v>
      </c>
    </row>
    <row r="1115" spans="1:43" x14ac:dyDescent="0.2">
      <c r="A1115" s="14" t="s">
        <v>500</v>
      </c>
      <c r="B1115" s="17">
        <v>10586495</v>
      </c>
      <c r="C1115" s="14" t="s">
        <v>401</v>
      </c>
      <c r="D1115" s="9">
        <v>10586495</v>
      </c>
      <c r="E1115" s="9" t="s">
        <v>401</v>
      </c>
      <c r="F1115" s="7">
        <v>45717</v>
      </c>
      <c r="G1115" s="20" t="s">
        <v>46</v>
      </c>
      <c r="H1115" s="8">
        <v>919428118</v>
      </c>
      <c r="I1115" s="19">
        <v>65383874</v>
      </c>
      <c r="J1115" s="10">
        <v>1535</v>
      </c>
      <c r="K1115" s="10">
        <v>0</v>
      </c>
      <c r="L1115" s="10">
        <v>1535</v>
      </c>
      <c r="M1115" s="10">
        <v>0</v>
      </c>
      <c r="N1115" s="11">
        <v>1535</v>
      </c>
      <c r="O1115" s="12">
        <v>919428118</v>
      </c>
      <c r="P1115" s="9">
        <v>285123</v>
      </c>
      <c r="Q1115" s="9" t="s">
        <v>37</v>
      </c>
      <c r="R1115" s="13">
        <v>45717</v>
      </c>
      <c r="S1115" s="22">
        <v>45742</v>
      </c>
      <c r="T1115" s="13">
        <v>45699</v>
      </c>
      <c r="U1115" s="13">
        <v>45699</v>
      </c>
      <c r="V1115" s="9" t="s">
        <v>47</v>
      </c>
      <c r="W1115" s="9">
        <v>22770587</v>
      </c>
      <c r="X1115" s="9">
        <v>3311105</v>
      </c>
      <c r="Y1115" s="9">
        <v>69250763</v>
      </c>
      <c r="Z1115" s="9" t="s">
        <v>39</v>
      </c>
      <c r="AA1115" s="9">
        <v>50964119</v>
      </c>
      <c r="AB1115" s="9">
        <v>78070</v>
      </c>
      <c r="AC1115" s="9" t="s">
        <v>41</v>
      </c>
      <c r="AD1115" s="9" t="s">
        <v>132</v>
      </c>
      <c r="AE1115" s="9" t="s">
        <v>133</v>
      </c>
      <c r="AF1115" s="9" t="s">
        <v>133</v>
      </c>
      <c r="AG1115" s="14" t="str">
        <f t="shared" si="38"/>
        <v>EXAMENES DE LABORATORIO</v>
      </c>
      <c r="AH1115" s="9">
        <v>0</v>
      </c>
      <c r="AI1115" s="9">
        <v>0</v>
      </c>
      <c r="AJ1115" s="9">
        <v>96942400</v>
      </c>
      <c r="AK1115" s="9">
        <v>2</v>
      </c>
      <c r="AL1115" s="26" t="s">
        <v>52</v>
      </c>
      <c r="AM1115" s="14" t="s">
        <v>689</v>
      </c>
      <c r="AN1115" s="27" t="str">
        <f t="shared" si="37"/>
        <v>10586495|96942400|919428118|65383874</v>
      </c>
      <c r="AO1115" t="s">
        <v>44</v>
      </c>
      <c r="AP1115" t="b">
        <v>0</v>
      </c>
      <c r="AQ1115" t="s">
        <v>763</v>
      </c>
    </row>
    <row r="1116" spans="1:43" x14ac:dyDescent="0.2">
      <c r="A1116" s="14" t="s">
        <v>500</v>
      </c>
      <c r="B1116" s="17">
        <v>10490905</v>
      </c>
      <c r="C1116" s="14" t="s">
        <v>417</v>
      </c>
      <c r="D1116" s="9">
        <v>10490905</v>
      </c>
      <c r="E1116" s="9" t="s">
        <v>417</v>
      </c>
      <c r="F1116" s="7">
        <v>45689</v>
      </c>
      <c r="G1116" s="20" t="s">
        <v>36</v>
      </c>
      <c r="H1116" s="8">
        <v>919478590</v>
      </c>
      <c r="I1116" s="19">
        <v>919478590</v>
      </c>
      <c r="J1116" s="10">
        <v>46030</v>
      </c>
      <c r="K1116" s="10">
        <v>14910</v>
      </c>
      <c r="L1116" s="10">
        <v>31120</v>
      </c>
      <c r="M1116" s="10">
        <v>0</v>
      </c>
      <c r="N1116" s="11">
        <v>31120</v>
      </c>
      <c r="O1116" s="12">
        <v>919478590</v>
      </c>
      <c r="P1116" s="9">
        <v>285123</v>
      </c>
      <c r="Q1116" s="9" t="s">
        <v>37</v>
      </c>
      <c r="R1116" s="13">
        <v>45699</v>
      </c>
      <c r="S1116" s="22">
        <v>45699</v>
      </c>
      <c r="T1116" s="13">
        <v>45699</v>
      </c>
      <c r="U1116" s="13">
        <v>45699</v>
      </c>
      <c r="V1116" s="9" t="s">
        <v>47</v>
      </c>
      <c r="W1116" s="9">
        <v>22598352</v>
      </c>
      <c r="X1116" s="9">
        <v>2171709</v>
      </c>
      <c r="Y1116" s="9">
        <v>68876795</v>
      </c>
      <c r="Z1116" s="9" t="s">
        <v>39</v>
      </c>
      <c r="AA1116" s="9">
        <v>16022025</v>
      </c>
      <c r="AB1116" s="9">
        <v>77646</v>
      </c>
      <c r="AC1116" s="9" t="s">
        <v>41</v>
      </c>
      <c r="AD1116" s="9" t="s">
        <v>132</v>
      </c>
      <c r="AE1116" s="9" t="s">
        <v>133</v>
      </c>
      <c r="AF1116" s="9" t="s">
        <v>133</v>
      </c>
      <c r="AG1116" s="14" t="str">
        <f t="shared" si="38"/>
        <v>EXAMENES DE LABORATORIO</v>
      </c>
      <c r="AH1116" s="9" t="s">
        <v>758</v>
      </c>
      <c r="AI1116" s="9">
        <v>0</v>
      </c>
      <c r="AJ1116" s="9">
        <v>96942400</v>
      </c>
      <c r="AK1116" s="9">
        <v>2</v>
      </c>
      <c r="AL1116" s="26" t="s">
        <v>62</v>
      </c>
      <c r="AM1116" s="14" t="s">
        <v>701</v>
      </c>
      <c r="AN1116" s="27" t="str">
        <f t="shared" si="37"/>
        <v>10490905|96942400|919478590|919478590</v>
      </c>
      <c r="AO1116" t="s">
        <v>758</v>
      </c>
      <c r="AP1116" t="b">
        <v>1</v>
      </c>
      <c r="AQ1116" t="s">
        <v>764</v>
      </c>
    </row>
    <row r="1117" spans="1:43" x14ac:dyDescent="0.2">
      <c r="A1117" s="14" t="s">
        <v>500</v>
      </c>
      <c r="B1117" s="17">
        <v>10490905</v>
      </c>
      <c r="C1117" s="14" t="s">
        <v>417</v>
      </c>
      <c r="D1117" s="9">
        <v>10490905</v>
      </c>
      <c r="E1117" s="9" t="s">
        <v>417</v>
      </c>
      <c r="F1117" s="7">
        <v>45717</v>
      </c>
      <c r="G1117" s="20" t="s">
        <v>46</v>
      </c>
      <c r="H1117" s="8">
        <v>919478590</v>
      </c>
      <c r="I1117" s="19">
        <v>65383856</v>
      </c>
      <c r="J1117" s="10">
        <v>26872</v>
      </c>
      <c r="K1117" s="10">
        <v>0</v>
      </c>
      <c r="L1117" s="10">
        <v>26872</v>
      </c>
      <c r="M1117" s="10">
        <v>0</v>
      </c>
      <c r="N1117" s="11">
        <v>26872</v>
      </c>
      <c r="O1117" s="12">
        <v>919478590</v>
      </c>
      <c r="P1117" s="9">
        <v>285123</v>
      </c>
      <c r="Q1117" s="9" t="s">
        <v>37</v>
      </c>
      <c r="R1117" s="13">
        <v>45717</v>
      </c>
      <c r="S1117" s="22">
        <v>45742</v>
      </c>
      <c r="T1117" s="13">
        <v>45699</v>
      </c>
      <c r="U1117" s="13">
        <v>45699</v>
      </c>
      <c r="V1117" s="9" t="s">
        <v>47</v>
      </c>
      <c r="W1117" s="9">
        <v>22770585</v>
      </c>
      <c r="X1117" s="9">
        <v>3311105</v>
      </c>
      <c r="Y1117" s="9">
        <v>69250745</v>
      </c>
      <c r="Z1117" s="9" t="s">
        <v>39</v>
      </c>
      <c r="AA1117" s="9">
        <v>10490905</v>
      </c>
      <c r="AB1117" s="9">
        <v>78070</v>
      </c>
      <c r="AC1117" s="9" t="s">
        <v>41</v>
      </c>
      <c r="AD1117" s="9" t="s">
        <v>132</v>
      </c>
      <c r="AE1117" s="9" t="s">
        <v>133</v>
      </c>
      <c r="AF1117" s="9" t="s">
        <v>133</v>
      </c>
      <c r="AG1117" s="14" t="str">
        <f t="shared" si="38"/>
        <v>EXAMENES DE LABORATORIO</v>
      </c>
      <c r="AH1117" s="9">
        <v>0</v>
      </c>
      <c r="AI1117" s="9">
        <v>0</v>
      </c>
      <c r="AJ1117" s="9">
        <v>96942400</v>
      </c>
      <c r="AK1117" s="9">
        <v>2</v>
      </c>
      <c r="AL1117" s="26" t="s">
        <v>52</v>
      </c>
      <c r="AM1117" s="14" t="s">
        <v>701</v>
      </c>
      <c r="AN1117" s="27" t="str">
        <f t="shared" si="37"/>
        <v>10490905|96942400|919478590|65383856</v>
      </c>
      <c r="AO1117" t="s">
        <v>44</v>
      </c>
      <c r="AP1117" t="b">
        <v>0</v>
      </c>
      <c r="AQ1117" t="s">
        <v>763</v>
      </c>
    </row>
    <row r="1118" spans="1:43" x14ac:dyDescent="0.2">
      <c r="A1118" s="14" t="s">
        <v>500</v>
      </c>
      <c r="B1118" s="17">
        <v>10490905</v>
      </c>
      <c r="C1118" s="14" t="s">
        <v>417</v>
      </c>
      <c r="D1118" s="9">
        <v>10490905</v>
      </c>
      <c r="E1118" s="9" t="s">
        <v>417</v>
      </c>
      <c r="F1118" s="7">
        <v>45689</v>
      </c>
      <c r="G1118" s="20" t="s">
        <v>36</v>
      </c>
      <c r="H1118" s="8">
        <v>919478591</v>
      </c>
      <c r="I1118" s="19">
        <v>919478591</v>
      </c>
      <c r="J1118" s="10">
        <v>32430</v>
      </c>
      <c r="K1118" s="10">
        <v>10140</v>
      </c>
      <c r="L1118" s="10">
        <v>22290</v>
      </c>
      <c r="M1118" s="10">
        <v>0</v>
      </c>
      <c r="N1118" s="11">
        <v>22290</v>
      </c>
      <c r="O1118" s="12">
        <v>919478591</v>
      </c>
      <c r="P1118" s="9">
        <v>285123</v>
      </c>
      <c r="Q1118" s="9" t="s">
        <v>37</v>
      </c>
      <c r="R1118" s="13">
        <v>45699</v>
      </c>
      <c r="S1118" s="22">
        <v>45699</v>
      </c>
      <c r="T1118" s="13">
        <v>45699</v>
      </c>
      <c r="U1118" s="13">
        <v>45699</v>
      </c>
      <c r="V1118" s="9" t="s">
        <v>47</v>
      </c>
      <c r="W1118" s="9">
        <v>22598352</v>
      </c>
      <c r="X1118" s="9">
        <v>2171709</v>
      </c>
      <c r="Y1118" s="9">
        <v>68876794</v>
      </c>
      <c r="Z1118" s="9" t="s">
        <v>39</v>
      </c>
      <c r="AA1118" s="9">
        <v>16022025</v>
      </c>
      <c r="AB1118" s="9">
        <v>77646</v>
      </c>
      <c r="AC1118" s="9" t="s">
        <v>41</v>
      </c>
      <c r="AD1118" s="9" t="s">
        <v>132</v>
      </c>
      <c r="AE1118" s="9" t="s">
        <v>133</v>
      </c>
      <c r="AF1118" s="9" t="s">
        <v>133</v>
      </c>
      <c r="AG1118" s="14" t="str">
        <f t="shared" si="38"/>
        <v>EXAMENES DE LABORATORIO</v>
      </c>
      <c r="AH1118" s="9" t="s">
        <v>758</v>
      </c>
      <c r="AI1118" s="9">
        <v>0</v>
      </c>
      <c r="AJ1118" s="9">
        <v>96942400</v>
      </c>
      <c r="AK1118" s="9">
        <v>2</v>
      </c>
      <c r="AL1118" s="26" t="s">
        <v>62</v>
      </c>
      <c r="AM1118" s="14" t="s">
        <v>701</v>
      </c>
      <c r="AN1118" s="27" t="str">
        <f t="shared" si="37"/>
        <v>10490905|96942400|919478591|919478591</v>
      </c>
      <c r="AO1118" t="s">
        <v>758</v>
      </c>
      <c r="AP1118" t="b">
        <v>1</v>
      </c>
      <c r="AQ1118" t="s">
        <v>764</v>
      </c>
    </row>
    <row r="1119" spans="1:43" x14ac:dyDescent="0.2">
      <c r="A1119" s="14" t="s">
        <v>500</v>
      </c>
      <c r="B1119" s="17">
        <v>10490905</v>
      </c>
      <c r="C1119" s="14" t="s">
        <v>417</v>
      </c>
      <c r="D1119" s="9">
        <v>10490905</v>
      </c>
      <c r="E1119" s="9" t="s">
        <v>417</v>
      </c>
      <c r="F1119" s="7">
        <v>45717</v>
      </c>
      <c r="G1119" s="20" t="s">
        <v>46</v>
      </c>
      <c r="H1119" s="8">
        <v>919478591</v>
      </c>
      <c r="I1119" s="19">
        <v>65383857</v>
      </c>
      <c r="J1119" s="10">
        <v>19194</v>
      </c>
      <c r="K1119" s="10">
        <v>0</v>
      </c>
      <c r="L1119" s="10">
        <v>19194</v>
      </c>
      <c r="M1119" s="10">
        <v>0</v>
      </c>
      <c r="N1119" s="11">
        <v>19194</v>
      </c>
      <c r="O1119" s="12">
        <v>919478591</v>
      </c>
      <c r="P1119" s="9">
        <v>285123</v>
      </c>
      <c r="Q1119" s="9" t="s">
        <v>37</v>
      </c>
      <c r="R1119" s="13">
        <v>45717</v>
      </c>
      <c r="S1119" s="22">
        <v>45742</v>
      </c>
      <c r="T1119" s="13">
        <v>45699</v>
      </c>
      <c r="U1119" s="13">
        <v>45699</v>
      </c>
      <c r="V1119" s="9" t="s">
        <v>47</v>
      </c>
      <c r="W1119" s="9">
        <v>22770585</v>
      </c>
      <c r="X1119" s="9">
        <v>3311105</v>
      </c>
      <c r="Y1119" s="9">
        <v>69250746</v>
      </c>
      <c r="Z1119" s="9" t="s">
        <v>39</v>
      </c>
      <c r="AA1119" s="9">
        <v>10490905</v>
      </c>
      <c r="AB1119" s="9">
        <v>78070</v>
      </c>
      <c r="AC1119" s="9" t="s">
        <v>41</v>
      </c>
      <c r="AD1119" s="9" t="s">
        <v>132</v>
      </c>
      <c r="AE1119" s="9" t="s">
        <v>133</v>
      </c>
      <c r="AF1119" s="9" t="s">
        <v>133</v>
      </c>
      <c r="AG1119" s="14" t="str">
        <f t="shared" si="38"/>
        <v>EXAMENES DE LABORATORIO</v>
      </c>
      <c r="AH1119" s="9">
        <v>0</v>
      </c>
      <c r="AI1119" s="9">
        <v>0</v>
      </c>
      <c r="AJ1119" s="9">
        <v>96942400</v>
      </c>
      <c r="AK1119" s="9">
        <v>2</v>
      </c>
      <c r="AL1119" s="26" t="s">
        <v>52</v>
      </c>
      <c r="AM1119" s="14" t="s">
        <v>701</v>
      </c>
      <c r="AN1119" s="27" t="str">
        <f t="shared" si="37"/>
        <v>10490905|96942400|919478591|65383857</v>
      </c>
      <c r="AO1119" t="s">
        <v>44</v>
      </c>
      <c r="AP1119" t="b">
        <v>0</v>
      </c>
      <c r="AQ1119" t="s">
        <v>763</v>
      </c>
    </row>
    <row r="1120" spans="1:43" x14ac:dyDescent="0.2">
      <c r="A1120" s="14" t="s">
        <v>500</v>
      </c>
      <c r="B1120" s="17">
        <v>10490905</v>
      </c>
      <c r="C1120" s="14" t="s">
        <v>417</v>
      </c>
      <c r="D1120" s="9">
        <v>10490905</v>
      </c>
      <c r="E1120" s="9" t="s">
        <v>417</v>
      </c>
      <c r="F1120" s="7">
        <v>45689</v>
      </c>
      <c r="G1120" s="20" t="s">
        <v>36</v>
      </c>
      <c r="H1120" s="8">
        <v>919478592</v>
      </c>
      <c r="I1120" s="19">
        <v>919478592</v>
      </c>
      <c r="J1120" s="10">
        <v>18260</v>
      </c>
      <c r="K1120" s="10">
        <v>7022</v>
      </c>
      <c r="L1120" s="10">
        <v>11238</v>
      </c>
      <c r="M1120" s="10">
        <v>0</v>
      </c>
      <c r="N1120" s="11">
        <v>11238</v>
      </c>
      <c r="O1120" s="12">
        <v>919478592</v>
      </c>
      <c r="P1120" s="9">
        <v>285123</v>
      </c>
      <c r="Q1120" s="9" t="s">
        <v>37</v>
      </c>
      <c r="R1120" s="13">
        <v>45699</v>
      </c>
      <c r="S1120" s="22">
        <v>45699</v>
      </c>
      <c r="T1120" s="13">
        <v>45699</v>
      </c>
      <c r="U1120" s="13">
        <v>45699</v>
      </c>
      <c r="V1120" s="9" t="s">
        <v>47</v>
      </c>
      <c r="W1120" s="9">
        <v>22598352</v>
      </c>
      <c r="X1120" s="9">
        <v>2171709</v>
      </c>
      <c r="Y1120" s="9">
        <v>68876793</v>
      </c>
      <c r="Z1120" s="9" t="s">
        <v>39</v>
      </c>
      <c r="AA1120" s="9">
        <v>16022025</v>
      </c>
      <c r="AB1120" s="9">
        <v>77646</v>
      </c>
      <c r="AC1120" s="9" t="s">
        <v>41</v>
      </c>
      <c r="AD1120" s="9" t="s">
        <v>132</v>
      </c>
      <c r="AE1120" s="9" t="s">
        <v>133</v>
      </c>
      <c r="AF1120" s="9" t="s">
        <v>133</v>
      </c>
      <c r="AG1120" s="14" t="str">
        <f t="shared" si="38"/>
        <v>EXAMENES DE LABORATORIO</v>
      </c>
      <c r="AH1120" s="9" t="s">
        <v>758</v>
      </c>
      <c r="AI1120" s="9">
        <v>0</v>
      </c>
      <c r="AJ1120" s="9">
        <v>96942400</v>
      </c>
      <c r="AK1120" s="9">
        <v>2</v>
      </c>
      <c r="AL1120" s="26" t="s">
        <v>62</v>
      </c>
      <c r="AM1120" s="14" t="s">
        <v>701</v>
      </c>
      <c r="AN1120" s="27" t="str">
        <f t="shared" si="37"/>
        <v>10490905|96942400|919478592|919478592</v>
      </c>
      <c r="AO1120" t="s">
        <v>758</v>
      </c>
      <c r="AP1120" t="b">
        <v>1</v>
      </c>
      <c r="AQ1120" t="s">
        <v>764</v>
      </c>
    </row>
    <row r="1121" spans="1:43" x14ac:dyDescent="0.2">
      <c r="A1121" s="14" t="s">
        <v>500</v>
      </c>
      <c r="B1121" s="17">
        <v>10490905</v>
      </c>
      <c r="C1121" s="14" t="s">
        <v>417</v>
      </c>
      <c r="D1121" s="9">
        <v>10490905</v>
      </c>
      <c r="E1121" s="9" t="s">
        <v>417</v>
      </c>
      <c r="F1121" s="7">
        <v>45717</v>
      </c>
      <c r="G1121" s="20" t="s">
        <v>46</v>
      </c>
      <c r="H1121" s="8">
        <v>919478592</v>
      </c>
      <c r="I1121" s="19">
        <v>65383858</v>
      </c>
      <c r="J1121" s="10">
        <v>9595</v>
      </c>
      <c r="K1121" s="10">
        <v>0</v>
      </c>
      <c r="L1121" s="10">
        <v>9595</v>
      </c>
      <c r="M1121" s="10">
        <v>0</v>
      </c>
      <c r="N1121" s="11">
        <v>9595</v>
      </c>
      <c r="O1121" s="12">
        <v>919478592</v>
      </c>
      <c r="P1121" s="9">
        <v>285123</v>
      </c>
      <c r="Q1121" s="9" t="s">
        <v>37</v>
      </c>
      <c r="R1121" s="13">
        <v>45717</v>
      </c>
      <c r="S1121" s="22">
        <v>45742</v>
      </c>
      <c r="T1121" s="13">
        <v>45699</v>
      </c>
      <c r="U1121" s="13">
        <v>45699</v>
      </c>
      <c r="V1121" s="9" t="s">
        <v>47</v>
      </c>
      <c r="W1121" s="9">
        <v>22770585</v>
      </c>
      <c r="X1121" s="9">
        <v>3311105</v>
      </c>
      <c r="Y1121" s="9">
        <v>69250747</v>
      </c>
      <c r="Z1121" s="9" t="s">
        <v>39</v>
      </c>
      <c r="AA1121" s="9">
        <v>10490905</v>
      </c>
      <c r="AB1121" s="9">
        <v>78070</v>
      </c>
      <c r="AC1121" s="9" t="s">
        <v>41</v>
      </c>
      <c r="AD1121" s="9" t="s">
        <v>132</v>
      </c>
      <c r="AE1121" s="9" t="s">
        <v>133</v>
      </c>
      <c r="AF1121" s="9" t="s">
        <v>133</v>
      </c>
      <c r="AG1121" s="14" t="str">
        <f t="shared" si="38"/>
        <v>EXAMENES DE LABORATORIO</v>
      </c>
      <c r="AH1121" s="9">
        <v>0</v>
      </c>
      <c r="AI1121" s="9">
        <v>0</v>
      </c>
      <c r="AJ1121" s="9">
        <v>96942400</v>
      </c>
      <c r="AK1121" s="9">
        <v>2</v>
      </c>
      <c r="AL1121" s="26" t="s">
        <v>52</v>
      </c>
      <c r="AM1121" s="14" t="s">
        <v>701</v>
      </c>
      <c r="AN1121" s="27" t="str">
        <f t="shared" si="37"/>
        <v>10490905|96942400|919478592|65383858</v>
      </c>
      <c r="AO1121" t="s">
        <v>44</v>
      </c>
      <c r="AP1121" t="b">
        <v>0</v>
      </c>
      <c r="AQ1121" t="s">
        <v>763</v>
      </c>
    </row>
    <row r="1122" spans="1:43" x14ac:dyDescent="0.2">
      <c r="A1122" s="14" t="s">
        <v>500</v>
      </c>
      <c r="B1122" s="17">
        <v>13924168</v>
      </c>
      <c r="C1122" s="14" t="s">
        <v>418</v>
      </c>
      <c r="D1122" s="9">
        <v>25061160</v>
      </c>
      <c r="E1122" s="9" t="s">
        <v>419</v>
      </c>
      <c r="F1122" s="7">
        <v>45689</v>
      </c>
      <c r="G1122" s="20" t="s">
        <v>36</v>
      </c>
      <c r="H1122" s="8">
        <v>919484279</v>
      </c>
      <c r="I1122" s="19">
        <v>919484279</v>
      </c>
      <c r="J1122" s="10">
        <v>8990</v>
      </c>
      <c r="K1122" s="10">
        <v>2820</v>
      </c>
      <c r="L1122" s="10">
        <v>6170</v>
      </c>
      <c r="M1122" s="10">
        <v>0</v>
      </c>
      <c r="N1122" s="11">
        <v>6170</v>
      </c>
      <c r="O1122" s="12">
        <v>919484279</v>
      </c>
      <c r="P1122" s="9">
        <v>285123</v>
      </c>
      <c r="Q1122" s="9" t="s">
        <v>37</v>
      </c>
      <c r="R1122" s="13">
        <v>45699</v>
      </c>
      <c r="S1122" s="22">
        <v>45699</v>
      </c>
      <c r="T1122" s="13">
        <v>45699</v>
      </c>
      <c r="U1122" s="13">
        <v>45699</v>
      </c>
      <c r="V1122" s="9" t="s">
        <v>47</v>
      </c>
      <c r="W1122" s="9">
        <v>22598363</v>
      </c>
      <c r="X1122" s="9">
        <v>2171709</v>
      </c>
      <c r="Y1122" s="9">
        <v>68876832</v>
      </c>
      <c r="Z1122" s="9" t="s">
        <v>39</v>
      </c>
      <c r="AA1122" s="9">
        <v>16022025</v>
      </c>
      <c r="AB1122" s="9">
        <v>77646</v>
      </c>
      <c r="AC1122" s="9" t="s">
        <v>41</v>
      </c>
      <c r="AD1122" s="9" t="s">
        <v>132</v>
      </c>
      <c r="AE1122" s="9" t="s">
        <v>133</v>
      </c>
      <c r="AF1122" s="9" t="s">
        <v>133</v>
      </c>
      <c r="AG1122" s="14" t="str">
        <f t="shared" si="38"/>
        <v>EXAMENES DE LABORATORIO</v>
      </c>
      <c r="AH1122" s="9" t="s">
        <v>758</v>
      </c>
      <c r="AI1122" s="9">
        <v>0</v>
      </c>
      <c r="AJ1122" s="9">
        <v>96942400</v>
      </c>
      <c r="AK1122" s="9">
        <v>2</v>
      </c>
      <c r="AL1122" s="26" t="s">
        <v>62</v>
      </c>
      <c r="AM1122" s="14" t="s">
        <v>702</v>
      </c>
      <c r="AN1122" s="27" t="str">
        <f t="shared" si="37"/>
        <v>13924168|96942400|919484279|919484279</v>
      </c>
      <c r="AO1122" t="s">
        <v>758</v>
      </c>
      <c r="AP1122" t="b">
        <v>1</v>
      </c>
      <c r="AQ1122" t="s">
        <v>764</v>
      </c>
    </row>
    <row r="1123" spans="1:43" x14ac:dyDescent="0.2">
      <c r="A1123" s="14" t="s">
        <v>500</v>
      </c>
      <c r="B1123" s="17">
        <v>13924168</v>
      </c>
      <c r="C1123" s="14" t="s">
        <v>418</v>
      </c>
      <c r="D1123" s="9">
        <v>25061160</v>
      </c>
      <c r="E1123" s="9" t="s">
        <v>419</v>
      </c>
      <c r="F1123" s="7">
        <v>45717</v>
      </c>
      <c r="G1123" s="20" t="s">
        <v>46</v>
      </c>
      <c r="H1123" s="8">
        <v>919484279</v>
      </c>
      <c r="I1123" s="19">
        <v>65384154</v>
      </c>
      <c r="J1123" s="10">
        <v>5373</v>
      </c>
      <c r="K1123" s="10">
        <v>0</v>
      </c>
      <c r="L1123" s="10">
        <v>5373</v>
      </c>
      <c r="M1123" s="10">
        <v>0</v>
      </c>
      <c r="N1123" s="11">
        <v>5373</v>
      </c>
      <c r="O1123" s="12">
        <v>919484279</v>
      </c>
      <c r="P1123" s="9">
        <v>285123</v>
      </c>
      <c r="Q1123" s="9" t="s">
        <v>37</v>
      </c>
      <c r="R1123" s="13">
        <v>45717</v>
      </c>
      <c r="S1123" s="22">
        <v>45742</v>
      </c>
      <c r="T1123" s="13">
        <v>45699</v>
      </c>
      <c r="U1123" s="13">
        <v>45699</v>
      </c>
      <c r="V1123" s="9" t="s">
        <v>47</v>
      </c>
      <c r="W1123" s="9">
        <v>22770589</v>
      </c>
      <c r="X1123" s="9">
        <v>3311105</v>
      </c>
      <c r="Y1123" s="9">
        <v>69251034</v>
      </c>
      <c r="Z1123" s="9" t="s">
        <v>39</v>
      </c>
      <c r="AA1123" s="9">
        <v>13924168</v>
      </c>
      <c r="AB1123" s="9">
        <v>78070</v>
      </c>
      <c r="AC1123" s="9" t="s">
        <v>41</v>
      </c>
      <c r="AD1123" s="9" t="s">
        <v>132</v>
      </c>
      <c r="AE1123" s="9" t="s">
        <v>133</v>
      </c>
      <c r="AF1123" s="9" t="s">
        <v>133</v>
      </c>
      <c r="AG1123" s="14" t="str">
        <f t="shared" si="38"/>
        <v>EXAMENES DE LABORATORIO</v>
      </c>
      <c r="AH1123" s="9">
        <v>0</v>
      </c>
      <c r="AI1123" s="9">
        <v>0</v>
      </c>
      <c r="AJ1123" s="9">
        <v>96942400</v>
      </c>
      <c r="AK1123" s="9">
        <v>2</v>
      </c>
      <c r="AL1123" s="26" t="s">
        <v>52</v>
      </c>
      <c r="AM1123" s="14" t="s">
        <v>702</v>
      </c>
      <c r="AN1123" s="27" t="str">
        <f t="shared" si="37"/>
        <v>13924168|96942400|919484279|65384154</v>
      </c>
      <c r="AO1123" t="s">
        <v>44</v>
      </c>
      <c r="AP1123" t="b">
        <v>0</v>
      </c>
      <c r="AQ1123" t="s">
        <v>763</v>
      </c>
    </row>
    <row r="1124" spans="1:43" x14ac:dyDescent="0.2">
      <c r="A1124" s="14" t="s">
        <v>500</v>
      </c>
      <c r="B1124" s="17">
        <v>13924168</v>
      </c>
      <c r="C1124" s="14" t="s">
        <v>418</v>
      </c>
      <c r="D1124" s="9">
        <v>25061160</v>
      </c>
      <c r="E1124" s="9" t="s">
        <v>419</v>
      </c>
      <c r="F1124" s="7">
        <v>45689</v>
      </c>
      <c r="G1124" s="20" t="s">
        <v>36</v>
      </c>
      <c r="H1124" s="8">
        <v>919493119</v>
      </c>
      <c r="I1124" s="19">
        <v>919493119</v>
      </c>
      <c r="J1124" s="10">
        <v>105180</v>
      </c>
      <c r="K1124" s="10">
        <v>32870</v>
      </c>
      <c r="L1124" s="10">
        <v>72310</v>
      </c>
      <c r="M1124" s="10">
        <v>0</v>
      </c>
      <c r="N1124" s="11">
        <v>72310</v>
      </c>
      <c r="O1124" s="12">
        <v>919493119</v>
      </c>
      <c r="P1124" s="9">
        <v>285123</v>
      </c>
      <c r="Q1124" s="9" t="s">
        <v>37</v>
      </c>
      <c r="R1124" s="13">
        <v>45699</v>
      </c>
      <c r="S1124" s="22">
        <v>45699</v>
      </c>
      <c r="T1124" s="13">
        <v>45699</v>
      </c>
      <c r="U1124" s="13">
        <v>45699</v>
      </c>
      <c r="V1124" s="9" t="s">
        <v>47</v>
      </c>
      <c r="W1124" s="9">
        <v>22598363</v>
      </c>
      <c r="X1124" s="9">
        <v>2171709</v>
      </c>
      <c r="Y1124" s="9">
        <v>68876889</v>
      </c>
      <c r="Z1124" s="9" t="s">
        <v>39</v>
      </c>
      <c r="AA1124" s="9">
        <v>16022025</v>
      </c>
      <c r="AB1124" s="9">
        <v>77646</v>
      </c>
      <c r="AC1124" s="9" t="s">
        <v>41</v>
      </c>
      <c r="AD1124" s="9" t="s">
        <v>134</v>
      </c>
      <c r="AE1124" s="9" t="s">
        <v>135</v>
      </c>
      <c r="AF1124" s="9" t="s">
        <v>135</v>
      </c>
      <c r="AG1124" s="14" t="str">
        <f t="shared" si="38"/>
        <v>EXAMENES RADIOLOGICOS</v>
      </c>
      <c r="AH1124" s="9" t="s">
        <v>758</v>
      </c>
      <c r="AI1124" s="9">
        <v>0</v>
      </c>
      <c r="AJ1124" s="9">
        <v>96942400</v>
      </c>
      <c r="AK1124" s="9">
        <v>2</v>
      </c>
      <c r="AL1124" s="26" t="s">
        <v>62</v>
      </c>
      <c r="AM1124" s="14" t="s">
        <v>702</v>
      </c>
      <c r="AN1124" s="27" t="str">
        <f t="shared" si="37"/>
        <v>13924168|96942400|919493119|919493119</v>
      </c>
      <c r="AO1124" t="s">
        <v>758</v>
      </c>
      <c r="AP1124" t="b">
        <v>1</v>
      </c>
      <c r="AQ1124" t="s">
        <v>764</v>
      </c>
    </row>
    <row r="1125" spans="1:43" x14ac:dyDescent="0.2">
      <c r="A1125" s="14" t="s">
        <v>500</v>
      </c>
      <c r="B1125" s="17">
        <v>13924168</v>
      </c>
      <c r="C1125" s="14" t="s">
        <v>418</v>
      </c>
      <c r="D1125" s="9">
        <v>25061160</v>
      </c>
      <c r="E1125" s="9" t="s">
        <v>419</v>
      </c>
      <c r="F1125" s="7">
        <v>45717</v>
      </c>
      <c r="G1125" s="20" t="s">
        <v>46</v>
      </c>
      <c r="H1125" s="8">
        <v>919493119</v>
      </c>
      <c r="I1125" s="19">
        <v>65384155</v>
      </c>
      <c r="J1125" s="10">
        <v>62195</v>
      </c>
      <c r="K1125" s="10">
        <v>0</v>
      </c>
      <c r="L1125" s="10">
        <v>62195</v>
      </c>
      <c r="M1125" s="10">
        <v>0</v>
      </c>
      <c r="N1125" s="11">
        <v>62195</v>
      </c>
      <c r="O1125" s="12">
        <v>919493119</v>
      </c>
      <c r="P1125" s="9">
        <v>285123</v>
      </c>
      <c r="Q1125" s="9" t="s">
        <v>37</v>
      </c>
      <c r="R1125" s="13">
        <v>45717</v>
      </c>
      <c r="S1125" s="22">
        <v>45742</v>
      </c>
      <c r="T1125" s="13">
        <v>45699</v>
      </c>
      <c r="U1125" s="13">
        <v>45699</v>
      </c>
      <c r="V1125" s="9" t="s">
        <v>47</v>
      </c>
      <c r="W1125" s="9">
        <v>22770589</v>
      </c>
      <c r="X1125" s="9">
        <v>3311105</v>
      </c>
      <c r="Y1125" s="9">
        <v>69251035</v>
      </c>
      <c r="Z1125" s="9" t="s">
        <v>39</v>
      </c>
      <c r="AA1125" s="9">
        <v>13924168</v>
      </c>
      <c r="AB1125" s="9">
        <v>78070</v>
      </c>
      <c r="AC1125" s="9" t="s">
        <v>41</v>
      </c>
      <c r="AD1125" s="9" t="s">
        <v>134</v>
      </c>
      <c r="AE1125" s="9" t="s">
        <v>135</v>
      </c>
      <c r="AF1125" s="9" t="s">
        <v>135</v>
      </c>
      <c r="AG1125" s="14" t="str">
        <f t="shared" si="38"/>
        <v>EXAMENES RADIOLOGICOS</v>
      </c>
      <c r="AH1125" s="9">
        <v>0</v>
      </c>
      <c r="AI1125" s="9">
        <v>0</v>
      </c>
      <c r="AJ1125" s="9">
        <v>96942400</v>
      </c>
      <c r="AK1125" s="9">
        <v>2</v>
      </c>
      <c r="AL1125" s="26" t="s">
        <v>52</v>
      </c>
      <c r="AM1125" s="14" t="s">
        <v>702</v>
      </c>
      <c r="AN1125" s="27" t="str">
        <f t="shared" si="37"/>
        <v>13924168|96942400|919493119|65384155</v>
      </c>
      <c r="AO1125" t="s">
        <v>44</v>
      </c>
      <c r="AP1125" t="b">
        <v>0</v>
      </c>
      <c r="AQ1125" t="s">
        <v>763</v>
      </c>
    </row>
    <row r="1126" spans="1:43" x14ac:dyDescent="0.2">
      <c r="A1126" s="14" t="s">
        <v>500</v>
      </c>
      <c r="B1126" s="17">
        <v>15308884</v>
      </c>
      <c r="C1126" s="14" t="s">
        <v>420</v>
      </c>
      <c r="D1126" s="9">
        <v>15308884</v>
      </c>
      <c r="E1126" s="9" t="s">
        <v>420</v>
      </c>
      <c r="F1126" s="7">
        <v>45689</v>
      </c>
      <c r="G1126" s="20" t="s">
        <v>36</v>
      </c>
      <c r="H1126" s="8">
        <v>919558912</v>
      </c>
      <c r="I1126" s="19">
        <v>919558912</v>
      </c>
      <c r="J1126" s="10">
        <v>59370</v>
      </c>
      <c r="K1126" s="10">
        <v>33393</v>
      </c>
      <c r="L1126" s="10">
        <v>25977</v>
      </c>
      <c r="M1126" s="10">
        <v>0</v>
      </c>
      <c r="N1126" s="11">
        <v>25977</v>
      </c>
      <c r="O1126" s="12">
        <v>919558912</v>
      </c>
      <c r="P1126" s="9">
        <v>285123</v>
      </c>
      <c r="Q1126" s="9" t="s">
        <v>37</v>
      </c>
      <c r="R1126" s="13">
        <v>45700</v>
      </c>
      <c r="S1126" s="22">
        <v>45700</v>
      </c>
      <c r="T1126" s="13">
        <v>45700</v>
      </c>
      <c r="U1126" s="13">
        <v>45700</v>
      </c>
      <c r="V1126" s="9" t="s">
        <v>47</v>
      </c>
      <c r="W1126" s="9">
        <v>22598419</v>
      </c>
      <c r="X1126" s="9">
        <v>2171709</v>
      </c>
      <c r="Y1126" s="9">
        <v>68877290</v>
      </c>
      <c r="Z1126" s="9" t="s">
        <v>39</v>
      </c>
      <c r="AA1126" s="9">
        <v>16022025</v>
      </c>
      <c r="AB1126" s="9">
        <v>77646</v>
      </c>
      <c r="AC1126" s="9" t="s">
        <v>41</v>
      </c>
      <c r="AD1126" s="9" t="s">
        <v>134</v>
      </c>
      <c r="AE1126" s="9" t="s">
        <v>135</v>
      </c>
      <c r="AF1126" s="9" t="s">
        <v>135</v>
      </c>
      <c r="AG1126" s="14" t="str">
        <f t="shared" si="38"/>
        <v>EXAMENES RADIOLOGICOS</v>
      </c>
      <c r="AH1126" s="9" t="s">
        <v>758</v>
      </c>
      <c r="AI1126" s="9">
        <v>0</v>
      </c>
      <c r="AJ1126" s="9">
        <v>78040520</v>
      </c>
      <c r="AK1126" s="9">
        <v>1</v>
      </c>
      <c r="AL1126" s="26" t="s">
        <v>62</v>
      </c>
      <c r="AM1126" s="14" t="s">
        <v>703</v>
      </c>
      <c r="AN1126" s="27" t="str">
        <f t="shared" si="37"/>
        <v>15308884|78040520|919558912|919558912</v>
      </c>
      <c r="AO1126" t="s">
        <v>758</v>
      </c>
      <c r="AP1126" t="b">
        <v>1</v>
      </c>
      <c r="AQ1126" t="s">
        <v>764</v>
      </c>
    </row>
    <row r="1127" spans="1:43" x14ac:dyDescent="0.2">
      <c r="A1127" s="14" t="s">
        <v>500</v>
      </c>
      <c r="B1127" s="17">
        <v>15308884</v>
      </c>
      <c r="C1127" s="14" t="s">
        <v>420</v>
      </c>
      <c r="D1127" s="9">
        <v>15308884</v>
      </c>
      <c r="E1127" s="9" t="s">
        <v>420</v>
      </c>
      <c r="F1127" s="7">
        <v>45717</v>
      </c>
      <c r="G1127" s="20" t="s">
        <v>46</v>
      </c>
      <c r="H1127" s="8">
        <v>919558912</v>
      </c>
      <c r="I1127" s="19">
        <v>65384265</v>
      </c>
      <c r="J1127" s="10">
        <v>20354</v>
      </c>
      <c r="K1127" s="10">
        <v>0</v>
      </c>
      <c r="L1127" s="10">
        <v>20354</v>
      </c>
      <c r="M1127" s="10">
        <v>0</v>
      </c>
      <c r="N1127" s="11">
        <v>20354</v>
      </c>
      <c r="O1127" s="12">
        <v>919558912</v>
      </c>
      <c r="P1127" s="9">
        <v>285123</v>
      </c>
      <c r="Q1127" s="9" t="s">
        <v>37</v>
      </c>
      <c r="R1127" s="13">
        <v>45717</v>
      </c>
      <c r="S1127" s="22">
        <v>45742</v>
      </c>
      <c r="T1127" s="13">
        <v>45700</v>
      </c>
      <c r="U1127" s="13">
        <v>45700</v>
      </c>
      <c r="V1127" s="9" t="s">
        <v>47</v>
      </c>
      <c r="W1127" s="9">
        <v>22770606</v>
      </c>
      <c r="X1127" s="9">
        <v>3311105</v>
      </c>
      <c r="Y1127" s="9">
        <v>69251138</v>
      </c>
      <c r="Z1127" s="9" t="s">
        <v>39</v>
      </c>
      <c r="AA1127" s="9">
        <v>19997455443</v>
      </c>
      <c r="AB1127" s="9">
        <v>78070</v>
      </c>
      <c r="AC1127" s="9" t="s">
        <v>41</v>
      </c>
      <c r="AD1127" s="9" t="s">
        <v>134</v>
      </c>
      <c r="AE1127" s="9" t="s">
        <v>135</v>
      </c>
      <c r="AF1127" s="9" t="s">
        <v>135</v>
      </c>
      <c r="AG1127" s="14" t="str">
        <f t="shared" si="38"/>
        <v>EXAMENES RADIOLOGICOS</v>
      </c>
      <c r="AH1127" s="9">
        <v>0</v>
      </c>
      <c r="AI1127" s="9">
        <v>0</v>
      </c>
      <c r="AJ1127" s="9">
        <v>78040520</v>
      </c>
      <c r="AK1127" s="9">
        <v>1</v>
      </c>
      <c r="AL1127" s="26" t="s">
        <v>52</v>
      </c>
      <c r="AM1127" s="14" t="s">
        <v>703</v>
      </c>
      <c r="AN1127" s="27" t="str">
        <f t="shared" si="37"/>
        <v>15308884|78040520|919558912|65384265</v>
      </c>
      <c r="AO1127" t="s">
        <v>44</v>
      </c>
      <c r="AP1127" t="b">
        <v>0</v>
      </c>
      <c r="AQ1127" t="s">
        <v>763</v>
      </c>
    </row>
    <row r="1128" spans="1:43" x14ac:dyDescent="0.2">
      <c r="A1128" s="14" t="s">
        <v>500</v>
      </c>
      <c r="B1128" s="17">
        <v>16143227</v>
      </c>
      <c r="C1128" s="14" t="s">
        <v>421</v>
      </c>
      <c r="D1128" s="9">
        <v>15094943</v>
      </c>
      <c r="E1128" s="9" t="s">
        <v>422</v>
      </c>
      <c r="F1128" s="7">
        <v>45689</v>
      </c>
      <c r="G1128" s="20" t="s">
        <v>36</v>
      </c>
      <c r="H1128" s="8">
        <v>919689342</v>
      </c>
      <c r="I1128" s="19">
        <v>919689342</v>
      </c>
      <c r="J1128" s="10">
        <v>17200</v>
      </c>
      <c r="K1128" s="10">
        <v>5380</v>
      </c>
      <c r="L1128" s="10">
        <v>11820</v>
      </c>
      <c r="M1128" s="10">
        <v>0</v>
      </c>
      <c r="N1128" s="11">
        <v>11820</v>
      </c>
      <c r="O1128" s="12">
        <v>919689342</v>
      </c>
      <c r="P1128" s="9">
        <v>285123</v>
      </c>
      <c r="Q1128" s="9" t="s">
        <v>37</v>
      </c>
      <c r="R1128" s="13">
        <v>45701</v>
      </c>
      <c r="S1128" s="22">
        <v>45701</v>
      </c>
      <c r="T1128" s="13">
        <v>45701</v>
      </c>
      <c r="U1128" s="13">
        <v>45701</v>
      </c>
      <c r="V1128" s="9" t="s">
        <v>47</v>
      </c>
      <c r="W1128" s="9">
        <v>22598465</v>
      </c>
      <c r="X1128" s="9">
        <v>2171709</v>
      </c>
      <c r="Y1128" s="9">
        <v>68878110</v>
      </c>
      <c r="Z1128" s="9" t="s">
        <v>39</v>
      </c>
      <c r="AA1128" s="9">
        <v>16022025</v>
      </c>
      <c r="AB1128" s="9">
        <v>77646</v>
      </c>
      <c r="AC1128" s="9" t="s">
        <v>41</v>
      </c>
      <c r="AD1128" s="9" t="s">
        <v>134</v>
      </c>
      <c r="AE1128" s="9" t="s">
        <v>135</v>
      </c>
      <c r="AF1128" s="9" t="s">
        <v>135</v>
      </c>
      <c r="AG1128" s="14" t="str">
        <f t="shared" si="38"/>
        <v>EXAMENES RADIOLOGICOS</v>
      </c>
      <c r="AH1128" s="9" t="s">
        <v>758</v>
      </c>
      <c r="AI1128" s="9">
        <v>0</v>
      </c>
      <c r="AJ1128" s="9">
        <v>70015580</v>
      </c>
      <c r="AK1128" s="9">
        <v>3</v>
      </c>
      <c r="AL1128" s="26" t="s">
        <v>62</v>
      </c>
      <c r="AM1128" s="14" t="s">
        <v>704</v>
      </c>
      <c r="AN1128" s="27" t="str">
        <f t="shared" si="37"/>
        <v>16143227|70015580|919689342|919689342</v>
      </c>
      <c r="AO1128" t="s">
        <v>758</v>
      </c>
      <c r="AP1128" t="b">
        <v>1</v>
      </c>
      <c r="AQ1128" t="s">
        <v>764</v>
      </c>
    </row>
    <row r="1129" spans="1:43" x14ac:dyDescent="0.2">
      <c r="A1129" s="14" t="s">
        <v>500</v>
      </c>
      <c r="B1129" s="17">
        <v>16143227</v>
      </c>
      <c r="C1129" s="14" t="s">
        <v>421</v>
      </c>
      <c r="D1129" s="9">
        <v>15094943</v>
      </c>
      <c r="E1129" s="9" t="s">
        <v>422</v>
      </c>
      <c r="F1129" s="7">
        <v>45717</v>
      </c>
      <c r="G1129" s="20" t="s">
        <v>46</v>
      </c>
      <c r="H1129" s="8">
        <v>919689342</v>
      </c>
      <c r="I1129" s="19">
        <v>65384356</v>
      </c>
      <c r="J1129" s="10">
        <v>10373</v>
      </c>
      <c r="K1129" s="10">
        <v>0</v>
      </c>
      <c r="L1129" s="10">
        <v>10373</v>
      </c>
      <c r="M1129" s="10">
        <v>0</v>
      </c>
      <c r="N1129" s="11">
        <v>10373</v>
      </c>
      <c r="O1129" s="12">
        <v>919689342</v>
      </c>
      <c r="P1129" s="9">
        <v>285123</v>
      </c>
      <c r="Q1129" s="9" t="s">
        <v>37</v>
      </c>
      <c r="R1129" s="13">
        <v>45717</v>
      </c>
      <c r="S1129" s="22">
        <v>45742</v>
      </c>
      <c r="T1129" s="13">
        <v>45701</v>
      </c>
      <c r="U1129" s="13">
        <v>45701</v>
      </c>
      <c r="V1129" s="9" t="s">
        <v>47</v>
      </c>
      <c r="W1129" s="9">
        <v>22770619</v>
      </c>
      <c r="X1129" s="9">
        <v>3311105</v>
      </c>
      <c r="Y1129" s="9">
        <v>69251239</v>
      </c>
      <c r="Z1129" s="9" t="s">
        <v>39</v>
      </c>
      <c r="AA1129" s="9">
        <v>213202007</v>
      </c>
      <c r="AB1129" s="9">
        <v>78070</v>
      </c>
      <c r="AC1129" s="9" t="s">
        <v>41</v>
      </c>
      <c r="AD1129" s="9" t="s">
        <v>134</v>
      </c>
      <c r="AE1129" s="9" t="s">
        <v>135</v>
      </c>
      <c r="AF1129" s="9" t="s">
        <v>135</v>
      </c>
      <c r="AG1129" s="14" t="str">
        <f t="shared" si="38"/>
        <v>EXAMENES RADIOLOGICOS</v>
      </c>
      <c r="AH1129" s="9">
        <v>0</v>
      </c>
      <c r="AI1129" s="9">
        <v>0</v>
      </c>
      <c r="AJ1129" s="9">
        <v>70015580</v>
      </c>
      <c r="AK1129" s="9">
        <v>3</v>
      </c>
      <c r="AL1129" s="26" t="s">
        <v>52</v>
      </c>
      <c r="AM1129" s="14" t="s">
        <v>704</v>
      </c>
      <c r="AN1129" s="27" t="str">
        <f t="shared" si="37"/>
        <v>16143227|70015580|919689342|65384356</v>
      </c>
      <c r="AO1129" t="s">
        <v>44</v>
      </c>
      <c r="AP1129" t="b">
        <v>0</v>
      </c>
      <c r="AQ1129" t="s">
        <v>763</v>
      </c>
    </row>
    <row r="1130" spans="1:43" x14ac:dyDescent="0.2">
      <c r="A1130" s="14" t="s">
        <v>500</v>
      </c>
      <c r="B1130" s="17">
        <v>10490905</v>
      </c>
      <c r="C1130" s="14" t="s">
        <v>417</v>
      </c>
      <c r="D1130" s="9">
        <v>10490905</v>
      </c>
      <c r="E1130" s="9" t="s">
        <v>417</v>
      </c>
      <c r="F1130" s="7">
        <v>45689</v>
      </c>
      <c r="G1130" s="20" t="s">
        <v>36</v>
      </c>
      <c r="H1130" s="8">
        <v>919722828</v>
      </c>
      <c r="I1130" s="19">
        <v>919722828</v>
      </c>
      <c r="J1130" s="10">
        <v>10740</v>
      </c>
      <c r="K1130" s="10">
        <v>6045</v>
      </c>
      <c r="L1130" s="10">
        <v>4695</v>
      </c>
      <c r="M1130" s="10">
        <v>0</v>
      </c>
      <c r="N1130" s="11">
        <v>4695</v>
      </c>
      <c r="O1130" s="12">
        <v>919722828</v>
      </c>
      <c r="P1130" s="9">
        <v>285123</v>
      </c>
      <c r="Q1130" s="9" t="s">
        <v>37</v>
      </c>
      <c r="R1130" s="13">
        <v>45701</v>
      </c>
      <c r="S1130" s="22">
        <v>45701</v>
      </c>
      <c r="T1130" s="13">
        <v>45701</v>
      </c>
      <c r="U1130" s="13">
        <v>45701</v>
      </c>
      <c r="V1130" s="9" t="s">
        <v>47</v>
      </c>
      <c r="W1130" s="9">
        <v>22598444</v>
      </c>
      <c r="X1130" s="9">
        <v>2171709</v>
      </c>
      <c r="Y1130" s="9">
        <v>68878301</v>
      </c>
      <c r="Z1130" s="9" t="s">
        <v>39</v>
      </c>
      <c r="AA1130" s="9">
        <v>16022025</v>
      </c>
      <c r="AB1130" s="9">
        <v>77646</v>
      </c>
      <c r="AC1130" s="9" t="s">
        <v>41</v>
      </c>
      <c r="AD1130" s="9" t="s">
        <v>65</v>
      </c>
      <c r="AE1130" s="9" t="s">
        <v>66</v>
      </c>
      <c r="AF1130" s="9" t="s">
        <v>66</v>
      </c>
      <c r="AG1130" s="14" t="str">
        <f t="shared" si="38"/>
        <v>PROCEDIMIENTOS TERAPEUTICOS</v>
      </c>
      <c r="AH1130" s="9" t="s">
        <v>758</v>
      </c>
      <c r="AI1130" s="9">
        <v>0</v>
      </c>
      <c r="AJ1130" s="9">
        <v>96942400</v>
      </c>
      <c r="AK1130" s="9">
        <v>2</v>
      </c>
      <c r="AL1130" s="26" t="s">
        <v>62</v>
      </c>
      <c r="AM1130" s="14" t="s">
        <v>701</v>
      </c>
      <c r="AN1130" s="27" t="str">
        <f t="shared" si="37"/>
        <v>10490905|96942400|919722828|919722828</v>
      </c>
      <c r="AO1130" t="s">
        <v>758</v>
      </c>
      <c r="AP1130" t="b">
        <v>1</v>
      </c>
      <c r="AQ1130" t="s">
        <v>764</v>
      </c>
    </row>
    <row r="1131" spans="1:43" x14ac:dyDescent="0.2">
      <c r="A1131" s="14" t="s">
        <v>500</v>
      </c>
      <c r="B1131" s="17">
        <v>10490905</v>
      </c>
      <c r="C1131" s="14" t="s">
        <v>417</v>
      </c>
      <c r="D1131" s="9">
        <v>10490905</v>
      </c>
      <c r="E1131" s="9" t="s">
        <v>417</v>
      </c>
      <c r="F1131" s="7">
        <v>45717</v>
      </c>
      <c r="G1131" s="20" t="s">
        <v>46</v>
      </c>
      <c r="H1131" s="8">
        <v>919722828</v>
      </c>
      <c r="I1131" s="19">
        <v>65383859</v>
      </c>
      <c r="J1131" s="10">
        <v>3457</v>
      </c>
      <c r="K1131" s="10">
        <v>0</v>
      </c>
      <c r="L1131" s="10">
        <v>3457</v>
      </c>
      <c r="M1131" s="10">
        <v>0</v>
      </c>
      <c r="N1131" s="11">
        <v>3457</v>
      </c>
      <c r="O1131" s="12">
        <v>919722828</v>
      </c>
      <c r="P1131" s="9">
        <v>285123</v>
      </c>
      <c r="Q1131" s="9" t="s">
        <v>37</v>
      </c>
      <c r="R1131" s="13">
        <v>45717</v>
      </c>
      <c r="S1131" s="22">
        <v>45742</v>
      </c>
      <c r="T1131" s="13">
        <v>45701</v>
      </c>
      <c r="U1131" s="13">
        <v>45701</v>
      </c>
      <c r="V1131" s="9" t="s">
        <v>47</v>
      </c>
      <c r="W1131" s="9">
        <v>22770610</v>
      </c>
      <c r="X1131" s="9">
        <v>3311105</v>
      </c>
      <c r="Y1131" s="9">
        <v>69250748</v>
      </c>
      <c r="Z1131" s="9" t="s">
        <v>39</v>
      </c>
      <c r="AA1131" s="9">
        <v>10490905</v>
      </c>
      <c r="AB1131" s="9">
        <v>78070</v>
      </c>
      <c r="AC1131" s="9" t="s">
        <v>41</v>
      </c>
      <c r="AD1131" s="9" t="s">
        <v>65</v>
      </c>
      <c r="AE1131" s="9" t="s">
        <v>66</v>
      </c>
      <c r="AF1131" s="9" t="s">
        <v>66</v>
      </c>
      <c r="AG1131" s="14" t="str">
        <f t="shared" si="38"/>
        <v>PROCEDIMIENTOS TERAPEUTICOS</v>
      </c>
      <c r="AH1131" s="9">
        <v>0</v>
      </c>
      <c r="AI1131" s="9">
        <v>0</v>
      </c>
      <c r="AJ1131" s="9">
        <v>96942400</v>
      </c>
      <c r="AK1131" s="9">
        <v>2</v>
      </c>
      <c r="AL1131" s="26" t="s">
        <v>52</v>
      </c>
      <c r="AM1131" s="14" t="s">
        <v>701</v>
      </c>
      <c r="AN1131" s="27" t="str">
        <f t="shared" si="37"/>
        <v>10490905|96942400|919722828|65383859</v>
      </c>
      <c r="AO1131" t="s">
        <v>44</v>
      </c>
      <c r="AP1131" t="b">
        <v>0</v>
      </c>
      <c r="AQ1131" t="s">
        <v>763</v>
      </c>
    </row>
    <row r="1132" spans="1:43" x14ac:dyDescent="0.2">
      <c r="A1132" s="14" t="s">
        <v>500</v>
      </c>
      <c r="B1132" s="17">
        <v>15276164</v>
      </c>
      <c r="C1132" s="14" t="s">
        <v>63</v>
      </c>
      <c r="D1132" s="9">
        <v>15276164</v>
      </c>
      <c r="E1132" s="9" t="s">
        <v>63</v>
      </c>
      <c r="F1132" s="7">
        <v>45689</v>
      </c>
      <c r="G1132" s="20" t="s">
        <v>36</v>
      </c>
      <c r="H1132" s="8">
        <v>919726400</v>
      </c>
      <c r="I1132" s="19">
        <v>919726400</v>
      </c>
      <c r="J1132" s="10">
        <v>8690</v>
      </c>
      <c r="K1132" s="10">
        <v>2720</v>
      </c>
      <c r="L1132" s="10">
        <v>5970</v>
      </c>
      <c r="M1132" s="10">
        <v>0</v>
      </c>
      <c r="N1132" s="11">
        <v>5970</v>
      </c>
      <c r="O1132" s="12">
        <v>919726400</v>
      </c>
      <c r="P1132" s="9">
        <v>285123</v>
      </c>
      <c r="Q1132" s="9" t="s">
        <v>37</v>
      </c>
      <c r="R1132" s="13">
        <v>45701</v>
      </c>
      <c r="S1132" s="22">
        <v>45701</v>
      </c>
      <c r="T1132" s="13">
        <v>45701</v>
      </c>
      <c r="U1132" s="13">
        <v>45701</v>
      </c>
      <c r="V1132" s="9" t="s">
        <v>47</v>
      </c>
      <c r="W1132" s="9">
        <v>22598462</v>
      </c>
      <c r="X1132" s="9">
        <v>2171709</v>
      </c>
      <c r="Y1132" s="9">
        <v>68878322</v>
      </c>
      <c r="Z1132" s="9" t="s">
        <v>39</v>
      </c>
      <c r="AA1132" s="9">
        <v>16022025</v>
      </c>
      <c r="AB1132" s="9">
        <v>77646</v>
      </c>
      <c r="AC1132" s="9" t="s">
        <v>41</v>
      </c>
      <c r="AD1132" s="9" t="s">
        <v>132</v>
      </c>
      <c r="AE1132" s="9" t="s">
        <v>133</v>
      </c>
      <c r="AF1132" s="9" t="s">
        <v>133</v>
      </c>
      <c r="AG1132" s="14" t="str">
        <f t="shared" si="38"/>
        <v>EXAMENES DE LABORATORIO</v>
      </c>
      <c r="AH1132" s="9" t="s">
        <v>758</v>
      </c>
      <c r="AI1132" s="9">
        <v>0</v>
      </c>
      <c r="AJ1132" s="9">
        <v>88611600</v>
      </c>
      <c r="AK1132" s="9">
        <v>4</v>
      </c>
      <c r="AL1132" s="26" t="s">
        <v>62</v>
      </c>
      <c r="AM1132" s="14" t="s">
        <v>507</v>
      </c>
      <c r="AN1132" s="27" t="str">
        <f t="shared" si="37"/>
        <v>15276164|88611600|919726400|919726400</v>
      </c>
      <c r="AO1132" t="s">
        <v>758</v>
      </c>
      <c r="AP1132" t="b">
        <v>1</v>
      </c>
      <c r="AQ1132" t="s">
        <v>764</v>
      </c>
    </row>
    <row r="1133" spans="1:43" x14ac:dyDescent="0.2">
      <c r="A1133" s="14" t="s">
        <v>500</v>
      </c>
      <c r="B1133" s="17">
        <v>15276164</v>
      </c>
      <c r="C1133" s="14" t="s">
        <v>63</v>
      </c>
      <c r="D1133" s="9">
        <v>15276164</v>
      </c>
      <c r="E1133" s="9" t="s">
        <v>63</v>
      </c>
      <c r="F1133" s="7">
        <v>45717</v>
      </c>
      <c r="G1133" s="20" t="s">
        <v>46</v>
      </c>
      <c r="H1133" s="8">
        <v>919726400</v>
      </c>
      <c r="I1133" s="19">
        <v>65384262</v>
      </c>
      <c r="J1133" s="10">
        <v>4993</v>
      </c>
      <c r="K1133" s="10">
        <v>0</v>
      </c>
      <c r="L1133" s="10">
        <v>4993</v>
      </c>
      <c r="M1133" s="10">
        <v>0</v>
      </c>
      <c r="N1133" s="11">
        <v>4993</v>
      </c>
      <c r="O1133" s="12">
        <v>919726400</v>
      </c>
      <c r="P1133" s="9">
        <v>285123</v>
      </c>
      <c r="Q1133" s="9" t="s">
        <v>37</v>
      </c>
      <c r="R1133" s="13">
        <v>45717</v>
      </c>
      <c r="S1133" s="22">
        <v>45742</v>
      </c>
      <c r="T1133" s="13">
        <v>45701</v>
      </c>
      <c r="U1133" s="13">
        <v>45701</v>
      </c>
      <c r="V1133" s="9" t="s">
        <v>47</v>
      </c>
      <c r="W1133" s="9">
        <v>22770618</v>
      </c>
      <c r="X1133" s="9">
        <v>3311105</v>
      </c>
      <c r="Y1133" s="9">
        <v>69251135</v>
      </c>
      <c r="Z1133" s="9" t="s">
        <v>39</v>
      </c>
      <c r="AA1133" s="9">
        <v>45919038</v>
      </c>
      <c r="AB1133" s="9">
        <v>78070</v>
      </c>
      <c r="AC1133" s="9" t="s">
        <v>41</v>
      </c>
      <c r="AD1133" s="9" t="s">
        <v>132</v>
      </c>
      <c r="AE1133" s="9" t="s">
        <v>133</v>
      </c>
      <c r="AF1133" s="9" t="s">
        <v>133</v>
      </c>
      <c r="AG1133" s="14" t="str">
        <f t="shared" si="38"/>
        <v>EXAMENES DE LABORATORIO</v>
      </c>
      <c r="AH1133" s="9">
        <v>0</v>
      </c>
      <c r="AI1133" s="9">
        <v>0</v>
      </c>
      <c r="AJ1133" s="9">
        <v>88611600</v>
      </c>
      <c r="AK1133" s="9">
        <v>4</v>
      </c>
      <c r="AL1133" s="26" t="s">
        <v>52</v>
      </c>
      <c r="AM1133" s="14" t="s">
        <v>507</v>
      </c>
      <c r="AN1133" s="27" t="str">
        <f t="shared" si="37"/>
        <v>15276164|88611600|919726400|65384262</v>
      </c>
      <c r="AO1133" t="s">
        <v>44</v>
      </c>
      <c r="AP1133" t="b">
        <v>0</v>
      </c>
      <c r="AQ1133" t="s">
        <v>763</v>
      </c>
    </row>
    <row r="1134" spans="1:43" x14ac:dyDescent="0.2">
      <c r="A1134" s="14" t="s">
        <v>500</v>
      </c>
      <c r="B1134" s="17">
        <v>13831839</v>
      </c>
      <c r="C1134" s="14" t="s">
        <v>423</v>
      </c>
      <c r="D1134" s="9">
        <v>13831839</v>
      </c>
      <c r="E1134" s="9" t="s">
        <v>423</v>
      </c>
      <c r="F1134" s="7">
        <v>45689</v>
      </c>
      <c r="G1134" s="20" t="s">
        <v>36</v>
      </c>
      <c r="H1134" s="8">
        <v>919780309</v>
      </c>
      <c r="I1134" s="19">
        <v>919780309</v>
      </c>
      <c r="J1134" s="10">
        <v>22760</v>
      </c>
      <c r="K1134" s="10">
        <v>7130</v>
      </c>
      <c r="L1134" s="10">
        <v>15630</v>
      </c>
      <c r="M1134" s="10">
        <v>0</v>
      </c>
      <c r="N1134" s="11">
        <v>15630</v>
      </c>
      <c r="O1134" s="12">
        <v>919780309</v>
      </c>
      <c r="P1134" s="9">
        <v>285123</v>
      </c>
      <c r="Q1134" s="9" t="s">
        <v>37</v>
      </c>
      <c r="R1134" s="13">
        <v>45702</v>
      </c>
      <c r="S1134" s="22">
        <v>45702</v>
      </c>
      <c r="T1134" s="13">
        <v>45702</v>
      </c>
      <c r="U1134" s="13">
        <v>45702</v>
      </c>
      <c r="V1134" s="9" t="s">
        <v>47</v>
      </c>
      <c r="W1134" s="9">
        <v>22598499</v>
      </c>
      <c r="X1134" s="9">
        <v>2171709</v>
      </c>
      <c r="Y1134" s="9">
        <v>68878632</v>
      </c>
      <c r="Z1134" s="9" t="s">
        <v>39</v>
      </c>
      <c r="AA1134" s="9">
        <v>16022025</v>
      </c>
      <c r="AB1134" s="9">
        <v>77646</v>
      </c>
      <c r="AC1134" s="9" t="s">
        <v>41</v>
      </c>
      <c r="AD1134" s="9" t="s">
        <v>132</v>
      </c>
      <c r="AE1134" s="9" t="s">
        <v>133</v>
      </c>
      <c r="AF1134" s="9" t="s">
        <v>133</v>
      </c>
      <c r="AG1134" s="14" t="str">
        <f t="shared" si="38"/>
        <v>EXAMENES DE LABORATORIO</v>
      </c>
      <c r="AH1134" s="9" t="s">
        <v>758</v>
      </c>
      <c r="AI1134" s="9">
        <v>0</v>
      </c>
      <c r="AJ1134" s="9">
        <v>96942400</v>
      </c>
      <c r="AK1134" s="9">
        <v>2</v>
      </c>
      <c r="AL1134" s="26" t="s">
        <v>62</v>
      </c>
      <c r="AM1134" s="14" t="s">
        <v>705</v>
      </c>
      <c r="AN1134" s="27" t="str">
        <f t="shared" si="37"/>
        <v>13831839|96942400|919780309|919780309</v>
      </c>
      <c r="AO1134" t="s">
        <v>758</v>
      </c>
      <c r="AP1134" t="b">
        <v>1</v>
      </c>
      <c r="AQ1134" t="s">
        <v>764</v>
      </c>
    </row>
    <row r="1135" spans="1:43" x14ac:dyDescent="0.2">
      <c r="A1135" s="14" t="s">
        <v>500</v>
      </c>
      <c r="B1135" s="17">
        <v>13831839</v>
      </c>
      <c r="C1135" s="14" t="s">
        <v>423</v>
      </c>
      <c r="D1135" s="9">
        <v>13831839</v>
      </c>
      <c r="E1135" s="9" t="s">
        <v>423</v>
      </c>
      <c r="F1135" s="7">
        <v>45717</v>
      </c>
      <c r="G1135" s="20" t="s">
        <v>46</v>
      </c>
      <c r="H1135" s="8">
        <v>919780309</v>
      </c>
      <c r="I1135" s="19">
        <v>65384142</v>
      </c>
      <c r="J1135" s="10">
        <v>13067</v>
      </c>
      <c r="K1135" s="10">
        <v>0</v>
      </c>
      <c r="L1135" s="10">
        <v>13067</v>
      </c>
      <c r="M1135" s="10">
        <v>0</v>
      </c>
      <c r="N1135" s="11">
        <v>13067</v>
      </c>
      <c r="O1135" s="12">
        <v>919780309</v>
      </c>
      <c r="P1135" s="9">
        <v>285123</v>
      </c>
      <c r="Q1135" s="9" t="s">
        <v>37</v>
      </c>
      <c r="R1135" s="13">
        <v>45717</v>
      </c>
      <c r="S1135" s="22">
        <v>45742</v>
      </c>
      <c r="T1135" s="13">
        <v>45702</v>
      </c>
      <c r="U1135" s="13">
        <v>45702</v>
      </c>
      <c r="V1135" s="9" t="s">
        <v>47</v>
      </c>
      <c r="W1135" s="9">
        <v>22770629</v>
      </c>
      <c r="X1135" s="9">
        <v>3311105</v>
      </c>
      <c r="Y1135" s="9">
        <v>69251022</v>
      </c>
      <c r="Z1135" s="9" t="s">
        <v>39</v>
      </c>
      <c r="AA1135" s="9">
        <v>1702839250</v>
      </c>
      <c r="AB1135" s="9">
        <v>78070</v>
      </c>
      <c r="AC1135" s="9" t="s">
        <v>41</v>
      </c>
      <c r="AD1135" s="9" t="s">
        <v>132</v>
      </c>
      <c r="AE1135" s="9" t="s">
        <v>133</v>
      </c>
      <c r="AF1135" s="9" t="s">
        <v>133</v>
      </c>
      <c r="AG1135" s="14" t="str">
        <f t="shared" si="38"/>
        <v>EXAMENES DE LABORATORIO</v>
      </c>
      <c r="AH1135" s="9">
        <v>0</v>
      </c>
      <c r="AI1135" s="9">
        <v>0</v>
      </c>
      <c r="AJ1135" s="9">
        <v>96942400</v>
      </c>
      <c r="AK1135" s="9">
        <v>2</v>
      </c>
      <c r="AL1135" s="26" t="s">
        <v>52</v>
      </c>
      <c r="AM1135" s="14" t="s">
        <v>705</v>
      </c>
      <c r="AN1135" s="27" t="str">
        <f t="shared" si="37"/>
        <v>13831839|96942400|919780309|65384142</v>
      </c>
      <c r="AO1135" t="s">
        <v>44</v>
      </c>
      <c r="AP1135" t="b">
        <v>0</v>
      </c>
      <c r="AQ1135" t="s">
        <v>763</v>
      </c>
    </row>
    <row r="1136" spans="1:43" x14ac:dyDescent="0.2">
      <c r="A1136" s="14" t="s">
        <v>500</v>
      </c>
      <c r="B1136" s="17">
        <v>13831839</v>
      </c>
      <c r="C1136" s="14" t="s">
        <v>423</v>
      </c>
      <c r="D1136" s="9">
        <v>13831839</v>
      </c>
      <c r="E1136" s="9" t="s">
        <v>423</v>
      </c>
      <c r="F1136" s="7">
        <v>45689</v>
      </c>
      <c r="G1136" s="20" t="s">
        <v>36</v>
      </c>
      <c r="H1136" s="8">
        <v>919780310</v>
      </c>
      <c r="I1136" s="19">
        <v>919780310</v>
      </c>
      <c r="J1136" s="10">
        <v>32610</v>
      </c>
      <c r="K1136" s="10">
        <v>10210</v>
      </c>
      <c r="L1136" s="10">
        <v>22400</v>
      </c>
      <c r="M1136" s="10">
        <v>0</v>
      </c>
      <c r="N1136" s="11">
        <v>22400</v>
      </c>
      <c r="O1136" s="12">
        <v>919780310</v>
      </c>
      <c r="P1136" s="9">
        <v>285123</v>
      </c>
      <c r="Q1136" s="9" t="s">
        <v>37</v>
      </c>
      <c r="R1136" s="13">
        <v>45702</v>
      </c>
      <c r="S1136" s="22">
        <v>45702</v>
      </c>
      <c r="T1136" s="13">
        <v>45702</v>
      </c>
      <c r="U1136" s="13">
        <v>45702</v>
      </c>
      <c r="V1136" s="9" t="s">
        <v>47</v>
      </c>
      <c r="W1136" s="9">
        <v>22598499</v>
      </c>
      <c r="X1136" s="9">
        <v>2171709</v>
      </c>
      <c r="Y1136" s="9">
        <v>68878631</v>
      </c>
      <c r="Z1136" s="9" t="s">
        <v>39</v>
      </c>
      <c r="AA1136" s="9">
        <v>16022025</v>
      </c>
      <c r="AB1136" s="9">
        <v>77646</v>
      </c>
      <c r="AC1136" s="9" t="s">
        <v>41</v>
      </c>
      <c r="AD1136" s="9" t="s">
        <v>132</v>
      </c>
      <c r="AE1136" s="9" t="s">
        <v>133</v>
      </c>
      <c r="AF1136" s="9" t="s">
        <v>133</v>
      </c>
      <c r="AG1136" s="14" t="str">
        <f t="shared" si="38"/>
        <v>EXAMENES DE LABORATORIO</v>
      </c>
      <c r="AH1136" s="9" t="s">
        <v>758</v>
      </c>
      <c r="AI1136" s="9">
        <v>0</v>
      </c>
      <c r="AJ1136" s="9">
        <v>96942400</v>
      </c>
      <c r="AK1136" s="9">
        <v>2</v>
      </c>
      <c r="AL1136" s="26" t="s">
        <v>62</v>
      </c>
      <c r="AM1136" s="14" t="s">
        <v>705</v>
      </c>
      <c r="AN1136" s="27" t="str">
        <f t="shared" si="37"/>
        <v>13831839|96942400|919780310|919780310</v>
      </c>
      <c r="AO1136" t="s">
        <v>758</v>
      </c>
      <c r="AP1136" t="b">
        <v>1</v>
      </c>
      <c r="AQ1136" t="s">
        <v>764</v>
      </c>
    </row>
    <row r="1137" spans="1:43" x14ac:dyDescent="0.2">
      <c r="A1137" s="14" t="s">
        <v>500</v>
      </c>
      <c r="B1137" s="17">
        <v>13831839</v>
      </c>
      <c r="C1137" s="14" t="s">
        <v>423</v>
      </c>
      <c r="D1137" s="9">
        <v>13831839</v>
      </c>
      <c r="E1137" s="9" t="s">
        <v>423</v>
      </c>
      <c r="F1137" s="7">
        <v>45717</v>
      </c>
      <c r="G1137" s="20" t="s">
        <v>46</v>
      </c>
      <c r="H1137" s="8">
        <v>919780310</v>
      </c>
      <c r="I1137" s="19">
        <v>65384143</v>
      </c>
      <c r="J1137" s="10">
        <v>19985</v>
      </c>
      <c r="K1137" s="10">
        <v>0</v>
      </c>
      <c r="L1137" s="10">
        <v>19985</v>
      </c>
      <c r="M1137" s="10">
        <v>0</v>
      </c>
      <c r="N1137" s="11">
        <v>19985</v>
      </c>
      <c r="O1137" s="12">
        <v>919780310</v>
      </c>
      <c r="P1137" s="9">
        <v>285123</v>
      </c>
      <c r="Q1137" s="9" t="s">
        <v>37</v>
      </c>
      <c r="R1137" s="13">
        <v>45717</v>
      </c>
      <c r="S1137" s="22">
        <v>45742</v>
      </c>
      <c r="T1137" s="13">
        <v>45702</v>
      </c>
      <c r="U1137" s="13">
        <v>45702</v>
      </c>
      <c r="V1137" s="9" t="s">
        <v>47</v>
      </c>
      <c r="W1137" s="9">
        <v>22770629</v>
      </c>
      <c r="X1137" s="9">
        <v>3311105</v>
      </c>
      <c r="Y1137" s="9">
        <v>69251023</v>
      </c>
      <c r="Z1137" s="9" t="s">
        <v>39</v>
      </c>
      <c r="AA1137" s="9">
        <v>1702839250</v>
      </c>
      <c r="AB1137" s="9">
        <v>78070</v>
      </c>
      <c r="AC1137" s="9" t="s">
        <v>41</v>
      </c>
      <c r="AD1137" s="9" t="s">
        <v>132</v>
      </c>
      <c r="AE1137" s="9" t="s">
        <v>133</v>
      </c>
      <c r="AF1137" s="9" t="s">
        <v>133</v>
      </c>
      <c r="AG1137" s="14" t="str">
        <f t="shared" si="38"/>
        <v>EXAMENES DE LABORATORIO</v>
      </c>
      <c r="AH1137" s="9">
        <v>0</v>
      </c>
      <c r="AI1137" s="9">
        <v>0</v>
      </c>
      <c r="AJ1137" s="9">
        <v>96942400</v>
      </c>
      <c r="AK1137" s="9">
        <v>2</v>
      </c>
      <c r="AL1137" s="26" t="s">
        <v>52</v>
      </c>
      <c r="AM1137" s="14" t="s">
        <v>705</v>
      </c>
      <c r="AN1137" s="27" t="str">
        <f t="shared" si="37"/>
        <v>13831839|96942400|919780310|65384143</v>
      </c>
      <c r="AO1137" t="s">
        <v>44</v>
      </c>
      <c r="AP1137" t="b">
        <v>0</v>
      </c>
      <c r="AQ1137" t="s">
        <v>763</v>
      </c>
    </row>
    <row r="1138" spans="1:43" x14ac:dyDescent="0.2">
      <c r="A1138" s="14" t="s">
        <v>500</v>
      </c>
      <c r="B1138" s="17">
        <v>13831839</v>
      </c>
      <c r="C1138" s="14" t="s">
        <v>423</v>
      </c>
      <c r="D1138" s="9">
        <v>13831839</v>
      </c>
      <c r="E1138" s="9" t="s">
        <v>423</v>
      </c>
      <c r="F1138" s="7">
        <v>45689</v>
      </c>
      <c r="G1138" s="20" t="s">
        <v>36</v>
      </c>
      <c r="H1138" s="8">
        <v>919780311</v>
      </c>
      <c r="I1138" s="19">
        <v>919780311</v>
      </c>
      <c r="J1138" s="10">
        <v>34290</v>
      </c>
      <c r="K1138" s="10">
        <v>10720</v>
      </c>
      <c r="L1138" s="10">
        <v>23570</v>
      </c>
      <c r="M1138" s="10">
        <v>0</v>
      </c>
      <c r="N1138" s="11">
        <v>23570</v>
      </c>
      <c r="O1138" s="12">
        <v>919780311</v>
      </c>
      <c r="P1138" s="9">
        <v>285123</v>
      </c>
      <c r="Q1138" s="9" t="s">
        <v>37</v>
      </c>
      <c r="R1138" s="13">
        <v>45702</v>
      </c>
      <c r="S1138" s="22">
        <v>45702</v>
      </c>
      <c r="T1138" s="13">
        <v>45702</v>
      </c>
      <c r="U1138" s="13">
        <v>45702</v>
      </c>
      <c r="V1138" s="9" t="s">
        <v>47</v>
      </c>
      <c r="W1138" s="9">
        <v>22598499</v>
      </c>
      <c r="X1138" s="9">
        <v>2171709</v>
      </c>
      <c r="Y1138" s="9">
        <v>68878630</v>
      </c>
      <c r="Z1138" s="9" t="s">
        <v>39</v>
      </c>
      <c r="AA1138" s="9">
        <v>16022025</v>
      </c>
      <c r="AB1138" s="9">
        <v>77646</v>
      </c>
      <c r="AC1138" s="9" t="s">
        <v>41</v>
      </c>
      <c r="AD1138" s="9" t="s">
        <v>132</v>
      </c>
      <c r="AE1138" s="9" t="s">
        <v>133</v>
      </c>
      <c r="AF1138" s="9" t="s">
        <v>133</v>
      </c>
      <c r="AG1138" s="14" t="str">
        <f t="shared" si="38"/>
        <v>EXAMENES DE LABORATORIO</v>
      </c>
      <c r="AH1138" s="9" t="s">
        <v>758</v>
      </c>
      <c r="AI1138" s="9">
        <v>0</v>
      </c>
      <c r="AJ1138" s="9">
        <v>96942400</v>
      </c>
      <c r="AK1138" s="9">
        <v>2</v>
      </c>
      <c r="AL1138" s="26" t="s">
        <v>62</v>
      </c>
      <c r="AM1138" s="14" t="s">
        <v>705</v>
      </c>
      <c r="AN1138" s="27" t="str">
        <f t="shared" si="37"/>
        <v>13831839|96942400|919780311|919780311</v>
      </c>
      <c r="AO1138" t="s">
        <v>758</v>
      </c>
      <c r="AP1138" t="b">
        <v>1</v>
      </c>
      <c r="AQ1138" t="s">
        <v>764</v>
      </c>
    </row>
    <row r="1139" spans="1:43" x14ac:dyDescent="0.2">
      <c r="A1139" s="14" t="s">
        <v>500</v>
      </c>
      <c r="B1139" s="17">
        <v>13831839</v>
      </c>
      <c r="C1139" s="14" t="s">
        <v>423</v>
      </c>
      <c r="D1139" s="9">
        <v>13831839</v>
      </c>
      <c r="E1139" s="9" t="s">
        <v>423</v>
      </c>
      <c r="F1139" s="7">
        <v>45717</v>
      </c>
      <c r="G1139" s="20" t="s">
        <v>46</v>
      </c>
      <c r="H1139" s="8">
        <v>919780311</v>
      </c>
      <c r="I1139" s="19">
        <v>65384144</v>
      </c>
      <c r="J1139" s="10">
        <v>20369</v>
      </c>
      <c r="K1139" s="10">
        <v>0</v>
      </c>
      <c r="L1139" s="10">
        <v>20369</v>
      </c>
      <c r="M1139" s="10">
        <v>0</v>
      </c>
      <c r="N1139" s="11">
        <v>20369</v>
      </c>
      <c r="O1139" s="12">
        <v>919780311</v>
      </c>
      <c r="P1139" s="9">
        <v>285123</v>
      </c>
      <c r="Q1139" s="9" t="s">
        <v>37</v>
      </c>
      <c r="R1139" s="13">
        <v>45717</v>
      </c>
      <c r="S1139" s="22">
        <v>45742</v>
      </c>
      <c r="T1139" s="13">
        <v>45702</v>
      </c>
      <c r="U1139" s="13">
        <v>45702</v>
      </c>
      <c r="V1139" s="9" t="s">
        <v>47</v>
      </c>
      <c r="W1139" s="9">
        <v>22770629</v>
      </c>
      <c r="X1139" s="9">
        <v>3311105</v>
      </c>
      <c r="Y1139" s="9">
        <v>69251024</v>
      </c>
      <c r="Z1139" s="9" t="s">
        <v>39</v>
      </c>
      <c r="AA1139" s="9">
        <v>1702839250</v>
      </c>
      <c r="AB1139" s="9">
        <v>78070</v>
      </c>
      <c r="AC1139" s="9" t="s">
        <v>41</v>
      </c>
      <c r="AD1139" s="9" t="s">
        <v>132</v>
      </c>
      <c r="AE1139" s="9" t="s">
        <v>133</v>
      </c>
      <c r="AF1139" s="9" t="s">
        <v>133</v>
      </c>
      <c r="AG1139" s="14" t="str">
        <f t="shared" si="38"/>
        <v>EXAMENES DE LABORATORIO</v>
      </c>
      <c r="AH1139" s="9">
        <v>0</v>
      </c>
      <c r="AI1139" s="9">
        <v>0</v>
      </c>
      <c r="AJ1139" s="9">
        <v>96942400</v>
      </c>
      <c r="AK1139" s="9">
        <v>2</v>
      </c>
      <c r="AL1139" s="26" t="s">
        <v>52</v>
      </c>
      <c r="AM1139" s="14" t="s">
        <v>705</v>
      </c>
      <c r="AN1139" s="27" t="str">
        <f t="shared" si="37"/>
        <v>13831839|96942400|919780311|65384144</v>
      </c>
      <c r="AO1139" t="s">
        <v>44</v>
      </c>
      <c r="AP1139" t="b">
        <v>0</v>
      </c>
      <c r="AQ1139" t="s">
        <v>763</v>
      </c>
    </row>
    <row r="1140" spans="1:43" x14ac:dyDescent="0.2">
      <c r="A1140" s="14" t="s">
        <v>500</v>
      </c>
      <c r="B1140" s="17">
        <v>13831839</v>
      </c>
      <c r="C1140" s="14" t="s">
        <v>423</v>
      </c>
      <c r="D1140" s="9">
        <v>13831839</v>
      </c>
      <c r="E1140" s="9" t="s">
        <v>423</v>
      </c>
      <c r="F1140" s="7">
        <v>45689</v>
      </c>
      <c r="G1140" s="20" t="s">
        <v>36</v>
      </c>
      <c r="H1140" s="8">
        <v>919780312</v>
      </c>
      <c r="I1140" s="19">
        <v>919780312</v>
      </c>
      <c r="J1140" s="10">
        <v>33760</v>
      </c>
      <c r="K1140" s="10">
        <v>10560</v>
      </c>
      <c r="L1140" s="10">
        <v>23200</v>
      </c>
      <c r="M1140" s="10">
        <v>0</v>
      </c>
      <c r="N1140" s="11">
        <v>23200</v>
      </c>
      <c r="O1140" s="12">
        <v>919780312</v>
      </c>
      <c r="P1140" s="9">
        <v>285123</v>
      </c>
      <c r="Q1140" s="9" t="s">
        <v>37</v>
      </c>
      <c r="R1140" s="13">
        <v>45702</v>
      </c>
      <c r="S1140" s="22">
        <v>45702</v>
      </c>
      <c r="T1140" s="13">
        <v>45702</v>
      </c>
      <c r="U1140" s="13">
        <v>45702</v>
      </c>
      <c r="V1140" s="9" t="s">
        <v>47</v>
      </c>
      <c r="W1140" s="9">
        <v>22598499</v>
      </c>
      <c r="X1140" s="9">
        <v>2171709</v>
      </c>
      <c r="Y1140" s="9">
        <v>68878629</v>
      </c>
      <c r="Z1140" s="9" t="s">
        <v>39</v>
      </c>
      <c r="AA1140" s="9">
        <v>16022025</v>
      </c>
      <c r="AB1140" s="9">
        <v>77646</v>
      </c>
      <c r="AC1140" s="9" t="s">
        <v>41</v>
      </c>
      <c r="AD1140" s="9" t="s">
        <v>132</v>
      </c>
      <c r="AE1140" s="9" t="s">
        <v>133</v>
      </c>
      <c r="AF1140" s="9" t="s">
        <v>133</v>
      </c>
      <c r="AG1140" s="14" t="str">
        <f t="shared" si="38"/>
        <v>EXAMENES DE LABORATORIO</v>
      </c>
      <c r="AH1140" s="9" t="s">
        <v>758</v>
      </c>
      <c r="AI1140" s="9">
        <v>0</v>
      </c>
      <c r="AJ1140" s="9">
        <v>96942400</v>
      </c>
      <c r="AK1140" s="9">
        <v>2</v>
      </c>
      <c r="AL1140" s="26" t="s">
        <v>62</v>
      </c>
      <c r="AM1140" s="14" t="s">
        <v>705</v>
      </c>
      <c r="AN1140" s="27" t="str">
        <f t="shared" si="37"/>
        <v>13831839|96942400|919780312|919780312</v>
      </c>
      <c r="AO1140" t="s">
        <v>758</v>
      </c>
      <c r="AP1140" t="b">
        <v>1</v>
      </c>
      <c r="AQ1140" t="s">
        <v>764</v>
      </c>
    </row>
    <row r="1141" spans="1:43" x14ac:dyDescent="0.2">
      <c r="A1141" s="14" t="s">
        <v>500</v>
      </c>
      <c r="B1141" s="17">
        <v>13831839</v>
      </c>
      <c r="C1141" s="14" t="s">
        <v>423</v>
      </c>
      <c r="D1141" s="9">
        <v>13831839</v>
      </c>
      <c r="E1141" s="9" t="s">
        <v>423</v>
      </c>
      <c r="F1141" s="7">
        <v>45717</v>
      </c>
      <c r="G1141" s="20" t="s">
        <v>46</v>
      </c>
      <c r="H1141" s="8">
        <v>919780312</v>
      </c>
      <c r="I1141" s="19">
        <v>65384145</v>
      </c>
      <c r="J1141" s="10">
        <v>20369</v>
      </c>
      <c r="K1141" s="10">
        <v>0</v>
      </c>
      <c r="L1141" s="10">
        <v>20369</v>
      </c>
      <c r="M1141" s="10">
        <v>0</v>
      </c>
      <c r="N1141" s="11">
        <v>20369</v>
      </c>
      <c r="O1141" s="12">
        <v>919780312</v>
      </c>
      <c r="P1141" s="9">
        <v>285123</v>
      </c>
      <c r="Q1141" s="9" t="s">
        <v>37</v>
      </c>
      <c r="R1141" s="13">
        <v>45717</v>
      </c>
      <c r="S1141" s="22">
        <v>45742</v>
      </c>
      <c r="T1141" s="13">
        <v>45702</v>
      </c>
      <c r="U1141" s="13">
        <v>45702</v>
      </c>
      <c r="V1141" s="9" t="s">
        <v>47</v>
      </c>
      <c r="W1141" s="9">
        <v>22770629</v>
      </c>
      <c r="X1141" s="9">
        <v>3311105</v>
      </c>
      <c r="Y1141" s="9">
        <v>69251025</v>
      </c>
      <c r="Z1141" s="9" t="s">
        <v>39</v>
      </c>
      <c r="AA1141" s="9">
        <v>1702839250</v>
      </c>
      <c r="AB1141" s="9">
        <v>78070</v>
      </c>
      <c r="AC1141" s="9" t="s">
        <v>41</v>
      </c>
      <c r="AD1141" s="9" t="s">
        <v>132</v>
      </c>
      <c r="AE1141" s="9" t="s">
        <v>133</v>
      </c>
      <c r="AF1141" s="9" t="s">
        <v>133</v>
      </c>
      <c r="AG1141" s="14" t="str">
        <f t="shared" si="38"/>
        <v>EXAMENES DE LABORATORIO</v>
      </c>
      <c r="AH1141" s="9">
        <v>0</v>
      </c>
      <c r="AI1141" s="9">
        <v>0</v>
      </c>
      <c r="AJ1141" s="9">
        <v>96942400</v>
      </c>
      <c r="AK1141" s="9">
        <v>2</v>
      </c>
      <c r="AL1141" s="26" t="s">
        <v>52</v>
      </c>
      <c r="AM1141" s="14" t="s">
        <v>705</v>
      </c>
      <c r="AN1141" s="27" t="str">
        <f t="shared" si="37"/>
        <v>13831839|96942400|919780312|65384145</v>
      </c>
      <c r="AO1141" t="s">
        <v>44</v>
      </c>
      <c r="AP1141" t="b">
        <v>0</v>
      </c>
      <c r="AQ1141" t="s">
        <v>763</v>
      </c>
    </row>
    <row r="1142" spans="1:43" x14ac:dyDescent="0.2">
      <c r="A1142" s="14" t="s">
        <v>500</v>
      </c>
      <c r="B1142" s="17">
        <v>13831839</v>
      </c>
      <c r="C1142" s="14" t="s">
        <v>423</v>
      </c>
      <c r="D1142" s="9">
        <v>13831839</v>
      </c>
      <c r="E1142" s="9" t="s">
        <v>423</v>
      </c>
      <c r="F1142" s="7">
        <v>45689</v>
      </c>
      <c r="G1142" s="20" t="s">
        <v>36</v>
      </c>
      <c r="H1142" s="8">
        <v>919780313</v>
      </c>
      <c r="I1142" s="19">
        <v>919780313</v>
      </c>
      <c r="J1142" s="10">
        <v>20600</v>
      </c>
      <c r="K1142" s="10">
        <v>6450</v>
      </c>
      <c r="L1142" s="10">
        <v>14150</v>
      </c>
      <c r="M1142" s="10">
        <v>0</v>
      </c>
      <c r="N1142" s="11">
        <v>14150</v>
      </c>
      <c r="O1142" s="12">
        <v>919780313</v>
      </c>
      <c r="P1142" s="9">
        <v>285123</v>
      </c>
      <c r="Q1142" s="9" t="s">
        <v>37</v>
      </c>
      <c r="R1142" s="13">
        <v>45702</v>
      </c>
      <c r="S1142" s="22">
        <v>45702</v>
      </c>
      <c r="T1142" s="13">
        <v>45702</v>
      </c>
      <c r="U1142" s="13">
        <v>45702</v>
      </c>
      <c r="V1142" s="9" t="s">
        <v>47</v>
      </c>
      <c r="W1142" s="9">
        <v>22598499</v>
      </c>
      <c r="X1142" s="9">
        <v>2171709</v>
      </c>
      <c r="Y1142" s="9">
        <v>68878628</v>
      </c>
      <c r="Z1142" s="9" t="s">
        <v>39</v>
      </c>
      <c r="AA1142" s="9">
        <v>16022025</v>
      </c>
      <c r="AB1142" s="9">
        <v>77646</v>
      </c>
      <c r="AC1142" s="9" t="s">
        <v>41</v>
      </c>
      <c r="AD1142" s="9" t="s">
        <v>132</v>
      </c>
      <c r="AE1142" s="9" t="s">
        <v>133</v>
      </c>
      <c r="AF1142" s="9" t="s">
        <v>133</v>
      </c>
      <c r="AG1142" s="14" t="str">
        <f t="shared" si="38"/>
        <v>EXAMENES DE LABORATORIO</v>
      </c>
      <c r="AH1142" s="9" t="s">
        <v>758</v>
      </c>
      <c r="AI1142" s="9">
        <v>0</v>
      </c>
      <c r="AJ1142" s="9">
        <v>96942400</v>
      </c>
      <c r="AK1142" s="9">
        <v>2</v>
      </c>
      <c r="AL1142" s="26" t="s">
        <v>62</v>
      </c>
      <c r="AM1142" s="14" t="s">
        <v>705</v>
      </c>
      <c r="AN1142" s="27" t="str">
        <f t="shared" si="37"/>
        <v>13831839|96942400|919780313|919780313</v>
      </c>
      <c r="AO1142" t="s">
        <v>758</v>
      </c>
      <c r="AP1142" t="b">
        <v>1</v>
      </c>
      <c r="AQ1142" t="s">
        <v>764</v>
      </c>
    </row>
    <row r="1143" spans="1:43" x14ac:dyDescent="0.2">
      <c r="A1143" s="14" t="s">
        <v>500</v>
      </c>
      <c r="B1143" s="17">
        <v>13831839</v>
      </c>
      <c r="C1143" s="14" t="s">
        <v>423</v>
      </c>
      <c r="D1143" s="9">
        <v>13831839</v>
      </c>
      <c r="E1143" s="9" t="s">
        <v>423</v>
      </c>
      <c r="F1143" s="7">
        <v>45717</v>
      </c>
      <c r="G1143" s="20" t="s">
        <v>46</v>
      </c>
      <c r="H1143" s="8">
        <v>919780313</v>
      </c>
      <c r="I1143" s="19">
        <v>65384146</v>
      </c>
      <c r="J1143" s="10">
        <v>12298</v>
      </c>
      <c r="K1143" s="10">
        <v>0</v>
      </c>
      <c r="L1143" s="10">
        <v>12298</v>
      </c>
      <c r="M1143" s="10">
        <v>0</v>
      </c>
      <c r="N1143" s="11">
        <v>12298</v>
      </c>
      <c r="O1143" s="12">
        <v>919780313</v>
      </c>
      <c r="P1143" s="9">
        <v>285123</v>
      </c>
      <c r="Q1143" s="9" t="s">
        <v>37</v>
      </c>
      <c r="R1143" s="13">
        <v>45717</v>
      </c>
      <c r="S1143" s="22">
        <v>45742</v>
      </c>
      <c r="T1143" s="13">
        <v>45702</v>
      </c>
      <c r="U1143" s="13">
        <v>45702</v>
      </c>
      <c r="V1143" s="9" t="s">
        <v>47</v>
      </c>
      <c r="W1143" s="9">
        <v>22770629</v>
      </c>
      <c r="X1143" s="9">
        <v>3311105</v>
      </c>
      <c r="Y1143" s="9">
        <v>69251026</v>
      </c>
      <c r="Z1143" s="9" t="s">
        <v>39</v>
      </c>
      <c r="AA1143" s="9">
        <v>1702839250</v>
      </c>
      <c r="AB1143" s="9">
        <v>78070</v>
      </c>
      <c r="AC1143" s="9" t="s">
        <v>41</v>
      </c>
      <c r="AD1143" s="9" t="s">
        <v>132</v>
      </c>
      <c r="AE1143" s="9" t="s">
        <v>133</v>
      </c>
      <c r="AF1143" s="9" t="s">
        <v>133</v>
      </c>
      <c r="AG1143" s="14" t="str">
        <f t="shared" si="38"/>
        <v>EXAMENES DE LABORATORIO</v>
      </c>
      <c r="AH1143" s="9">
        <v>0</v>
      </c>
      <c r="AI1143" s="9">
        <v>0</v>
      </c>
      <c r="AJ1143" s="9">
        <v>96942400</v>
      </c>
      <c r="AK1143" s="9">
        <v>2</v>
      </c>
      <c r="AL1143" s="26" t="s">
        <v>52</v>
      </c>
      <c r="AM1143" s="14" t="s">
        <v>705</v>
      </c>
      <c r="AN1143" s="27" t="str">
        <f t="shared" si="37"/>
        <v>13831839|96942400|919780313|65384146</v>
      </c>
      <c r="AO1143" t="s">
        <v>44</v>
      </c>
      <c r="AP1143" t="b">
        <v>0</v>
      </c>
      <c r="AQ1143" t="s">
        <v>763</v>
      </c>
    </row>
    <row r="1144" spans="1:43" x14ac:dyDescent="0.2">
      <c r="A1144" s="14" t="s">
        <v>500</v>
      </c>
      <c r="B1144" s="17">
        <v>13831839</v>
      </c>
      <c r="C1144" s="14" t="s">
        <v>423</v>
      </c>
      <c r="D1144" s="9">
        <v>13831839</v>
      </c>
      <c r="E1144" s="9" t="s">
        <v>423</v>
      </c>
      <c r="F1144" s="7">
        <v>45689</v>
      </c>
      <c r="G1144" s="20" t="s">
        <v>36</v>
      </c>
      <c r="H1144" s="8">
        <v>919784792</v>
      </c>
      <c r="I1144" s="19">
        <v>919784792</v>
      </c>
      <c r="J1144" s="10">
        <v>11500</v>
      </c>
      <c r="K1144" s="10">
        <v>3600</v>
      </c>
      <c r="L1144" s="10">
        <v>7900</v>
      </c>
      <c r="M1144" s="10">
        <v>0</v>
      </c>
      <c r="N1144" s="11">
        <v>7900</v>
      </c>
      <c r="O1144" s="12">
        <v>919784792</v>
      </c>
      <c r="P1144" s="9">
        <v>285123</v>
      </c>
      <c r="Q1144" s="9" t="s">
        <v>37</v>
      </c>
      <c r="R1144" s="13">
        <v>45702</v>
      </c>
      <c r="S1144" s="22">
        <v>45702</v>
      </c>
      <c r="T1144" s="13">
        <v>45702</v>
      </c>
      <c r="U1144" s="13">
        <v>45702</v>
      </c>
      <c r="V1144" s="9" t="s">
        <v>47</v>
      </c>
      <c r="W1144" s="9">
        <v>22598499</v>
      </c>
      <c r="X1144" s="9">
        <v>2171709</v>
      </c>
      <c r="Y1144" s="9">
        <v>68878668</v>
      </c>
      <c r="Z1144" s="9" t="s">
        <v>39</v>
      </c>
      <c r="AA1144" s="9">
        <v>16022025</v>
      </c>
      <c r="AB1144" s="9">
        <v>77646</v>
      </c>
      <c r="AC1144" s="9" t="s">
        <v>41</v>
      </c>
      <c r="AD1144" s="9" t="s">
        <v>65</v>
      </c>
      <c r="AE1144" s="9" t="s">
        <v>66</v>
      </c>
      <c r="AF1144" s="9" t="s">
        <v>66</v>
      </c>
      <c r="AG1144" s="14" t="str">
        <f t="shared" si="38"/>
        <v>PROCEDIMIENTOS TERAPEUTICOS</v>
      </c>
      <c r="AH1144" s="9" t="s">
        <v>758</v>
      </c>
      <c r="AI1144" s="9">
        <v>0</v>
      </c>
      <c r="AJ1144" s="9">
        <v>96942400</v>
      </c>
      <c r="AK1144" s="9">
        <v>2</v>
      </c>
      <c r="AL1144" s="26" t="s">
        <v>62</v>
      </c>
      <c r="AM1144" s="14" t="s">
        <v>705</v>
      </c>
      <c r="AN1144" s="27" t="str">
        <f t="shared" si="37"/>
        <v>13831839|96942400|919784792|919784792</v>
      </c>
      <c r="AO1144" t="s">
        <v>758</v>
      </c>
      <c r="AP1144" t="b">
        <v>1</v>
      </c>
      <c r="AQ1144" t="s">
        <v>764</v>
      </c>
    </row>
    <row r="1145" spans="1:43" x14ac:dyDescent="0.2">
      <c r="A1145" s="14" t="s">
        <v>500</v>
      </c>
      <c r="B1145" s="17">
        <v>13831839</v>
      </c>
      <c r="C1145" s="14" t="s">
        <v>423</v>
      </c>
      <c r="D1145" s="9">
        <v>13831839</v>
      </c>
      <c r="E1145" s="9" t="s">
        <v>423</v>
      </c>
      <c r="F1145" s="7">
        <v>45717</v>
      </c>
      <c r="G1145" s="20" t="s">
        <v>46</v>
      </c>
      <c r="H1145" s="8">
        <v>919784792</v>
      </c>
      <c r="I1145" s="19">
        <v>65384147</v>
      </c>
      <c r="J1145" s="10">
        <v>6918</v>
      </c>
      <c r="K1145" s="10">
        <v>0</v>
      </c>
      <c r="L1145" s="10">
        <v>6918</v>
      </c>
      <c r="M1145" s="10">
        <v>0</v>
      </c>
      <c r="N1145" s="11">
        <v>6918</v>
      </c>
      <c r="O1145" s="12">
        <v>919784792</v>
      </c>
      <c r="P1145" s="9">
        <v>285123</v>
      </c>
      <c r="Q1145" s="9" t="s">
        <v>37</v>
      </c>
      <c r="R1145" s="13">
        <v>45717</v>
      </c>
      <c r="S1145" s="22">
        <v>45742</v>
      </c>
      <c r="T1145" s="13">
        <v>45702</v>
      </c>
      <c r="U1145" s="13">
        <v>45702</v>
      </c>
      <c r="V1145" s="9" t="s">
        <v>47</v>
      </c>
      <c r="W1145" s="9">
        <v>22770629</v>
      </c>
      <c r="X1145" s="9">
        <v>3311105</v>
      </c>
      <c r="Y1145" s="9">
        <v>69251027</v>
      </c>
      <c r="Z1145" s="9" t="s">
        <v>39</v>
      </c>
      <c r="AA1145" s="9">
        <v>1702839250</v>
      </c>
      <c r="AB1145" s="9">
        <v>78070</v>
      </c>
      <c r="AC1145" s="9" t="s">
        <v>41</v>
      </c>
      <c r="AD1145" s="9" t="s">
        <v>65</v>
      </c>
      <c r="AE1145" s="9" t="s">
        <v>66</v>
      </c>
      <c r="AF1145" s="9" t="s">
        <v>66</v>
      </c>
      <c r="AG1145" s="14" t="str">
        <f t="shared" si="38"/>
        <v>PROCEDIMIENTOS TERAPEUTICOS</v>
      </c>
      <c r="AH1145" s="9">
        <v>0</v>
      </c>
      <c r="AI1145" s="9">
        <v>0</v>
      </c>
      <c r="AJ1145" s="9">
        <v>96942400</v>
      </c>
      <c r="AK1145" s="9">
        <v>2</v>
      </c>
      <c r="AL1145" s="26" t="s">
        <v>52</v>
      </c>
      <c r="AM1145" s="14" t="s">
        <v>705</v>
      </c>
      <c r="AN1145" s="27" t="str">
        <f t="shared" si="37"/>
        <v>13831839|96942400|919784792|65384147</v>
      </c>
      <c r="AO1145" t="s">
        <v>44</v>
      </c>
      <c r="AP1145" t="b">
        <v>0</v>
      </c>
      <c r="AQ1145" t="s">
        <v>763</v>
      </c>
    </row>
    <row r="1146" spans="1:43" x14ac:dyDescent="0.2">
      <c r="A1146" s="14" t="s">
        <v>500</v>
      </c>
      <c r="B1146" s="17">
        <v>8330037</v>
      </c>
      <c r="C1146" s="14" t="s">
        <v>364</v>
      </c>
      <c r="D1146" s="9">
        <v>8330037</v>
      </c>
      <c r="E1146" s="9" t="s">
        <v>364</v>
      </c>
      <c r="F1146" s="7">
        <v>45689</v>
      </c>
      <c r="G1146" s="20" t="s">
        <v>36</v>
      </c>
      <c r="H1146" s="8">
        <v>919791704</v>
      </c>
      <c r="I1146" s="19">
        <v>919791704</v>
      </c>
      <c r="J1146" s="10">
        <v>39470</v>
      </c>
      <c r="K1146" s="10">
        <v>36758</v>
      </c>
      <c r="L1146" s="10">
        <v>2712</v>
      </c>
      <c r="M1146" s="10">
        <v>0</v>
      </c>
      <c r="N1146" s="11">
        <v>2712</v>
      </c>
      <c r="O1146" s="12">
        <v>919791704</v>
      </c>
      <c r="P1146" s="9">
        <v>285123</v>
      </c>
      <c r="Q1146" s="9" t="s">
        <v>37</v>
      </c>
      <c r="R1146" s="13">
        <v>45702</v>
      </c>
      <c r="S1146" s="22">
        <v>45702</v>
      </c>
      <c r="T1146" s="13">
        <v>45702</v>
      </c>
      <c r="U1146" s="13">
        <v>45702</v>
      </c>
      <c r="V1146" s="9" t="s">
        <v>47</v>
      </c>
      <c r="W1146" s="9">
        <v>22598478</v>
      </c>
      <c r="X1146" s="9">
        <v>2171709</v>
      </c>
      <c r="Y1146" s="9">
        <v>68878715</v>
      </c>
      <c r="Z1146" s="9" t="s">
        <v>39</v>
      </c>
      <c r="AA1146" s="9">
        <v>16022025</v>
      </c>
      <c r="AB1146" s="9">
        <v>77646</v>
      </c>
      <c r="AC1146" s="9" t="s">
        <v>41</v>
      </c>
      <c r="AD1146" s="9" t="s">
        <v>132</v>
      </c>
      <c r="AE1146" s="9" t="s">
        <v>133</v>
      </c>
      <c r="AF1146" s="9" t="s">
        <v>133</v>
      </c>
      <c r="AG1146" s="14" t="str">
        <f t="shared" si="38"/>
        <v>EXAMENES DE LABORATORIO</v>
      </c>
      <c r="AH1146" s="9" t="s">
        <v>758</v>
      </c>
      <c r="AI1146" s="9">
        <v>0</v>
      </c>
      <c r="AJ1146" s="9">
        <v>96986050</v>
      </c>
      <c r="AK1146" s="9">
        <v>3</v>
      </c>
      <c r="AL1146" s="26" t="s">
        <v>62</v>
      </c>
      <c r="AM1146" s="14" t="s">
        <v>660</v>
      </c>
      <c r="AN1146" s="27" t="str">
        <f t="shared" si="37"/>
        <v>8330037|96986050|919791704|919791704</v>
      </c>
      <c r="AO1146" t="s">
        <v>758</v>
      </c>
      <c r="AP1146" t="b">
        <v>1</v>
      </c>
      <c r="AQ1146" t="s">
        <v>764</v>
      </c>
    </row>
    <row r="1147" spans="1:43" x14ac:dyDescent="0.2">
      <c r="A1147" s="14" t="s">
        <v>500</v>
      </c>
      <c r="B1147" s="17">
        <v>8330037</v>
      </c>
      <c r="C1147" s="14" t="s">
        <v>364</v>
      </c>
      <c r="D1147" s="9">
        <v>8330037</v>
      </c>
      <c r="E1147" s="9" t="s">
        <v>364</v>
      </c>
      <c r="F1147" s="7">
        <v>45717</v>
      </c>
      <c r="G1147" s="20" t="s">
        <v>46</v>
      </c>
      <c r="H1147" s="8">
        <v>919791704</v>
      </c>
      <c r="I1147" s="19">
        <v>65383653</v>
      </c>
      <c r="J1147" s="10">
        <v>3073</v>
      </c>
      <c r="K1147" s="10">
        <v>0</v>
      </c>
      <c r="L1147" s="10">
        <v>3073</v>
      </c>
      <c r="M1147" s="10">
        <v>0</v>
      </c>
      <c r="N1147" s="11">
        <v>3073</v>
      </c>
      <c r="O1147" s="12">
        <v>919791704</v>
      </c>
      <c r="P1147" s="9">
        <v>285123</v>
      </c>
      <c r="Q1147" s="9" t="s">
        <v>37</v>
      </c>
      <c r="R1147" s="13">
        <v>45717</v>
      </c>
      <c r="S1147" s="22">
        <v>45742</v>
      </c>
      <c r="T1147" s="13">
        <v>45702</v>
      </c>
      <c r="U1147" s="13">
        <v>45702</v>
      </c>
      <c r="V1147" s="9" t="s">
        <v>47</v>
      </c>
      <c r="W1147" s="9">
        <v>22770622</v>
      </c>
      <c r="X1147" s="9">
        <v>3311105</v>
      </c>
      <c r="Y1147" s="9">
        <v>69250544</v>
      </c>
      <c r="Z1147" s="9" t="s">
        <v>39</v>
      </c>
      <c r="AA1147" s="9">
        <v>21874964</v>
      </c>
      <c r="AB1147" s="9">
        <v>78070</v>
      </c>
      <c r="AC1147" s="9" t="s">
        <v>41</v>
      </c>
      <c r="AD1147" s="9" t="s">
        <v>132</v>
      </c>
      <c r="AE1147" s="9" t="s">
        <v>133</v>
      </c>
      <c r="AF1147" s="9" t="s">
        <v>133</v>
      </c>
      <c r="AG1147" s="14" t="str">
        <f t="shared" si="38"/>
        <v>EXAMENES DE LABORATORIO</v>
      </c>
      <c r="AH1147" s="9">
        <v>0</v>
      </c>
      <c r="AI1147" s="9">
        <v>0</v>
      </c>
      <c r="AJ1147" s="9">
        <v>96986050</v>
      </c>
      <c r="AK1147" s="9">
        <v>3</v>
      </c>
      <c r="AL1147" s="26" t="s">
        <v>52</v>
      </c>
      <c r="AM1147" s="14" t="s">
        <v>660</v>
      </c>
      <c r="AN1147" s="27" t="str">
        <f t="shared" si="37"/>
        <v>8330037|96986050|919791704|65383653</v>
      </c>
      <c r="AO1147" t="s">
        <v>44</v>
      </c>
      <c r="AP1147" t="b">
        <v>0</v>
      </c>
      <c r="AQ1147" t="s">
        <v>763</v>
      </c>
    </row>
    <row r="1148" spans="1:43" x14ac:dyDescent="0.2">
      <c r="A1148" s="14" t="s">
        <v>500</v>
      </c>
      <c r="B1148" s="17">
        <v>8330037</v>
      </c>
      <c r="C1148" s="14" t="s">
        <v>364</v>
      </c>
      <c r="D1148" s="9">
        <v>8330037</v>
      </c>
      <c r="E1148" s="9" t="s">
        <v>364</v>
      </c>
      <c r="F1148" s="7">
        <v>45689</v>
      </c>
      <c r="G1148" s="20" t="s">
        <v>36</v>
      </c>
      <c r="H1148" s="8">
        <v>919791705</v>
      </c>
      <c r="I1148" s="19">
        <v>919791705</v>
      </c>
      <c r="J1148" s="10">
        <v>26240</v>
      </c>
      <c r="K1148" s="10">
        <v>24873</v>
      </c>
      <c r="L1148" s="10">
        <v>1367</v>
      </c>
      <c r="M1148" s="10">
        <v>0</v>
      </c>
      <c r="N1148" s="11">
        <v>1367</v>
      </c>
      <c r="O1148" s="12">
        <v>919791705</v>
      </c>
      <c r="P1148" s="9">
        <v>285123</v>
      </c>
      <c r="Q1148" s="9" t="s">
        <v>37</v>
      </c>
      <c r="R1148" s="13">
        <v>45702</v>
      </c>
      <c r="S1148" s="22">
        <v>45702</v>
      </c>
      <c r="T1148" s="13">
        <v>45702</v>
      </c>
      <c r="U1148" s="13">
        <v>45702</v>
      </c>
      <c r="V1148" s="9" t="s">
        <v>47</v>
      </c>
      <c r="W1148" s="9">
        <v>22598478</v>
      </c>
      <c r="X1148" s="9">
        <v>2171709</v>
      </c>
      <c r="Y1148" s="9">
        <v>68878714</v>
      </c>
      <c r="Z1148" s="9" t="s">
        <v>39</v>
      </c>
      <c r="AA1148" s="9">
        <v>16022025</v>
      </c>
      <c r="AB1148" s="9">
        <v>77646</v>
      </c>
      <c r="AC1148" s="9" t="s">
        <v>41</v>
      </c>
      <c r="AD1148" s="9" t="s">
        <v>132</v>
      </c>
      <c r="AE1148" s="9" t="s">
        <v>133</v>
      </c>
      <c r="AF1148" s="9" t="s">
        <v>133</v>
      </c>
      <c r="AG1148" s="14" t="str">
        <f t="shared" si="38"/>
        <v>EXAMENES DE LABORATORIO</v>
      </c>
      <c r="AH1148" s="9" t="s">
        <v>758</v>
      </c>
      <c r="AI1148" s="9">
        <v>0</v>
      </c>
      <c r="AJ1148" s="9">
        <v>96986050</v>
      </c>
      <c r="AK1148" s="9">
        <v>3</v>
      </c>
      <c r="AL1148" s="26" t="s">
        <v>62</v>
      </c>
      <c r="AM1148" s="14" t="s">
        <v>660</v>
      </c>
      <c r="AN1148" s="27" t="str">
        <f t="shared" si="37"/>
        <v>8330037|96986050|919791705|919791705</v>
      </c>
      <c r="AO1148" t="s">
        <v>758</v>
      </c>
      <c r="AP1148" t="b">
        <v>1</v>
      </c>
      <c r="AQ1148" t="s">
        <v>764</v>
      </c>
    </row>
    <row r="1149" spans="1:43" x14ac:dyDescent="0.2">
      <c r="A1149" s="14" t="s">
        <v>500</v>
      </c>
      <c r="B1149" s="17">
        <v>8330037</v>
      </c>
      <c r="C1149" s="14" t="s">
        <v>364</v>
      </c>
      <c r="D1149" s="9">
        <v>8330037</v>
      </c>
      <c r="E1149" s="9" t="s">
        <v>364</v>
      </c>
      <c r="F1149" s="7">
        <v>45717</v>
      </c>
      <c r="G1149" s="20" t="s">
        <v>46</v>
      </c>
      <c r="H1149" s="8">
        <v>919791705</v>
      </c>
      <c r="I1149" s="19">
        <v>65383654</v>
      </c>
      <c r="J1149" s="10">
        <v>1153</v>
      </c>
      <c r="K1149" s="10">
        <v>0</v>
      </c>
      <c r="L1149" s="10">
        <v>1153</v>
      </c>
      <c r="M1149" s="10">
        <v>0</v>
      </c>
      <c r="N1149" s="11">
        <v>1153</v>
      </c>
      <c r="O1149" s="12">
        <v>919791705</v>
      </c>
      <c r="P1149" s="9">
        <v>285123</v>
      </c>
      <c r="Q1149" s="9" t="s">
        <v>37</v>
      </c>
      <c r="R1149" s="13">
        <v>45717</v>
      </c>
      <c r="S1149" s="22">
        <v>45742</v>
      </c>
      <c r="T1149" s="13">
        <v>45702</v>
      </c>
      <c r="U1149" s="13">
        <v>45702</v>
      </c>
      <c r="V1149" s="9" t="s">
        <v>47</v>
      </c>
      <c r="W1149" s="9">
        <v>22770622</v>
      </c>
      <c r="X1149" s="9">
        <v>3311105</v>
      </c>
      <c r="Y1149" s="9">
        <v>69250545</v>
      </c>
      <c r="Z1149" s="9" t="s">
        <v>39</v>
      </c>
      <c r="AA1149" s="9">
        <v>21874964</v>
      </c>
      <c r="AB1149" s="9">
        <v>78070</v>
      </c>
      <c r="AC1149" s="9" t="s">
        <v>41</v>
      </c>
      <c r="AD1149" s="9" t="s">
        <v>132</v>
      </c>
      <c r="AE1149" s="9" t="s">
        <v>133</v>
      </c>
      <c r="AF1149" s="9" t="s">
        <v>133</v>
      </c>
      <c r="AG1149" s="14" t="str">
        <f t="shared" si="38"/>
        <v>EXAMENES DE LABORATORIO</v>
      </c>
      <c r="AH1149" s="9">
        <v>0</v>
      </c>
      <c r="AI1149" s="9">
        <v>0</v>
      </c>
      <c r="AJ1149" s="9">
        <v>96986050</v>
      </c>
      <c r="AK1149" s="9">
        <v>3</v>
      </c>
      <c r="AL1149" s="26" t="s">
        <v>52</v>
      </c>
      <c r="AM1149" s="14" t="s">
        <v>660</v>
      </c>
      <c r="AN1149" s="27" t="str">
        <f t="shared" si="37"/>
        <v>8330037|96986050|919791705|65383654</v>
      </c>
      <c r="AO1149" t="s">
        <v>44</v>
      </c>
      <c r="AP1149" t="b">
        <v>0</v>
      </c>
      <c r="AQ1149" t="s">
        <v>763</v>
      </c>
    </row>
    <row r="1150" spans="1:43" x14ac:dyDescent="0.2">
      <c r="A1150" s="14" t="s">
        <v>500</v>
      </c>
      <c r="B1150" s="17">
        <v>8330037</v>
      </c>
      <c r="C1150" s="14" t="s">
        <v>364</v>
      </c>
      <c r="D1150" s="9">
        <v>8330037</v>
      </c>
      <c r="E1150" s="9" t="s">
        <v>364</v>
      </c>
      <c r="F1150" s="7">
        <v>45689</v>
      </c>
      <c r="G1150" s="20" t="s">
        <v>36</v>
      </c>
      <c r="H1150" s="8">
        <v>919800343</v>
      </c>
      <c r="I1150" s="19">
        <v>919800343</v>
      </c>
      <c r="J1150" s="10">
        <v>23120</v>
      </c>
      <c r="K1150" s="10">
        <v>21531</v>
      </c>
      <c r="L1150" s="10">
        <v>1589</v>
      </c>
      <c r="M1150" s="10">
        <v>0</v>
      </c>
      <c r="N1150" s="11">
        <v>1589</v>
      </c>
      <c r="O1150" s="12">
        <v>919800343</v>
      </c>
      <c r="P1150" s="9">
        <v>285123</v>
      </c>
      <c r="Q1150" s="9" t="s">
        <v>37</v>
      </c>
      <c r="R1150" s="13">
        <v>45702</v>
      </c>
      <c r="S1150" s="22">
        <v>45702</v>
      </c>
      <c r="T1150" s="13">
        <v>45702</v>
      </c>
      <c r="U1150" s="13">
        <v>45702</v>
      </c>
      <c r="V1150" s="9" t="s">
        <v>47</v>
      </c>
      <c r="W1150" s="9">
        <v>22598478</v>
      </c>
      <c r="X1150" s="9">
        <v>2171709</v>
      </c>
      <c r="Y1150" s="9">
        <v>68878762</v>
      </c>
      <c r="Z1150" s="9" t="s">
        <v>39</v>
      </c>
      <c r="AA1150" s="9">
        <v>16022025</v>
      </c>
      <c r="AB1150" s="9">
        <v>77646</v>
      </c>
      <c r="AC1150" s="9" t="s">
        <v>41</v>
      </c>
      <c r="AD1150" s="9" t="s">
        <v>134</v>
      </c>
      <c r="AE1150" s="9" t="s">
        <v>135</v>
      </c>
      <c r="AF1150" s="9" t="s">
        <v>135</v>
      </c>
      <c r="AG1150" s="14" t="str">
        <f t="shared" si="38"/>
        <v>EXAMENES RADIOLOGICOS</v>
      </c>
      <c r="AH1150" s="9" t="s">
        <v>758</v>
      </c>
      <c r="AI1150" s="9">
        <v>0</v>
      </c>
      <c r="AJ1150" s="9">
        <v>76098454</v>
      </c>
      <c r="AK1150" s="9" t="s">
        <v>161</v>
      </c>
      <c r="AL1150" s="26" t="s">
        <v>62</v>
      </c>
      <c r="AM1150" s="14" t="s">
        <v>660</v>
      </c>
      <c r="AN1150" s="27" t="str">
        <f t="shared" si="37"/>
        <v>8330037|76098454|919800343|919800343</v>
      </c>
      <c r="AO1150" t="s">
        <v>758</v>
      </c>
      <c r="AP1150" t="b">
        <v>1</v>
      </c>
      <c r="AQ1150" t="s">
        <v>764</v>
      </c>
    </row>
    <row r="1151" spans="1:43" x14ac:dyDescent="0.2">
      <c r="A1151" s="14" t="s">
        <v>500</v>
      </c>
      <c r="B1151" s="17">
        <v>8330037</v>
      </c>
      <c r="C1151" s="14" t="s">
        <v>364</v>
      </c>
      <c r="D1151" s="9">
        <v>8330037</v>
      </c>
      <c r="E1151" s="9" t="s">
        <v>364</v>
      </c>
      <c r="F1151" s="7">
        <v>45717</v>
      </c>
      <c r="G1151" s="20" t="s">
        <v>46</v>
      </c>
      <c r="H1151" s="8">
        <v>919800343</v>
      </c>
      <c r="I1151" s="19">
        <v>65383655</v>
      </c>
      <c r="J1151" s="10">
        <v>1537</v>
      </c>
      <c r="K1151" s="10">
        <v>0</v>
      </c>
      <c r="L1151" s="10">
        <v>1537</v>
      </c>
      <c r="M1151" s="10">
        <v>0</v>
      </c>
      <c r="N1151" s="11">
        <v>1537</v>
      </c>
      <c r="O1151" s="12">
        <v>919800343</v>
      </c>
      <c r="P1151" s="9">
        <v>285123</v>
      </c>
      <c r="Q1151" s="9" t="s">
        <v>37</v>
      </c>
      <c r="R1151" s="13">
        <v>45717</v>
      </c>
      <c r="S1151" s="22">
        <v>45742</v>
      </c>
      <c r="T1151" s="13">
        <v>45702</v>
      </c>
      <c r="U1151" s="13">
        <v>45702</v>
      </c>
      <c r="V1151" s="9" t="s">
        <v>47</v>
      </c>
      <c r="W1151" s="9">
        <v>22770622</v>
      </c>
      <c r="X1151" s="9">
        <v>3311105</v>
      </c>
      <c r="Y1151" s="9">
        <v>69250546</v>
      </c>
      <c r="Z1151" s="9" t="s">
        <v>39</v>
      </c>
      <c r="AA1151" s="9">
        <v>21874964</v>
      </c>
      <c r="AB1151" s="9">
        <v>78070</v>
      </c>
      <c r="AC1151" s="9" t="s">
        <v>41</v>
      </c>
      <c r="AD1151" s="9" t="s">
        <v>134</v>
      </c>
      <c r="AE1151" s="9" t="s">
        <v>135</v>
      </c>
      <c r="AF1151" s="9" t="s">
        <v>135</v>
      </c>
      <c r="AG1151" s="14" t="str">
        <f t="shared" si="38"/>
        <v>EXAMENES RADIOLOGICOS</v>
      </c>
      <c r="AH1151" s="9">
        <v>0</v>
      </c>
      <c r="AI1151" s="9">
        <v>0</v>
      </c>
      <c r="AJ1151" s="9">
        <v>76098454</v>
      </c>
      <c r="AK1151" s="9" t="s">
        <v>161</v>
      </c>
      <c r="AL1151" s="26" t="s">
        <v>52</v>
      </c>
      <c r="AM1151" s="14" t="s">
        <v>660</v>
      </c>
      <c r="AN1151" s="27" t="str">
        <f t="shared" si="37"/>
        <v>8330037|76098454|919800343|65383655</v>
      </c>
      <c r="AO1151" t="s">
        <v>44</v>
      </c>
      <c r="AP1151" t="b">
        <v>0</v>
      </c>
      <c r="AQ1151" t="s">
        <v>763</v>
      </c>
    </row>
    <row r="1152" spans="1:43" x14ac:dyDescent="0.2">
      <c r="A1152" s="14" t="s">
        <v>500</v>
      </c>
      <c r="B1152" s="17">
        <v>9004627</v>
      </c>
      <c r="C1152" s="14" t="s">
        <v>393</v>
      </c>
      <c r="D1152" s="9">
        <v>20245250</v>
      </c>
      <c r="E1152" s="9" t="s">
        <v>424</v>
      </c>
      <c r="F1152" s="7">
        <v>45689</v>
      </c>
      <c r="G1152" s="20" t="s">
        <v>36</v>
      </c>
      <c r="H1152" s="8">
        <v>919800905</v>
      </c>
      <c r="I1152" s="19">
        <v>919800905</v>
      </c>
      <c r="J1152" s="10">
        <v>23200</v>
      </c>
      <c r="K1152" s="10">
        <v>7270</v>
      </c>
      <c r="L1152" s="10">
        <v>15930</v>
      </c>
      <c r="M1152" s="10">
        <v>0</v>
      </c>
      <c r="N1152" s="11">
        <v>15930</v>
      </c>
      <c r="O1152" s="12">
        <v>919800905</v>
      </c>
      <c r="P1152" s="9">
        <v>285123</v>
      </c>
      <c r="Q1152" s="9" t="s">
        <v>37</v>
      </c>
      <c r="R1152" s="13">
        <v>45702</v>
      </c>
      <c r="S1152" s="22">
        <v>45702</v>
      </c>
      <c r="T1152" s="13">
        <v>45702</v>
      </c>
      <c r="U1152" s="13">
        <v>45702</v>
      </c>
      <c r="V1152" s="9" t="s">
        <v>47</v>
      </c>
      <c r="W1152" s="9">
        <v>22598480</v>
      </c>
      <c r="X1152" s="9">
        <v>2171709</v>
      </c>
      <c r="Y1152" s="9">
        <v>68878765</v>
      </c>
      <c r="Z1152" s="9" t="s">
        <v>39</v>
      </c>
      <c r="AA1152" s="9">
        <v>16022025</v>
      </c>
      <c r="AB1152" s="9">
        <v>77646</v>
      </c>
      <c r="AC1152" s="9" t="s">
        <v>41</v>
      </c>
      <c r="AD1152" s="9" t="s">
        <v>132</v>
      </c>
      <c r="AE1152" s="9" t="s">
        <v>133</v>
      </c>
      <c r="AF1152" s="9" t="s">
        <v>133</v>
      </c>
      <c r="AG1152" s="14" t="str">
        <f t="shared" si="38"/>
        <v>EXAMENES DE LABORATORIO</v>
      </c>
      <c r="AH1152" s="9" t="s">
        <v>758</v>
      </c>
      <c r="AI1152" s="9">
        <v>0</v>
      </c>
      <c r="AJ1152" s="9">
        <v>96530470</v>
      </c>
      <c r="AK1152" s="9">
        <v>3</v>
      </c>
      <c r="AL1152" s="26" t="s">
        <v>62</v>
      </c>
      <c r="AM1152" s="14" t="s">
        <v>683</v>
      </c>
      <c r="AN1152" s="27" t="str">
        <f t="shared" si="37"/>
        <v>9004627|96530470|919800905|919800905</v>
      </c>
      <c r="AO1152" t="s">
        <v>758</v>
      </c>
      <c r="AP1152" t="b">
        <v>1</v>
      </c>
      <c r="AQ1152" t="s">
        <v>764</v>
      </c>
    </row>
    <row r="1153" spans="1:43" x14ac:dyDescent="0.2">
      <c r="A1153" s="14" t="s">
        <v>500</v>
      </c>
      <c r="B1153" s="17">
        <v>9004627</v>
      </c>
      <c r="C1153" s="14" t="s">
        <v>393</v>
      </c>
      <c r="D1153" s="9">
        <v>20245250</v>
      </c>
      <c r="E1153" s="9" t="s">
        <v>424</v>
      </c>
      <c r="F1153" s="7">
        <v>45717</v>
      </c>
      <c r="G1153" s="20" t="s">
        <v>46</v>
      </c>
      <c r="H1153" s="8">
        <v>919800905</v>
      </c>
      <c r="I1153" s="19">
        <v>65383703</v>
      </c>
      <c r="J1153" s="10">
        <v>13066</v>
      </c>
      <c r="K1153" s="10">
        <v>0</v>
      </c>
      <c r="L1153" s="10">
        <v>13066</v>
      </c>
      <c r="M1153" s="10">
        <v>0</v>
      </c>
      <c r="N1153" s="11">
        <v>13066</v>
      </c>
      <c r="O1153" s="12">
        <v>919800905</v>
      </c>
      <c r="P1153" s="9">
        <v>285123</v>
      </c>
      <c r="Q1153" s="9" t="s">
        <v>37</v>
      </c>
      <c r="R1153" s="13">
        <v>45717</v>
      </c>
      <c r="S1153" s="22">
        <v>45742</v>
      </c>
      <c r="T1153" s="13">
        <v>45702</v>
      </c>
      <c r="U1153" s="13">
        <v>45702</v>
      </c>
      <c r="V1153" s="9" t="s">
        <v>47</v>
      </c>
      <c r="W1153" s="9">
        <v>22770624</v>
      </c>
      <c r="X1153" s="9">
        <v>3311105</v>
      </c>
      <c r="Y1153" s="9">
        <v>69250594</v>
      </c>
      <c r="Z1153" s="9" t="s">
        <v>39</v>
      </c>
      <c r="AA1153" s="9">
        <v>14076980</v>
      </c>
      <c r="AB1153" s="9">
        <v>78070</v>
      </c>
      <c r="AC1153" s="9" t="s">
        <v>41</v>
      </c>
      <c r="AD1153" s="9" t="s">
        <v>132</v>
      </c>
      <c r="AE1153" s="9" t="s">
        <v>133</v>
      </c>
      <c r="AF1153" s="9" t="s">
        <v>133</v>
      </c>
      <c r="AG1153" s="14" t="str">
        <f t="shared" si="38"/>
        <v>EXAMENES DE LABORATORIO</v>
      </c>
      <c r="AH1153" s="9">
        <v>0</v>
      </c>
      <c r="AI1153" s="9">
        <v>0</v>
      </c>
      <c r="AJ1153" s="9">
        <v>96530470</v>
      </c>
      <c r="AK1153" s="9">
        <v>3</v>
      </c>
      <c r="AL1153" s="26" t="s">
        <v>52</v>
      </c>
      <c r="AM1153" s="14" t="s">
        <v>683</v>
      </c>
      <c r="AN1153" s="27" t="str">
        <f t="shared" si="37"/>
        <v>9004627|96530470|919800905|65383703</v>
      </c>
      <c r="AO1153" t="s">
        <v>44</v>
      </c>
      <c r="AP1153" t="b">
        <v>0</v>
      </c>
      <c r="AQ1153" t="s">
        <v>763</v>
      </c>
    </row>
    <row r="1154" spans="1:43" x14ac:dyDescent="0.2">
      <c r="A1154" s="14" t="s">
        <v>500</v>
      </c>
      <c r="B1154" s="17">
        <v>9004627</v>
      </c>
      <c r="C1154" s="14" t="s">
        <v>393</v>
      </c>
      <c r="D1154" s="9">
        <v>20245250</v>
      </c>
      <c r="E1154" s="9" t="s">
        <v>424</v>
      </c>
      <c r="F1154" s="7">
        <v>45689</v>
      </c>
      <c r="G1154" s="20" t="s">
        <v>36</v>
      </c>
      <c r="H1154" s="8">
        <v>919807200</v>
      </c>
      <c r="I1154" s="19">
        <v>919807200</v>
      </c>
      <c r="J1154" s="10">
        <v>41600</v>
      </c>
      <c r="K1154" s="10">
        <v>13000</v>
      </c>
      <c r="L1154" s="10">
        <v>28600</v>
      </c>
      <c r="M1154" s="10">
        <v>0</v>
      </c>
      <c r="N1154" s="11">
        <v>28600</v>
      </c>
      <c r="O1154" s="12">
        <v>919807200</v>
      </c>
      <c r="P1154" s="9">
        <v>285123</v>
      </c>
      <c r="Q1154" s="9" t="s">
        <v>37</v>
      </c>
      <c r="R1154" s="13">
        <v>45702</v>
      </c>
      <c r="S1154" s="22">
        <v>45702</v>
      </c>
      <c r="T1154" s="13">
        <v>45702</v>
      </c>
      <c r="U1154" s="13">
        <v>45702</v>
      </c>
      <c r="V1154" s="9" t="s">
        <v>47</v>
      </c>
      <c r="W1154" s="9">
        <v>22598480</v>
      </c>
      <c r="X1154" s="9">
        <v>2171709</v>
      </c>
      <c r="Y1154" s="9">
        <v>68878794</v>
      </c>
      <c r="Z1154" s="9" t="s">
        <v>39</v>
      </c>
      <c r="AA1154" s="9">
        <v>16022025</v>
      </c>
      <c r="AB1154" s="9">
        <v>77646</v>
      </c>
      <c r="AC1154" s="9" t="s">
        <v>41</v>
      </c>
      <c r="AD1154" s="9" t="s">
        <v>134</v>
      </c>
      <c r="AE1154" s="9" t="s">
        <v>135</v>
      </c>
      <c r="AF1154" s="9" t="s">
        <v>135</v>
      </c>
      <c r="AG1154" s="14" t="str">
        <f t="shared" si="38"/>
        <v>EXAMENES RADIOLOGICOS</v>
      </c>
      <c r="AH1154" s="9" t="s">
        <v>758</v>
      </c>
      <c r="AI1154" s="9">
        <v>0</v>
      </c>
      <c r="AJ1154" s="9">
        <v>79980070</v>
      </c>
      <c r="AK1154" s="9">
        <v>5</v>
      </c>
      <c r="AL1154" s="26" t="s">
        <v>62</v>
      </c>
      <c r="AM1154" s="14" t="s">
        <v>683</v>
      </c>
      <c r="AN1154" s="27" t="str">
        <f t="shared" si="37"/>
        <v>9004627|79980070|919807200|919807200</v>
      </c>
      <c r="AO1154" t="s">
        <v>758</v>
      </c>
      <c r="AP1154" t="b">
        <v>1</v>
      </c>
      <c r="AQ1154" t="s">
        <v>764</v>
      </c>
    </row>
    <row r="1155" spans="1:43" x14ac:dyDescent="0.2">
      <c r="A1155" s="14" t="s">
        <v>500</v>
      </c>
      <c r="B1155" s="17">
        <v>9004627</v>
      </c>
      <c r="C1155" s="14" t="s">
        <v>393</v>
      </c>
      <c r="D1155" s="9">
        <v>20245250</v>
      </c>
      <c r="E1155" s="9" t="s">
        <v>424</v>
      </c>
      <c r="F1155" s="7">
        <v>45717</v>
      </c>
      <c r="G1155" s="20" t="s">
        <v>46</v>
      </c>
      <c r="H1155" s="8">
        <v>919807200</v>
      </c>
      <c r="I1155" s="19">
        <v>65383704</v>
      </c>
      <c r="J1155" s="10">
        <v>24599</v>
      </c>
      <c r="K1155" s="10">
        <v>0</v>
      </c>
      <c r="L1155" s="10">
        <v>24599</v>
      </c>
      <c r="M1155" s="10">
        <v>0</v>
      </c>
      <c r="N1155" s="11">
        <v>24599</v>
      </c>
      <c r="O1155" s="12">
        <v>919807200</v>
      </c>
      <c r="P1155" s="9">
        <v>285123</v>
      </c>
      <c r="Q1155" s="9" t="s">
        <v>37</v>
      </c>
      <c r="R1155" s="13">
        <v>45717</v>
      </c>
      <c r="S1155" s="22">
        <v>45742</v>
      </c>
      <c r="T1155" s="13">
        <v>45702</v>
      </c>
      <c r="U1155" s="13">
        <v>45702</v>
      </c>
      <c r="V1155" s="9" t="s">
        <v>47</v>
      </c>
      <c r="W1155" s="9">
        <v>22770624</v>
      </c>
      <c r="X1155" s="9">
        <v>3311105</v>
      </c>
      <c r="Y1155" s="9">
        <v>69250595</v>
      </c>
      <c r="Z1155" s="9" t="s">
        <v>39</v>
      </c>
      <c r="AA1155" s="9">
        <v>14076980</v>
      </c>
      <c r="AB1155" s="9">
        <v>78070</v>
      </c>
      <c r="AC1155" s="9" t="s">
        <v>41</v>
      </c>
      <c r="AD1155" s="9" t="s">
        <v>134</v>
      </c>
      <c r="AE1155" s="9" t="s">
        <v>135</v>
      </c>
      <c r="AF1155" s="9" t="s">
        <v>135</v>
      </c>
      <c r="AG1155" s="14" t="str">
        <f t="shared" si="38"/>
        <v>EXAMENES RADIOLOGICOS</v>
      </c>
      <c r="AH1155" s="9">
        <v>0</v>
      </c>
      <c r="AI1155" s="9">
        <v>0</v>
      </c>
      <c r="AJ1155" s="9">
        <v>79980070</v>
      </c>
      <c r="AK1155" s="9">
        <v>5</v>
      </c>
      <c r="AL1155" s="26" t="s">
        <v>52</v>
      </c>
      <c r="AM1155" s="14" t="s">
        <v>683</v>
      </c>
      <c r="AN1155" s="27" t="str">
        <f t="shared" ref="AN1155:AN1218" si="39">B1155&amp;"|"&amp;AJ1155&amp;"|"&amp;H1155&amp;"|"&amp;I1155</f>
        <v>9004627|79980070|919807200|65383704</v>
      </c>
      <c r="AO1155" t="s">
        <v>44</v>
      </c>
      <c r="AP1155" t="b">
        <v>0</v>
      </c>
      <c r="AQ1155" t="s">
        <v>763</v>
      </c>
    </row>
    <row r="1156" spans="1:43" x14ac:dyDescent="0.2">
      <c r="A1156" s="14" t="s">
        <v>500</v>
      </c>
      <c r="B1156" s="17">
        <v>8622610</v>
      </c>
      <c r="C1156" s="14" t="s">
        <v>425</v>
      </c>
      <c r="D1156" s="9">
        <v>8622610</v>
      </c>
      <c r="E1156" s="9" t="s">
        <v>425</v>
      </c>
      <c r="F1156" s="7">
        <v>45689</v>
      </c>
      <c r="G1156" s="20" t="s">
        <v>36</v>
      </c>
      <c r="H1156" s="8">
        <v>919842619</v>
      </c>
      <c r="I1156" s="19">
        <v>919842619</v>
      </c>
      <c r="J1156" s="10">
        <v>96370</v>
      </c>
      <c r="K1156" s="10">
        <v>63245</v>
      </c>
      <c r="L1156" s="10">
        <v>33125</v>
      </c>
      <c r="M1156" s="10">
        <v>0</v>
      </c>
      <c r="N1156" s="11">
        <v>33125</v>
      </c>
      <c r="O1156" s="12">
        <v>919842619</v>
      </c>
      <c r="P1156" s="9">
        <v>285123</v>
      </c>
      <c r="Q1156" s="9" t="s">
        <v>37</v>
      </c>
      <c r="R1156" s="13">
        <v>45702</v>
      </c>
      <c r="S1156" s="22">
        <v>45702</v>
      </c>
      <c r="T1156" s="13">
        <v>45702</v>
      </c>
      <c r="U1156" s="13">
        <v>45702</v>
      </c>
      <c r="V1156" s="9" t="s">
        <v>47</v>
      </c>
      <c r="W1156" s="9">
        <v>22598479</v>
      </c>
      <c r="X1156" s="9">
        <v>2171709</v>
      </c>
      <c r="Y1156" s="9">
        <v>68878971</v>
      </c>
      <c r="Z1156" s="9" t="s">
        <v>39</v>
      </c>
      <c r="AA1156" s="9">
        <v>16022025</v>
      </c>
      <c r="AB1156" s="9">
        <v>77646</v>
      </c>
      <c r="AC1156" s="9" t="s">
        <v>41</v>
      </c>
      <c r="AD1156" s="9" t="s">
        <v>134</v>
      </c>
      <c r="AE1156" s="9" t="s">
        <v>135</v>
      </c>
      <c r="AF1156" s="9" t="s">
        <v>135</v>
      </c>
      <c r="AG1156" s="14" t="str">
        <f t="shared" si="38"/>
        <v>EXAMENES RADIOLOGICOS</v>
      </c>
      <c r="AH1156" s="9" t="s">
        <v>758</v>
      </c>
      <c r="AI1156" s="9">
        <v>0</v>
      </c>
      <c r="AJ1156" s="9">
        <v>76098454</v>
      </c>
      <c r="AK1156" s="9" t="s">
        <v>161</v>
      </c>
      <c r="AL1156" s="26" t="s">
        <v>62</v>
      </c>
      <c r="AM1156" s="14" t="s">
        <v>706</v>
      </c>
      <c r="AN1156" s="27" t="str">
        <f t="shared" si="39"/>
        <v>8622610|76098454|919842619|919842619</v>
      </c>
      <c r="AO1156" t="s">
        <v>758</v>
      </c>
      <c r="AP1156" t="b">
        <v>1</v>
      </c>
      <c r="AQ1156" t="s">
        <v>764</v>
      </c>
    </row>
    <row r="1157" spans="1:43" x14ac:dyDescent="0.2">
      <c r="A1157" s="14" t="s">
        <v>500</v>
      </c>
      <c r="B1157" s="17">
        <v>8622610</v>
      </c>
      <c r="C1157" s="14" t="s">
        <v>425</v>
      </c>
      <c r="D1157" s="9">
        <v>8622610</v>
      </c>
      <c r="E1157" s="9" t="s">
        <v>425</v>
      </c>
      <c r="F1157" s="7">
        <v>45717</v>
      </c>
      <c r="G1157" s="20" t="s">
        <v>46</v>
      </c>
      <c r="H1157" s="8">
        <v>919842619</v>
      </c>
      <c r="I1157" s="19">
        <v>65383688</v>
      </c>
      <c r="J1157" s="10">
        <v>57271</v>
      </c>
      <c r="K1157" s="10">
        <v>0</v>
      </c>
      <c r="L1157" s="10">
        <v>57271</v>
      </c>
      <c r="M1157" s="10">
        <v>0</v>
      </c>
      <c r="N1157" s="11">
        <v>57271</v>
      </c>
      <c r="O1157" s="12">
        <v>919842619</v>
      </c>
      <c r="P1157" s="9">
        <v>285123</v>
      </c>
      <c r="Q1157" s="9" t="s">
        <v>37</v>
      </c>
      <c r="R1157" s="13">
        <v>45717</v>
      </c>
      <c r="S1157" s="22">
        <v>45742</v>
      </c>
      <c r="T1157" s="13">
        <v>45702</v>
      </c>
      <c r="U1157" s="13">
        <v>45702</v>
      </c>
      <c r="V1157" s="9" t="s">
        <v>47</v>
      </c>
      <c r="W1157" s="9">
        <v>22770623</v>
      </c>
      <c r="X1157" s="9">
        <v>3311105</v>
      </c>
      <c r="Y1157" s="9">
        <v>69250579</v>
      </c>
      <c r="Z1157" s="9" t="s">
        <v>39</v>
      </c>
      <c r="AA1157" s="9">
        <v>260100228841</v>
      </c>
      <c r="AB1157" s="9">
        <v>78070</v>
      </c>
      <c r="AC1157" s="9" t="s">
        <v>41</v>
      </c>
      <c r="AD1157" s="9" t="s">
        <v>134</v>
      </c>
      <c r="AE1157" s="9" t="s">
        <v>135</v>
      </c>
      <c r="AF1157" s="9" t="s">
        <v>135</v>
      </c>
      <c r="AG1157" s="14" t="str">
        <f t="shared" si="38"/>
        <v>EXAMENES RADIOLOGICOS</v>
      </c>
      <c r="AH1157" s="9">
        <v>0</v>
      </c>
      <c r="AI1157" s="9">
        <v>0</v>
      </c>
      <c r="AJ1157" s="9">
        <v>76098454</v>
      </c>
      <c r="AK1157" s="9" t="s">
        <v>161</v>
      </c>
      <c r="AL1157" s="26" t="s">
        <v>52</v>
      </c>
      <c r="AM1157" s="14" t="s">
        <v>706</v>
      </c>
      <c r="AN1157" s="27" t="str">
        <f t="shared" si="39"/>
        <v>8622610|76098454|919842619|65383688</v>
      </c>
      <c r="AO1157" t="s">
        <v>44</v>
      </c>
      <c r="AP1157" t="b">
        <v>0</v>
      </c>
      <c r="AQ1157" t="s">
        <v>763</v>
      </c>
    </row>
    <row r="1158" spans="1:43" x14ac:dyDescent="0.2">
      <c r="A1158" s="14" t="s">
        <v>500</v>
      </c>
      <c r="B1158" s="17">
        <v>15308884</v>
      </c>
      <c r="C1158" s="14" t="s">
        <v>420</v>
      </c>
      <c r="D1158" s="9">
        <v>15308884</v>
      </c>
      <c r="E1158" s="9" t="s">
        <v>420</v>
      </c>
      <c r="F1158" s="7">
        <v>45689</v>
      </c>
      <c r="G1158" s="20" t="s">
        <v>36</v>
      </c>
      <c r="H1158" s="8">
        <v>919860206</v>
      </c>
      <c r="I1158" s="19">
        <v>919860206</v>
      </c>
      <c r="J1158" s="10">
        <v>173370</v>
      </c>
      <c r="K1158" s="10">
        <v>130030</v>
      </c>
      <c r="L1158" s="10">
        <v>43340</v>
      </c>
      <c r="M1158" s="10">
        <v>0</v>
      </c>
      <c r="N1158" s="11">
        <v>43340</v>
      </c>
      <c r="O1158" s="12">
        <v>919860206</v>
      </c>
      <c r="P1158" s="9">
        <v>285123</v>
      </c>
      <c r="Q1158" s="9" t="s">
        <v>37</v>
      </c>
      <c r="R1158" s="13">
        <v>45702</v>
      </c>
      <c r="S1158" s="22">
        <v>45702</v>
      </c>
      <c r="T1158" s="13">
        <v>45702</v>
      </c>
      <c r="U1158" s="13">
        <v>45702</v>
      </c>
      <c r="V1158" s="9" t="s">
        <v>47</v>
      </c>
      <c r="W1158" s="9">
        <v>22598501</v>
      </c>
      <c r="X1158" s="9">
        <v>2171709</v>
      </c>
      <c r="Y1158" s="9">
        <v>68879090</v>
      </c>
      <c r="Z1158" s="9" t="s">
        <v>39</v>
      </c>
      <c r="AA1158" s="9">
        <v>16022025</v>
      </c>
      <c r="AB1158" s="9">
        <v>77646</v>
      </c>
      <c r="AC1158" s="9" t="s">
        <v>41</v>
      </c>
      <c r="AD1158" s="9" t="s">
        <v>134</v>
      </c>
      <c r="AE1158" s="9" t="s">
        <v>135</v>
      </c>
      <c r="AF1158" s="9" t="s">
        <v>135</v>
      </c>
      <c r="AG1158" s="14" t="str">
        <f t="shared" si="38"/>
        <v>EXAMENES RADIOLOGICOS</v>
      </c>
      <c r="AH1158" s="9" t="s">
        <v>758</v>
      </c>
      <c r="AI1158" s="9">
        <v>0</v>
      </c>
      <c r="AJ1158" s="9">
        <v>76853020</v>
      </c>
      <c r="AK1158" s="9">
        <v>3</v>
      </c>
      <c r="AL1158" s="26" t="s">
        <v>62</v>
      </c>
      <c r="AM1158" s="14" t="s">
        <v>703</v>
      </c>
      <c r="AN1158" s="27" t="str">
        <f t="shared" si="39"/>
        <v>15308884|76853020|919860206|919860206</v>
      </c>
      <c r="AO1158" t="s">
        <v>758</v>
      </c>
      <c r="AP1158" t="b">
        <v>1</v>
      </c>
      <c r="AQ1158" t="s">
        <v>764</v>
      </c>
    </row>
    <row r="1159" spans="1:43" x14ac:dyDescent="0.2">
      <c r="A1159" s="14" t="s">
        <v>500</v>
      </c>
      <c r="B1159" s="17">
        <v>15308884</v>
      </c>
      <c r="C1159" s="14" t="s">
        <v>420</v>
      </c>
      <c r="D1159" s="9">
        <v>15308884</v>
      </c>
      <c r="E1159" s="9" t="s">
        <v>420</v>
      </c>
      <c r="F1159" s="7">
        <v>45717</v>
      </c>
      <c r="G1159" s="20" t="s">
        <v>46</v>
      </c>
      <c r="H1159" s="8">
        <v>919860206</v>
      </c>
      <c r="I1159" s="19">
        <v>65384266</v>
      </c>
      <c r="J1159" s="10">
        <v>43433</v>
      </c>
      <c r="K1159" s="10">
        <v>0</v>
      </c>
      <c r="L1159" s="10">
        <v>43433</v>
      </c>
      <c r="M1159" s="10">
        <v>0</v>
      </c>
      <c r="N1159" s="11">
        <v>43433</v>
      </c>
      <c r="O1159" s="12">
        <v>919860206</v>
      </c>
      <c r="P1159" s="9">
        <v>285123</v>
      </c>
      <c r="Q1159" s="9" t="s">
        <v>37</v>
      </c>
      <c r="R1159" s="13">
        <v>45717</v>
      </c>
      <c r="S1159" s="22">
        <v>45742</v>
      </c>
      <c r="T1159" s="13">
        <v>45702</v>
      </c>
      <c r="U1159" s="13">
        <v>45702</v>
      </c>
      <c r="V1159" s="9" t="s">
        <v>47</v>
      </c>
      <c r="W1159" s="9">
        <v>22770631</v>
      </c>
      <c r="X1159" s="9">
        <v>3311105</v>
      </c>
      <c r="Y1159" s="9">
        <v>69251139</v>
      </c>
      <c r="Z1159" s="9" t="s">
        <v>39</v>
      </c>
      <c r="AA1159" s="9">
        <v>19997455443</v>
      </c>
      <c r="AB1159" s="9">
        <v>78070</v>
      </c>
      <c r="AC1159" s="9" t="s">
        <v>41</v>
      </c>
      <c r="AD1159" s="9" t="s">
        <v>134</v>
      </c>
      <c r="AE1159" s="9" t="s">
        <v>135</v>
      </c>
      <c r="AF1159" s="9" t="s">
        <v>135</v>
      </c>
      <c r="AG1159" s="14" t="str">
        <f t="shared" si="38"/>
        <v>EXAMENES RADIOLOGICOS</v>
      </c>
      <c r="AH1159" s="9">
        <v>0</v>
      </c>
      <c r="AI1159" s="9">
        <v>0</v>
      </c>
      <c r="AJ1159" s="9">
        <v>76853020</v>
      </c>
      <c r="AK1159" s="9">
        <v>3</v>
      </c>
      <c r="AL1159" s="26" t="s">
        <v>52</v>
      </c>
      <c r="AM1159" s="14" t="s">
        <v>703</v>
      </c>
      <c r="AN1159" s="27" t="str">
        <f t="shared" si="39"/>
        <v>15308884|76853020|919860206|65384266</v>
      </c>
      <c r="AO1159" t="s">
        <v>44</v>
      </c>
      <c r="AP1159" t="b">
        <v>0</v>
      </c>
      <c r="AQ1159" t="s">
        <v>763</v>
      </c>
    </row>
    <row r="1160" spans="1:43" x14ac:dyDescent="0.2">
      <c r="A1160" s="14" t="s">
        <v>500</v>
      </c>
      <c r="B1160" s="17">
        <v>26246811</v>
      </c>
      <c r="C1160" s="14" t="s">
        <v>186</v>
      </c>
      <c r="D1160" s="9">
        <v>26246811</v>
      </c>
      <c r="E1160" s="9" t="s">
        <v>186</v>
      </c>
      <c r="F1160" s="7">
        <v>45689</v>
      </c>
      <c r="G1160" s="20" t="s">
        <v>36</v>
      </c>
      <c r="H1160" s="8">
        <v>919863136</v>
      </c>
      <c r="I1160" s="19">
        <v>919863136</v>
      </c>
      <c r="J1160" s="10">
        <v>13660</v>
      </c>
      <c r="K1160" s="10">
        <v>4280</v>
      </c>
      <c r="L1160" s="10">
        <v>9380</v>
      </c>
      <c r="M1160" s="10">
        <v>0</v>
      </c>
      <c r="N1160" s="11">
        <v>9380</v>
      </c>
      <c r="O1160" s="12">
        <v>919863136</v>
      </c>
      <c r="P1160" s="9">
        <v>285123</v>
      </c>
      <c r="Q1160" s="9" t="s">
        <v>37</v>
      </c>
      <c r="R1160" s="13">
        <v>45702</v>
      </c>
      <c r="S1160" s="22">
        <v>45702</v>
      </c>
      <c r="T1160" s="13">
        <v>45702</v>
      </c>
      <c r="U1160" s="13">
        <v>45702</v>
      </c>
      <c r="V1160" s="9" t="s">
        <v>47</v>
      </c>
      <c r="W1160" s="9">
        <v>22598515</v>
      </c>
      <c r="X1160" s="9">
        <v>2171709</v>
      </c>
      <c r="Y1160" s="9">
        <v>68879109</v>
      </c>
      <c r="Z1160" s="9" t="s">
        <v>39</v>
      </c>
      <c r="AA1160" s="9">
        <v>16022025</v>
      </c>
      <c r="AB1160" s="9">
        <v>77646</v>
      </c>
      <c r="AC1160" s="9" t="s">
        <v>41</v>
      </c>
      <c r="AD1160" s="9" t="s">
        <v>65</v>
      </c>
      <c r="AE1160" s="9" t="s">
        <v>66</v>
      </c>
      <c r="AF1160" s="9" t="s">
        <v>66</v>
      </c>
      <c r="AG1160" s="14" t="str">
        <f t="shared" si="38"/>
        <v>PROCEDIMIENTOS TERAPEUTICOS</v>
      </c>
      <c r="AH1160" s="9" t="s">
        <v>758</v>
      </c>
      <c r="AI1160" s="9">
        <v>0</v>
      </c>
      <c r="AJ1160" s="9">
        <v>96923250</v>
      </c>
      <c r="AK1160" s="9">
        <v>2</v>
      </c>
      <c r="AL1160" s="26" t="s">
        <v>62</v>
      </c>
      <c r="AM1160" s="14" t="s">
        <v>536</v>
      </c>
      <c r="AN1160" s="27" t="str">
        <f t="shared" si="39"/>
        <v>26246811|96923250|919863136|919863136</v>
      </c>
      <c r="AO1160" t="s">
        <v>758</v>
      </c>
      <c r="AP1160" t="b">
        <v>1</v>
      </c>
      <c r="AQ1160" t="s">
        <v>764</v>
      </c>
    </row>
    <row r="1161" spans="1:43" x14ac:dyDescent="0.2">
      <c r="A1161" s="14" t="s">
        <v>500</v>
      </c>
      <c r="B1161" s="17">
        <v>26246811</v>
      </c>
      <c r="C1161" s="14" t="s">
        <v>186</v>
      </c>
      <c r="D1161" s="9">
        <v>26246811</v>
      </c>
      <c r="E1161" s="9" t="s">
        <v>186</v>
      </c>
      <c r="F1161" s="7">
        <v>45717</v>
      </c>
      <c r="G1161" s="20" t="s">
        <v>46</v>
      </c>
      <c r="H1161" s="8">
        <v>919863136</v>
      </c>
      <c r="I1161" s="19">
        <v>65384541</v>
      </c>
      <c r="J1161" s="10">
        <v>7686</v>
      </c>
      <c r="K1161" s="10">
        <v>0</v>
      </c>
      <c r="L1161" s="10">
        <v>7686</v>
      </c>
      <c r="M1161" s="10">
        <v>0</v>
      </c>
      <c r="N1161" s="11">
        <v>7686</v>
      </c>
      <c r="O1161" s="12">
        <v>919863136</v>
      </c>
      <c r="P1161" s="9">
        <v>285123</v>
      </c>
      <c r="Q1161" s="9" t="s">
        <v>37</v>
      </c>
      <c r="R1161" s="13">
        <v>45717</v>
      </c>
      <c r="S1161" s="22">
        <v>45742</v>
      </c>
      <c r="T1161" s="13">
        <v>45702</v>
      </c>
      <c r="U1161" s="13">
        <v>45702</v>
      </c>
      <c r="V1161" s="9" t="s">
        <v>47</v>
      </c>
      <c r="W1161" s="9">
        <v>22770632</v>
      </c>
      <c r="X1161" s="9">
        <v>3311105</v>
      </c>
      <c r="Y1161" s="9">
        <v>69251404</v>
      </c>
      <c r="Z1161" s="9" t="s">
        <v>39</v>
      </c>
      <c r="AA1161" s="9">
        <v>83503556</v>
      </c>
      <c r="AB1161" s="9">
        <v>78070</v>
      </c>
      <c r="AC1161" s="9" t="s">
        <v>41</v>
      </c>
      <c r="AD1161" s="9" t="s">
        <v>65</v>
      </c>
      <c r="AE1161" s="9" t="s">
        <v>66</v>
      </c>
      <c r="AF1161" s="9" t="s">
        <v>66</v>
      </c>
      <c r="AG1161" s="14" t="str">
        <f t="shared" si="38"/>
        <v>PROCEDIMIENTOS TERAPEUTICOS</v>
      </c>
      <c r="AH1161" s="9">
        <v>0</v>
      </c>
      <c r="AI1161" s="9">
        <v>0</v>
      </c>
      <c r="AJ1161" s="9">
        <v>96923250</v>
      </c>
      <c r="AK1161" s="9">
        <v>2</v>
      </c>
      <c r="AL1161" s="26" t="s">
        <v>52</v>
      </c>
      <c r="AM1161" s="14" t="s">
        <v>536</v>
      </c>
      <c r="AN1161" s="27" t="str">
        <f t="shared" si="39"/>
        <v>26246811|96923250|919863136|65384541</v>
      </c>
      <c r="AO1161" t="s">
        <v>44</v>
      </c>
      <c r="AP1161" t="b">
        <v>0</v>
      </c>
      <c r="AQ1161" t="s">
        <v>763</v>
      </c>
    </row>
    <row r="1162" spans="1:43" x14ac:dyDescent="0.2">
      <c r="A1162" s="14" t="s">
        <v>500</v>
      </c>
      <c r="B1162" s="17">
        <v>26246811</v>
      </c>
      <c r="C1162" s="14" t="s">
        <v>186</v>
      </c>
      <c r="D1162" s="9">
        <v>25986222</v>
      </c>
      <c r="E1162" s="9" t="s">
        <v>426</v>
      </c>
      <c r="F1162" s="7">
        <v>45689</v>
      </c>
      <c r="G1162" s="20" t="s">
        <v>36</v>
      </c>
      <c r="H1162" s="8">
        <v>919863482</v>
      </c>
      <c r="I1162" s="19">
        <v>919863482</v>
      </c>
      <c r="J1162" s="10">
        <v>2960</v>
      </c>
      <c r="K1162" s="10">
        <v>1966</v>
      </c>
      <c r="L1162" s="10">
        <v>994</v>
      </c>
      <c r="M1162" s="10">
        <v>0</v>
      </c>
      <c r="N1162" s="11">
        <v>994</v>
      </c>
      <c r="O1162" s="12">
        <v>919863482</v>
      </c>
      <c r="P1162" s="9">
        <v>285123</v>
      </c>
      <c r="Q1162" s="9" t="s">
        <v>37</v>
      </c>
      <c r="R1162" s="13">
        <v>45702</v>
      </c>
      <c r="S1162" s="22">
        <v>45702</v>
      </c>
      <c r="T1162" s="13">
        <v>45702</v>
      </c>
      <c r="U1162" s="13">
        <v>45702</v>
      </c>
      <c r="V1162" s="9" t="s">
        <v>47</v>
      </c>
      <c r="W1162" s="9">
        <v>22598515</v>
      </c>
      <c r="X1162" s="9">
        <v>2171709</v>
      </c>
      <c r="Y1162" s="9">
        <v>68879115</v>
      </c>
      <c r="Z1162" s="9" t="s">
        <v>39</v>
      </c>
      <c r="AA1162" s="9">
        <v>16022025</v>
      </c>
      <c r="AB1162" s="9">
        <v>77646</v>
      </c>
      <c r="AC1162" s="9" t="s">
        <v>41</v>
      </c>
      <c r="AD1162" s="9" t="s">
        <v>65</v>
      </c>
      <c r="AE1162" s="9" t="s">
        <v>66</v>
      </c>
      <c r="AF1162" s="9" t="s">
        <v>66</v>
      </c>
      <c r="AG1162" s="14" t="str">
        <f t="shared" si="38"/>
        <v>PROCEDIMIENTOS TERAPEUTICOS</v>
      </c>
      <c r="AH1162" s="9" t="s">
        <v>758</v>
      </c>
      <c r="AI1162" s="9">
        <v>0</v>
      </c>
      <c r="AJ1162" s="9">
        <v>96923250</v>
      </c>
      <c r="AK1162" s="9">
        <v>2</v>
      </c>
      <c r="AL1162" s="26" t="s">
        <v>62</v>
      </c>
      <c r="AM1162" s="14" t="s">
        <v>536</v>
      </c>
      <c r="AN1162" s="27" t="str">
        <f t="shared" si="39"/>
        <v>26246811|96923250|919863482|919863482</v>
      </c>
      <c r="AO1162" t="s">
        <v>758</v>
      </c>
      <c r="AP1162" t="b">
        <v>1</v>
      </c>
      <c r="AQ1162" t="s">
        <v>764</v>
      </c>
    </row>
    <row r="1163" spans="1:43" x14ac:dyDescent="0.2">
      <c r="A1163" s="14" t="s">
        <v>500</v>
      </c>
      <c r="B1163" s="17">
        <v>26246811</v>
      </c>
      <c r="C1163" s="14" t="s">
        <v>186</v>
      </c>
      <c r="D1163" s="9">
        <v>25986222</v>
      </c>
      <c r="E1163" s="9" t="s">
        <v>426</v>
      </c>
      <c r="F1163" s="7">
        <v>45717</v>
      </c>
      <c r="G1163" s="20" t="s">
        <v>46</v>
      </c>
      <c r="H1163" s="8">
        <v>919863482</v>
      </c>
      <c r="I1163" s="19">
        <v>65384534</v>
      </c>
      <c r="J1163" s="10">
        <v>1153</v>
      </c>
      <c r="K1163" s="10">
        <v>0</v>
      </c>
      <c r="L1163" s="10">
        <v>1153</v>
      </c>
      <c r="M1163" s="10">
        <v>0</v>
      </c>
      <c r="N1163" s="11">
        <v>1153</v>
      </c>
      <c r="O1163" s="12">
        <v>919863482</v>
      </c>
      <c r="P1163" s="9">
        <v>285123</v>
      </c>
      <c r="Q1163" s="9" t="s">
        <v>37</v>
      </c>
      <c r="R1163" s="13">
        <v>45717</v>
      </c>
      <c r="S1163" s="22">
        <v>45742</v>
      </c>
      <c r="T1163" s="13">
        <v>45702</v>
      </c>
      <c r="U1163" s="13">
        <v>45702</v>
      </c>
      <c r="V1163" s="9" t="s">
        <v>47</v>
      </c>
      <c r="W1163" s="9">
        <v>22770632</v>
      </c>
      <c r="X1163" s="9">
        <v>3311105</v>
      </c>
      <c r="Y1163" s="9">
        <v>69251397</v>
      </c>
      <c r="Z1163" s="9" t="s">
        <v>39</v>
      </c>
      <c r="AA1163" s="9">
        <v>83503556</v>
      </c>
      <c r="AB1163" s="9">
        <v>78070</v>
      </c>
      <c r="AC1163" s="9" t="s">
        <v>41</v>
      </c>
      <c r="AD1163" s="9" t="s">
        <v>65</v>
      </c>
      <c r="AE1163" s="9" t="s">
        <v>66</v>
      </c>
      <c r="AF1163" s="9" t="s">
        <v>66</v>
      </c>
      <c r="AG1163" s="14" t="str">
        <f t="shared" si="38"/>
        <v>PROCEDIMIENTOS TERAPEUTICOS</v>
      </c>
      <c r="AH1163" s="9">
        <v>0</v>
      </c>
      <c r="AI1163" s="9">
        <v>0</v>
      </c>
      <c r="AJ1163" s="9">
        <v>96923250</v>
      </c>
      <c r="AK1163" s="9">
        <v>2</v>
      </c>
      <c r="AL1163" s="26" t="s">
        <v>52</v>
      </c>
      <c r="AM1163" s="14" t="s">
        <v>536</v>
      </c>
      <c r="AN1163" s="27" t="str">
        <f t="shared" si="39"/>
        <v>26246811|96923250|919863482|65384534</v>
      </c>
      <c r="AO1163" t="s">
        <v>44</v>
      </c>
      <c r="AP1163" t="b">
        <v>0</v>
      </c>
      <c r="AQ1163" t="s">
        <v>763</v>
      </c>
    </row>
    <row r="1164" spans="1:43" x14ac:dyDescent="0.2">
      <c r="A1164" s="14" t="s">
        <v>500</v>
      </c>
      <c r="B1164" s="17">
        <v>26246811</v>
      </c>
      <c r="C1164" s="14" t="s">
        <v>186</v>
      </c>
      <c r="D1164" s="9">
        <v>25986192</v>
      </c>
      <c r="E1164" s="9" t="s">
        <v>427</v>
      </c>
      <c r="F1164" s="7">
        <v>45689</v>
      </c>
      <c r="G1164" s="20" t="s">
        <v>36</v>
      </c>
      <c r="H1164" s="8">
        <v>919864074</v>
      </c>
      <c r="I1164" s="19">
        <v>919864074</v>
      </c>
      <c r="J1164" s="10">
        <v>2960</v>
      </c>
      <c r="K1164" s="10">
        <v>1966</v>
      </c>
      <c r="L1164" s="10">
        <v>994</v>
      </c>
      <c r="M1164" s="10">
        <v>0</v>
      </c>
      <c r="N1164" s="11">
        <v>994</v>
      </c>
      <c r="O1164" s="12">
        <v>919864074</v>
      </c>
      <c r="P1164" s="9">
        <v>285123</v>
      </c>
      <c r="Q1164" s="9" t="s">
        <v>37</v>
      </c>
      <c r="R1164" s="13">
        <v>45702</v>
      </c>
      <c r="S1164" s="22">
        <v>45702</v>
      </c>
      <c r="T1164" s="13">
        <v>45702</v>
      </c>
      <c r="U1164" s="13">
        <v>45702</v>
      </c>
      <c r="V1164" s="9" t="s">
        <v>47</v>
      </c>
      <c r="W1164" s="9">
        <v>22598515</v>
      </c>
      <c r="X1164" s="9">
        <v>2171709</v>
      </c>
      <c r="Y1164" s="9">
        <v>68879122</v>
      </c>
      <c r="Z1164" s="9" t="s">
        <v>39</v>
      </c>
      <c r="AA1164" s="9">
        <v>16022025</v>
      </c>
      <c r="AB1164" s="9">
        <v>77646</v>
      </c>
      <c r="AC1164" s="9" t="s">
        <v>41</v>
      </c>
      <c r="AD1164" s="9" t="s">
        <v>65</v>
      </c>
      <c r="AE1164" s="9" t="s">
        <v>66</v>
      </c>
      <c r="AF1164" s="9" t="s">
        <v>66</v>
      </c>
      <c r="AG1164" s="14" t="str">
        <f t="shared" si="38"/>
        <v>PROCEDIMIENTOS TERAPEUTICOS</v>
      </c>
      <c r="AH1164" s="9" t="s">
        <v>758</v>
      </c>
      <c r="AI1164" s="9">
        <v>0</v>
      </c>
      <c r="AJ1164" s="9">
        <v>96923250</v>
      </c>
      <c r="AK1164" s="9">
        <v>2</v>
      </c>
      <c r="AL1164" s="26" t="s">
        <v>62</v>
      </c>
      <c r="AM1164" s="14" t="s">
        <v>536</v>
      </c>
      <c r="AN1164" s="27" t="str">
        <f t="shared" si="39"/>
        <v>26246811|96923250|919864074|919864074</v>
      </c>
      <c r="AO1164" t="s">
        <v>758</v>
      </c>
      <c r="AP1164" t="b">
        <v>1</v>
      </c>
      <c r="AQ1164" t="s">
        <v>764</v>
      </c>
    </row>
    <row r="1165" spans="1:43" x14ac:dyDescent="0.2">
      <c r="A1165" s="14" t="s">
        <v>500</v>
      </c>
      <c r="B1165" s="17">
        <v>26246811</v>
      </c>
      <c r="C1165" s="14" t="s">
        <v>186</v>
      </c>
      <c r="D1165" s="9">
        <v>25986192</v>
      </c>
      <c r="E1165" s="9" t="s">
        <v>427</v>
      </c>
      <c r="F1165" s="7">
        <v>45717</v>
      </c>
      <c r="G1165" s="20" t="s">
        <v>46</v>
      </c>
      <c r="H1165" s="8">
        <v>919864074</v>
      </c>
      <c r="I1165" s="19">
        <v>65384529</v>
      </c>
      <c r="J1165" s="10">
        <v>1153</v>
      </c>
      <c r="K1165" s="10">
        <v>0</v>
      </c>
      <c r="L1165" s="10">
        <v>1153</v>
      </c>
      <c r="M1165" s="10">
        <v>0</v>
      </c>
      <c r="N1165" s="11">
        <v>1153</v>
      </c>
      <c r="O1165" s="12">
        <v>919864074</v>
      </c>
      <c r="P1165" s="9">
        <v>285123</v>
      </c>
      <c r="Q1165" s="9" t="s">
        <v>37</v>
      </c>
      <c r="R1165" s="13">
        <v>45717</v>
      </c>
      <c r="S1165" s="22">
        <v>45742</v>
      </c>
      <c r="T1165" s="13">
        <v>45702</v>
      </c>
      <c r="U1165" s="13">
        <v>45702</v>
      </c>
      <c r="V1165" s="9" t="s">
        <v>47</v>
      </c>
      <c r="W1165" s="9">
        <v>22770632</v>
      </c>
      <c r="X1165" s="9">
        <v>3311105</v>
      </c>
      <c r="Y1165" s="9">
        <v>69251392</v>
      </c>
      <c r="Z1165" s="9" t="s">
        <v>39</v>
      </c>
      <c r="AA1165" s="9">
        <v>83503556</v>
      </c>
      <c r="AB1165" s="9">
        <v>78070</v>
      </c>
      <c r="AC1165" s="9" t="s">
        <v>41</v>
      </c>
      <c r="AD1165" s="9" t="s">
        <v>65</v>
      </c>
      <c r="AE1165" s="9" t="s">
        <v>66</v>
      </c>
      <c r="AF1165" s="9" t="s">
        <v>66</v>
      </c>
      <c r="AG1165" s="14" t="str">
        <f t="shared" si="38"/>
        <v>PROCEDIMIENTOS TERAPEUTICOS</v>
      </c>
      <c r="AH1165" s="9">
        <v>0</v>
      </c>
      <c r="AI1165" s="9">
        <v>0</v>
      </c>
      <c r="AJ1165" s="9">
        <v>96923250</v>
      </c>
      <c r="AK1165" s="9">
        <v>2</v>
      </c>
      <c r="AL1165" s="26" t="s">
        <v>52</v>
      </c>
      <c r="AM1165" s="14" t="s">
        <v>536</v>
      </c>
      <c r="AN1165" s="27" t="str">
        <f t="shared" si="39"/>
        <v>26246811|96923250|919864074|65384529</v>
      </c>
      <c r="AO1165" t="s">
        <v>44</v>
      </c>
      <c r="AP1165" t="b">
        <v>0</v>
      </c>
      <c r="AQ1165" t="s">
        <v>763</v>
      </c>
    </row>
    <row r="1166" spans="1:43" x14ac:dyDescent="0.2">
      <c r="A1166" s="14" t="s">
        <v>500</v>
      </c>
      <c r="B1166" s="17">
        <v>26246811</v>
      </c>
      <c r="C1166" s="14" t="s">
        <v>186</v>
      </c>
      <c r="D1166" s="9">
        <v>25986198</v>
      </c>
      <c r="E1166" s="9" t="s">
        <v>428</v>
      </c>
      <c r="F1166" s="7">
        <v>45689</v>
      </c>
      <c r="G1166" s="20" t="s">
        <v>36</v>
      </c>
      <c r="H1166" s="8">
        <v>919864212</v>
      </c>
      <c r="I1166" s="19">
        <v>919864212</v>
      </c>
      <c r="J1166" s="10">
        <v>10700</v>
      </c>
      <c r="K1166" s="10">
        <v>7095</v>
      </c>
      <c r="L1166" s="10">
        <v>3605</v>
      </c>
      <c r="M1166" s="10">
        <v>0</v>
      </c>
      <c r="N1166" s="11">
        <v>3605</v>
      </c>
      <c r="O1166" s="12">
        <v>919864212</v>
      </c>
      <c r="P1166" s="9">
        <v>285123</v>
      </c>
      <c r="Q1166" s="9" t="s">
        <v>37</v>
      </c>
      <c r="R1166" s="13">
        <v>45702</v>
      </c>
      <c r="S1166" s="22">
        <v>45702</v>
      </c>
      <c r="T1166" s="13">
        <v>45702</v>
      </c>
      <c r="U1166" s="13">
        <v>45702</v>
      </c>
      <c r="V1166" s="9" t="s">
        <v>47</v>
      </c>
      <c r="W1166" s="9">
        <v>22598515</v>
      </c>
      <c r="X1166" s="9">
        <v>2171709</v>
      </c>
      <c r="Y1166" s="9">
        <v>68879127</v>
      </c>
      <c r="Z1166" s="9" t="s">
        <v>39</v>
      </c>
      <c r="AA1166" s="9">
        <v>16022025</v>
      </c>
      <c r="AB1166" s="9">
        <v>77646</v>
      </c>
      <c r="AC1166" s="9" t="s">
        <v>41</v>
      </c>
      <c r="AD1166" s="9" t="s">
        <v>65</v>
      </c>
      <c r="AE1166" s="9" t="s">
        <v>66</v>
      </c>
      <c r="AF1166" s="9" t="s">
        <v>66</v>
      </c>
      <c r="AG1166" s="14" t="str">
        <f t="shared" si="38"/>
        <v>PROCEDIMIENTOS TERAPEUTICOS</v>
      </c>
      <c r="AH1166" s="9" t="s">
        <v>758</v>
      </c>
      <c r="AI1166" s="9">
        <v>0</v>
      </c>
      <c r="AJ1166" s="9">
        <v>96923250</v>
      </c>
      <c r="AK1166" s="9">
        <v>2</v>
      </c>
      <c r="AL1166" s="26" t="s">
        <v>62</v>
      </c>
      <c r="AM1166" s="14" t="s">
        <v>536</v>
      </c>
      <c r="AN1166" s="27" t="str">
        <f t="shared" si="39"/>
        <v>26246811|96923250|919864212|919864212</v>
      </c>
      <c r="AO1166" t="s">
        <v>758</v>
      </c>
      <c r="AP1166" t="b">
        <v>1</v>
      </c>
      <c r="AQ1166" t="s">
        <v>764</v>
      </c>
    </row>
    <row r="1167" spans="1:43" x14ac:dyDescent="0.2">
      <c r="A1167" s="14" t="s">
        <v>500</v>
      </c>
      <c r="B1167" s="17">
        <v>26246811</v>
      </c>
      <c r="C1167" s="14" t="s">
        <v>186</v>
      </c>
      <c r="D1167" s="9">
        <v>25986198</v>
      </c>
      <c r="E1167" s="9" t="s">
        <v>428</v>
      </c>
      <c r="F1167" s="7">
        <v>45717</v>
      </c>
      <c r="G1167" s="20" t="s">
        <v>46</v>
      </c>
      <c r="H1167" s="8">
        <v>919864212</v>
      </c>
      <c r="I1167" s="19">
        <v>65384532</v>
      </c>
      <c r="J1167" s="10">
        <v>3459</v>
      </c>
      <c r="K1167" s="10">
        <v>0</v>
      </c>
      <c r="L1167" s="10">
        <v>3459</v>
      </c>
      <c r="M1167" s="10">
        <v>0</v>
      </c>
      <c r="N1167" s="11">
        <v>3459</v>
      </c>
      <c r="O1167" s="12">
        <v>919864212</v>
      </c>
      <c r="P1167" s="9">
        <v>285123</v>
      </c>
      <c r="Q1167" s="9" t="s">
        <v>37</v>
      </c>
      <c r="R1167" s="13">
        <v>45717</v>
      </c>
      <c r="S1167" s="22">
        <v>45742</v>
      </c>
      <c r="T1167" s="13">
        <v>45702</v>
      </c>
      <c r="U1167" s="13">
        <v>45702</v>
      </c>
      <c r="V1167" s="9" t="s">
        <v>47</v>
      </c>
      <c r="W1167" s="9">
        <v>22770632</v>
      </c>
      <c r="X1167" s="9">
        <v>3311105</v>
      </c>
      <c r="Y1167" s="9">
        <v>69251395</v>
      </c>
      <c r="Z1167" s="9" t="s">
        <v>39</v>
      </c>
      <c r="AA1167" s="9">
        <v>83503556</v>
      </c>
      <c r="AB1167" s="9">
        <v>78070</v>
      </c>
      <c r="AC1167" s="9" t="s">
        <v>41</v>
      </c>
      <c r="AD1167" s="9" t="s">
        <v>65</v>
      </c>
      <c r="AE1167" s="9" t="s">
        <v>66</v>
      </c>
      <c r="AF1167" s="9" t="s">
        <v>66</v>
      </c>
      <c r="AG1167" s="14" t="str">
        <f t="shared" si="38"/>
        <v>PROCEDIMIENTOS TERAPEUTICOS</v>
      </c>
      <c r="AH1167" s="9">
        <v>0</v>
      </c>
      <c r="AI1167" s="9">
        <v>0</v>
      </c>
      <c r="AJ1167" s="9">
        <v>96923250</v>
      </c>
      <c r="AK1167" s="9">
        <v>2</v>
      </c>
      <c r="AL1167" s="26" t="s">
        <v>52</v>
      </c>
      <c r="AM1167" s="14" t="s">
        <v>536</v>
      </c>
      <c r="AN1167" s="27" t="str">
        <f t="shared" si="39"/>
        <v>26246811|96923250|919864212|65384532</v>
      </c>
      <c r="AO1167" t="s">
        <v>44</v>
      </c>
      <c r="AP1167" t="b">
        <v>0</v>
      </c>
      <c r="AQ1167" t="s">
        <v>763</v>
      </c>
    </row>
    <row r="1168" spans="1:43" x14ac:dyDescent="0.2">
      <c r="A1168" s="14" t="s">
        <v>500</v>
      </c>
      <c r="B1168" s="17">
        <v>10490905</v>
      </c>
      <c r="C1168" s="14" t="s">
        <v>417</v>
      </c>
      <c r="D1168" s="9">
        <v>10490905</v>
      </c>
      <c r="E1168" s="9" t="s">
        <v>417</v>
      </c>
      <c r="F1168" s="7">
        <v>45689</v>
      </c>
      <c r="G1168" s="20" t="s">
        <v>36</v>
      </c>
      <c r="H1168" s="8">
        <v>919896544</v>
      </c>
      <c r="I1168" s="19">
        <v>919896544</v>
      </c>
      <c r="J1168" s="10">
        <v>35460</v>
      </c>
      <c r="K1168" s="10">
        <v>19945</v>
      </c>
      <c r="L1168" s="10">
        <v>15515</v>
      </c>
      <c r="M1168" s="10">
        <v>0</v>
      </c>
      <c r="N1168" s="11">
        <v>15515</v>
      </c>
      <c r="O1168" s="12">
        <v>919896544</v>
      </c>
      <c r="P1168" s="9">
        <v>285123</v>
      </c>
      <c r="Q1168" s="9" t="s">
        <v>37</v>
      </c>
      <c r="R1168" s="13">
        <v>45703</v>
      </c>
      <c r="S1168" s="22">
        <v>45703</v>
      </c>
      <c r="T1168" s="13">
        <v>45703</v>
      </c>
      <c r="U1168" s="13">
        <v>45703</v>
      </c>
      <c r="V1168" s="9" t="s">
        <v>47</v>
      </c>
      <c r="W1168" s="9">
        <v>22621708</v>
      </c>
      <c r="X1168" s="9">
        <v>2250942</v>
      </c>
      <c r="Y1168" s="9">
        <v>68908817</v>
      </c>
      <c r="Z1168" s="9" t="s">
        <v>39</v>
      </c>
      <c r="AA1168" s="9">
        <v>23022025</v>
      </c>
      <c r="AB1168" s="9">
        <v>77703</v>
      </c>
      <c r="AC1168" s="9" t="s">
        <v>41</v>
      </c>
      <c r="AD1168" s="9" t="s">
        <v>134</v>
      </c>
      <c r="AE1168" s="9" t="s">
        <v>135</v>
      </c>
      <c r="AF1168" s="9" t="s">
        <v>135</v>
      </c>
      <c r="AG1168" s="14" t="str">
        <f t="shared" si="38"/>
        <v>EXAMENES RADIOLOGICOS</v>
      </c>
      <c r="AH1168" s="9" t="s">
        <v>758</v>
      </c>
      <c r="AI1168" s="9">
        <v>0</v>
      </c>
      <c r="AJ1168" s="9">
        <v>96942400</v>
      </c>
      <c r="AK1168" s="9">
        <v>2</v>
      </c>
      <c r="AL1168" s="26" t="s">
        <v>62</v>
      </c>
      <c r="AM1168" s="14" t="s">
        <v>701</v>
      </c>
      <c r="AN1168" s="27" t="str">
        <f t="shared" si="39"/>
        <v>10490905|96942400|919896544|919896544</v>
      </c>
      <c r="AO1168" t="s">
        <v>758</v>
      </c>
      <c r="AP1168" t="b">
        <v>1</v>
      </c>
      <c r="AQ1168" t="s">
        <v>764</v>
      </c>
    </row>
    <row r="1169" spans="1:43" x14ac:dyDescent="0.2">
      <c r="A1169" s="14" t="s">
        <v>500</v>
      </c>
      <c r="B1169" s="17">
        <v>10490905</v>
      </c>
      <c r="C1169" s="14" t="s">
        <v>417</v>
      </c>
      <c r="D1169" s="9">
        <v>10490905</v>
      </c>
      <c r="E1169" s="9" t="s">
        <v>417</v>
      </c>
      <c r="F1169" s="7">
        <v>45717</v>
      </c>
      <c r="G1169" s="20" t="s">
        <v>46</v>
      </c>
      <c r="H1169" s="8">
        <v>919896544</v>
      </c>
      <c r="I1169" s="19">
        <v>65383860</v>
      </c>
      <c r="J1169" s="10">
        <v>11920</v>
      </c>
      <c r="K1169" s="10">
        <v>0</v>
      </c>
      <c r="L1169" s="10">
        <v>11920</v>
      </c>
      <c r="M1169" s="10">
        <v>0</v>
      </c>
      <c r="N1169" s="11">
        <v>11920</v>
      </c>
      <c r="O1169" s="12">
        <v>919896544</v>
      </c>
      <c r="P1169" s="9">
        <v>285123</v>
      </c>
      <c r="Q1169" s="9" t="s">
        <v>37</v>
      </c>
      <c r="R1169" s="13">
        <v>45717</v>
      </c>
      <c r="S1169" s="22">
        <v>45742</v>
      </c>
      <c r="T1169" s="13">
        <v>45703</v>
      </c>
      <c r="U1169" s="13">
        <v>45703</v>
      </c>
      <c r="V1169" s="9" t="s">
        <v>47</v>
      </c>
      <c r="W1169" s="9">
        <v>22770634</v>
      </c>
      <c r="X1169" s="9">
        <v>3311105</v>
      </c>
      <c r="Y1169" s="9">
        <v>69250749</v>
      </c>
      <c r="Z1169" s="9" t="s">
        <v>39</v>
      </c>
      <c r="AA1169" s="9">
        <v>10490905</v>
      </c>
      <c r="AB1169" s="9">
        <v>78070</v>
      </c>
      <c r="AC1169" s="9" t="s">
        <v>41</v>
      </c>
      <c r="AD1169" s="9" t="s">
        <v>134</v>
      </c>
      <c r="AE1169" s="9" t="s">
        <v>135</v>
      </c>
      <c r="AF1169" s="9" t="s">
        <v>135</v>
      </c>
      <c r="AG1169" s="14" t="str">
        <f t="shared" si="38"/>
        <v>EXAMENES RADIOLOGICOS</v>
      </c>
      <c r="AH1169" s="9">
        <v>0</v>
      </c>
      <c r="AI1169" s="9">
        <v>0</v>
      </c>
      <c r="AJ1169" s="9">
        <v>96942400</v>
      </c>
      <c r="AK1169" s="9">
        <v>2</v>
      </c>
      <c r="AL1169" s="26" t="s">
        <v>52</v>
      </c>
      <c r="AM1169" s="14" t="s">
        <v>701</v>
      </c>
      <c r="AN1169" s="27" t="str">
        <f t="shared" si="39"/>
        <v>10490905|96942400|919896544|65383860</v>
      </c>
      <c r="AO1169" t="s">
        <v>44</v>
      </c>
      <c r="AP1169" t="b">
        <v>0</v>
      </c>
      <c r="AQ1169" t="s">
        <v>763</v>
      </c>
    </row>
    <row r="1170" spans="1:43" x14ac:dyDescent="0.2">
      <c r="A1170" s="14" t="s">
        <v>500</v>
      </c>
      <c r="B1170" s="17">
        <v>10490905</v>
      </c>
      <c r="C1170" s="14" t="s">
        <v>417</v>
      </c>
      <c r="D1170" s="9">
        <v>10490905</v>
      </c>
      <c r="E1170" s="9" t="s">
        <v>417</v>
      </c>
      <c r="F1170" s="7">
        <v>45689</v>
      </c>
      <c r="G1170" s="20" t="s">
        <v>36</v>
      </c>
      <c r="H1170" s="8">
        <v>919897637</v>
      </c>
      <c r="I1170" s="19">
        <v>919897637</v>
      </c>
      <c r="J1170" s="10">
        <v>304580</v>
      </c>
      <c r="K1170" s="10">
        <v>228435</v>
      </c>
      <c r="L1170" s="10">
        <v>76145</v>
      </c>
      <c r="M1170" s="10">
        <v>0</v>
      </c>
      <c r="N1170" s="11">
        <v>76145</v>
      </c>
      <c r="O1170" s="12">
        <v>919897637</v>
      </c>
      <c r="P1170" s="9">
        <v>285123</v>
      </c>
      <c r="Q1170" s="9" t="s">
        <v>37</v>
      </c>
      <c r="R1170" s="13">
        <v>45703</v>
      </c>
      <c r="S1170" s="22">
        <v>45703</v>
      </c>
      <c r="T1170" s="13">
        <v>45703</v>
      </c>
      <c r="U1170" s="13">
        <v>45703</v>
      </c>
      <c r="V1170" s="9" t="s">
        <v>47</v>
      </c>
      <c r="W1170" s="9">
        <v>22621708</v>
      </c>
      <c r="X1170" s="9">
        <v>2250942</v>
      </c>
      <c r="Y1170" s="9">
        <v>68908827</v>
      </c>
      <c r="Z1170" s="9" t="s">
        <v>39</v>
      </c>
      <c r="AA1170" s="9">
        <v>23022025</v>
      </c>
      <c r="AB1170" s="9">
        <v>77703</v>
      </c>
      <c r="AC1170" s="9" t="s">
        <v>41</v>
      </c>
      <c r="AD1170" s="9" t="s">
        <v>132</v>
      </c>
      <c r="AE1170" s="9" t="s">
        <v>133</v>
      </c>
      <c r="AF1170" s="9" t="s">
        <v>133</v>
      </c>
      <c r="AG1170" s="14" t="str">
        <f t="shared" si="38"/>
        <v>EXAMENES DE LABORATORIO</v>
      </c>
      <c r="AH1170" s="9" t="s">
        <v>758</v>
      </c>
      <c r="AI1170" s="9">
        <v>0</v>
      </c>
      <c r="AJ1170" s="9">
        <v>96942400</v>
      </c>
      <c r="AK1170" s="9">
        <v>2</v>
      </c>
      <c r="AL1170" s="26" t="s">
        <v>62</v>
      </c>
      <c r="AM1170" s="14" t="s">
        <v>701</v>
      </c>
      <c r="AN1170" s="27" t="str">
        <f t="shared" si="39"/>
        <v>10490905|96942400|919897637|919897637</v>
      </c>
      <c r="AO1170" t="s">
        <v>758</v>
      </c>
      <c r="AP1170" t="b">
        <v>1</v>
      </c>
      <c r="AQ1170" t="s">
        <v>764</v>
      </c>
    </row>
    <row r="1171" spans="1:43" x14ac:dyDescent="0.2">
      <c r="A1171" s="14" t="s">
        <v>500</v>
      </c>
      <c r="B1171" s="17">
        <v>10490905</v>
      </c>
      <c r="C1171" s="14" t="s">
        <v>417</v>
      </c>
      <c r="D1171" s="9">
        <v>10490905</v>
      </c>
      <c r="E1171" s="9" t="s">
        <v>417</v>
      </c>
      <c r="F1171" s="7">
        <v>45717</v>
      </c>
      <c r="G1171" s="20" t="s">
        <v>46</v>
      </c>
      <c r="H1171" s="8">
        <v>919897637</v>
      </c>
      <c r="I1171" s="19">
        <v>65383861</v>
      </c>
      <c r="J1171" s="10">
        <v>76135</v>
      </c>
      <c r="K1171" s="10">
        <v>0</v>
      </c>
      <c r="L1171" s="10">
        <v>76135</v>
      </c>
      <c r="M1171" s="10">
        <v>0</v>
      </c>
      <c r="N1171" s="11">
        <v>76135</v>
      </c>
      <c r="O1171" s="12">
        <v>919897637</v>
      </c>
      <c r="P1171" s="9">
        <v>285123</v>
      </c>
      <c r="Q1171" s="9" t="s">
        <v>37</v>
      </c>
      <c r="R1171" s="13">
        <v>45717</v>
      </c>
      <c r="S1171" s="22">
        <v>45742</v>
      </c>
      <c r="T1171" s="13">
        <v>45703</v>
      </c>
      <c r="U1171" s="13">
        <v>45703</v>
      </c>
      <c r="V1171" s="9" t="s">
        <v>47</v>
      </c>
      <c r="W1171" s="9">
        <v>22770634</v>
      </c>
      <c r="X1171" s="9">
        <v>3311105</v>
      </c>
      <c r="Y1171" s="9">
        <v>69250750</v>
      </c>
      <c r="Z1171" s="9" t="s">
        <v>39</v>
      </c>
      <c r="AA1171" s="9">
        <v>10490905</v>
      </c>
      <c r="AB1171" s="9">
        <v>78070</v>
      </c>
      <c r="AC1171" s="9" t="s">
        <v>41</v>
      </c>
      <c r="AD1171" s="9" t="s">
        <v>132</v>
      </c>
      <c r="AE1171" s="9" t="s">
        <v>133</v>
      </c>
      <c r="AF1171" s="9" t="s">
        <v>133</v>
      </c>
      <c r="AG1171" s="14" t="str">
        <f t="shared" si="38"/>
        <v>EXAMENES DE LABORATORIO</v>
      </c>
      <c r="AH1171" s="9">
        <v>0</v>
      </c>
      <c r="AI1171" s="9">
        <v>0</v>
      </c>
      <c r="AJ1171" s="9">
        <v>96942400</v>
      </c>
      <c r="AK1171" s="9">
        <v>2</v>
      </c>
      <c r="AL1171" s="26" t="s">
        <v>52</v>
      </c>
      <c r="AM1171" s="14" t="s">
        <v>701</v>
      </c>
      <c r="AN1171" s="27" t="str">
        <f t="shared" si="39"/>
        <v>10490905|96942400|919897637|65383861</v>
      </c>
      <c r="AO1171" t="s">
        <v>44</v>
      </c>
      <c r="AP1171" t="b">
        <v>0</v>
      </c>
      <c r="AQ1171" t="s">
        <v>763</v>
      </c>
    </row>
    <row r="1172" spans="1:43" x14ac:dyDescent="0.2">
      <c r="A1172" s="14" t="s">
        <v>500</v>
      </c>
      <c r="B1172" s="17">
        <v>10586495</v>
      </c>
      <c r="C1172" s="14" t="s">
        <v>401</v>
      </c>
      <c r="D1172" s="9">
        <v>10586495</v>
      </c>
      <c r="E1172" s="9" t="s">
        <v>401</v>
      </c>
      <c r="F1172" s="7">
        <v>45689</v>
      </c>
      <c r="G1172" s="20" t="s">
        <v>36</v>
      </c>
      <c r="H1172" s="8">
        <v>919933926</v>
      </c>
      <c r="I1172" s="19">
        <v>919933926</v>
      </c>
      <c r="J1172" s="10">
        <v>10740</v>
      </c>
      <c r="K1172" s="10">
        <v>6045</v>
      </c>
      <c r="L1172" s="10">
        <v>4695</v>
      </c>
      <c r="M1172" s="10">
        <v>0</v>
      </c>
      <c r="N1172" s="11">
        <v>4695</v>
      </c>
      <c r="O1172" s="12">
        <v>919933926</v>
      </c>
      <c r="P1172" s="9">
        <v>285123</v>
      </c>
      <c r="Q1172" s="9" t="s">
        <v>37</v>
      </c>
      <c r="R1172" s="13">
        <v>45703</v>
      </c>
      <c r="S1172" s="22">
        <v>45703</v>
      </c>
      <c r="T1172" s="13">
        <v>45703</v>
      </c>
      <c r="U1172" s="13">
        <v>45703</v>
      </c>
      <c r="V1172" s="9" t="s">
        <v>47</v>
      </c>
      <c r="W1172" s="9">
        <v>22621709</v>
      </c>
      <c r="X1172" s="9">
        <v>2250942</v>
      </c>
      <c r="Y1172" s="9">
        <v>68909095</v>
      </c>
      <c r="Z1172" s="9" t="s">
        <v>39</v>
      </c>
      <c r="AA1172" s="9">
        <v>23022025</v>
      </c>
      <c r="AB1172" s="9">
        <v>77703</v>
      </c>
      <c r="AC1172" s="9" t="s">
        <v>41</v>
      </c>
      <c r="AD1172" s="9" t="s">
        <v>65</v>
      </c>
      <c r="AE1172" s="9" t="s">
        <v>66</v>
      </c>
      <c r="AF1172" s="9" t="s">
        <v>66</v>
      </c>
      <c r="AG1172" s="14" t="str">
        <f t="shared" si="38"/>
        <v>PROCEDIMIENTOS TERAPEUTICOS</v>
      </c>
      <c r="AH1172" s="9" t="s">
        <v>758</v>
      </c>
      <c r="AI1172" s="9">
        <v>0</v>
      </c>
      <c r="AJ1172" s="9">
        <v>76098454</v>
      </c>
      <c r="AK1172" s="9" t="s">
        <v>161</v>
      </c>
      <c r="AL1172" s="26" t="s">
        <v>62</v>
      </c>
      <c r="AM1172" s="14" t="s">
        <v>689</v>
      </c>
      <c r="AN1172" s="27" t="str">
        <f t="shared" si="39"/>
        <v>10586495|76098454|919933926|919933926</v>
      </c>
      <c r="AO1172" t="s">
        <v>758</v>
      </c>
      <c r="AP1172" t="b">
        <v>1</v>
      </c>
      <c r="AQ1172" t="s">
        <v>764</v>
      </c>
    </row>
    <row r="1173" spans="1:43" x14ac:dyDescent="0.2">
      <c r="A1173" s="14" t="s">
        <v>500</v>
      </c>
      <c r="B1173" s="17">
        <v>10586495</v>
      </c>
      <c r="C1173" s="14" t="s">
        <v>401</v>
      </c>
      <c r="D1173" s="9">
        <v>10586495</v>
      </c>
      <c r="E1173" s="9" t="s">
        <v>401</v>
      </c>
      <c r="F1173" s="7">
        <v>45717</v>
      </c>
      <c r="G1173" s="20" t="s">
        <v>46</v>
      </c>
      <c r="H1173" s="8">
        <v>919933926</v>
      </c>
      <c r="I1173" s="19">
        <v>65383875</v>
      </c>
      <c r="J1173" s="10">
        <v>3460</v>
      </c>
      <c r="K1173" s="10">
        <v>0</v>
      </c>
      <c r="L1173" s="10">
        <v>3460</v>
      </c>
      <c r="M1173" s="10">
        <v>0</v>
      </c>
      <c r="N1173" s="11">
        <v>3460</v>
      </c>
      <c r="O1173" s="12">
        <v>919933926</v>
      </c>
      <c r="P1173" s="9">
        <v>285123</v>
      </c>
      <c r="Q1173" s="9" t="s">
        <v>37</v>
      </c>
      <c r="R1173" s="13">
        <v>45717</v>
      </c>
      <c r="S1173" s="22">
        <v>45742</v>
      </c>
      <c r="T1173" s="13">
        <v>45703</v>
      </c>
      <c r="U1173" s="13">
        <v>45703</v>
      </c>
      <c r="V1173" s="9" t="s">
        <v>47</v>
      </c>
      <c r="W1173" s="9">
        <v>22770635</v>
      </c>
      <c r="X1173" s="9">
        <v>3311105</v>
      </c>
      <c r="Y1173" s="9">
        <v>69250764</v>
      </c>
      <c r="Z1173" s="9" t="s">
        <v>39</v>
      </c>
      <c r="AA1173" s="9">
        <v>50964119</v>
      </c>
      <c r="AB1173" s="9">
        <v>78070</v>
      </c>
      <c r="AC1173" s="9" t="s">
        <v>41</v>
      </c>
      <c r="AD1173" s="9" t="s">
        <v>65</v>
      </c>
      <c r="AE1173" s="9" t="s">
        <v>66</v>
      </c>
      <c r="AF1173" s="9" t="s">
        <v>66</v>
      </c>
      <c r="AG1173" s="14" t="str">
        <f t="shared" ref="AG1173:AG1236" si="40">+AF1173</f>
        <v>PROCEDIMIENTOS TERAPEUTICOS</v>
      </c>
      <c r="AH1173" s="9">
        <v>0</v>
      </c>
      <c r="AI1173" s="9">
        <v>0</v>
      </c>
      <c r="AJ1173" s="9">
        <v>76098454</v>
      </c>
      <c r="AK1173" s="9" t="s">
        <v>161</v>
      </c>
      <c r="AL1173" s="26" t="s">
        <v>52</v>
      </c>
      <c r="AM1173" s="14" t="s">
        <v>689</v>
      </c>
      <c r="AN1173" s="27" t="str">
        <f t="shared" si="39"/>
        <v>10586495|76098454|919933926|65383875</v>
      </c>
      <c r="AO1173" t="s">
        <v>44</v>
      </c>
      <c r="AP1173" t="b">
        <v>0</v>
      </c>
      <c r="AQ1173" t="s">
        <v>763</v>
      </c>
    </row>
    <row r="1174" spans="1:43" x14ac:dyDescent="0.2">
      <c r="A1174" s="14" t="s">
        <v>500</v>
      </c>
      <c r="B1174" s="17">
        <v>13240926</v>
      </c>
      <c r="C1174" s="14" t="s">
        <v>409</v>
      </c>
      <c r="D1174" s="9">
        <v>13240926</v>
      </c>
      <c r="E1174" s="9" t="s">
        <v>409</v>
      </c>
      <c r="F1174" s="7">
        <v>45689</v>
      </c>
      <c r="G1174" s="20" t="s">
        <v>36</v>
      </c>
      <c r="H1174" s="8">
        <v>920011856</v>
      </c>
      <c r="I1174" s="19">
        <v>920011856</v>
      </c>
      <c r="J1174" s="10">
        <v>10740</v>
      </c>
      <c r="K1174" s="10">
        <v>3360</v>
      </c>
      <c r="L1174" s="10">
        <v>7380</v>
      </c>
      <c r="M1174" s="10">
        <v>0</v>
      </c>
      <c r="N1174" s="11">
        <v>7380</v>
      </c>
      <c r="O1174" s="12">
        <v>920011856</v>
      </c>
      <c r="P1174" s="9">
        <v>285123</v>
      </c>
      <c r="Q1174" s="9" t="s">
        <v>37</v>
      </c>
      <c r="R1174" s="13">
        <v>45705</v>
      </c>
      <c r="S1174" s="22">
        <v>45705</v>
      </c>
      <c r="T1174" s="13">
        <v>45705</v>
      </c>
      <c r="U1174" s="13">
        <v>45705</v>
      </c>
      <c r="V1174" s="9" t="s">
        <v>47</v>
      </c>
      <c r="W1174" s="9">
        <v>22621743</v>
      </c>
      <c r="X1174" s="9">
        <v>2250942</v>
      </c>
      <c r="Y1174" s="9">
        <v>68909498</v>
      </c>
      <c r="Z1174" s="9" t="s">
        <v>39</v>
      </c>
      <c r="AA1174" s="9">
        <v>23022025</v>
      </c>
      <c r="AB1174" s="9">
        <v>77703</v>
      </c>
      <c r="AC1174" s="9" t="s">
        <v>41</v>
      </c>
      <c r="AD1174" s="9" t="s">
        <v>65</v>
      </c>
      <c r="AE1174" s="9" t="s">
        <v>66</v>
      </c>
      <c r="AF1174" s="9" t="s">
        <v>66</v>
      </c>
      <c r="AG1174" s="14" t="str">
        <f t="shared" si="40"/>
        <v>PROCEDIMIENTOS TERAPEUTICOS</v>
      </c>
      <c r="AH1174" s="9" t="s">
        <v>758</v>
      </c>
      <c r="AI1174" s="9">
        <v>0</v>
      </c>
      <c r="AJ1174" s="9">
        <v>96530470</v>
      </c>
      <c r="AK1174" s="9">
        <v>3</v>
      </c>
      <c r="AL1174" s="26" t="s">
        <v>62</v>
      </c>
      <c r="AM1174" s="14" t="s">
        <v>696</v>
      </c>
      <c r="AN1174" s="27" t="str">
        <f t="shared" si="39"/>
        <v>13240926|96530470|920011856|920011856</v>
      </c>
      <c r="AO1174" t="s">
        <v>758</v>
      </c>
      <c r="AP1174" t="b">
        <v>1</v>
      </c>
      <c r="AQ1174" t="s">
        <v>764</v>
      </c>
    </row>
    <row r="1175" spans="1:43" x14ac:dyDescent="0.2">
      <c r="A1175" s="14" t="s">
        <v>500</v>
      </c>
      <c r="B1175" s="17">
        <v>13240926</v>
      </c>
      <c r="C1175" s="14" t="s">
        <v>409</v>
      </c>
      <c r="D1175" s="9">
        <v>13240926</v>
      </c>
      <c r="E1175" s="9" t="s">
        <v>409</v>
      </c>
      <c r="F1175" s="7">
        <v>45717</v>
      </c>
      <c r="G1175" s="20" t="s">
        <v>46</v>
      </c>
      <c r="H1175" s="8">
        <v>920011856</v>
      </c>
      <c r="I1175" s="19">
        <v>65384089</v>
      </c>
      <c r="J1175" s="10">
        <v>6157</v>
      </c>
      <c r="K1175" s="10">
        <v>0</v>
      </c>
      <c r="L1175" s="10">
        <v>6157</v>
      </c>
      <c r="M1175" s="10">
        <v>0</v>
      </c>
      <c r="N1175" s="11">
        <v>6157</v>
      </c>
      <c r="O1175" s="12">
        <v>920011856</v>
      </c>
      <c r="P1175" s="9">
        <v>285123</v>
      </c>
      <c r="Q1175" s="9" t="s">
        <v>37</v>
      </c>
      <c r="R1175" s="13">
        <v>45717</v>
      </c>
      <c r="S1175" s="22">
        <v>45742</v>
      </c>
      <c r="T1175" s="13">
        <v>45705</v>
      </c>
      <c r="U1175" s="13">
        <v>45705</v>
      </c>
      <c r="V1175" s="9" t="s">
        <v>47</v>
      </c>
      <c r="W1175" s="9">
        <v>22770647</v>
      </c>
      <c r="X1175" s="9">
        <v>3311105</v>
      </c>
      <c r="Y1175" s="9">
        <v>69250976</v>
      </c>
      <c r="Z1175" s="9" t="s">
        <v>39</v>
      </c>
      <c r="AA1175" s="9">
        <v>105921314</v>
      </c>
      <c r="AB1175" s="9">
        <v>78070</v>
      </c>
      <c r="AC1175" s="9" t="s">
        <v>41</v>
      </c>
      <c r="AD1175" s="9" t="s">
        <v>65</v>
      </c>
      <c r="AE1175" s="9" t="s">
        <v>66</v>
      </c>
      <c r="AF1175" s="9" t="s">
        <v>66</v>
      </c>
      <c r="AG1175" s="14" t="str">
        <f t="shared" si="40"/>
        <v>PROCEDIMIENTOS TERAPEUTICOS</v>
      </c>
      <c r="AH1175" s="9">
        <v>0</v>
      </c>
      <c r="AI1175" s="9">
        <v>0</v>
      </c>
      <c r="AJ1175" s="9">
        <v>96530470</v>
      </c>
      <c r="AK1175" s="9">
        <v>3</v>
      </c>
      <c r="AL1175" s="26" t="s">
        <v>52</v>
      </c>
      <c r="AM1175" s="14" t="s">
        <v>696</v>
      </c>
      <c r="AN1175" s="27" t="str">
        <f t="shared" si="39"/>
        <v>13240926|96530470|920011856|65384089</v>
      </c>
      <c r="AO1175" t="s">
        <v>44</v>
      </c>
      <c r="AP1175" t="b">
        <v>0</v>
      </c>
      <c r="AQ1175" t="s">
        <v>763</v>
      </c>
    </row>
    <row r="1176" spans="1:43" x14ac:dyDescent="0.2">
      <c r="A1176" s="14" t="s">
        <v>500</v>
      </c>
      <c r="B1176" s="17">
        <v>13240926</v>
      </c>
      <c r="C1176" s="14" t="s">
        <v>409</v>
      </c>
      <c r="D1176" s="9">
        <v>13240926</v>
      </c>
      <c r="E1176" s="9" t="s">
        <v>409</v>
      </c>
      <c r="F1176" s="7">
        <v>45689</v>
      </c>
      <c r="G1176" s="20" t="s">
        <v>36</v>
      </c>
      <c r="H1176" s="8">
        <v>920023711</v>
      </c>
      <c r="I1176" s="19">
        <v>920023711</v>
      </c>
      <c r="J1176" s="10">
        <v>23230</v>
      </c>
      <c r="K1176" s="10">
        <v>7260</v>
      </c>
      <c r="L1176" s="10">
        <v>15970</v>
      </c>
      <c r="M1176" s="10">
        <v>0</v>
      </c>
      <c r="N1176" s="11">
        <v>15970</v>
      </c>
      <c r="O1176" s="12">
        <v>920023711</v>
      </c>
      <c r="P1176" s="9">
        <v>285123</v>
      </c>
      <c r="Q1176" s="9" t="s">
        <v>37</v>
      </c>
      <c r="R1176" s="13">
        <v>45705</v>
      </c>
      <c r="S1176" s="22">
        <v>45705</v>
      </c>
      <c r="T1176" s="13">
        <v>45705</v>
      </c>
      <c r="U1176" s="13">
        <v>45705</v>
      </c>
      <c r="V1176" s="9" t="s">
        <v>47</v>
      </c>
      <c r="W1176" s="9">
        <v>22621743</v>
      </c>
      <c r="X1176" s="9">
        <v>2250942</v>
      </c>
      <c r="Y1176" s="9">
        <v>68909555</v>
      </c>
      <c r="Z1176" s="9" t="s">
        <v>39</v>
      </c>
      <c r="AA1176" s="9">
        <v>23022025</v>
      </c>
      <c r="AB1176" s="9">
        <v>77703</v>
      </c>
      <c r="AC1176" s="9" t="s">
        <v>41</v>
      </c>
      <c r="AD1176" s="9" t="s">
        <v>134</v>
      </c>
      <c r="AE1176" s="9" t="s">
        <v>135</v>
      </c>
      <c r="AF1176" s="9" t="s">
        <v>135</v>
      </c>
      <c r="AG1176" s="14" t="str">
        <f t="shared" si="40"/>
        <v>EXAMENES RADIOLOGICOS</v>
      </c>
      <c r="AH1176" s="9" t="s">
        <v>758</v>
      </c>
      <c r="AI1176" s="9">
        <v>0</v>
      </c>
      <c r="AJ1176" s="9">
        <v>79980070</v>
      </c>
      <c r="AK1176" s="9">
        <v>5</v>
      </c>
      <c r="AL1176" s="26" t="s">
        <v>62</v>
      </c>
      <c r="AM1176" s="14" t="s">
        <v>696</v>
      </c>
      <c r="AN1176" s="27" t="str">
        <f t="shared" si="39"/>
        <v>13240926|79980070|920023711|920023711</v>
      </c>
      <c r="AO1176" t="s">
        <v>758</v>
      </c>
      <c r="AP1176" t="b">
        <v>1</v>
      </c>
      <c r="AQ1176" t="s">
        <v>764</v>
      </c>
    </row>
    <row r="1177" spans="1:43" x14ac:dyDescent="0.2">
      <c r="A1177" s="14" t="s">
        <v>500</v>
      </c>
      <c r="B1177" s="17">
        <v>13240926</v>
      </c>
      <c r="C1177" s="14" t="s">
        <v>409</v>
      </c>
      <c r="D1177" s="9">
        <v>13240926</v>
      </c>
      <c r="E1177" s="9" t="s">
        <v>409</v>
      </c>
      <c r="F1177" s="7">
        <v>45717</v>
      </c>
      <c r="G1177" s="20" t="s">
        <v>46</v>
      </c>
      <c r="H1177" s="8">
        <v>920023711</v>
      </c>
      <c r="I1177" s="19">
        <v>65384090</v>
      </c>
      <c r="J1177" s="10">
        <v>13468</v>
      </c>
      <c r="K1177" s="10">
        <v>0</v>
      </c>
      <c r="L1177" s="10">
        <v>13468</v>
      </c>
      <c r="M1177" s="10">
        <v>0</v>
      </c>
      <c r="N1177" s="11">
        <v>13468</v>
      </c>
      <c r="O1177" s="12">
        <v>920023711</v>
      </c>
      <c r="P1177" s="9">
        <v>285123</v>
      </c>
      <c r="Q1177" s="9" t="s">
        <v>37</v>
      </c>
      <c r="R1177" s="13">
        <v>45717</v>
      </c>
      <c r="S1177" s="22">
        <v>45742</v>
      </c>
      <c r="T1177" s="13">
        <v>45705</v>
      </c>
      <c r="U1177" s="13">
        <v>45705</v>
      </c>
      <c r="V1177" s="9" t="s">
        <v>47</v>
      </c>
      <c r="W1177" s="9">
        <v>22770647</v>
      </c>
      <c r="X1177" s="9">
        <v>3311105</v>
      </c>
      <c r="Y1177" s="9">
        <v>69250977</v>
      </c>
      <c r="Z1177" s="9" t="s">
        <v>39</v>
      </c>
      <c r="AA1177" s="9">
        <v>105921314</v>
      </c>
      <c r="AB1177" s="9">
        <v>78070</v>
      </c>
      <c r="AC1177" s="9" t="s">
        <v>41</v>
      </c>
      <c r="AD1177" s="9" t="s">
        <v>134</v>
      </c>
      <c r="AE1177" s="9" t="s">
        <v>135</v>
      </c>
      <c r="AF1177" s="9" t="s">
        <v>135</v>
      </c>
      <c r="AG1177" s="14" t="str">
        <f t="shared" si="40"/>
        <v>EXAMENES RADIOLOGICOS</v>
      </c>
      <c r="AH1177" s="9">
        <v>0</v>
      </c>
      <c r="AI1177" s="9">
        <v>0</v>
      </c>
      <c r="AJ1177" s="9">
        <v>79980070</v>
      </c>
      <c r="AK1177" s="9">
        <v>5</v>
      </c>
      <c r="AL1177" s="26" t="s">
        <v>52</v>
      </c>
      <c r="AM1177" s="14" t="s">
        <v>696</v>
      </c>
      <c r="AN1177" s="27" t="str">
        <f t="shared" si="39"/>
        <v>13240926|79980070|920023711|65384090</v>
      </c>
      <c r="AO1177" t="s">
        <v>44</v>
      </c>
      <c r="AP1177" t="b">
        <v>0</v>
      </c>
      <c r="AQ1177" t="s">
        <v>763</v>
      </c>
    </row>
    <row r="1178" spans="1:43" x14ac:dyDescent="0.2">
      <c r="A1178" s="14" t="s">
        <v>500</v>
      </c>
      <c r="B1178" s="17">
        <v>11227555</v>
      </c>
      <c r="C1178" s="14" t="s">
        <v>429</v>
      </c>
      <c r="D1178" s="9">
        <v>11227555</v>
      </c>
      <c r="E1178" s="9" t="s">
        <v>429</v>
      </c>
      <c r="F1178" s="7">
        <v>45689</v>
      </c>
      <c r="G1178" s="20" t="s">
        <v>36</v>
      </c>
      <c r="H1178" s="8">
        <v>920113883</v>
      </c>
      <c r="I1178" s="19">
        <v>920113883</v>
      </c>
      <c r="J1178" s="10">
        <v>22860</v>
      </c>
      <c r="K1178" s="10">
        <v>7160</v>
      </c>
      <c r="L1178" s="10">
        <v>15700</v>
      </c>
      <c r="M1178" s="10">
        <v>0</v>
      </c>
      <c r="N1178" s="11">
        <v>15700</v>
      </c>
      <c r="O1178" s="12">
        <v>920113883</v>
      </c>
      <c r="P1178" s="9">
        <v>285123</v>
      </c>
      <c r="Q1178" s="9" t="s">
        <v>37</v>
      </c>
      <c r="R1178" s="13">
        <v>45706</v>
      </c>
      <c r="S1178" s="22">
        <v>45706</v>
      </c>
      <c r="T1178" s="13">
        <v>45706</v>
      </c>
      <c r="U1178" s="13">
        <v>45706</v>
      </c>
      <c r="V1178" s="9" t="s">
        <v>47</v>
      </c>
      <c r="W1178" s="9">
        <v>22621773</v>
      </c>
      <c r="X1178" s="9">
        <v>2250942</v>
      </c>
      <c r="Y1178" s="9">
        <v>68910052</v>
      </c>
      <c r="Z1178" s="9" t="s">
        <v>39</v>
      </c>
      <c r="AA1178" s="9">
        <v>23022025</v>
      </c>
      <c r="AB1178" s="9">
        <v>77703</v>
      </c>
      <c r="AC1178" s="9" t="s">
        <v>41</v>
      </c>
      <c r="AD1178" s="9" t="s">
        <v>132</v>
      </c>
      <c r="AE1178" s="9" t="s">
        <v>133</v>
      </c>
      <c r="AF1178" s="9" t="s">
        <v>133</v>
      </c>
      <c r="AG1178" s="14" t="str">
        <f t="shared" si="40"/>
        <v>EXAMENES DE LABORATORIO</v>
      </c>
      <c r="AH1178" s="9" t="s">
        <v>758</v>
      </c>
      <c r="AI1178" s="9">
        <v>0</v>
      </c>
      <c r="AJ1178" s="9">
        <v>96530470</v>
      </c>
      <c r="AK1178" s="9">
        <v>3</v>
      </c>
      <c r="AL1178" s="26" t="s">
        <v>62</v>
      </c>
      <c r="AM1178" s="14" t="s">
        <v>707</v>
      </c>
      <c r="AN1178" s="27" t="str">
        <f t="shared" si="39"/>
        <v>11227555|96530470|920113883|920113883</v>
      </c>
      <c r="AO1178" t="s">
        <v>758</v>
      </c>
      <c r="AP1178" t="b">
        <v>1</v>
      </c>
      <c r="AQ1178" t="s">
        <v>764</v>
      </c>
    </row>
    <row r="1179" spans="1:43" x14ac:dyDescent="0.2">
      <c r="A1179" s="14" t="s">
        <v>500</v>
      </c>
      <c r="B1179" s="17">
        <v>11227555</v>
      </c>
      <c r="C1179" s="14" t="s">
        <v>429</v>
      </c>
      <c r="D1179" s="9">
        <v>11227555</v>
      </c>
      <c r="E1179" s="9" t="s">
        <v>429</v>
      </c>
      <c r="F1179" s="7">
        <v>45717</v>
      </c>
      <c r="G1179" s="20" t="s">
        <v>46</v>
      </c>
      <c r="H1179" s="8">
        <v>920113883</v>
      </c>
      <c r="I1179" s="19">
        <v>65383917</v>
      </c>
      <c r="J1179" s="10">
        <v>13470</v>
      </c>
      <c r="K1179" s="10">
        <v>0</v>
      </c>
      <c r="L1179" s="10">
        <v>13470</v>
      </c>
      <c r="M1179" s="10">
        <v>0</v>
      </c>
      <c r="N1179" s="11">
        <v>13470</v>
      </c>
      <c r="O1179" s="12">
        <v>920113883</v>
      </c>
      <c r="P1179" s="9">
        <v>285123</v>
      </c>
      <c r="Q1179" s="9" t="s">
        <v>37</v>
      </c>
      <c r="R1179" s="13">
        <v>45717</v>
      </c>
      <c r="S1179" s="22">
        <v>45742</v>
      </c>
      <c r="T1179" s="13">
        <v>45706</v>
      </c>
      <c r="U1179" s="13">
        <v>45706</v>
      </c>
      <c r="V1179" s="9" t="s">
        <v>47</v>
      </c>
      <c r="W1179" s="9">
        <v>22770653</v>
      </c>
      <c r="X1179" s="9">
        <v>3311105</v>
      </c>
      <c r="Y1179" s="9">
        <v>69250806</v>
      </c>
      <c r="Z1179" s="9" t="s">
        <v>39</v>
      </c>
      <c r="AA1179" s="9">
        <v>11227555</v>
      </c>
      <c r="AB1179" s="9">
        <v>78070</v>
      </c>
      <c r="AC1179" s="9" t="s">
        <v>41</v>
      </c>
      <c r="AD1179" s="9" t="s">
        <v>132</v>
      </c>
      <c r="AE1179" s="9" t="s">
        <v>133</v>
      </c>
      <c r="AF1179" s="9" t="s">
        <v>133</v>
      </c>
      <c r="AG1179" s="14" t="str">
        <f t="shared" si="40"/>
        <v>EXAMENES DE LABORATORIO</v>
      </c>
      <c r="AH1179" s="9">
        <v>0</v>
      </c>
      <c r="AI1179" s="9">
        <v>0</v>
      </c>
      <c r="AJ1179" s="9">
        <v>96530470</v>
      </c>
      <c r="AK1179" s="9">
        <v>3</v>
      </c>
      <c r="AL1179" s="26" t="s">
        <v>52</v>
      </c>
      <c r="AM1179" s="14" t="s">
        <v>707</v>
      </c>
      <c r="AN1179" s="27" t="str">
        <f t="shared" si="39"/>
        <v>11227555|96530470|920113883|65383917</v>
      </c>
      <c r="AO1179" t="s">
        <v>44</v>
      </c>
      <c r="AP1179" t="b">
        <v>0</v>
      </c>
      <c r="AQ1179" t="s">
        <v>763</v>
      </c>
    </row>
    <row r="1180" spans="1:43" x14ac:dyDescent="0.2">
      <c r="A1180" s="14" t="s">
        <v>500</v>
      </c>
      <c r="B1180" s="17">
        <v>11227555</v>
      </c>
      <c r="C1180" s="14" t="s">
        <v>429</v>
      </c>
      <c r="D1180" s="9">
        <v>11227555</v>
      </c>
      <c r="E1180" s="9" t="s">
        <v>429</v>
      </c>
      <c r="F1180" s="7">
        <v>45689</v>
      </c>
      <c r="G1180" s="20" t="s">
        <v>36</v>
      </c>
      <c r="H1180" s="8">
        <v>920113884</v>
      </c>
      <c r="I1180" s="19">
        <v>920113884</v>
      </c>
      <c r="J1180" s="10">
        <v>7430</v>
      </c>
      <c r="K1180" s="10">
        <v>2330</v>
      </c>
      <c r="L1180" s="10">
        <v>5100</v>
      </c>
      <c r="M1180" s="10">
        <v>0</v>
      </c>
      <c r="N1180" s="11">
        <v>5100</v>
      </c>
      <c r="O1180" s="12">
        <v>920113884</v>
      </c>
      <c r="P1180" s="9">
        <v>285123</v>
      </c>
      <c r="Q1180" s="9" t="s">
        <v>37</v>
      </c>
      <c r="R1180" s="13">
        <v>45706</v>
      </c>
      <c r="S1180" s="22">
        <v>45706</v>
      </c>
      <c r="T1180" s="13">
        <v>45706</v>
      </c>
      <c r="U1180" s="13">
        <v>45706</v>
      </c>
      <c r="V1180" s="9" t="s">
        <v>47</v>
      </c>
      <c r="W1180" s="9">
        <v>22621773</v>
      </c>
      <c r="X1180" s="9">
        <v>2250942</v>
      </c>
      <c r="Y1180" s="9">
        <v>68910051</v>
      </c>
      <c r="Z1180" s="9" t="s">
        <v>39</v>
      </c>
      <c r="AA1180" s="9">
        <v>23022025</v>
      </c>
      <c r="AB1180" s="9">
        <v>77703</v>
      </c>
      <c r="AC1180" s="9" t="s">
        <v>41</v>
      </c>
      <c r="AD1180" s="9" t="s">
        <v>132</v>
      </c>
      <c r="AE1180" s="9" t="s">
        <v>133</v>
      </c>
      <c r="AF1180" s="9" t="s">
        <v>133</v>
      </c>
      <c r="AG1180" s="14" t="str">
        <f t="shared" si="40"/>
        <v>EXAMENES DE LABORATORIO</v>
      </c>
      <c r="AH1180" s="9" t="s">
        <v>758</v>
      </c>
      <c r="AI1180" s="9">
        <v>0</v>
      </c>
      <c r="AJ1180" s="9">
        <v>96530470</v>
      </c>
      <c r="AK1180" s="9">
        <v>3</v>
      </c>
      <c r="AL1180" s="26" t="s">
        <v>62</v>
      </c>
      <c r="AM1180" s="14" t="s">
        <v>707</v>
      </c>
      <c r="AN1180" s="27" t="str">
        <f t="shared" si="39"/>
        <v>11227555|96530470|920113884|920113884</v>
      </c>
      <c r="AO1180" t="s">
        <v>758</v>
      </c>
      <c r="AP1180" t="b">
        <v>1</v>
      </c>
      <c r="AQ1180" t="s">
        <v>764</v>
      </c>
    </row>
    <row r="1181" spans="1:43" x14ac:dyDescent="0.2">
      <c r="A1181" s="14" t="s">
        <v>500</v>
      </c>
      <c r="B1181" s="17">
        <v>11227555</v>
      </c>
      <c r="C1181" s="14" t="s">
        <v>429</v>
      </c>
      <c r="D1181" s="9">
        <v>11227555</v>
      </c>
      <c r="E1181" s="9" t="s">
        <v>429</v>
      </c>
      <c r="F1181" s="7">
        <v>45717</v>
      </c>
      <c r="G1181" s="20" t="s">
        <v>46</v>
      </c>
      <c r="H1181" s="8">
        <v>920113884</v>
      </c>
      <c r="I1181" s="19">
        <v>65383918</v>
      </c>
      <c r="J1181" s="10">
        <v>3846</v>
      </c>
      <c r="K1181" s="10">
        <v>0</v>
      </c>
      <c r="L1181" s="10">
        <v>3846</v>
      </c>
      <c r="M1181" s="10">
        <v>0</v>
      </c>
      <c r="N1181" s="11">
        <v>3846</v>
      </c>
      <c r="O1181" s="12">
        <v>920113884</v>
      </c>
      <c r="P1181" s="9">
        <v>285123</v>
      </c>
      <c r="Q1181" s="9" t="s">
        <v>37</v>
      </c>
      <c r="R1181" s="13">
        <v>45717</v>
      </c>
      <c r="S1181" s="22">
        <v>45742</v>
      </c>
      <c r="T1181" s="13">
        <v>45706</v>
      </c>
      <c r="U1181" s="13">
        <v>45706</v>
      </c>
      <c r="V1181" s="9" t="s">
        <v>47</v>
      </c>
      <c r="W1181" s="9">
        <v>22770653</v>
      </c>
      <c r="X1181" s="9">
        <v>3311105</v>
      </c>
      <c r="Y1181" s="9">
        <v>69250807</v>
      </c>
      <c r="Z1181" s="9" t="s">
        <v>39</v>
      </c>
      <c r="AA1181" s="9">
        <v>11227555</v>
      </c>
      <c r="AB1181" s="9">
        <v>78070</v>
      </c>
      <c r="AC1181" s="9" t="s">
        <v>41</v>
      </c>
      <c r="AD1181" s="9" t="s">
        <v>132</v>
      </c>
      <c r="AE1181" s="9" t="s">
        <v>133</v>
      </c>
      <c r="AF1181" s="9" t="s">
        <v>133</v>
      </c>
      <c r="AG1181" s="14" t="str">
        <f t="shared" si="40"/>
        <v>EXAMENES DE LABORATORIO</v>
      </c>
      <c r="AH1181" s="9">
        <v>0</v>
      </c>
      <c r="AI1181" s="9">
        <v>0</v>
      </c>
      <c r="AJ1181" s="9">
        <v>96530470</v>
      </c>
      <c r="AK1181" s="9">
        <v>3</v>
      </c>
      <c r="AL1181" s="26" t="s">
        <v>52</v>
      </c>
      <c r="AM1181" s="14" t="s">
        <v>707</v>
      </c>
      <c r="AN1181" s="27" t="str">
        <f t="shared" si="39"/>
        <v>11227555|96530470|920113884|65383918</v>
      </c>
      <c r="AO1181" t="s">
        <v>44</v>
      </c>
      <c r="AP1181" t="b">
        <v>0</v>
      </c>
      <c r="AQ1181" t="s">
        <v>763</v>
      </c>
    </row>
    <row r="1182" spans="1:43" x14ac:dyDescent="0.2">
      <c r="A1182" s="14" t="s">
        <v>500</v>
      </c>
      <c r="B1182" s="17">
        <v>13924168</v>
      </c>
      <c r="C1182" s="14" t="s">
        <v>418</v>
      </c>
      <c r="D1182" s="9">
        <v>25061160</v>
      </c>
      <c r="E1182" s="9" t="s">
        <v>419</v>
      </c>
      <c r="F1182" s="7">
        <v>45689</v>
      </c>
      <c r="G1182" s="20" t="s">
        <v>36</v>
      </c>
      <c r="H1182" s="8">
        <v>920183933</v>
      </c>
      <c r="I1182" s="19">
        <v>920183933</v>
      </c>
      <c r="J1182" s="10">
        <v>77400</v>
      </c>
      <c r="K1182" s="10">
        <v>24200</v>
      </c>
      <c r="L1182" s="10">
        <v>53200</v>
      </c>
      <c r="M1182" s="10">
        <v>0</v>
      </c>
      <c r="N1182" s="11">
        <v>53200</v>
      </c>
      <c r="O1182" s="12">
        <v>920183933</v>
      </c>
      <c r="P1182" s="9">
        <v>285123</v>
      </c>
      <c r="Q1182" s="9" t="s">
        <v>37</v>
      </c>
      <c r="R1182" s="13">
        <v>45706</v>
      </c>
      <c r="S1182" s="22">
        <v>45706</v>
      </c>
      <c r="T1182" s="13">
        <v>45706</v>
      </c>
      <c r="U1182" s="13">
        <v>45706</v>
      </c>
      <c r="V1182" s="9" t="s">
        <v>47</v>
      </c>
      <c r="W1182" s="9">
        <v>22621786</v>
      </c>
      <c r="X1182" s="9">
        <v>2250942</v>
      </c>
      <c r="Y1182" s="9">
        <v>68910384</v>
      </c>
      <c r="Z1182" s="9" t="s">
        <v>39</v>
      </c>
      <c r="AA1182" s="9">
        <v>23022025</v>
      </c>
      <c r="AB1182" s="9">
        <v>77703</v>
      </c>
      <c r="AC1182" s="9" t="s">
        <v>41</v>
      </c>
      <c r="AD1182" s="9" t="s">
        <v>134</v>
      </c>
      <c r="AE1182" s="9" t="s">
        <v>135</v>
      </c>
      <c r="AF1182" s="9" t="s">
        <v>135</v>
      </c>
      <c r="AG1182" s="14" t="str">
        <f t="shared" si="40"/>
        <v>EXAMENES RADIOLOGICOS</v>
      </c>
      <c r="AH1182" s="9" t="s">
        <v>758</v>
      </c>
      <c r="AI1182" s="9">
        <v>0</v>
      </c>
      <c r="AJ1182" s="9">
        <v>78317440</v>
      </c>
      <c r="AK1182" s="9">
        <v>5</v>
      </c>
      <c r="AL1182" s="26" t="s">
        <v>62</v>
      </c>
      <c r="AM1182" s="14" t="s">
        <v>702</v>
      </c>
      <c r="AN1182" s="27" t="str">
        <f t="shared" si="39"/>
        <v>13924168|78317440|920183933|920183933</v>
      </c>
      <c r="AO1182" t="s">
        <v>758</v>
      </c>
      <c r="AP1182" t="b">
        <v>1</v>
      </c>
      <c r="AQ1182" t="s">
        <v>764</v>
      </c>
    </row>
    <row r="1183" spans="1:43" x14ac:dyDescent="0.2">
      <c r="A1183" s="14" t="s">
        <v>500</v>
      </c>
      <c r="B1183" s="17">
        <v>13924168</v>
      </c>
      <c r="C1183" s="14" t="s">
        <v>418</v>
      </c>
      <c r="D1183" s="9">
        <v>25061160</v>
      </c>
      <c r="E1183" s="9" t="s">
        <v>419</v>
      </c>
      <c r="F1183" s="7">
        <v>45717</v>
      </c>
      <c r="G1183" s="20" t="s">
        <v>46</v>
      </c>
      <c r="H1183" s="8">
        <v>920183933</v>
      </c>
      <c r="I1183" s="19">
        <v>65384156</v>
      </c>
      <c r="J1183" s="10">
        <v>45811</v>
      </c>
      <c r="K1183" s="10">
        <v>0</v>
      </c>
      <c r="L1183" s="10">
        <v>45811</v>
      </c>
      <c r="M1183" s="10">
        <v>0</v>
      </c>
      <c r="N1183" s="11">
        <v>45811</v>
      </c>
      <c r="O1183" s="12">
        <v>920183933</v>
      </c>
      <c r="P1183" s="9">
        <v>285123</v>
      </c>
      <c r="Q1183" s="9" t="s">
        <v>37</v>
      </c>
      <c r="R1183" s="13">
        <v>45717</v>
      </c>
      <c r="S1183" s="22">
        <v>45742</v>
      </c>
      <c r="T1183" s="13">
        <v>45706</v>
      </c>
      <c r="U1183" s="13">
        <v>45706</v>
      </c>
      <c r="V1183" s="9" t="s">
        <v>47</v>
      </c>
      <c r="W1183" s="9">
        <v>22770655</v>
      </c>
      <c r="X1183" s="9">
        <v>3311105</v>
      </c>
      <c r="Y1183" s="9">
        <v>69251036</v>
      </c>
      <c r="Z1183" s="9" t="s">
        <v>39</v>
      </c>
      <c r="AA1183" s="9">
        <v>13924168</v>
      </c>
      <c r="AB1183" s="9">
        <v>78070</v>
      </c>
      <c r="AC1183" s="9" t="s">
        <v>41</v>
      </c>
      <c r="AD1183" s="9" t="s">
        <v>134</v>
      </c>
      <c r="AE1183" s="9" t="s">
        <v>135</v>
      </c>
      <c r="AF1183" s="9" t="s">
        <v>135</v>
      </c>
      <c r="AG1183" s="14" t="str">
        <f t="shared" si="40"/>
        <v>EXAMENES RADIOLOGICOS</v>
      </c>
      <c r="AH1183" s="9">
        <v>0</v>
      </c>
      <c r="AI1183" s="9">
        <v>0</v>
      </c>
      <c r="AJ1183" s="9">
        <v>78317440</v>
      </c>
      <c r="AK1183" s="9">
        <v>5</v>
      </c>
      <c r="AL1183" s="26" t="s">
        <v>52</v>
      </c>
      <c r="AM1183" s="14" t="s">
        <v>702</v>
      </c>
      <c r="AN1183" s="27" t="str">
        <f t="shared" si="39"/>
        <v>13924168|78317440|920183933|65384156</v>
      </c>
      <c r="AO1183" t="s">
        <v>44</v>
      </c>
      <c r="AP1183" t="b">
        <v>0</v>
      </c>
      <c r="AQ1183" t="s">
        <v>763</v>
      </c>
    </row>
    <row r="1184" spans="1:43" x14ac:dyDescent="0.2">
      <c r="A1184" s="14" t="s">
        <v>500</v>
      </c>
      <c r="B1184" s="17">
        <v>10586495</v>
      </c>
      <c r="C1184" s="14" t="s">
        <v>401</v>
      </c>
      <c r="D1184" s="9">
        <v>10586495</v>
      </c>
      <c r="E1184" s="9" t="s">
        <v>401</v>
      </c>
      <c r="F1184" s="7">
        <v>45689</v>
      </c>
      <c r="G1184" s="20" t="s">
        <v>36</v>
      </c>
      <c r="H1184" s="8">
        <v>920195239</v>
      </c>
      <c r="I1184" s="19">
        <v>920195239</v>
      </c>
      <c r="J1184" s="10">
        <v>35460</v>
      </c>
      <c r="K1184" s="10">
        <v>19945</v>
      </c>
      <c r="L1184" s="10">
        <v>15515</v>
      </c>
      <c r="M1184" s="10">
        <v>0</v>
      </c>
      <c r="N1184" s="11">
        <v>15515</v>
      </c>
      <c r="O1184" s="12">
        <v>920195239</v>
      </c>
      <c r="P1184" s="9">
        <v>285123</v>
      </c>
      <c r="Q1184" s="9" t="s">
        <v>37</v>
      </c>
      <c r="R1184" s="13">
        <v>45706</v>
      </c>
      <c r="S1184" s="22">
        <v>45706</v>
      </c>
      <c r="T1184" s="13">
        <v>45706</v>
      </c>
      <c r="U1184" s="13">
        <v>45706</v>
      </c>
      <c r="V1184" s="9" t="s">
        <v>47</v>
      </c>
      <c r="W1184" s="9">
        <v>22621771</v>
      </c>
      <c r="X1184" s="9">
        <v>2250942</v>
      </c>
      <c r="Y1184" s="9">
        <v>68910442</v>
      </c>
      <c r="Z1184" s="9" t="s">
        <v>39</v>
      </c>
      <c r="AA1184" s="9">
        <v>23022025</v>
      </c>
      <c r="AB1184" s="9">
        <v>77703</v>
      </c>
      <c r="AC1184" s="9" t="s">
        <v>41</v>
      </c>
      <c r="AD1184" s="9" t="s">
        <v>134</v>
      </c>
      <c r="AE1184" s="9" t="s">
        <v>135</v>
      </c>
      <c r="AF1184" s="9" t="s">
        <v>135</v>
      </c>
      <c r="AG1184" s="14" t="str">
        <f t="shared" si="40"/>
        <v>EXAMENES RADIOLOGICOS</v>
      </c>
      <c r="AH1184" s="9" t="s">
        <v>758</v>
      </c>
      <c r="AI1184" s="9">
        <v>0</v>
      </c>
      <c r="AJ1184" s="9">
        <v>76098454</v>
      </c>
      <c r="AK1184" s="9" t="s">
        <v>161</v>
      </c>
      <c r="AL1184" s="26" t="s">
        <v>62</v>
      </c>
      <c r="AM1184" s="14" t="s">
        <v>689</v>
      </c>
      <c r="AN1184" s="27" t="str">
        <f t="shared" si="39"/>
        <v>10586495|76098454|920195239|920195239</v>
      </c>
      <c r="AO1184" t="s">
        <v>758</v>
      </c>
      <c r="AP1184" t="b">
        <v>1</v>
      </c>
      <c r="AQ1184" t="s">
        <v>764</v>
      </c>
    </row>
    <row r="1185" spans="1:43" x14ac:dyDescent="0.2">
      <c r="A1185" s="14" t="s">
        <v>500</v>
      </c>
      <c r="B1185" s="17">
        <v>10586495</v>
      </c>
      <c r="C1185" s="14" t="s">
        <v>401</v>
      </c>
      <c r="D1185" s="9">
        <v>10586495</v>
      </c>
      <c r="E1185" s="9" t="s">
        <v>401</v>
      </c>
      <c r="F1185" s="7">
        <v>45717</v>
      </c>
      <c r="G1185" s="20" t="s">
        <v>46</v>
      </c>
      <c r="H1185" s="8">
        <v>920195239</v>
      </c>
      <c r="I1185" s="19">
        <v>65383876</v>
      </c>
      <c r="J1185" s="10">
        <v>11934</v>
      </c>
      <c r="K1185" s="10">
        <v>0</v>
      </c>
      <c r="L1185" s="10">
        <v>11934</v>
      </c>
      <c r="M1185" s="10">
        <v>0</v>
      </c>
      <c r="N1185" s="11">
        <v>11934</v>
      </c>
      <c r="O1185" s="12">
        <v>920195239</v>
      </c>
      <c r="P1185" s="9">
        <v>285123</v>
      </c>
      <c r="Q1185" s="9" t="s">
        <v>37</v>
      </c>
      <c r="R1185" s="13">
        <v>45717</v>
      </c>
      <c r="S1185" s="22">
        <v>45742</v>
      </c>
      <c r="T1185" s="13">
        <v>45706</v>
      </c>
      <c r="U1185" s="13">
        <v>45706</v>
      </c>
      <c r="V1185" s="9" t="s">
        <v>47</v>
      </c>
      <c r="W1185" s="9">
        <v>22770652</v>
      </c>
      <c r="X1185" s="9">
        <v>3311105</v>
      </c>
      <c r="Y1185" s="9">
        <v>69250765</v>
      </c>
      <c r="Z1185" s="9" t="s">
        <v>39</v>
      </c>
      <c r="AA1185" s="9">
        <v>50964119</v>
      </c>
      <c r="AB1185" s="9">
        <v>78070</v>
      </c>
      <c r="AC1185" s="9" t="s">
        <v>41</v>
      </c>
      <c r="AD1185" s="9" t="s">
        <v>134</v>
      </c>
      <c r="AE1185" s="9" t="s">
        <v>135</v>
      </c>
      <c r="AF1185" s="9" t="s">
        <v>135</v>
      </c>
      <c r="AG1185" s="14" t="str">
        <f t="shared" si="40"/>
        <v>EXAMENES RADIOLOGICOS</v>
      </c>
      <c r="AH1185" s="9">
        <v>0</v>
      </c>
      <c r="AI1185" s="9">
        <v>0</v>
      </c>
      <c r="AJ1185" s="9">
        <v>76098454</v>
      </c>
      <c r="AK1185" s="9" t="s">
        <v>161</v>
      </c>
      <c r="AL1185" s="26" t="s">
        <v>52</v>
      </c>
      <c r="AM1185" s="14" t="s">
        <v>689</v>
      </c>
      <c r="AN1185" s="27" t="str">
        <f t="shared" si="39"/>
        <v>10586495|76098454|920195239|65383876</v>
      </c>
      <c r="AO1185" t="s">
        <v>44</v>
      </c>
      <c r="AP1185" t="b">
        <v>0</v>
      </c>
      <c r="AQ1185" t="s">
        <v>763</v>
      </c>
    </row>
    <row r="1186" spans="1:43" x14ac:dyDescent="0.2">
      <c r="A1186" s="14" t="s">
        <v>500</v>
      </c>
      <c r="B1186" s="17">
        <v>10586495</v>
      </c>
      <c r="C1186" s="14" t="s">
        <v>401</v>
      </c>
      <c r="D1186" s="9">
        <v>10586495</v>
      </c>
      <c r="E1186" s="9" t="s">
        <v>401</v>
      </c>
      <c r="F1186" s="7">
        <v>45689</v>
      </c>
      <c r="G1186" s="20" t="s">
        <v>36</v>
      </c>
      <c r="H1186" s="8">
        <v>920195560</v>
      </c>
      <c r="I1186" s="19">
        <v>920195560</v>
      </c>
      <c r="J1186" s="10">
        <v>57520</v>
      </c>
      <c r="K1186" s="10">
        <v>32360</v>
      </c>
      <c r="L1186" s="10">
        <v>25160</v>
      </c>
      <c r="M1186" s="10">
        <v>0</v>
      </c>
      <c r="N1186" s="11">
        <v>25160</v>
      </c>
      <c r="O1186" s="12">
        <v>920195560</v>
      </c>
      <c r="P1186" s="9">
        <v>285123</v>
      </c>
      <c r="Q1186" s="9" t="s">
        <v>37</v>
      </c>
      <c r="R1186" s="13">
        <v>45706</v>
      </c>
      <c r="S1186" s="22">
        <v>45706</v>
      </c>
      <c r="T1186" s="13">
        <v>45706</v>
      </c>
      <c r="U1186" s="13">
        <v>45706</v>
      </c>
      <c r="V1186" s="9" t="s">
        <v>47</v>
      </c>
      <c r="W1186" s="9">
        <v>22621771</v>
      </c>
      <c r="X1186" s="9">
        <v>2250942</v>
      </c>
      <c r="Y1186" s="9">
        <v>68910444</v>
      </c>
      <c r="Z1186" s="9" t="s">
        <v>39</v>
      </c>
      <c r="AA1186" s="9">
        <v>23022025</v>
      </c>
      <c r="AB1186" s="9">
        <v>77703</v>
      </c>
      <c r="AC1186" s="9" t="s">
        <v>41</v>
      </c>
      <c r="AD1186" s="9" t="s">
        <v>65</v>
      </c>
      <c r="AE1186" s="9" t="s">
        <v>66</v>
      </c>
      <c r="AF1186" s="9" t="s">
        <v>66</v>
      </c>
      <c r="AG1186" s="14" t="str">
        <f t="shared" si="40"/>
        <v>PROCEDIMIENTOS TERAPEUTICOS</v>
      </c>
      <c r="AH1186" s="9" t="s">
        <v>758</v>
      </c>
      <c r="AI1186" s="9">
        <v>0</v>
      </c>
      <c r="AJ1186" s="9">
        <v>76098454</v>
      </c>
      <c r="AK1186" s="9" t="s">
        <v>161</v>
      </c>
      <c r="AL1186" s="26" t="s">
        <v>62</v>
      </c>
      <c r="AM1186" s="14" t="s">
        <v>689</v>
      </c>
      <c r="AN1186" s="27" t="str">
        <f t="shared" si="39"/>
        <v>10586495|76098454|920195560|920195560</v>
      </c>
      <c r="AO1186" t="s">
        <v>758</v>
      </c>
      <c r="AP1186" t="b">
        <v>1</v>
      </c>
      <c r="AQ1186" t="s">
        <v>764</v>
      </c>
    </row>
    <row r="1187" spans="1:43" x14ac:dyDescent="0.2">
      <c r="A1187" s="14" t="s">
        <v>500</v>
      </c>
      <c r="B1187" s="17">
        <v>10586495</v>
      </c>
      <c r="C1187" s="14" t="s">
        <v>401</v>
      </c>
      <c r="D1187" s="9">
        <v>10586495</v>
      </c>
      <c r="E1187" s="9" t="s">
        <v>401</v>
      </c>
      <c r="F1187" s="7">
        <v>45717</v>
      </c>
      <c r="G1187" s="20" t="s">
        <v>46</v>
      </c>
      <c r="H1187" s="8">
        <v>920195560</v>
      </c>
      <c r="I1187" s="19">
        <v>65383877</v>
      </c>
      <c r="J1187" s="10">
        <v>20018</v>
      </c>
      <c r="K1187" s="10">
        <v>0</v>
      </c>
      <c r="L1187" s="10">
        <v>20018</v>
      </c>
      <c r="M1187" s="10">
        <v>0</v>
      </c>
      <c r="N1187" s="11">
        <v>20018</v>
      </c>
      <c r="O1187" s="12">
        <v>920195560</v>
      </c>
      <c r="P1187" s="9">
        <v>285123</v>
      </c>
      <c r="Q1187" s="9" t="s">
        <v>37</v>
      </c>
      <c r="R1187" s="13">
        <v>45717</v>
      </c>
      <c r="S1187" s="22">
        <v>45742</v>
      </c>
      <c r="T1187" s="13">
        <v>45706</v>
      </c>
      <c r="U1187" s="13">
        <v>45706</v>
      </c>
      <c r="V1187" s="9" t="s">
        <v>47</v>
      </c>
      <c r="W1187" s="9">
        <v>22770652</v>
      </c>
      <c r="X1187" s="9">
        <v>3311105</v>
      </c>
      <c r="Y1187" s="9">
        <v>69250766</v>
      </c>
      <c r="Z1187" s="9" t="s">
        <v>39</v>
      </c>
      <c r="AA1187" s="9">
        <v>50964119</v>
      </c>
      <c r="AB1187" s="9">
        <v>78070</v>
      </c>
      <c r="AC1187" s="9" t="s">
        <v>41</v>
      </c>
      <c r="AD1187" s="9" t="s">
        <v>65</v>
      </c>
      <c r="AE1187" s="9" t="s">
        <v>66</v>
      </c>
      <c r="AF1187" s="9" t="s">
        <v>66</v>
      </c>
      <c r="AG1187" s="14" t="str">
        <f t="shared" si="40"/>
        <v>PROCEDIMIENTOS TERAPEUTICOS</v>
      </c>
      <c r="AH1187" s="9">
        <v>0</v>
      </c>
      <c r="AI1187" s="9">
        <v>0</v>
      </c>
      <c r="AJ1187" s="9">
        <v>76098454</v>
      </c>
      <c r="AK1187" s="9" t="s">
        <v>161</v>
      </c>
      <c r="AL1187" s="26" t="s">
        <v>52</v>
      </c>
      <c r="AM1187" s="14" t="s">
        <v>689</v>
      </c>
      <c r="AN1187" s="27" t="str">
        <f t="shared" si="39"/>
        <v>10586495|76098454|920195560|65383877</v>
      </c>
      <c r="AO1187" t="s">
        <v>44</v>
      </c>
      <c r="AP1187" t="b">
        <v>0</v>
      </c>
      <c r="AQ1187" t="s">
        <v>763</v>
      </c>
    </row>
    <row r="1188" spans="1:43" x14ac:dyDescent="0.2">
      <c r="A1188" s="14" t="s">
        <v>500</v>
      </c>
      <c r="B1188" s="17">
        <v>25682071</v>
      </c>
      <c r="C1188" s="14" t="s">
        <v>430</v>
      </c>
      <c r="D1188" s="9">
        <v>25682071</v>
      </c>
      <c r="E1188" s="9" t="s">
        <v>430</v>
      </c>
      <c r="F1188" s="7">
        <v>45689</v>
      </c>
      <c r="G1188" s="20" t="s">
        <v>36</v>
      </c>
      <c r="H1188" s="8">
        <v>920227927</v>
      </c>
      <c r="I1188" s="19">
        <v>920227927</v>
      </c>
      <c r="J1188" s="10">
        <v>38780</v>
      </c>
      <c r="K1188" s="10">
        <v>12120</v>
      </c>
      <c r="L1188" s="10">
        <v>26660</v>
      </c>
      <c r="M1188" s="10">
        <v>0</v>
      </c>
      <c r="N1188" s="11">
        <v>26660</v>
      </c>
      <c r="O1188" s="12">
        <v>920227927</v>
      </c>
      <c r="P1188" s="9">
        <v>285123</v>
      </c>
      <c r="Q1188" s="9" t="s">
        <v>37</v>
      </c>
      <c r="R1188" s="13">
        <v>45707</v>
      </c>
      <c r="S1188" s="22">
        <v>45707</v>
      </c>
      <c r="T1188" s="13">
        <v>45707</v>
      </c>
      <c r="U1188" s="13">
        <v>45707</v>
      </c>
      <c r="V1188" s="9" t="s">
        <v>47</v>
      </c>
      <c r="W1188" s="9">
        <v>22621854</v>
      </c>
      <c r="X1188" s="9">
        <v>2250942</v>
      </c>
      <c r="Y1188" s="9">
        <v>68910655</v>
      </c>
      <c r="Z1188" s="9" t="s">
        <v>39</v>
      </c>
      <c r="AA1188" s="9">
        <v>23022025</v>
      </c>
      <c r="AB1188" s="9">
        <v>77703</v>
      </c>
      <c r="AC1188" s="9" t="s">
        <v>41</v>
      </c>
      <c r="AD1188" s="9" t="s">
        <v>132</v>
      </c>
      <c r="AE1188" s="9" t="s">
        <v>133</v>
      </c>
      <c r="AF1188" s="9" t="s">
        <v>133</v>
      </c>
      <c r="AG1188" s="14" t="str">
        <f t="shared" si="40"/>
        <v>EXAMENES DE LABORATORIO</v>
      </c>
      <c r="AH1188" s="9" t="s">
        <v>758</v>
      </c>
      <c r="AI1188" s="9">
        <v>0</v>
      </c>
      <c r="AJ1188" s="9">
        <v>77786070</v>
      </c>
      <c r="AK1188" s="9">
        <v>4</v>
      </c>
      <c r="AL1188" s="26" t="s">
        <v>62</v>
      </c>
      <c r="AM1188" s="14" t="s">
        <v>708</v>
      </c>
      <c r="AN1188" s="27" t="str">
        <f t="shared" si="39"/>
        <v>25682071|77786070|920227927|920227927</v>
      </c>
      <c r="AO1188" t="s">
        <v>758</v>
      </c>
      <c r="AP1188" t="b">
        <v>1</v>
      </c>
      <c r="AQ1188" t="s">
        <v>764</v>
      </c>
    </row>
    <row r="1189" spans="1:43" x14ac:dyDescent="0.2">
      <c r="A1189" s="14" t="s">
        <v>500</v>
      </c>
      <c r="B1189" s="17">
        <v>25682071</v>
      </c>
      <c r="C1189" s="14" t="s">
        <v>430</v>
      </c>
      <c r="D1189" s="9">
        <v>25682071</v>
      </c>
      <c r="E1189" s="9" t="s">
        <v>430</v>
      </c>
      <c r="F1189" s="7">
        <v>45717</v>
      </c>
      <c r="G1189" s="20" t="s">
        <v>46</v>
      </c>
      <c r="H1189" s="8">
        <v>920227927</v>
      </c>
      <c r="I1189" s="19">
        <v>65384522</v>
      </c>
      <c r="J1189" s="10">
        <v>23489</v>
      </c>
      <c r="K1189" s="10">
        <v>0</v>
      </c>
      <c r="L1189" s="10">
        <v>23489</v>
      </c>
      <c r="M1189" s="10">
        <v>0</v>
      </c>
      <c r="N1189" s="11">
        <v>23489</v>
      </c>
      <c r="O1189" s="12">
        <v>920227927</v>
      </c>
      <c r="P1189" s="9">
        <v>285123</v>
      </c>
      <c r="Q1189" s="9" t="s">
        <v>37</v>
      </c>
      <c r="R1189" s="13">
        <v>45717</v>
      </c>
      <c r="S1189" s="22">
        <v>45742</v>
      </c>
      <c r="T1189" s="13">
        <v>45707</v>
      </c>
      <c r="U1189" s="13">
        <v>45707</v>
      </c>
      <c r="V1189" s="9" t="s">
        <v>47</v>
      </c>
      <c r="W1189" s="9">
        <v>22770674</v>
      </c>
      <c r="X1189" s="9">
        <v>3311105</v>
      </c>
      <c r="Y1189" s="9">
        <v>69251385</v>
      </c>
      <c r="Z1189" s="9" t="s">
        <v>39</v>
      </c>
      <c r="AA1189" s="9">
        <v>19992243180</v>
      </c>
      <c r="AB1189" s="9">
        <v>78070</v>
      </c>
      <c r="AC1189" s="9" t="s">
        <v>41</v>
      </c>
      <c r="AD1189" s="9" t="s">
        <v>132</v>
      </c>
      <c r="AE1189" s="9" t="s">
        <v>133</v>
      </c>
      <c r="AF1189" s="9" t="s">
        <v>133</v>
      </c>
      <c r="AG1189" s="14" t="str">
        <f t="shared" si="40"/>
        <v>EXAMENES DE LABORATORIO</v>
      </c>
      <c r="AH1189" s="9">
        <v>0</v>
      </c>
      <c r="AI1189" s="9">
        <v>0</v>
      </c>
      <c r="AJ1189" s="9">
        <v>77786070</v>
      </c>
      <c r="AK1189" s="9">
        <v>4</v>
      </c>
      <c r="AL1189" s="26" t="s">
        <v>52</v>
      </c>
      <c r="AM1189" s="14" t="s">
        <v>708</v>
      </c>
      <c r="AN1189" s="27" t="str">
        <f t="shared" si="39"/>
        <v>25682071|77786070|920227927|65384522</v>
      </c>
      <c r="AO1189" t="s">
        <v>44</v>
      </c>
      <c r="AP1189" t="b">
        <v>0</v>
      </c>
      <c r="AQ1189" t="s">
        <v>763</v>
      </c>
    </row>
    <row r="1190" spans="1:43" x14ac:dyDescent="0.2">
      <c r="A1190" s="14" t="s">
        <v>500</v>
      </c>
      <c r="B1190" s="17">
        <v>25682071</v>
      </c>
      <c r="C1190" s="14" t="s">
        <v>430</v>
      </c>
      <c r="D1190" s="9">
        <v>25682071</v>
      </c>
      <c r="E1190" s="9" t="s">
        <v>430</v>
      </c>
      <c r="F1190" s="7">
        <v>45689</v>
      </c>
      <c r="G1190" s="20" t="s">
        <v>36</v>
      </c>
      <c r="H1190" s="8">
        <v>920227928</v>
      </c>
      <c r="I1190" s="19">
        <v>920227928</v>
      </c>
      <c r="J1190" s="10">
        <v>90610</v>
      </c>
      <c r="K1190" s="10">
        <v>28340</v>
      </c>
      <c r="L1190" s="10">
        <v>62270</v>
      </c>
      <c r="M1190" s="10">
        <v>0</v>
      </c>
      <c r="N1190" s="11">
        <v>62270</v>
      </c>
      <c r="O1190" s="12">
        <v>920227928</v>
      </c>
      <c r="P1190" s="9">
        <v>285123</v>
      </c>
      <c r="Q1190" s="9" t="s">
        <v>37</v>
      </c>
      <c r="R1190" s="13">
        <v>45707</v>
      </c>
      <c r="S1190" s="22">
        <v>45707</v>
      </c>
      <c r="T1190" s="13">
        <v>45707</v>
      </c>
      <c r="U1190" s="13">
        <v>45707</v>
      </c>
      <c r="V1190" s="9" t="s">
        <v>47</v>
      </c>
      <c r="W1190" s="9">
        <v>22621854</v>
      </c>
      <c r="X1190" s="9">
        <v>2250942</v>
      </c>
      <c r="Y1190" s="9">
        <v>68910654</v>
      </c>
      <c r="Z1190" s="9" t="s">
        <v>39</v>
      </c>
      <c r="AA1190" s="9">
        <v>23022025</v>
      </c>
      <c r="AB1190" s="9">
        <v>77703</v>
      </c>
      <c r="AC1190" s="9" t="s">
        <v>41</v>
      </c>
      <c r="AD1190" s="9" t="s">
        <v>132</v>
      </c>
      <c r="AE1190" s="9" t="s">
        <v>133</v>
      </c>
      <c r="AF1190" s="9" t="s">
        <v>133</v>
      </c>
      <c r="AG1190" s="14" t="str">
        <f t="shared" si="40"/>
        <v>EXAMENES DE LABORATORIO</v>
      </c>
      <c r="AH1190" s="9" t="s">
        <v>758</v>
      </c>
      <c r="AI1190" s="9">
        <v>0</v>
      </c>
      <c r="AJ1190" s="9">
        <v>77786070</v>
      </c>
      <c r="AK1190" s="9">
        <v>4</v>
      </c>
      <c r="AL1190" s="26" t="s">
        <v>62</v>
      </c>
      <c r="AM1190" s="14" t="s">
        <v>708</v>
      </c>
      <c r="AN1190" s="27" t="str">
        <f t="shared" si="39"/>
        <v>25682071|77786070|920227928|920227928</v>
      </c>
      <c r="AO1190" t="s">
        <v>758</v>
      </c>
      <c r="AP1190" t="b">
        <v>1</v>
      </c>
      <c r="AQ1190" t="s">
        <v>764</v>
      </c>
    </row>
    <row r="1191" spans="1:43" x14ac:dyDescent="0.2">
      <c r="A1191" s="14" t="s">
        <v>500</v>
      </c>
      <c r="B1191" s="17">
        <v>25682071</v>
      </c>
      <c r="C1191" s="14" t="s">
        <v>430</v>
      </c>
      <c r="D1191" s="9">
        <v>25682071</v>
      </c>
      <c r="E1191" s="9" t="s">
        <v>430</v>
      </c>
      <c r="F1191" s="7">
        <v>45717</v>
      </c>
      <c r="G1191" s="20" t="s">
        <v>46</v>
      </c>
      <c r="H1191" s="8">
        <v>920227928</v>
      </c>
      <c r="I1191" s="19">
        <v>65384523</v>
      </c>
      <c r="J1191" s="10">
        <v>54300</v>
      </c>
      <c r="K1191" s="10">
        <v>0</v>
      </c>
      <c r="L1191" s="10">
        <v>54300</v>
      </c>
      <c r="M1191" s="10">
        <v>0</v>
      </c>
      <c r="N1191" s="11">
        <v>54300</v>
      </c>
      <c r="O1191" s="12">
        <v>920227928</v>
      </c>
      <c r="P1191" s="9">
        <v>285123</v>
      </c>
      <c r="Q1191" s="9" t="s">
        <v>37</v>
      </c>
      <c r="R1191" s="13">
        <v>45717</v>
      </c>
      <c r="S1191" s="22">
        <v>45742</v>
      </c>
      <c r="T1191" s="13">
        <v>45707</v>
      </c>
      <c r="U1191" s="13">
        <v>45707</v>
      </c>
      <c r="V1191" s="9" t="s">
        <v>47</v>
      </c>
      <c r="W1191" s="9">
        <v>22770674</v>
      </c>
      <c r="X1191" s="9">
        <v>3311105</v>
      </c>
      <c r="Y1191" s="9">
        <v>69251386</v>
      </c>
      <c r="Z1191" s="9" t="s">
        <v>39</v>
      </c>
      <c r="AA1191" s="9">
        <v>19992243180</v>
      </c>
      <c r="AB1191" s="9">
        <v>78070</v>
      </c>
      <c r="AC1191" s="9" t="s">
        <v>41</v>
      </c>
      <c r="AD1191" s="9" t="s">
        <v>132</v>
      </c>
      <c r="AE1191" s="9" t="s">
        <v>133</v>
      </c>
      <c r="AF1191" s="9" t="s">
        <v>133</v>
      </c>
      <c r="AG1191" s="14" t="str">
        <f t="shared" si="40"/>
        <v>EXAMENES DE LABORATORIO</v>
      </c>
      <c r="AH1191" s="9">
        <v>0</v>
      </c>
      <c r="AI1191" s="9">
        <v>0</v>
      </c>
      <c r="AJ1191" s="9">
        <v>77786070</v>
      </c>
      <c r="AK1191" s="9">
        <v>4</v>
      </c>
      <c r="AL1191" s="26" t="s">
        <v>52</v>
      </c>
      <c r="AM1191" s="14" t="s">
        <v>708</v>
      </c>
      <c r="AN1191" s="27" t="str">
        <f t="shared" si="39"/>
        <v>25682071|77786070|920227928|65384523</v>
      </c>
      <c r="AO1191" t="s">
        <v>44</v>
      </c>
      <c r="AP1191" t="b">
        <v>0</v>
      </c>
      <c r="AQ1191" t="s">
        <v>763</v>
      </c>
    </row>
    <row r="1192" spans="1:43" x14ac:dyDescent="0.2">
      <c r="A1192" s="14" t="s">
        <v>500</v>
      </c>
      <c r="B1192" s="17">
        <v>25682071</v>
      </c>
      <c r="C1192" s="14" t="s">
        <v>430</v>
      </c>
      <c r="D1192" s="9">
        <v>25682071</v>
      </c>
      <c r="E1192" s="9" t="s">
        <v>430</v>
      </c>
      <c r="F1192" s="7">
        <v>45689</v>
      </c>
      <c r="G1192" s="20" t="s">
        <v>36</v>
      </c>
      <c r="H1192" s="8">
        <v>920227929</v>
      </c>
      <c r="I1192" s="19">
        <v>920227929</v>
      </c>
      <c r="J1192" s="10">
        <v>1360</v>
      </c>
      <c r="K1192" s="10">
        <v>430</v>
      </c>
      <c r="L1192" s="10">
        <v>930</v>
      </c>
      <c r="M1192" s="10">
        <v>0</v>
      </c>
      <c r="N1192" s="11">
        <v>930</v>
      </c>
      <c r="O1192" s="12">
        <v>920227929</v>
      </c>
      <c r="P1192" s="9">
        <v>285123</v>
      </c>
      <c r="Q1192" s="9" t="s">
        <v>37</v>
      </c>
      <c r="R1192" s="13">
        <v>45707</v>
      </c>
      <c r="S1192" s="22">
        <v>45707</v>
      </c>
      <c r="T1192" s="13">
        <v>45707</v>
      </c>
      <c r="U1192" s="13">
        <v>45707</v>
      </c>
      <c r="V1192" s="9" t="s">
        <v>47</v>
      </c>
      <c r="W1192" s="9">
        <v>22621854</v>
      </c>
      <c r="X1192" s="9">
        <v>2250942</v>
      </c>
      <c r="Y1192" s="9">
        <v>68910653</v>
      </c>
      <c r="Z1192" s="9" t="s">
        <v>39</v>
      </c>
      <c r="AA1192" s="9">
        <v>23022025</v>
      </c>
      <c r="AB1192" s="9">
        <v>77703</v>
      </c>
      <c r="AC1192" s="9" t="s">
        <v>41</v>
      </c>
      <c r="AD1192" s="9" t="s">
        <v>132</v>
      </c>
      <c r="AE1192" s="9" t="s">
        <v>133</v>
      </c>
      <c r="AF1192" s="9" t="s">
        <v>133</v>
      </c>
      <c r="AG1192" s="14" t="str">
        <f t="shared" si="40"/>
        <v>EXAMENES DE LABORATORIO</v>
      </c>
      <c r="AH1192" s="9" t="s">
        <v>758</v>
      </c>
      <c r="AI1192" s="9">
        <v>0</v>
      </c>
      <c r="AJ1192" s="9">
        <v>77786070</v>
      </c>
      <c r="AK1192" s="9">
        <v>4</v>
      </c>
      <c r="AL1192" s="26" t="s">
        <v>62</v>
      </c>
      <c r="AM1192" s="14" t="s">
        <v>708</v>
      </c>
      <c r="AN1192" s="27" t="str">
        <f t="shared" si="39"/>
        <v>25682071|77786070|920227929|920227929</v>
      </c>
      <c r="AO1192" t="s">
        <v>758</v>
      </c>
      <c r="AP1192" t="b">
        <v>1</v>
      </c>
      <c r="AQ1192" t="s">
        <v>764</v>
      </c>
    </row>
    <row r="1193" spans="1:43" x14ac:dyDescent="0.2">
      <c r="A1193" s="14" t="s">
        <v>500</v>
      </c>
      <c r="B1193" s="17">
        <v>25682071</v>
      </c>
      <c r="C1193" s="14" t="s">
        <v>430</v>
      </c>
      <c r="D1193" s="9">
        <v>25682071</v>
      </c>
      <c r="E1193" s="9" t="s">
        <v>430</v>
      </c>
      <c r="F1193" s="7">
        <v>45717</v>
      </c>
      <c r="G1193" s="20" t="s">
        <v>46</v>
      </c>
      <c r="H1193" s="8">
        <v>920227929</v>
      </c>
      <c r="I1193" s="19">
        <v>65384524</v>
      </c>
      <c r="J1193" s="10">
        <v>770</v>
      </c>
      <c r="K1193" s="10">
        <v>0</v>
      </c>
      <c r="L1193" s="10">
        <v>770</v>
      </c>
      <c r="M1193" s="10">
        <v>0</v>
      </c>
      <c r="N1193" s="11">
        <v>770</v>
      </c>
      <c r="O1193" s="12">
        <v>920227929</v>
      </c>
      <c r="P1193" s="9">
        <v>285123</v>
      </c>
      <c r="Q1193" s="9" t="s">
        <v>37</v>
      </c>
      <c r="R1193" s="13">
        <v>45717</v>
      </c>
      <c r="S1193" s="22">
        <v>45742</v>
      </c>
      <c r="T1193" s="13">
        <v>45707</v>
      </c>
      <c r="U1193" s="13">
        <v>45707</v>
      </c>
      <c r="V1193" s="9" t="s">
        <v>47</v>
      </c>
      <c r="W1193" s="9">
        <v>22770674</v>
      </c>
      <c r="X1193" s="9">
        <v>3311105</v>
      </c>
      <c r="Y1193" s="9">
        <v>69251387</v>
      </c>
      <c r="Z1193" s="9" t="s">
        <v>39</v>
      </c>
      <c r="AA1193" s="9">
        <v>19992243180</v>
      </c>
      <c r="AB1193" s="9">
        <v>78070</v>
      </c>
      <c r="AC1193" s="9" t="s">
        <v>41</v>
      </c>
      <c r="AD1193" s="9" t="s">
        <v>132</v>
      </c>
      <c r="AE1193" s="9" t="s">
        <v>133</v>
      </c>
      <c r="AF1193" s="9" t="s">
        <v>133</v>
      </c>
      <c r="AG1193" s="14" t="str">
        <f t="shared" si="40"/>
        <v>EXAMENES DE LABORATORIO</v>
      </c>
      <c r="AH1193" s="9">
        <v>0</v>
      </c>
      <c r="AI1193" s="9">
        <v>0</v>
      </c>
      <c r="AJ1193" s="9">
        <v>77786070</v>
      </c>
      <c r="AK1193" s="9">
        <v>4</v>
      </c>
      <c r="AL1193" s="26" t="s">
        <v>52</v>
      </c>
      <c r="AM1193" s="14" t="s">
        <v>708</v>
      </c>
      <c r="AN1193" s="27" t="str">
        <f t="shared" si="39"/>
        <v>25682071|77786070|920227929|65384524</v>
      </c>
      <c r="AO1193" t="s">
        <v>44</v>
      </c>
      <c r="AP1193" t="b">
        <v>0</v>
      </c>
      <c r="AQ1193" t="s">
        <v>763</v>
      </c>
    </row>
    <row r="1194" spans="1:43" x14ac:dyDescent="0.2">
      <c r="A1194" s="14" t="s">
        <v>500</v>
      </c>
      <c r="B1194" s="17">
        <v>11161648</v>
      </c>
      <c r="C1194" s="14" t="s">
        <v>431</v>
      </c>
      <c r="D1194" s="9">
        <v>11161648</v>
      </c>
      <c r="E1194" s="9" t="s">
        <v>431</v>
      </c>
      <c r="F1194" s="7">
        <v>45689</v>
      </c>
      <c r="G1194" s="20" t="s">
        <v>36</v>
      </c>
      <c r="H1194" s="8">
        <v>920230877</v>
      </c>
      <c r="I1194" s="19">
        <v>920230877</v>
      </c>
      <c r="J1194" s="10">
        <v>50750</v>
      </c>
      <c r="K1194" s="10">
        <v>15870</v>
      </c>
      <c r="L1194" s="10">
        <v>34880</v>
      </c>
      <c r="M1194" s="10">
        <v>0</v>
      </c>
      <c r="N1194" s="11">
        <v>34880</v>
      </c>
      <c r="O1194" s="12">
        <v>920230877</v>
      </c>
      <c r="P1194" s="9">
        <v>285123</v>
      </c>
      <c r="Q1194" s="9" t="s">
        <v>37</v>
      </c>
      <c r="R1194" s="13">
        <v>45707</v>
      </c>
      <c r="S1194" s="22">
        <v>45707</v>
      </c>
      <c r="T1194" s="13">
        <v>45707</v>
      </c>
      <c r="U1194" s="13">
        <v>45707</v>
      </c>
      <c r="V1194" s="9" t="s">
        <v>47</v>
      </c>
      <c r="W1194" s="9">
        <v>22621818</v>
      </c>
      <c r="X1194" s="9">
        <v>2250942</v>
      </c>
      <c r="Y1194" s="9">
        <v>68910676</v>
      </c>
      <c r="Z1194" s="9" t="s">
        <v>39</v>
      </c>
      <c r="AA1194" s="9">
        <v>23022025</v>
      </c>
      <c r="AB1194" s="9">
        <v>77703</v>
      </c>
      <c r="AC1194" s="9" t="s">
        <v>41</v>
      </c>
      <c r="AD1194" s="9" t="s">
        <v>132</v>
      </c>
      <c r="AE1194" s="9" t="s">
        <v>133</v>
      </c>
      <c r="AF1194" s="9" t="s">
        <v>133</v>
      </c>
      <c r="AG1194" s="14" t="str">
        <f t="shared" si="40"/>
        <v>EXAMENES DE LABORATORIO</v>
      </c>
      <c r="AH1194" s="9" t="s">
        <v>758</v>
      </c>
      <c r="AI1194" s="9">
        <v>0</v>
      </c>
      <c r="AJ1194" s="9">
        <v>77148750</v>
      </c>
      <c r="AK1194" s="9">
        <v>5</v>
      </c>
      <c r="AL1194" s="26" t="s">
        <v>62</v>
      </c>
      <c r="AM1194" s="14" t="s">
        <v>709</v>
      </c>
      <c r="AN1194" s="27" t="str">
        <f t="shared" si="39"/>
        <v>11161648|77148750|920230877|920230877</v>
      </c>
      <c r="AO1194" t="s">
        <v>758</v>
      </c>
      <c r="AP1194" t="b">
        <v>1</v>
      </c>
      <c r="AQ1194" t="s">
        <v>764</v>
      </c>
    </row>
    <row r="1195" spans="1:43" x14ac:dyDescent="0.2">
      <c r="A1195" s="14" t="s">
        <v>500</v>
      </c>
      <c r="B1195" s="17">
        <v>11161648</v>
      </c>
      <c r="C1195" s="14" t="s">
        <v>431</v>
      </c>
      <c r="D1195" s="9">
        <v>11161648</v>
      </c>
      <c r="E1195" s="9" t="s">
        <v>431</v>
      </c>
      <c r="F1195" s="7">
        <v>45717</v>
      </c>
      <c r="G1195" s="20" t="s">
        <v>46</v>
      </c>
      <c r="H1195" s="8">
        <v>920230877</v>
      </c>
      <c r="I1195" s="19">
        <v>65383912</v>
      </c>
      <c r="J1195" s="10">
        <v>30421</v>
      </c>
      <c r="K1195" s="10">
        <v>0</v>
      </c>
      <c r="L1195" s="10">
        <v>30421</v>
      </c>
      <c r="M1195" s="10">
        <v>0</v>
      </c>
      <c r="N1195" s="11">
        <v>30421</v>
      </c>
      <c r="O1195" s="12">
        <v>920230877</v>
      </c>
      <c r="P1195" s="9">
        <v>285123</v>
      </c>
      <c r="Q1195" s="9" t="s">
        <v>37</v>
      </c>
      <c r="R1195" s="13">
        <v>45717</v>
      </c>
      <c r="S1195" s="22">
        <v>45742</v>
      </c>
      <c r="T1195" s="13">
        <v>45707</v>
      </c>
      <c r="U1195" s="13">
        <v>45707</v>
      </c>
      <c r="V1195" s="9" t="s">
        <v>47</v>
      </c>
      <c r="W1195" s="9">
        <v>22770665</v>
      </c>
      <c r="X1195" s="9">
        <v>3311105</v>
      </c>
      <c r="Y1195" s="9">
        <v>69250801</v>
      </c>
      <c r="Z1195" s="9" t="s">
        <v>39</v>
      </c>
      <c r="AA1195" s="9">
        <v>64139355</v>
      </c>
      <c r="AB1195" s="9">
        <v>78070</v>
      </c>
      <c r="AC1195" s="9" t="s">
        <v>41</v>
      </c>
      <c r="AD1195" s="9" t="s">
        <v>132</v>
      </c>
      <c r="AE1195" s="9" t="s">
        <v>133</v>
      </c>
      <c r="AF1195" s="9" t="s">
        <v>133</v>
      </c>
      <c r="AG1195" s="14" t="str">
        <f t="shared" si="40"/>
        <v>EXAMENES DE LABORATORIO</v>
      </c>
      <c r="AH1195" s="9">
        <v>0</v>
      </c>
      <c r="AI1195" s="9">
        <v>0</v>
      </c>
      <c r="AJ1195" s="9">
        <v>77148750</v>
      </c>
      <c r="AK1195" s="9">
        <v>5</v>
      </c>
      <c r="AL1195" s="26" t="s">
        <v>52</v>
      </c>
      <c r="AM1195" s="14" t="s">
        <v>709</v>
      </c>
      <c r="AN1195" s="27" t="str">
        <f t="shared" si="39"/>
        <v>11161648|77148750|920230877|65383912</v>
      </c>
      <c r="AO1195" t="s">
        <v>44</v>
      </c>
      <c r="AP1195" t="b">
        <v>0</v>
      </c>
      <c r="AQ1195" t="s">
        <v>763</v>
      </c>
    </row>
    <row r="1196" spans="1:43" x14ac:dyDescent="0.2">
      <c r="A1196" s="14" t="s">
        <v>500</v>
      </c>
      <c r="B1196" s="17">
        <v>11161648</v>
      </c>
      <c r="C1196" s="14" t="s">
        <v>431</v>
      </c>
      <c r="D1196" s="9">
        <v>11161648</v>
      </c>
      <c r="E1196" s="9" t="s">
        <v>431</v>
      </c>
      <c r="F1196" s="7">
        <v>45689</v>
      </c>
      <c r="G1196" s="20" t="s">
        <v>36</v>
      </c>
      <c r="H1196" s="8">
        <v>920230878</v>
      </c>
      <c r="I1196" s="19">
        <v>920230878</v>
      </c>
      <c r="J1196" s="10">
        <v>28030</v>
      </c>
      <c r="K1196" s="10">
        <v>8770</v>
      </c>
      <c r="L1196" s="10">
        <v>19260</v>
      </c>
      <c r="M1196" s="10">
        <v>0</v>
      </c>
      <c r="N1196" s="11">
        <v>19260</v>
      </c>
      <c r="O1196" s="12">
        <v>920230878</v>
      </c>
      <c r="P1196" s="9">
        <v>285123</v>
      </c>
      <c r="Q1196" s="9" t="s">
        <v>37</v>
      </c>
      <c r="R1196" s="13">
        <v>45707</v>
      </c>
      <c r="S1196" s="22">
        <v>45707</v>
      </c>
      <c r="T1196" s="13">
        <v>45707</v>
      </c>
      <c r="U1196" s="13">
        <v>45707</v>
      </c>
      <c r="V1196" s="9" t="s">
        <v>47</v>
      </c>
      <c r="W1196" s="9">
        <v>22621818</v>
      </c>
      <c r="X1196" s="9">
        <v>2250942</v>
      </c>
      <c r="Y1196" s="9">
        <v>68910675</v>
      </c>
      <c r="Z1196" s="9" t="s">
        <v>39</v>
      </c>
      <c r="AA1196" s="9">
        <v>23022025</v>
      </c>
      <c r="AB1196" s="9">
        <v>77703</v>
      </c>
      <c r="AC1196" s="9" t="s">
        <v>41</v>
      </c>
      <c r="AD1196" s="9" t="s">
        <v>132</v>
      </c>
      <c r="AE1196" s="9" t="s">
        <v>133</v>
      </c>
      <c r="AF1196" s="9" t="s">
        <v>133</v>
      </c>
      <c r="AG1196" s="14" t="str">
        <f t="shared" si="40"/>
        <v>EXAMENES DE LABORATORIO</v>
      </c>
      <c r="AH1196" s="9" t="s">
        <v>758</v>
      </c>
      <c r="AI1196" s="9">
        <v>0</v>
      </c>
      <c r="AJ1196" s="9">
        <v>77148750</v>
      </c>
      <c r="AK1196" s="9">
        <v>5</v>
      </c>
      <c r="AL1196" s="26" t="s">
        <v>62</v>
      </c>
      <c r="AM1196" s="14" t="s">
        <v>709</v>
      </c>
      <c r="AN1196" s="27" t="str">
        <f t="shared" si="39"/>
        <v>11161648|77148750|920230878|920230878</v>
      </c>
      <c r="AO1196" t="s">
        <v>758</v>
      </c>
      <c r="AP1196" t="b">
        <v>1</v>
      </c>
      <c r="AQ1196" t="s">
        <v>764</v>
      </c>
    </row>
    <row r="1197" spans="1:43" x14ac:dyDescent="0.2">
      <c r="A1197" s="14" t="s">
        <v>500</v>
      </c>
      <c r="B1197" s="17">
        <v>11161648</v>
      </c>
      <c r="C1197" s="14" t="s">
        <v>431</v>
      </c>
      <c r="D1197" s="9">
        <v>11161648</v>
      </c>
      <c r="E1197" s="9" t="s">
        <v>431</v>
      </c>
      <c r="F1197" s="7">
        <v>45717</v>
      </c>
      <c r="G1197" s="20" t="s">
        <v>46</v>
      </c>
      <c r="H1197" s="8">
        <v>920230878</v>
      </c>
      <c r="I1197" s="19">
        <v>65383913</v>
      </c>
      <c r="J1197" s="10">
        <v>16558</v>
      </c>
      <c r="K1197" s="10">
        <v>0</v>
      </c>
      <c r="L1197" s="10">
        <v>16558</v>
      </c>
      <c r="M1197" s="10">
        <v>0</v>
      </c>
      <c r="N1197" s="11">
        <v>16558</v>
      </c>
      <c r="O1197" s="12">
        <v>920230878</v>
      </c>
      <c r="P1197" s="9">
        <v>285123</v>
      </c>
      <c r="Q1197" s="9" t="s">
        <v>37</v>
      </c>
      <c r="R1197" s="13">
        <v>45717</v>
      </c>
      <c r="S1197" s="22">
        <v>45742</v>
      </c>
      <c r="T1197" s="13">
        <v>45707</v>
      </c>
      <c r="U1197" s="13">
        <v>45707</v>
      </c>
      <c r="V1197" s="9" t="s">
        <v>47</v>
      </c>
      <c r="W1197" s="9">
        <v>22770665</v>
      </c>
      <c r="X1197" s="9">
        <v>3311105</v>
      </c>
      <c r="Y1197" s="9">
        <v>69250802</v>
      </c>
      <c r="Z1197" s="9" t="s">
        <v>39</v>
      </c>
      <c r="AA1197" s="9">
        <v>64139355</v>
      </c>
      <c r="AB1197" s="9">
        <v>78070</v>
      </c>
      <c r="AC1197" s="9" t="s">
        <v>41</v>
      </c>
      <c r="AD1197" s="9" t="s">
        <v>132</v>
      </c>
      <c r="AE1197" s="9" t="s">
        <v>133</v>
      </c>
      <c r="AF1197" s="9" t="s">
        <v>133</v>
      </c>
      <c r="AG1197" s="14" t="str">
        <f t="shared" si="40"/>
        <v>EXAMENES DE LABORATORIO</v>
      </c>
      <c r="AH1197" s="9">
        <v>0</v>
      </c>
      <c r="AI1197" s="9">
        <v>0</v>
      </c>
      <c r="AJ1197" s="9">
        <v>77148750</v>
      </c>
      <c r="AK1197" s="9">
        <v>5</v>
      </c>
      <c r="AL1197" s="26" t="s">
        <v>52</v>
      </c>
      <c r="AM1197" s="14" t="s">
        <v>709</v>
      </c>
      <c r="AN1197" s="27" t="str">
        <f t="shared" si="39"/>
        <v>11161648|77148750|920230878|65383913</v>
      </c>
      <c r="AO1197" t="s">
        <v>44</v>
      </c>
      <c r="AP1197" t="b">
        <v>0</v>
      </c>
      <c r="AQ1197" t="s">
        <v>763</v>
      </c>
    </row>
    <row r="1198" spans="1:43" x14ac:dyDescent="0.2">
      <c r="A1198" s="14" t="s">
        <v>500</v>
      </c>
      <c r="B1198" s="17">
        <v>11161648</v>
      </c>
      <c r="C1198" s="14" t="s">
        <v>431</v>
      </c>
      <c r="D1198" s="9">
        <v>11161648</v>
      </c>
      <c r="E1198" s="9" t="s">
        <v>431</v>
      </c>
      <c r="F1198" s="7">
        <v>45689</v>
      </c>
      <c r="G1198" s="20" t="s">
        <v>36</v>
      </c>
      <c r="H1198" s="8">
        <v>920230879</v>
      </c>
      <c r="I1198" s="19">
        <v>920230879</v>
      </c>
      <c r="J1198" s="10">
        <v>15460</v>
      </c>
      <c r="K1198" s="10">
        <v>4840</v>
      </c>
      <c r="L1198" s="10">
        <v>10620</v>
      </c>
      <c r="M1198" s="10">
        <v>0</v>
      </c>
      <c r="N1198" s="11">
        <v>10620</v>
      </c>
      <c r="O1198" s="12">
        <v>920230879</v>
      </c>
      <c r="P1198" s="9">
        <v>285123</v>
      </c>
      <c r="Q1198" s="9" t="s">
        <v>37</v>
      </c>
      <c r="R1198" s="13">
        <v>45707</v>
      </c>
      <c r="S1198" s="22">
        <v>45707</v>
      </c>
      <c r="T1198" s="13">
        <v>45707</v>
      </c>
      <c r="U1198" s="13">
        <v>45707</v>
      </c>
      <c r="V1198" s="9" t="s">
        <v>47</v>
      </c>
      <c r="W1198" s="9">
        <v>22621818</v>
      </c>
      <c r="X1198" s="9">
        <v>2250942</v>
      </c>
      <c r="Y1198" s="9">
        <v>68910674</v>
      </c>
      <c r="Z1198" s="9" t="s">
        <v>39</v>
      </c>
      <c r="AA1198" s="9">
        <v>23022025</v>
      </c>
      <c r="AB1198" s="9">
        <v>77703</v>
      </c>
      <c r="AC1198" s="9" t="s">
        <v>41</v>
      </c>
      <c r="AD1198" s="9" t="s">
        <v>132</v>
      </c>
      <c r="AE1198" s="9" t="s">
        <v>133</v>
      </c>
      <c r="AF1198" s="9" t="s">
        <v>133</v>
      </c>
      <c r="AG1198" s="14" t="str">
        <f t="shared" si="40"/>
        <v>EXAMENES DE LABORATORIO</v>
      </c>
      <c r="AH1198" s="9" t="s">
        <v>758</v>
      </c>
      <c r="AI1198" s="9">
        <v>0</v>
      </c>
      <c r="AJ1198" s="9">
        <v>77148750</v>
      </c>
      <c r="AK1198" s="9">
        <v>5</v>
      </c>
      <c r="AL1198" s="26" t="s">
        <v>62</v>
      </c>
      <c r="AM1198" s="14" t="s">
        <v>709</v>
      </c>
      <c r="AN1198" s="27" t="str">
        <f t="shared" si="39"/>
        <v>11161648|77148750|920230879|920230879</v>
      </c>
      <c r="AO1198" t="s">
        <v>758</v>
      </c>
      <c r="AP1198" t="b">
        <v>1</v>
      </c>
      <c r="AQ1198" t="s">
        <v>764</v>
      </c>
    </row>
    <row r="1199" spans="1:43" x14ac:dyDescent="0.2">
      <c r="A1199" s="14" t="s">
        <v>500</v>
      </c>
      <c r="B1199" s="17">
        <v>11161648</v>
      </c>
      <c r="C1199" s="14" t="s">
        <v>431</v>
      </c>
      <c r="D1199" s="9">
        <v>11161648</v>
      </c>
      <c r="E1199" s="9" t="s">
        <v>431</v>
      </c>
      <c r="F1199" s="7">
        <v>45717</v>
      </c>
      <c r="G1199" s="20" t="s">
        <v>46</v>
      </c>
      <c r="H1199" s="8">
        <v>920230879</v>
      </c>
      <c r="I1199" s="19">
        <v>65383914</v>
      </c>
      <c r="J1199" s="10">
        <v>8857</v>
      </c>
      <c r="K1199" s="10">
        <v>0</v>
      </c>
      <c r="L1199" s="10">
        <v>8857</v>
      </c>
      <c r="M1199" s="10">
        <v>0</v>
      </c>
      <c r="N1199" s="11">
        <v>8857</v>
      </c>
      <c r="O1199" s="12">
        <v>920230879</v>
      </c>
      <c r="P1199" s="9">
        <v>285123</v>
      </c>
      <c r="Q1199" s="9" t="s">
        <v>37</v>
      </c>
      <c r="R1199" s="13">
        <v>45717</v>
      </c>
      <c r="S1199" s="22">
        <v>45742</v>
      </c>
      <c r="T1199" s="13">
        <v>45707</v>
      </c>
      <c r="U1199" s="13">
        <v>45707</v>
      </c>
      <c r="V1199" s="9" t="s">
        <v>47</v>
      </c>
      <c r="W1199" s="9">
        <v>22770665</v>
      </c>
      <c r="X1199" s="9">
        <v>3311105</v>
      </c>
      <c r="Y1199" s="9">
        <v>69250803</v>
      </c>
      <c r="Z1199" s="9" t="s">
        <v>39</v>
      </c>
      <c r="AA1199" s="9">
        <v>64139355</v>
      </c>
      <c r="AB1199" s="9">
        <v>78070</v>
      </c>
      <c r="AC1199" s="9" t="s">
        <v>41</v>
      </c>
      <c r="AD1199" s="9" t="s">
        <v>132</v>
      </c>
      <c r="AE1199" s="9" t="s">
        <v>133</v>
      </c>
      <c r="AF1199" s="9" t="s">
        <v>133</v>
      </c>
      <c r="AG1199" s="14" t="str">
        <f t="shared" si="40"/>
        <v>EXAMENES DE LABORATORIO</v>
      </c>
      <c r="AH1199" s="9">
        <v>0</v>
      </c>
      <c r="AI1199" s="9">
        <v>0</v>
      </c>
      <c r="AJ1199" s="9">
        <v>77148750</v>
      </c>
      <c r="AK1199" s="9">
        <v>5</v>
      </c>
      <c r="AL1199" s="26" t="s">
        <v>52</v>
      </c>
      <c r="AM1199" s="14" t="s">
        <v>709</v>
      </c>
      <c r="AN1199" s="27" t="str">
        <f t="shared" si="39"/>
        <v>11161648|77148750|920230879|65383914</v>
      </c>
      <c r="AO1199" t="s">
        <v>44</v>
      </c>
      <c r="AP1199" t="b">
        <v>0</v>
      </c>
      <c r="AQ1199" t="s">
        <v>763</v>
      </c>
    </row>
    <row r="1200" spans="1:43" x14ac:dyDescent="0.2">
      <c r="A1200" s="14" t="s">
        <v>500</v>
      </c>
      <c r="B1200" s="17">
        <v>17186397</v>
      </c>
      <c r="C1200" s="14" t="s">
        <v>432</v>
      </c>
      <c r="D1200" s="9">
        <v>17186397</v>
      </c>
      <c r="E1200" s="9" t="s">
        <v>432</v>
      </c>
      <c r="F1200" s="7">
        <v>45689</v>
      </c>
      <c r="G1200" s="20" t="s">
        <v>36</v>
      </c>
      <c r="H1200" s="8">
        <v>920260359</v>
      </c>
      <c r="I1200" s="19">
        <v>920260359</v>
      </c>
      <c r="J1200" s="10">
        <v>32530</v>
      </c>
      <c r="K1200" s="10">
        <v>10180</v>
      </c>
      <c r="L1200" s="10">
        <v>22350</v>
      </c>
      <c r="M1200" s="10">
        <v>0</v>
      </c>
      <c r="N1200" s="11">
        <v>22350</v>
      </c>
      <c r="O1200" s="12">
        <v>920260359</v>
      </c>
      <c r="P1200" s="9">
        <v>285123</v>
      </c>
      <c r="Q1200" s="9" t="s">
        <v>37</v>
      </c>
      <c r="R1200" s="13">
        <v>45707</v>
      </c>
      <c r="S1200" s="22">
        <v>45707</v>
      </c>
      <c r="T1200" s="13">
        <v>45707</v>
      </c>
      <c r="U1200" s="13">
        <v>45707</v>
      </c>
      <c r="V1200" s="9" t="s">
        <v>47</v>
      </c>
      <c r="W1200" s="9">
        <v>22621848</v>
      </c>
      <c r="X1200" s="9">
        <v>2250942</v>
      </c>
      <c r="Y1200" s="9">
        <v>68910844</v>
      </c>
      <c r="Z1200" s="9" t="s">
        <v>39</v>
      </c>
      <c r="AA1200" s="9">
        <v>23022025</v>
      </c>
      <c r="AB1200" s="9">
        <v>77703</v>
      </c>
      <c r="AC1200" s="9" t="s">
        <v>41</v>
      </c>
      <c r="AD1200" s="9" t="s">
        <v>132</v>
      </c>
      <c r="AE1200" s="9" t="s">
        <v>133</v>
      </c>
      <c r="AF1200" s="9" t="s">
        <v>133</v>
      </c>
      <c r="AG1200" s="14" t="str">
        <f t="shared" si="40"/>
        <v>EXAMENES DE LABORATORIO</v>
      </c>
      <c r="AH1200" s="9" t="s">
        <v>758</v>
      </c>
      <c r="AI1200" s="9">
        <v>0</v>
      </c>
      <c r="AJ1200" s="9">
        <v>76842600</v>
      </c>
      <c r="AK1200" s="9">
        <v>7</v>
      </c>
      <c r="AL1200" s="26" t="s">
        <v>62</v>
      </c>
      <c r="AM1200" s="14" t="s">
        <v>710</v>
      </c>
      <c r="AN1200" s="27" t="str">
        <f t="shared" si="39"/>
        <v>17186397|76842600|920260359|920260359</v>
      </c>
      <c r="AO1200" t="s">
        <v>758</v>
      </c>
      <c r="AP1200" t="b">
        <v>1</v>
      </c>
      <c r="AQ1200" t="s">
        <v>764</v>
      </c>
    </row>
    <row r="1201" spans="1:43" x14ac:dyDescent="0.2">
      <c r="A1201" s="14" t="s">
        <v>500</v>
      </c>
      <c r="B1201" s="17">
        <v>17186397</v>
      </c>
      <c r="C1201" s="14" t="s">
        <v>432</v>
      </c>
      <c r="D1201" s="9">
        <v>17186397</v>
      </c>
      <c r="E1201" s="9" t="s">
        <v>432</v>
      </c>
      <c r="F1201" s="7">
        <v>45717</v>
      </c>
      <c r="G1201" s="20" t="s">
        <v>46</v>
      </c>
      <c r="H1201" s="8">
        <v>920260359</v>
      </c>
      <c r="I1201" s="19">
        <v>65384406</v>
      </c>
      <c r="J1201" s="10">
        <v>18868</v>
      </c>
      <c r="K1201" s="10">
        <v>0</v>
      </c>
      <c r="L1201" s="10">
        <v>18868</v>
      </c>
      <c r="M1201" s="10">
        <v>0</v>
      </c>
      <c r="N1201" s="11">
        <v>18868</v>
      </c>
      <c r="O1201" s="12">
        <v>920260359</v>
      </c>
      <c r="P1201" s="9">
        <v>285123</v>
      </c>
      <c r="Q1201" s="9" t="s">
        <v>37</v>
      </c>
      <c r="R1201" s="13">
        <v>45717</v>
      </c>
      <c r="S1201" s="22">
        <v>45742</v>
      </c>
      <c r="T1201" s="13">
        <v>45707</v>
      </c>
      <c r="U1201" s="13">
        <v>45707</v>
      </c>
      <c r="V1201" s="9" t="s">
        <v>47</v>
      </c>
      <c r="W1201" s="9">
        <v>22770672</v>
      </c>
      <c r="X1201" s="9">
        <v>3311105</v>
      </c>
      <c r="Y1201" s="9">
        <v>69251279</v>
      </c>
      <c r="Z1201" s="9" t="s">
        <v>39</v>
      </c>
      <c r="AA1201" s="9">
        <v>19840561578</v>
      </c>
      <c r="AB1201" s="9">
        <v>78070</v>
      </c>
      <c r="AC1201" s="9" t="s">
        <v>41</v>
      </c>
      <c r="AD1201" s="9" t="s">
        <v>132</v>
      </c>
      <c r="AE1201" s="9" t="s">
        <v>133</v>
      </c>
      <c r="AF1201" s="9" t="s">
        <v>133</v>
      </c>
      <c r="AG1201" s="14" t="str">
        <f t="shared" si="40"/>
        <v>EXAMENES DE LABORATORIO</v>
      </c>
      <c r="AH1201" s="9">
        <v>0</v>
      </c>
      <c r="AI1201" s="9">
        <v>0</v>
      </c>
      <c r="AJ1201" s="9">
        <v>76842600</v>
      </c>
      <c r="AK1201" s="9">
        <v>7</v>
      </c>
      <c r="AL1201" s="26" t="s">
        <v>52</v>
      </c>
      <c r="AM1201" s="14" t="s">
        <v>710</v>
      </c>
      <c r="AN1201" s="27" t="str">
        <f t="shared" si="39"/>
        <v>17186397|76842600|920260359|65384406</v>
      </c>
      <c r="AO1201" t="s">
        <v>44</v>
      </c>
      <c r="AP1201" t="b">
        <v>0</v>
      </c>
      <c r="AQ1201" t="s">
        <v>763</v>
      </c>
    </row>
    <row r="1202" spans="1:43" x14ac:dyDescent="0.2">
      <c r="A1202" s="14" t="s">
        <v>500</v>
      </c>
      <c r="B1202" s="17">
        <v>17186397</v>
      </c>
      <c r="C1202" s="14" t="s">
        <v>432</v>
      </c>
      <c r="D1202" s="9">
        <v>17186397</v>
      </c>
      <c r="E1202" s="9" t="s">
        <v>432</v>
      </c>
      <c r="F1202" s="7">
        <v>45689</v>
      </c>
      <c r="G1202" s="20" t="s">
        <v>36</v>
      </c>
      <c r="H1202" s="8">
        <v>920260360</v>
      </c>
      <c r="I1202" s="19">
        <v>920260360</v>
      </c>
      <c r="J1202" s="10">
        <v>8370</v>
      </c>
      <c r="K1202" s="10">
        <v>2620</v>
      </c>
      <c r="L1202" s="10">
        <v>5750</v>
      </c>
      <c r="M1202" s="10">
        <v>0</v>
      </c>
      <c r="N1202" s="11">
        <v>5750</v>
      </c>
      <c r="O1202" s="12">
        <v>920260360</v>
      </c>
      <c r="P1202" s="9">
        <v>285123</v>
      </c>
      <c r="Q1202" s="9" t="s">
        <v>37</v>
      </c>
      <c r="R1202" s="13">
        <v>45707</v>
      </c>
      <c r="S1202" s="22">
        <v>45707</v>
      </c>
      <c r="T1202" s="13">
        <v>45707</v>
      </c>
      <c r="U1202" s="13">
        <v>45707</v>
      </c>
      <c r="V1202" s="9" t="s">
        <v>47</v>
      </c>
      <c r="W1202" s="9">
        <v>22621848</v>
      </c>
      <c r="X1202" s="9">
        <v>2250942</v>
      </c>
      <c r="Y1202" s="9">
        <v>68910843</v>
      </c>
      <c r="Z1202" s="9" t="s">
        <v>39</v>
      </c>
      <c r="AA1202" s="9">
        <v>23022025</v>
      </c>
      <c r="AB1202" s="9">
        <v>77703</v>
      </c>
      <c r="AC1202" s="9" t="s">
        <v>41</v>
      </c>
      <c r="AD1202" s="9" t="s">
        <v>132</v>
      </c>
      <c r="AE1202" s="9" t="s">
        <v>133</v>
      </c>
      <c r="AF1202" s="9" t="s">
        <v>133</v>
      </c>
      <c r="AG1202" s="14" t="str">
        <f t="shared" si="40"/>
        <v>EXAMENES DE LABORATORIO</v>
      </c>
      <c r="AH1202" s="9" t="s">
        <v>758</v>
      </c>
      <c r="AI1202" s="9">
        <v>0</v>
      </c>
      <c r="AJ1202" s="9">
        <v>76842600</v>
      </c>
      <c r="AK1202" s="9">
        <v>7</v>
      </c>
      <c r="AL1202" s="26" t="s">
        <v>62</v>
      </c>
      <c r="AM1202" s="14" t="s">
        <v>710</v>
      </c>
      <c r="AN1202" s="27" t="str">
        <f t="shared" si="39"/>
        <v>17186397|76842600|920260360|920260360</v>
      </c>
      <c r="AO1202" t="s">
        <v>758</v>
      </c>
      <c r="AP1202" t="b">
        <v>1</v>
      </c>
      <c r="AQ1202" t="s">
        <v>764</v>
      </c>
    </row>
    <row r="1203" spans="1:43" x14ac:dyDescent="0.2">
      <c r="A1203" s="14" t="s">
        <v>500</v>
      </c>
      <c r="B1203" s="17">
        <v>17186397</v>
      </c>
      <c r="C1203" s="14" t="s">
        <v>432</v>
      </c>
      <c r="D1203" s="9">
        <v>17186397</v>
      </c>
      <c r="E1203" s="9" t="s">
        <v>432</v>
      </c>
      <c r="F1203" s="7">
        <v>45717</v>
      </c>
      <c r="G1203" s="20" t="s">
        <v>46</v>
      </c>
      <c r="H1203" s="8">
        <v>920260360</v>
      </c>
      <c r="I1203" s="19">
        <v>65384407</v>
      </c>
      <c r="J1203" s="10">
        <v>5391</v>
      </c>
      <c r="K1203" s="10">
        <v>0</v>
      </c>
      <c r="L1203" s="10">
        <v>5391</v>
      </c>
      <c r="M1203" s="10">
        <v>0</v>
      </c>
      <c r="N1203" s="11">
        <v>5391</v>
      </c>
      <c r="O1203" s="12">
        <v>920260360</v>
      </c>
      <c r="P1203" s="9">
        <v>285123</v>
      </c>
      <c r="Q1203" s="9" t="s">
        <v>37</v>
      </c>
      <c r="R1203" s="13">
        <v>45717</v>
      </c>
      <c r="S1203" s="22">
        <v>45742</v>
      </c>
      <c r="T1203" s="13">
        <v>45707</v>
      </c>
      <c r="U1203" s="13">
        <v>45707</v>
      </c>
      <c r="V1203" s="9" t="s">
        <v>47</v>
      </c>
      <c r="W1203" s="9">
        <v>22770672</v>
      </c>
      <c r="X1203" s="9">
        <v>3311105</v>
      </c>
      <c r="Y1203" s="9">
        <v>69251280</v>
      </c>
      <c r="Z1203" s="9" t="s">
        <v>39</v>
      </c>
      <c r="AA1203" s="9">
        <v>19840561578</v>
      </c>
      <c r="AB1203" s="9">
        <v>78070</v>
      </c>
      <c r="AC1203" s="9" t="s">
        <v>41</v>
      </c>
      <c r="AD1203" s="9" t="s">
        <v>132</v>
      </c>
      <c r="AE1203" s="9" t="s">
        <v>133</v>
      </c>
      <c r="AF1203" s="9" t="s">
        <v>133</v>
      </c>
      <c r="AG1203" s="14" t="str">
        <f t="shared" si="40"/>
        <v>EXAMENES DE LABORATORIO</v>
      </c>
      <c r="AH1203" s="9">
        <v>0</v>
      </c>
      <c r="AI1203" s="9">
        <v>0</v>
      </c>
      <c r="AJ1203" s="9">
        <v>76842600</v>
      </c>
      <c r="AK1203" s="9">
        <v>7</v>
      </c>
      <c r="AL1203" s="26" t="s">
        <v>52</v>
      </c>
      <c r="AM1203" s="14" t="s">
        <v>710</v>
      </c>
      <c r="AN1203" s="27" t="str">
        <f t="shared" si="39"/>
        <v>17186397|76842600|920260360|65384407</v>
      </c>
      <c r="AO1203" t="s">
        <v>44</v>
      </c>
      <c r="AP1203" t="b">
        <v>0</v>
      </c>
      <c r="AQ1203" t="s">
        <v>763</v>
      </c>
    </row>
    <row r="1204" spans="1:43" x14ac:dyDescent="0.2">
      <c r="A1204" s="14" t="s">
        <v>500</v>
      </c>
      <c r="B1204" s="17">
        <v>10240460</v>
      </c>
      <c r="C1204" s="14" t="s">
        <v>433</v>
      </c>
      <c r="D1204" s="9">
        <v>10240460</v>
      </c>
      <c r="E1204" s="9" t="s">
        <v>433</v>
      </c>
      <c r="F1204" s="7">
        <v>45689</v>
      </c>
      <c r="G1204" s="20" t="s">
        <v>36</v>
      </c>
      <c r="H1204" s="8">
        <v>920276428</v>
      </c>
      <c r="I1204" s="19">
        <v>920276428</v>
      </c>
      <c r="J1204" s="10">
        <v>38590</v>
      </c>
      <c r="K1204" s="10">
        <v>12070</v>
      </c>
      <c r="L1204" s="10">
        <v>26520</v>
      </c>
      <c r="M1204" s="10">
        <v>0</v>
      </c>
      <c r="N1204" s="11">
        <v>26520</v>
      </c>
      <c r="O1204" s="12">
        <v>920276428</v>
      </c>
      <c r="P1204" s="9">
        <v>285123</v>
      </c>
      <c r="Q1204" s="9" t="s">
        <v>37</v>
      </c>
      <c r="R1204" s="13">
        <v>45707</v>
      </c>
      <c r="S1204" s="22">
        <v>45707</v>
      </c>
      <c r="T1204" s="13">
        <v>45707</v>
      </c>
      <c r="U1204" s="13">
        <v>45707</v>
      </c>
      <c r="V1204" s="9" t="s">
        <v>47</v>
      </c>
      <c r="W1204" s="9">
        <v>22621815</v>
      </c>
      <c r="X1204" s="9">
        <v>2250942</v>
      </c>
      <c r="Y1204" s="9">
        <v>68910924</v>
      </c>
      <c r="Z1204" s="9" t="s">
        <v>39</v>
      </c>
      <c r="AA1204" s="9">
        <v>23022025</v>
      </c>
      <c r="AB1204" s="9">
        <v>77703</v>
      </c>
      <c r="AC1204" s="9" t="s">
        <v>41</v>
      </c>
      <c r="AD1204" s="9" t="s">
        <v>132</v>
      </c>
      <c r="AE1204" s="9" t="s">
        <v>133</v>
      </c>
      <c r="AF1204" s="9" t="s">
        <v>133</v>
      </c>
      <c r="AG1204" s="14" t="str">
        <f t="shared" si="40"/>
        <v>EXAMENES DE LABORATORIO</v>
      </c>
      <c r="AH1204" s="9" t="s">
        <v>758</v>
      </c>
      <c r="AI1204" s="9">
        <v>0</v>
      </c>
      <c r="AJ1204" s="9">
        <v>96986050</v>
      </c>
      <c r="AK1204" s="9">
        <v>3</v>
      </c>
      <c r="AL1204" s="26" t="s">
        <v>62</v>
      </c>
      <c r="AM1204" s="14" t="s">
        <v>711</v>
      </c>
      <c r="AN1204" s="27" t="str">
        <f t="shared" si="39"/>
        <v>10240460|96986050|920276428|920276428</v>
      </c>
      <c r="AO1204" t="s">
        <v>758</v>
      </c>
      <c r="AP1204" t="b">
        <v>1</v>
      </c>
      <c r="AQ1204" t="s">
        <v>764</v>
      </c>
    </row>
    <row r="1205" spans="1:43" x14ac:dyDescent="0.2">
      <c r="A1205" s="14" t="s">
        <v>500</v>
      </c>
      <c r="B1205" s="17">
        <v>10240460</v>
      </c>
      <c r="C1205" s="14" t="s">
        <v>433</v>
      </c>
      <c r="D1205" s="9">
        <v>10240460</v>
      </c>
      <c r="E1205" s="9" t="s">
        <v>433</v>
      </c>
      <c r="F1205" s="7">
        <v>45717</v>
      </c>
      <c r="G1205" s="20" t="s">
        <v>46</v>
      </c>
      <c r="H1205" s="8">
        <v>920276428</v>
      </c>
      <c r="I1205" s="19">
        <v>65383814</v>
      </c>
      <c r="J1205" s="10">
        <v>23104</v>
      </c>
      <c r="K1205" s="10">
        <v>0</v>
      </c>
      <c r="L1205" s="10">
        <v>23104</v>
      </c>
      <c r="M1205" s="10">
        <v>0</v>
      </c>
      <c r="N1205" s="11">
        <v>23104</v>
      </c>
      <c r="O1205" s="12">
        <v>920276428</v>
      </c>
      <c r="P1205" s="9">
        <v>285123</v>
      </c>
      <c r="Q1205" s="9" t="s">
        <v>37</v>
      </c>
      <c r="R1205" s="13">
        <v>45717</v>
      </c>
      <c r="S1205" s="22">
        <v>45742</v>
      </c>
      <c r="T1205" s="13">
        <v>45707</v>
      </c>
      <c r="U1205" s="13">
        <v>45707</v>
      </c>
      <c r="V1205" s="9" t="s">
        <v>47</v>
      </c>
      <c r="W1205" s="9">
        <v>22770663</v>
      </c>
      <c r="X1205" s="9">
        <v>3311105</v>
      </c>
      <c r="Y1205" s="9">
        <v>69250703</v>
      </c>
      <c r="Z1205" s="9" t="s">
        <v>39</v>
      </c>
      <c r="AA1205" s="9">
        <v>210927782</v>
      </c>
      <c r="AB1205" s="9">
        <v>78070</v>
      </c>
      <c r="AC1205" s="9" t="s">
        <v>41</v>
      </c>
      <c r="AD1205" s="9" t="s">
        <v>132</v>
      </c>
      <c r="AE1205" s="9" t="s">
        <v>133</v>
      </c>
      <c r="AF1205" s="9" t="s">
        <v>133</v>
      </c>
      <c r="AG1205" s="14" t="str">
        <f t="shared" si="40"/>
        <v>EXAMENES DE LABORATORIO</v>
      </c>
      <c r="AH1205" s="9">
        <v>0</v>
      </c>
      <c r="AI1205" s="9">
        <v>0</v>
      </c>
      <c r="AJ1205" s="9">
        <v>96986050</v>
      </c>
      <c r="AK1205" s="9">
        <v>3</v>
      </c>
      <c r="AL1205" s="26" t="s">
        <v>52</v>
      </c>
      <c r="AM1205" s="14" t="s">
        <v>711</v>
      </c>
      <c r="AN1205" s="27" t="str">
        <f t="shared" si="39"/>
        <v>10240460|96986050|920276428|65383814</v>
      </c>
      <c r="AO1205" t="s">
        <v>44</v>
      </c>
      <c r="AP1205" t="b">
        <v>0</v>
      </c>
      <c r="AQ1205" t="s">
        <v>763</v>
      </c>
    </row>
    <row r="1206" spans="1:43" x14ac:dyDescent="0.2">
      <c r="A1206" s="14" t="s">
        <v>500</v>
      </c>
      <c r="B1206" s="17">
        <v>10240460</v>
      </c>
      <c r="C1206" s="14" t="s">
        <v>433</v>
      </c>
      <c r="D1206" s="9">
        <v>10240460</v>
      </c>
      <c r="E1206" s="9" t="s">
        <v>433</v>
      </c>
      <c r="F1206" s="7">
        <v>45689</v>
      </c>
      <c r="G1206" s="20" t="s">
        <v>36</v>
      </c>
      <c r="H1206" s="8">
        <v>920276429</v>
      </c>
      <c r="I1206" s="19">
        <v>920276429</v>
      </c>
      <c r="J1206" s="10">
        <v>27010</v>
      </c>
      <c r="K1206" s="10">
        <v>8450</v>
      </c>
      <c r="L1206" s="10">
        <v>18560</v>
      </c>
      <c r="M1206" s="10">
        <v>0</v>
      </c>
      <c r="N1206" s="11">
        <v>18560</v>
      </c>
      <c r="O1206" s="12">
        <v>920276429</v>
      </c>
      <c r="P1206" s="9">
        <v>285123</v>
      </c>
      <c r="Q1206" s="9" t="s">
        <v>37</v>
      </c>
      <c r="R1206" s="13">
        <v>45707</v>
      </c>
      <c r="S1206" s="22">
        <v>45707</v>
      </c>
      <c r="T1206" s="13">
        <v>45707</v>
      </c>
      <c r="U1206" s="13">
        <v>45707</v>
      </c>
      <c r="V1206" s="9" t="s">
        <v>47</v>
      </c>
      <c r="W1206" s="9">
        <v>22621815</v>
      </c>
      <c r="X1206" s="9">
        <v>2250942</v>
      </c>
      <c r="Y1206" s="9">
        <v>68910923</v>
      </c>
      <c r="Z1206" s="9" t="s">
        <v>39</v>
      </c>
      <c r="AA1206" s="9">
        <v>23022025</v>
      </c>
      <c r="AB1206" s="9">
        <v>77703</v>
      </c>
      <c r="AC1206" s="9" t="s">
        <v>41</v>
      </c>
      <c r="AD1206" s="9" t="s">
        <v>132</v>
      </c>
      <c r="AE1206" s="9" t="s">
        <v>133</v>
      </c>
      <c r="AF1206" s="9" t="s">
        <v>133</v>
      </c>
      <c r="AG1206" s="14" t="str">
        <f t="shared" si="40"/>
        <v>EXAMENES DE LABORATORIO</v>
      </c>
      <c r="AH1206" s="9" t="s">
        <v>758</v>
      </c>
      <c r="AI1206" s="9">
        <v>0</v>
      </c>
      <c r="AJ1206" s="9">
        <v>96986050</v>
      </c>
      <c r="AK1206" s="9">
        <v>3</v>
      </c>
      <c r="AL1206" s="26" t="s">
        <v>62</v>
      </c>
      <c r="AM1206" s="14" t="s">
        <v>711</v>
      </c>
      <c r="AN1206" s="27" t="str">
        <f t="shared" si="39"/>
        <v>10240460|96986050|920276429|920276429</v>
      </c>
      <c r="AO1206" t="s">
        <v>758</v>
      </c>
      <c r="AP1206" t="b">
        <v>1</v>
      </c>
      <c r="AQ1206" t="s">
        <v>764</v>
      </c>
    </row>
    <row r="1207" spans="1:43" x14ac:dyDescent="0.2">
      <c r="A1207" s="14" t="s">
        <v>500</v>
      </c>
      <c r="B1207" s="17">
        <v>10240460</v>
      </c>
      <c r="C1207" s="14" t="s">
        <v>433</v>
      </c>
      <c r="D1207" s="9">
        <v>10240460</v>
      </c>
      <c r="E1207" s="9" t="s">
        <v>433</v>
      </c>
      <c r="F1207" s="7">
        <v>45717</v>
      </c>
      <c r="G1207" s="20" t="s">
        <v>46</v>
      </c>
      <c r="H1207" s="8">
        <v>920276429</v>
      </c>
      <c r="I1207" s="19">
        <v>65383815</v>
      </c>
      <c r="J1207" s="10">
        <v>15788</v>
      </c>
      <c r="K1207" s="10">
        <v>0</v>
      </c>
      <c r="L1207" s="10">
        <v>15788</v>
      </c>
      <c r="M1207" s="10">
        <v>0</v>
      </c>
      <c r="N1207" s="11">
        <v>15788</v>
      </c>
      <c r="O1207" s="12">
        <v>920276429</v>
      </c>
      <c r="P1207" s="9">
        <v>285123</v>
      </c>
      <c r="Q1207" s="9" t="s">
        <v>37</v>
      </c>
      <c r="R1207" s="13">
        <v>45717</v>
      </c>
      <c r="S1207" s="22">
        <v>45742</v>
      </c>
      <c r="T1207" s="13">
        <v>45707</v>
      </c>
      <c r="U1207" s="13">
        <v>45707</v>
      </c>
      <c r="V1207" s="9" t="s">
        <v>47</v>
      </c>
      <c r="W1207" s="9">
        <v>22770663</v>
      </c>
      <c r="X1207" s="9">
        <v>3311105</v>
      </c>
      <c r="Y1207" s="9">
        <v>69250704</v>
      </c>
      <c r="Z1207" s="9" t="s">
        <v>39</v>
      </c>
      <c r="AA1207" s="9">
        <v>210927782</v>
      </c>
      <c r="AB1207" s="9">
        <v>78070</v>
      </c>
      <c r="AC1207" s="9" t="s">
        <v>41</v>
      </c>
      <c r="AD1207" s="9" t="s">
        <v>132</v>
      </c>
      <c r="AE1207" s="9" t="s">
        <v>133</v>
      </c>
      <c r="AF1207" s="9" t="s">
        <v>133</v>
      </c>
      <c r="AG1207" s="14" t="str">
        <f t="shared" si="40"/>
        <v>EXAMENES DE LABORATORIO</v>
      </c>
      <c r="AH1207" s="9">
        <v>0</v>
      </c>
      <c r="AI1207" s="9">
        <v>0</v>
      </c>
      <c r="AJ1207" s="9">
        <v>96986050</v>
      </c>
      <c r="AK1207" s="9">
        <v>3</v>
      </c>
      <c r="AL1207" s="26" t="s">
        <v>52</v>
      </c>
      <c r="AM1207" s="14" t="s">
        <v>711</v>
      </c>
      <c r="AN1207" s="27" t="str">
        <f t="shared" si="39"/>
        <v>10240460|96986050|920276429|65383815</v>
      </c>
      <c r="AO1207" t="s">
        <v>44</v>
      </c>
      <c r="AP1207" t="b">
        <v>0</v>
      </c>
      <c r="AQ1207" t="s">
        <v>763</v>
      </c>
    </row>
    <row r="1208" spans="1:43" x14ac:dyDescent="0.2">
      <c r="A1208" s="14" t="s">
        <v>500</v>
      </c>
      <c r="B1208" s="17">
        <v>10240460</v>
      </c>
      <c r="C1208" s="14" t="s">
        <v>433</v>
      </c>
      <c r="D1208" s="9">
        <v>10240460</v>
      </c>
      <c r="E1208" s="9" t="s">
        <v>433</v>
      </c>
      <c r="F1208" s="7">
        <v>45689</v>
      </c>
      <c r="G1208" s="20" t="s">
        <v>36</v>
      </c>
      <c r="H1208" s="8">
        <v>920276430</v>
      </c>
      <c r="I1208" s="19">
        <v>920276430</v>
      </c>
      <c r="J1208" s="10">
        <v>33400</v>
      </c>
      <c r="K1208" s="10">
        <v>10450</v>
      </c>
      <c r="L1208" s="10">
        <v>22950</v>
      </c>
      <c r="M1208" s="10">
        <v>0</v>
      </c>
      <c r="N1208" s="11">
        <v>22950</v>
      </c>
      <c r="O1208" s="12">
        <v>920276430</v>
      </c>
      <c r="P1208" s="9">
        <v>285123</v>
      </c>
      <c r="Q1208" s="9" t="s">
        <v>37</v>
      </c>
      <c r="R1208" s="13">
        <v>45707</v>
      </c>
      <c r="S1208" s="22">
        <v>45707</v>
      </c>
      <c r="T1208" s="13">
        <v>45707</v>
      </c>
      <c r="U1208" s="13">
        <v>45707</v>
      </c>
      <c r="V1208" s="9" t="s">
        <v>47</v>
      </c>
      <c r="W1208" s="9">
        <v>22621815</v>
      </c>
      <c r="X1208" s="9">
        <v>2250942</v>
      </c>
      <c r="Y1208" s="9">
        <v>68910922</v>
      </c>
      <c r="Z1208" s="9" t="s">
        <v>39</v>
      </c>
      <c r="AA1208" s="9">
        <v>23022025</v>
      </c>
      <c r="AB1208" s="9">
        <v>77703</v>
      </c>
      <c r="AC1208" s="9" t="s">
        <v>41</v>
      </c>
      <c r="AD1208" s="9" t="s">
        <v>132</v>
      </c>
      <c r="AE1208" s="9" t="s">
        <v>133</v>
      </c>
      <c r="AF1208" s="9" t="s">
        <v>133</v>
      </c>
      <c r="AG1208" s="14" t="str">
        <f t="shared" si="40"/>
        <v>EXAMENES DE LABORATORIO</v>
      </c>
      <c r="AH1208" s="9" t="s">
        <v>758</v>
      </c>
      <c r="AI1208" s="9">
        <v>0</v>
      </c>
      <c r="AJ1208" s="9">
        <v>96986050</v>
      </c>
      <c r="AK1208" s="9">
        <v>3</v>
      </c>
      <c r="AL1208" s="26" t="s">
        <v>62</v>
      </c>
      <c r="AM1208" s="14" t="s">
        <v>711</v>
      </c>
      <c r="AN1208" s="27" t="str">
        <f t="shared" si="39"/>
        <v>10240460|96986050|920276430|920276430</v>
      </c>
      <c r="AO1208" t="s">
        <v>758</v>
      </c>
      <c r="AP1208" t="b">
        <v>1</v>
      </c>
      <c r="AQ1208" t="s">
        <v>764</v>
      </c>
    </row>
    <row r="1209" spans="1:43" x14ac:dyDescent="0.2">
      <c r="A1209" s="14" t="s">
        <v>500</v>
      </c>
      <c r="B1209" s="17">
        <v>10240460</v>
      </c>
      <c r="C1209" s="14" t="s">
        <v>433</v>
      </c>
      <c r="D1209" s="9">
        <v>10240460</v>
      </c>
      <c r="E1209" s="9" t="s">
        <v>433</v>
      </c>
      <c r="F1209" s="7">
        <v>45717</v>
      </c>
      <c r="G1209" s="20" t="s">
        <v>46</v>
      </c>
      <c r="H1209" s="8">
        <v>920276430</v>
      </c>
      <c r="I1209" s="19">
        <v>65383816</v>
      </c>
      <c r="J1209" s="10">
        <v>20408</v>
      </c>
      <c r="K1209" s="10">
        <v>0</v>
      </c>
      <c r="L1209" s="10">
        <v>20408</v>
      </c>
      <c r="M1209" s="10">
        <v>0</v>
      </c>
      <c r="N1209" s="11">
        <v>20408</v>
      </c>
      <c r="O1209" s="12">
        <v>920276430</v>
      </c>
      <c r="P1209" s="9">
        <v>285123</v>
      </c>
      <c r="Q1209" s="9" t="s">
        <v>37</v>
      </c>
      <c r="R1209" s="13">
        <v>45717</v>
      </c>
      <c r="S1209" s="22">
        <v>45742</v>
      </c>
      <c r="T1209" s="13">
        <v>45707</v>
      </c>
      <c r="U1209" s="13">
        <v>45707</v>
      </c>
      <c r="V1209" s="9" t="s">
        <v>47</v>
      </c>
      <c r="W1209" s="9">
        <v>22770663</v>
      </c>
      <c r="X1209" s="9">
        <v>3311105</v>
      </c>
      <c r="Y1209" s="9">
        <v>69250705</v>
      </c>
      <c r="Z1209" s="9" t="s">
        <v>39</v>
      </c>
      <c r="AA1209" s="9">
        <v>210927782</v>
      </c>
      <c r="AB1209" s="9">
        <v>78070</v>
      </c>
      <c r="AC1209" s="9" t="s">
        <v>41</v>
      </c>
      <c r="AD1209" s="9" t="s">
        <v>132</v>
      </c>
      <c r="AE1209" s="9" t="s">
        <v>133</v>
      </c>
      <c r="AF1209" s="9" t="s">
        <v>133</v>
      </c>
      <c r="AG1209" s="14" t="str">
        <f t="shared" si="40"/>
        <v>EXAMENES DE LABORATORIO</v>
      </c>
      <c r="AH1209" s="9">
        <v>0</v>
      </c>
      <c r="AI1209" s="9">
        <v>0</v>
      </c>
      <c r="AJ1209" s="9">
        <v>96986050</v>
      </c>
      <c r="AK1209" s="9">
        <v>3</v>
      </c>
      <c r="AL1209" s="26" t="s">
        <v>52</v>
      </c>
      <c r="AM1209" s="14" t="s">
        <v>711</v>
      </c>
      <c r="AN1209" s="27" t="str">
        <f t="shared" si="39"/>
        <v>10240460|96986050|920276430|65383816</v>
      </c>
      <c r="AO1209" t="s">
        <v>44</v>
      </c>
      <c r="AP1209" t="b">
        <v>0</v>
      </c>
      <c r="AQ1209" t="s">
        <v>763</v>
      </c>
    </row>
    <row r="1210" spans="1:43" x14ac:dyDescent="0.2">
      <c r="A1210" s="14" t="s">
        <v>500</v>
      </c>
      <c r="B1210" s="17">
        <v>10240460</v>
      </c>
      <c r="C1210" s="14" t="s">
        <v>433</v>
      </c>
      <c r="D1210" s="9">
        <v>10240460</v>
      </c>
      <c r="E1210" s="9" t="s">
        <v>433</v>
      </c>
      <c r="F1210" s="7">
        <v>45689</v>
      </c>
      <c r="G1210" s="20" t="s">
        <v>36</v>
      </c>
      <c r="H1210" s="8">
        <v>920276431</v>
      </c>
      <c r="I1210" s="19">
        <v>920276431</v>
      </c>
      <c r="J1210" s="10">
        <v>43620</v>
      </c>
      <c r="K1210" s="10">
        <v>21820</v>
      </c>
      <c r="L1210" s="10">
        <v>21800</v>
      </c>
      <c r="M1210" s="10">
        <v>0</v>
      </c>
      <c r="N1210" s="11">
        <v>21800</v>
      </c>
      <c r="O1210" s="12">
        <v>920276431</v>
      </c>
      <c r="P1210" s="9">
        <v>285123</v>
      </c>
      <c r="Q1210" s="9" t="s">
        <v>37</v>
      </c>
      <c r="R1210" s="13">
        <v>45707</v>
      </c>
      <c r="S1210" s="22">
        <v>45707</v>
      </c>
      <c r="T1210" s="13">
        <v>45707</v>
      </c>
      <c r="U1210" s="13">
        <v>45707</v>
      </c>
      <c r="V1210" s="9" t="s">
        <v>47</v>
      </c>
      <c r="W1210" s="9">
        <v>22621815</v>
      </c>
      <c r="X1210" s="9">
        <v>2250942</v>
      </c>
      <c r="Y1210" s="9">
        <v>68910921</v>
      </c>
      <c r="Z1210" s="9" t="s">
        <v>39</v>
      </c>
      <c r="AA1210" s="9">
        <v>23022025</v>
      </c>
      <c r="AB1210" s="9">
        <v>77703</v>
      </c>
      <c r="AC1210" s="9" t="s">
        <v>41</v>
      </c>
      <c r="AD1210" s="9" t="s">
        <v>132</v>
      </c>
      <c r="AE1210" s="9" t="s">
        <v>133</v>
      </c>
      <c r="AF1210" s="9" t="s">
        <v>133</v>
      </c>
      <c r="AG1210" s="14" t="str">
        <f t="shared" si="40"/>
        <v>EXAMENES DE LABORATORIO</v>
      </c>
      <c r="AH1210" s="9" t="s">
        <v>758</v>
      </c>
      <c r="AI1210" s="9">
        <v>0</v>
      </c>
      <c r="AJ1210" s="9">
        <v>96986050</v>
      </c>
      <c r="AK1210" s="9">
        <v>3</v>
      </c>
      <c r="AL1210" s="26" t="s">
        <v>62</v>
      </c>
      <c r="AM1210" s="14" t="s">
        <v>711</v>
      </c>
      <c r="AN1210" s="27" t="str">
        <f t="shared" si="39"/>
        <v>10240460|96986050|920276431|920276431</v>
      </c>
      <c r="AO1210" t="s">
        <v>758</v>
      </c>
      <c r="AP1210" t="b">
        <v>1</v>
      </c>
      <c r="AQ1210" t="s">
        <v>764</v>
      </c>
    </row>
    <row r="1211" spans="1:43" x14ac:dyDescent="0.2">
      <c r="A1211" s="14" t="s">
        <v>500</v>
      </c>
      <c r="B1211" s="17">
        <v>10240460</v>
      </c>
      <c r="C1211" s="14" t="s">
        <v>433</v>
      </c>
      <c r="D1211" s="9">
        <v>10240460</v>
      </c>
      <c r="E1211" s="9" t="s">
        <v>433</v>
      </c>
      <c r="F1211" s="7">
        <v>45717</v>
      </c>
      <c r="G1211" s="20" t="s">
        <v>46</v>
      </c>
      <c r="H1211" s="8">
        <v>920276431</v>
      </c>
      <c r="I1211" s="19">
        <v>65383817</v>
      </c>
      <c r="J1211" s="10">
        <v>21951</v>
      </c>
      <c r="K1211" s="10">
        <v>0</v>
      </c>
      <c r="L1211" s="10">
        <v>21951</v>
      </c>
      <c r="M1211" s="10">
        <v>0</v>
      </c>
      <c r="N1211" s="11">
        <v>21951</v>
      </c>
      <c r="O1211" s="12">
        <v>920276431</v>
      </c>
      <c r="P1211" s="9">
        <v>285123</v>
      </c>
      <c r="Q1211" s="9" t="s">
        <v>37</v>
      </c>
      <c r="R1211" s="13">
        <v>45717</v>
      </c>
      <c r="S1211" s="22">
        <v>45742</v>
      </c>
      <c r="T1211" s="13">
        <v>45707</v>
      </c>
      <c r="U1211" s="13">
        <v>45707</v>
      </c>
      <c r="V1211" s="9" t="s">
        <v>47</v>
      </c>
      <c r="W1211" s="9">
        <v>22770663</v>
      </c>
      <c r="X1211" s="9">
        <v>3311105</v>
      </c>
      <c r="Y1211" s="9">
        <v>69250706</v>
      </c>
      <c r="Z1211" s="9" t="s">
        <v>39</v>
      </c>
      <c r="AA1211" s="9">
        <v>210927782</v>
      </c>
      <c r="AB1211" s="9">
        <v>78070</v>
      </c>
      <c r="AC1211" s="9" t="s">
        <v>41</v>
      </c>
      <c r="AD1211" s="9" t="s">
        <v>132</v>
      </c>
      <c r="AE1211" s="9" t="s">
        <v>133</v>
      </c>
      <c r="AF1211" s="9" t="s">
        <v>133</v>
      </c>
      <c r="AG1211" s="14" t="str">
        <f t="shared" si="40"/>
        <v>EXAMENES DE LABORATORIO</v>
      </c>
      <c r="AH1211" s="9">
        <v>0</v>
      </c>
      <c r="AI1211" s="9">
        <v>0</v>
      </c>
      <c r="AJ1211" s="9">
        <v>96986050</v>
      </c>
      <c r="AK1211" s="9">
        <v>3</v>
      </c>
      <c r="AL1211" s="26" t="s">
        <v>52</v>
      </c>
      <c r="AM1211" s="14" t="s">
        <v>711</v>
      </c>
      <c r="AN1211" s="27" t="str">
        <f t="shared" si="39"/>
        <v>10240460|96986050|920276431|65383817</v>
      </c>
      <c r="AO1211" t="s">
        <v>44</v>
      </c>
      <c r="AP1211" t="b">
        <v>0</v>
      </c>
      <c r="AQ1211" t="s">
        <v>763</v>
      </c>
    </row>
    <row r="1212" spans="1:43" x14ac:dyDescent="0.2">
      <c r="A1212" s="14" t="s">
        <v>500</v>
      </c>
      <c r="B1212" s="17">
        <v>10240460</v>
      </c>
      <c r="C1212" s="14" t="s">
        <v>433</v>
      </c>
      <c r="D1212" s="9">
        <v>10240460</v>
      </c>
      <c r="E1212" s="9" t="s">
        <v>433</v>
      </c>
      <c r="F1212" s="7">
        <v>45689</v>
      </c>
      <c r="G1212" s="20" t="s">
        <v>36</v>
      </c>
      <c r="H1212" s="8">
        <v>920278891</v>
      </c>
      <c r="I1212" s="19">
        <v>920278891</v>
      </c>
      <c r="J1212" s="10">
        <v>8690</v>
      </c>
      <c r="K1212" s="10">
        <v>2720</v>
      </c>
      <c r="L1212" s="10">
        <v>5970</v>
      </c>
      <c r="M1212" s="10">
        <v>0</v>
      </c>
      <c r="N1212" s="11">
        <v>5970</v>
      </c>
      <c r="O1212" s="12">
        <v>920278891</v>
      </c>
      <c r="P1212" s="9">
        <v>285123</v>
      </c>
      <c r="Q1212" s="9" t="s">
        <v>37</v>
      </c>
      <c r="R1212" s="13">
        <v>45707</v>
      </c>
      <c r="S1212" s="22">
        <v>45707</v>
      </c>
      <c r="T1212" s="13">
        <v>45707</v>
      </c>
      <c r="U1212" s="13">
        <v>45707</v>
      </c>
      <c r="V1212" s="9" t="s">
        <v>47</v>
      </c>
      <c r="W1212" s="9">
        <v>22621815</v>
      </c>
      <c r="X1212" s="9">
        <v>2250942</v>
      </c>
      <c r="Y1212" s="9">
        <v>68910935</v>
      </c>
      <c r="Z1212" s="9" t="s">
        <v>39</v>
      </c>
      <c r="AA1212" s="9">
        <v>23022025</v>
      </c>
      <c r="AB1212" s="9">
        <v>77703</v>
      </c>
      <c r="AC1212" s="9" t="s">
        <v>41</v>
      </c>
      <c r="AD1212" s="9" t="s">
        <v>132</v>
      </c>
      <c r="AE1212" s="9" t="s">
        <v>133</v>
      </c>
      <c r="AF1212" s="9" t="s">
        <v>133</v>
      </c>
      <c r="AG1212" s="14" t="str">
        <f t="shared" si="40"/>
        <v>EXAMENES DE LABORATORIO</v>
      </c>
      <c r="AH1212" s="9" t="s">
        <v>758</v>
      </c>
      <c r="AI1212" s="9">
        <v>0</v>
      </c>
      <c r="AJ1212" s="9">
        <v>96986050</v>
      </c>
      <c r="AK1212" s="9">
        <v>3</v>
      </c>
      <c r="AL1212" s="26" t="s">
        <v>62</v>
      </c>
      <c r="AM1212" s="14" t="s">
        <v>711</v>
      </c>
      <c r="AN1212" s="27" t="str">
        <f t="shared" si="39"/>
        <v>10240460|96986050|920278891|920278891</v>
      </c>
      <c r="AO1212" t="s">
        <v>758</v>
      </c>
      <c r="AP1212" t="b">
        <v>1</v>
      </c>
      <c r="AQ1212" t="s">
        <v>764</v>
      </c>
    </row>
    <row r="1213" spans="1:43" x14ac:dyDescent="0.2">
      <c r="A1213" s="14" t="s">
        <v>500</v>
      </c>
      <c r="B1213" s="17">
        <v>10240460</v>
      </c>
      <c r="C1213" s="14" t="s">
        <v>433</v>
      </c>
      <c r="D1213" s="9">
        <v>10240460</v>
      </c>
      <c r="E1213" s="9" t="s">
        <v>433</v>
      </c>
      <c r="F1213" s="7">
        <v>45717</v>
      </c>
      <c r="G1213" s="20" t="s">
        <v>46</v>
      </c>
      <c r="H1213" s="8">
        <v>920278891</v>
      </c>
      <c r="I1213" s="19">
        <v>65383818</v>
      </c>
      <c r="J1213" s="10">
        <v>5006</v>
      </c>
      <c r="K1213" s="10">
        <v>0</v>
      </c>
      <c r="L1213" s="10">
        <v>5006</v>
      </c>
      <c r="M1213" s="10">
        <v>0</v>
      </c>
      <c r="N1213" s="11">
        <v>5006</v>
      </c>
      <c r="O1213" s="12">
        <v>920278891</v>
      </c>
      <c r="P1213" s="9">
        <v>285123</v>
      </c>
      <c r="Q1213" s="9" t="s">
        <v>37</v>
      </c>
      <c r="R1213" s="13">
        <v>45717</v>
      </c>
      <c r="S1213" s="22">
        <v>45742</v>
      </c>
      <c r="T1213" s="13">
        <v>45707</v>
      </c>
      <c r="U1213" s="13">
        <v>45707</v>
      </c>
      <c r="V1213" s="9" t="s">
        <v>47</v>
      </c>
      <c r="W1213" s="9">
        <v>22770663</v>
      </c>
      <c r="X1213" s="9">
        <v>3311105</v>
      </c>
      <c r="Y1213" s="9">
        <v>69250707</v>
      </c>
      <c r="Z1213" s="9" t="s">
        <v>39</v>
      </c>
      <c r="AA1213" s="9">
        <v>210927782</v>
      </c>
      <c r="AB1213" s="9">
        <v>78070</v>
      </c>
      <c r="AC1213" s="9" t="s">
        <v>41</v>
      </c>
      <c r="AD1213" s="9" t="s">
        <v>132</v>
      </c>
      <c r="AE1213" s="9" t="s">
        <v>133</v>
      </c>
      <c r="AF1213" s="9" t="s">
        <v>133</v>
      </c>
      <c r="AG1213" s="14" t="str">
        <f t="shared" si="40"/>
        <v>EXAMENES DE LABORATORIO</v>
      </c>
      <c r="AH1213" s="9">
        <v>0</v>
      </c>
      <c r="AI1213" s="9">
        <v>0</v>
      </c>
      <c r="AJ1213" s="9">
        <v>96986050</v>
      </c>
      <c r="AK1213" s="9">
        <v>3</v>
      </c>
      <c r="AL1213" s="26" t="s">
        <v>52</v>
      </c>
      <c r="AM1213" s="14" t="s">
        <v>711</v>
      </c>
      <c r="AN1213" s="27" t="str">
        <f t="shared" si="39"/>
        <v>10240460|96986050|920278891|65383818</v>
      </c>
      <c r="AO1213" t="s">
        <v>44</v>
      </c>
      <c r="AP1213" t="b">
        <v>0</v>
      </c>
      <c r="AQ1213" t="s">
        <v>763</v>
      </c>
    </row>
    <row r="1214" spans="1:43" x14ac:dyDescent="0.2">
      <c r="A1214" s="14" t="s">
        <v>500</v>
      </c>
      <c r="B1214" s="17">
        <v>10586495</v>
      </c>
      <c r="C1214" s="14" t="s">
        <v>401</v>
      </c>
      <c r="D1214" s="9">
        <v>10586495</v>
      </c>
      <c r="E1214" s="9" t="s">
        <v>401</v>
      </c>
      <c r="F1214" s="7">
        <v>45689</v>
      </c>
      <c r="G1214" s="20" t="s">
        <v>36</v>
      </c>
      <c r="H1214" s="8">
        <v>920332015</v>
      </c>
      <c r="I1214" s="19">
        <v>920332015</v>
      </c>
      <c r="J1214" s="10">
        <v>23230</v>
      </c>
      <c r="K1214" s="10">
        <v>13068</v>
      </c>
      <c r="L1214" s="10">
        <v>10162</v>
      </c>
      <c r="M1214" s="10">
        <v>0</v>
      </c>
      <c r="N1214" s="11">
        <v>10162</v>
      </c>
      <c r="O1214" s="12">
        <v>920332015</v>
      </c>
      <c r="P1214" s="9">
        <v>285123</v>
      </c>
      <c r="Q1214" s="9" t="s">
        <v>37</v>
      </c>
      <c r="R1214" s="13">
        <v>45707</v>
      </c>
      <c r="S1214" s="22">
        <v>45707</v>
      </c>
      <c r="T1214" s="13">
        <v>45707</v>
      </c>
      <c r="U1214" s="13">
        <v>45707</v>
      </c>
      <c r="V1214" s="9" t="s">
        <v>47</v>
      </c>
      <c r="W1214" s="9">
        <v>22621817</v>
      </c>
      <c r="X1214" s="9">
        <v>2250942</v>
      </c>
      <c r="Y1214" s="9">
        <v>68911204</v>
      </c>
      <c r="Z1214" s="9" t="s">
        <v>39</v>
      </c>
      <c r="AA1214" s="9">
        <v>23022025</v>
      </c>
      <c r="AB1214" s="9">
        <v>77703</v>
      </c>
      <c r="AC1214" s="9" t="s">
        <v>41</v>
      </c>
      <c r="AD1214" s="9" t="s">
        <v>134</v>
      </c>
      <c r="AE1214" s="9" t="s">
        <v>135</v>
      </c>
      <c r="AF1214" s="9" t="s">
        <v>135</v>
      </c>
      <c r="AG1214" s="14" t="str">
        <f t="shared" si="40"/>
        <v>EXAMENES RADIOLOGICOS</v>
      </c>
      <c r="AH1214" s="9" t="s">
        <v>758</v>
      </c>
      <c r="AI1214" s="9">
        <v>0</v>
      </c>
      <c r="AJ1214" s="9">
        <v>76098454</v>
      </c>
      <c r="AK1214" s="9" t="s">
        <v>161</v>
      </c>
      <c r="AL1214" s="26" t="s">
        <v>62</v>
      </c>
      <c r="AM1214" s="14" t="s">
        <v>689</v>
      </c>
      <c r="AN1214" s="27" t="str">
        <f t="shared" si="39"/>
        <v>10586495|76098454|920332015|920332015</v>
      </c>
      <c r="AO1214" t="s">
        <v>758</v>
      </c>
      <c r="AP1214" t="b">
        <v>1</v>
      </c>
      <c r="AQ1214" t="s">
        <v>764</v>
      </c>
    </row>
    <row r="1215" spans="1:43" x14ac:dyDescent="0.2">
      <c r="A1215" s="14" t="s">
        <v>500</v>
      </c>
      <c r="B1215" s="17">
        <v>10586495</v>
      </c>
      <c r="C1215" s="14" t="s">
        <v>401</v>
      </c>
      <c r="D1215" s="9">
        <v>10586495</v>
      </c>
      <c r="E1215" s="9" t="s">
        <v>401</v>
      </c>
      <c r="F1215" s="7">
        <v>45717</v>
      </c>
      <c r="G1215" s="20" t="s">
        <v>46</v>
      </c>
      <c r="H1215" s="8">
        <v>920332015</v>
      </c>
      <c r="I1215" s="19">
        <v>65383878</v>
      </c>
      <c r="J1215" s="10">
        <v>7702</v>
      </c>
      <c r="K1215" s="10">
        <v>0</v>
      </c>
      <c r="L1215" s="10">
        <v>7702</v>
      </c>
      <c r="M1215" s="10">
        <v>0</v>
      </c>
      <c r="N1215" s="11">
        <v>7702</v>
      </c>
      <c r="O1215" s="12">
        <v>920332015</v>
      </c>
      <c r="P1215" s="9">
        <v>285123</v>
      </c>
      <c r="Q1215" s="9" t="s">
        <v>37</v>
      </c>
      <c r="R1215" s="13">
        <v>45717</v>
      </c>
      <c r="S1215" s="22">
        <v>45742</v>
      </c>
      <c r="T1215" s="13">
        <v>45707</v>
      </c>
      <c r="U1215" s="13">
        <v>45707</v>
      </c>
      <c r="V1215" s="9" t="s">
        <v>47</v>
      </c>
      <c r="W1215" s="9">
        <v>22770664</v>
      </c>
      <c r="X1215" s="9">
        <v>3311105</v>
      </c>
      <c r="Y1215" s="9">
        <v>69250767</v>
      </c>
      <c r="Z1215" s="9" t="s">
        <v>39</v>
      </c>
      <c r="AA1215" s="9">
        <v>50964119</v>
      </c>
      <c r="AB1215" s="9">
        <v>78070</v>
      </c>
      <c r="AC1215" s="9" t="s">
        <v>41</v>
      </c>
      <c r="AD1215" s="9" t="s">
        <v>134</v>
      </c>
      <c r="AE1215" s="9" t="s">
        <v>135</v>
      </c>
      <c r="AF1215" s="9" t="s">
        <v>135</v>
      </c>
      <c r="AG1215" s="14" t="str">
        <f t="shared" si="40"/>
        <v>EXAMENES RADIOLOGICOS</v>
      </c>
      <c r="AH1215" s="9">
        <v>0</v>
      </c>
      <c r="AI1215" s="9">
        <v>0</v>
      </c>
      <c r="AJ1215" s="9">
        <v>76098454</v>
      </c>
      <c r="AK1215" s="9" t="s">
        <v>161</v>
      </c>
      <c r="AL1215" s="26" t="s">
        <v>52</v>
      </c>
      <c r="AM1215" s="14" t="s">
        <v>689</v>
      </c>
      <c r="AN1215" s="27" t="str">
        <f t="shared" si="39"/>
        <v>10586495|76098454|920332015|65383878</v>
      </c>
      <c r="AO1215" t="s">
        <v>44</v>
      </c>
      <c r="AP1215" t="b">
        <v>0</v>
      </c>
      <c r="AQ1215" t="s">
        <v>763</v>
      </c>
    </row>
    <row r="1216" spans="1:43" x14ac:dyDescent="0.2">
      <c r="A1216" s="14" t="s">
        <v>500</v>
      </c>
      <c r="B1216" s="17">
        <v>13240926</v>
      </c>
      <c r="C1216" s="14" t="s">
        <v>409</v>
      </c>
      <c r="D1216" s="9">
        <v>13240926</v>
      </c>
      <c r="E1216" s="9" t="s">
        <v>409</v>
      </c>
      <c r="F1216" s="7">
        <v>45689</v>
      </c>
      <c r="G1216" s="20" t="s">
        <v>36</v>
      </c>
      <c r="H1216" s="8">
        <v>920392090</v>
      </c>
      <c r="I1216" s="19">
        <v>920392090</v>
      </c>
      <c r="J1216" s="10">
        <v>35460</v>
      </c>
      <c r="K1216" s="10">
        <v>11080</v>
      </c>
      <c r="L1216" s="10">
        <v>24380</v>
      </c>
      <c r="M1216" s="10">
        <v>0</v>
      </c>
      <c r="N1216" s="11">
        <v>24380</v>
      </c>
      <c r="O1216" s="12">
        <v>920392090</v>
      </c>
      <c r="P1216" s="9">
        <v>285123</v>
      </c>
      <c r="Q1216" s="9" t="s">
        <v>37</v>
      </c>
      <c r="R1216" s="13">
        <v>45708</v>
      </c>
      <c r="S1216" s="22">
        <v>45708</v>
      </c>
      <c r="T1216" s="13">
        <v>45708</v>
      </c>
      <c r="U1216" s="13">
        <v>45708</v>
      </c>
      <c r="V1216" s="9" t="s">
        <v>47</v>
      </c>
      <c r="W1216" s="9">
        <v>22621872</v>
      </c>
      <c r="X1216" s="9">
        <v>2250942</v>
      </c>
      <c r="Y1216" s="9">
        <v>68911512</v>
      </c>
      <c r="Z1216" s="9" t="s">
        <v>39</v>
      </c>
      <c r="AA1216" s="9">
        <v>23022025</v>
      </c>
      <c r="AB1216" s="9">
        <v>77703</v>
      </c>
      <c r="AC1216" s="9" t="s">
        <v>41</v>
      </c>
      <c r="AD1216" s="9" t="s">
        <v>134</v>
      </c>
      <c r="AE1216" s="9" t="s">
        <v>135</v>
      </c>
      <c r="AF1216" s="9" t="s">
        <v>135</v>
      </c>
      <c r="AG1216" s="14" t="str">
        <f t="shared" si="40"/>
        <v>EXAMENES RADIOLOGICOS</v>
      </c>
      <c r="AH1216" s="9" t="s">
        <v>758</v>
      </c>
      <c r="AI1216" s="9">
        <v>0</v>
      </c>
      <c r="AJ1216" s="9">
        <v>76098454</v>
      </c>
      <c r="AK1216" s="9" t="s">
        <v>161</v>
      </c>
      <c r="AL1216" s="26" t="s">
        <v>62</v>
      </c>
      <c r="AM1216" s="14" t="s">
        <v>696</v>
      </c>
      <c r="AN1216" s="27" t="str">
        <f t="shared" si="39"/>
        <v>13240926|76098454|920392090|920392090</v>
      </c>
      <c r="AO1216" t="s">
        <v>758</v>
      </c>
      <c r="AP1216" t="b">
        <v>1</v>
      </c>
      <c r="AQ1216" t="s">
        <v>764</v>
      </c>
    </row>
    <row r="1217" spans="1:43" x14ac:dyDescent="0.2">
      <c r="A1217" s="14" t="s">
        <v>500</v>
      </c>
      <c r="B1217" s="17">
        <v>13240926</v>
      </c>
      <c r="C1217" s="14" t="s">
        <v>409</v>
      </c>
      <c r="D1217" s="9">
        <v>13240926</v>
      </c>
      <c r="E1217" s="9" t="s">
        <v>409</v>
      </c>
      <c r="F1217" s="7">
        <v>45717</v>
      </c>
      <c r="G1217" s="20" t="s">
        <v>46</v>
      </c>
      <c r="H1217" s="8">
        <v>920392090</v>
      </c>
      <c r="I1217" s="19">
        <v>65384091</v>
      </c>
      <c r="J1217" s="10">
        <v>20804</v>
      </c>
      <c r="K1217" s="10">
        <v>0</v>
      </c>
      <c r="L1217" s="10">
        <v>20804</v>
      </c>
      <c r="M1217" s="10">
        <v>0</v>
      </c>
      <c r="N1217" s="11">
        <v>20804</v>
      </c>
      <c r="O1217" s="12">
        <v>920392090</v>
      </c>
      <c r="P1217" s="9">
        <v>285123</v>
      </c>
      <c r="Q1217" s="9" t="s">
        <v>37</v>
      </c>
      <c r="R1217" s="13">
        <v>45717</v>
      </c>
      <c r="S1217" s="22">
        <v>45742</v>
      </c>
      <c r="T1217" s="13">
        <v>45708</v>
      </c>
      <c r="U1217" s="13">
        <v>45708</v>
      </c>
      <c r="V1217" s="9" t="s">
        <v>47</v>
      </c>
      <c r="W1217" s="9">
        <v>22770679</v>
      </c>
      <c r="X1217" s="9">
        <v>3311105</v>
      </c>
      <c r="Y1217" s="9">
        <v>69250978</v>
      </c>
      <c r="Z1217" s="9" t="s">
        <v>39</v>
      </c>
      <c r="AA1217" s="9">
        <v>105921314</v>
      </c>
      <c r="AB1217" s="9">
        <v>78070</v>
      </c>
      <c r="AC1217" s="9" t="s">
        <v>41</v>
      </c>
      <c r="AD1217" s="9" t="s">
        <v>134</v>
      </c>
      <c r="AE1217" s="9" t="s">
        <v>135</v>
      </c>
      <c r="AF1217" s="9" t="s">
        <v>135</v>
      </c>
      <c r="AG1217" s="14" t="str">
        <f t="shared" si="40"/>
        <v>EXAMENES RADIOLOGICOS</v>
      </c>
      <c r="AH1217" s="9">
        <v>0</v>
      </c>
      <c r="AI1217" s="9">
        <v>0</v>
      </c>
      <c r="AJ1217" s="9">
        <v>76098454</v>
      </c>
      <c r="AK1217" s="9" t="s">
        <v>161</v>
      </c>
      <c r="AL1217" s="26" t="s">
        <v>52</v>
      </c>
      <c r="AM1217" s="14" t="s">
        <v>696</v>
      </c>
      <c r="AN1217" s="27" t="str">
        <f t="shared" si="39"/>
        <v>13240926|76098454|920392090|65384091</v>
      </c>
      <c r="AO1217" t="s">
        <v>44</v>
      </c>
      <c r="AP1217" t="b">
        <v>0</v>
      </c>
      <c r="AQ1217" t="s">
        <v>763</v>
      </c>
    </row>
    <row r="1218" spans="1:43" x14ac:dyDescent="0.2">
      <c r="A1218" s="14" t="s">
        <v>500</v>
      </c>
      <c r="B1218" s="17">
        <v>13240926</v>
      </c>
      <c r="C1218" s="14" t="s">
        <v>409</v>
      </c>
      <c r="D1218" s="9">
        <v>13240926</v>
      </c>
      <c r="E1218" s="9" t="s">
        <v>409</v>
      </c>
      <c r="F1218" s="7">
        <v>45689</v>
      </c>
      <c r="G1218" s="20" t="s">
        <v>36</v>
      </c>
      <c r="H1218" s="8">
        <v>920392482</v>
      </c>
      <c r="I1218" s="19">
        <v>920392482</v>
      </c>
      <c r="J1218" s="10">
        <v>28990</v>
      </c>
      <c r="K1218" s="10">
        <v>9060</v>
      </c>
      <c r="L1218" s="10">
        <v>19930</v>
      </c>
      <c r="M1218" s="10">
        <v>0</v>
      </c>
      <c r="N1218" s="11">
        <v>19930</v>
      </c>
      <c r="O1218" s="12">
        <v>920392482</v>
      </c>
      <c r="P1218" s="9">
        <v>285123</v>
      </c>
      <c r="Q1218" s="9" t="s">
        <v>37</v>
      </c>
      <c r="R1218" s="13">
        <v>45708</v>
      </c>
      <c r="S1218" s="22">
        <v>45708</v>
      </c>
      <c r="T1218" s="13">
        <v>45708</v>
      </c>
      <c r="U1218" s="13">
        <v>45708</v>
      </c>
      <c r="V1218" s="9" t="s">
        <v>47</v>
      </c>
      <c r="W1218" s="9">
        <v>22621872</v>
      </c>
      <c r="X1218" s="9">
        <v>2250942</v>
      </c>
      <c r="Y1218" s="9">
        <v>68911513</v>
      </c>
      <c r="Z1218" s="9" t="s">
        <v>39</v>
      </c>
      <c r="AA1218" s="9">
        <v>23022025</v>
      </c>
      <c r="AB1218" s="9">
        <v>77703</v>
      </c>
      <c r="AC1218" s="9" t="s">
        <v>41</v>
      </c>
      <c r="AD1218" s="9" t="s">
        <v>134</v>
      </c>
      <c r="AE1218" s="9" t="s">
        <v>135</v>
      </c>
      <c r="AF1218" s="9" t="s">
        <v>135</v>
      </c>
      <c r="AG1218" s="14" t="str">
        <f t="shared" si="40"/>
        <v>EXAMENES RADIOLOGICOS</v>
      </c>
      <c r="AH1218" s="9" t="s">
        <v>758</v>
      </c>
      <c r="AI1218" s="9">
        <v>0</v>
      </c>
      <c r="AJ1218" s="9">
        <v>76098454</v>
      </c>
      <c r="AK1218" s="9" t="s">
        <v>161</v>
      </c>
      <c r="AL1218" s="26" t="s">
        <v>62</v>
      </c>
      <c r="AM1218" s="14" t="s">
        <v>696</v>
      </c>
      <c r="AN1218" s="27" t="str">
        <f t="shared" si="39"/>
        <v>13240926|76098454|920392482|920392482</v>
      </c>
      <c r="AO1218" t="s">
        <v>758</v>
      </c>
      <c r="AP1218" t="b">
        <v>1</v>
      </c>
      <c r="AQ1218" t="s">
        <v>764</v>
      </c>
    </row>
    <row r="1219" spans="1:43" x14ac:dyDescent="0.2">
      <c r="A1219" s="14" t="s">
        <v>500</v>
      </c>
      <c r="B1219" s="17">
        <v>13240926</v>
      </c>
      <c r="C1219" s="14" t="s">
        <v>409</v>
      </c>
      <c r="D1219" s="9">
        <v>13240926</v>
      </c>
      <c r="E1219" s="9" t="s">
        <v>409</v>
      </c>
      <c r="F1219" s="7">
        <v>45717</v>
      </c>
      <c r="G1219" s="20" t="s">
        <v>46</v>
      </c>
      <c r="H1219" s="8">
        <v>920392482</v>
      </c>
      <c r="I1219" s="19">
        <v>65384092</v>
      </c>
      <c r="J1219" s="10">
        <v>17337</v>
      </c>
      <c r="K1219" s="10">
        <v>0</v>
      </c>
      <c r="L1219" s="10">
        <v>17337</v>
      </c>
      <c r="M1219" s="10">
        <v>0</v>
      </c>
      <c r="N1219" s="11">
        <v>17337</v>
      </c>
      <c r="O1219" s="12">
        <v>920392482</v>
      </c>
      <c r="P1219" s="9">
        <v>285123</v>
      </c>
      <c r="Q1219" s="9" t="s">
        <v>37</v>
      </c>
      <c r="R1219" s="13">
        <v>45717</v>
      </c>
      <c r="S1219" s="22">
        <v>45742</v>
      </c>
      <c r="T1219" s="13">
        <v>45708</v>
      </c>
      <c r="U1219" s="13">
        <v>45708</v>
      </c>
      <c r="V1219" s="9" t="s">
        <v>47</v>
      </c>
      <c r="W1219" s="9">
        <v>22770679</v>
      </c>
      <c r="X1219" s="9">
        <v>3311105</v>
      </c>
      <c r="Y1219" s="9">
        <v>69250979</v>
      </c>
      <c r="Z1219" s="9" t="s">
        <v>39</v>
      </c>
      <c r="AA1219" s="9">
        <v>105921314</v>
      </c>
      <c r="AB1219" s="9">
        <v>78070</v>
      </c>
      <c r="AC1219" s="9" t="s">
        <v>41</v>
      </c>
      <c r="AD1219" s="9" t="s">
        <v>134</v>
      </c>
      <c r="AE1219" s="9" t="s">
        <v>135</v>
      </c>
      <c r="AF1219" s="9" t="s">
        <v>135</v>
      </c>
      <c r="AG1219" s="14" t="str">
        <f t="shared" si="40"/>
        <v>EXAMENES RADIOLOGICOS</v>
      </c>
      <c r="AH1219" s="9">
        <v>0</v>
      </c>
      <c r="AI1219" s="9">
        <v>0</v>
      </c>
      <c r="AJ1219" s="9">
        <v>76098454</v>
      </c>
      <c r="AK1219" s="9" t="s">
        <v>161</v>
      </c>
      <c r="AL1219" s="26" t="s">
        <v>52</v>
      </c>
      <c r="AM1219" s="14" t="s">
        <v>696</v>
      </c>
      <c r="AN1219" s="27" t="str">
        <f t="shared" ref="AN1219:AN1282" si="41">B1219&amp;"|"&amp;AJ1219&amp;"|"&amp;H1219&amp;"|"&amp;I1219</f>
        <v>13240926|76098454|920392482|65384092</v>
      </c>
      <c r="AO1219" t="s">
        <v>44</v>
      </c>
      <c r="AP1219" t="b">
        <v>0</v>
      </c>
      <c r="AQ1219" t="s">
        <v>763</v>
      </c>
    </row>
    <row r="1220" spans="1:43" x14ac:dyDescent="0.2">
      <c r="A1220" s="14" t="s">
        <v>500</v>
      </c>
      <c r="B1220" s="17">
        <v>10586495</v>
      </c>
      <c r="C1220" s="14" t="s">
        <v>401</v>
      </c>
      <c r="D1220" s="9">
        <v>10586495</v>
      </c>
      <c r="E1220" s="9" t="s">
        <v>401</v>
      </c>
      <c r="F1220" s="7">
        <v>45689</v>
      </c>
      <c r="G1220" s="20" t="s">
        <v>36</v>
      </c>
      <c r="H1220" s="8">
        <v>920456936</v>
      </c>
      <c r="I1220" s="19">
        <v>920456936</v>
      </c>
      <c r="J1220" s="10">
        <v>28990</v>
      </c>
      <c r="K1220" s="10">
        <v>16308</v>
      </c>
      <c r="L1220" s="10">
        <v>12682</v>
      </c>
      <c r="M1220" s="10">
        <v>0</v>
      </c>
      <c r="N1220" s="11">
        <v>12682</v>
      </c>
      <c r="O1220" s="12">
        <v>920456936</v>
      </c>
      <c r="P1220" s="9">
        <v>285123</v>
      </c>
      <c r="Q1220" s="9" t="s">
        <v>37</v>
      </c>
      <c r="R1220" s="13">
        <v>45708</v>
      </c>
      <c r="S1220" s="22">
        <v>45708</v>
      </c>
      <c r="T1220" s="13">
        <v>45708</v>
      </c>
      <c r="U1220" s="13">
        <v>45708</v>
      </c>
      <c r="V1220" s="9" t="s">
        <v>47</v>
      </c>
      <c r="W1220" s="9">
        <v>22621865</v>
      </c>
      <c r="X1220" s="9">
        <v>2250942</v>
      </c>
      <c r="Y1220" s="9">
        <v>68911796</v>
      </c>
      <c r="Z1220" s="9" t="s">
        <v>39</v>
      </c>
      <c r="AA1220" s="9">
        <v>23022025</v>
      </c>
      <c r="AB1220" s="9">
        <v>77703</v>
      </c>
      <c r="AC1220" s="9" t="s">
        <v>41</v>
      </c>
      <c r="AD1220" s="9" t="s">
        <v>134</v>
      </c>
      <c r="AE1220" s="9" t="s">
        <v>135</v>
      </c>
      <c r="AF1220" s="9" t="s">
        <v>135</v>
      </c>
      <c r="AG1220" s="14" t="str">
        <f t="shared" si="40"/>
        <v>EXAMENES RADIOLOGICOS</v>
      </c>
      <c r="AH1220" s="9" t="s">
        <v>758</v>
      </c>
      <c r="AI1220" s="9">
        <v>0</v>
      </c>
      <c r="AJ1220" s="9">
        <v>76098454</v>
      </c>
      <c r="AK1220" s="9" t="s">
        <v>161</v>
      </c>
      <c r="AL1220" s="26" t="s">
        <v>62</v>
      </c>
      <c r="AM1220" s="14" t="s">
        <v>689</v>
      </c>
      <c r="AN1220" s="27" t="str">
        <f t="shared" si="41"/>
        <v>10586495|76098454|920456936|920456936</v>
      </c>
      <c r="AO1220" t="s">
        <v>758</v>
      </c>
      <c r="AP1220" t="b">
        <v>1</v>
      </c>
      <c r="AQ1220" t="s">
        <v>764</v>
      </c>
    </row>
    <row r="1221" spans="1:43" x14ac:dyDescent="0.2">
      <c r="A1221" s="14" t="s">
        <v>500</v>
      </c>
      <c r="B1221" s="17">
        <v>10586495</v>
      </c>
      <c r="C1221" s="14" t="s">
        <v>401</v>
      </c>
      <c r="D1221" s="9">
        <v>10586495</v>
      </c>
      <c r="E1221" s="9" t="s">
        <v>401</v>
      </c>
      <c r="F1221" s="7">
        <v>45717</v>
      </c>
      <c r="G1221" s="20" t="s">
        <v>46</v>
      </c>
      <c r="H1221" s="8">
        <v>920456936</v>
      </c>
      <c r="I1221" s="19">
        <v>65383879</v>
      </c>
      <c r="J1221" s="10">
        <v>10017</v>
      </c>
      <c r="K1221" s="10">
        <v>0</v>
      </c>
      <c r="L1221" s="10">
        <v>10017</v>
      </c>
      <c r="M1221" s="10">
        <v>0</v>
      </c>
      <c r="N1221" s="11">
        <v>10017</v>
      </c>
      <c r="O1221" s="12">
        <v>920456936</v>
      </c>
      <c r="P1221" s="9">
        <v>285123</v>
      </c>
      <c r="Q1221" s="9" t="s">
        <v>37</v>
      </c>
      <c r="R1221" s="13">
        <v>45717</v>
      </c>
      <c r="S1221" s="22">
        <v>45742</v>
      </c>
      <c r="T1221" s="13">
        <v>45708</v>
      </c>
      <c r="U1221" s="13">
        <v>45708</v>
      </c>
      <c r="V1221" s="9" t="s">
        <v>47</v>
      </c>
      <c r="W1221" s="9">
        <v>22770677</v>
      </c>
      <c r="X1221" s="9">
        <v>3311105</v>
      </c>
      <c r="Y1221" s="9">
        <v>69250768</v>
      </c>
      <c r="Z1221" s="9" t="s">
        <v>39</v>
      </c>
      <c r="AA1221" s="9">
        <v>50964119</v>
      </c>
      <c r="AB1221" s="9">
        <v>78070</v>
      </c>
      <c r="AC1221" s="9" t="s">
        <v>41</v>
      </c>
      <c r="AD1221" s="9" t="s">
        <v>134</v>
      </c>
      <c r="AE1221" s="9" t="s">
        <v>135</v>
      </c>
      <c r="AF1221" s="9" t="s">
        <v>135</v>
      </c>
      <c r="AG1221" s="14" t="str">
        <f t="shared" si="40"/>
        <v>EXAMENES RADIOLOGICOS</v>
      </c>
      <c r="AH1221" s="9">
        <v>0</v>
      </c>
      <c r="AI1221" s="9">
        <v>0</v>
      </c>
      <c r="AJ1221" s="9">
        <v>76098454</v>
      </c>
      <c r="AK1221" s="9" t="s">
        <v>161</v>
      </c>
      <c r="AL1221" s="26" t="s">
        <v>52</v>
      </c>
      <c r="AM1221" s="14" t="s">
        <v>689</v>
      </c>
      <c r="AN1221" s="27" t="str">
        <f t="shared" si="41"/>
        <v>10586495|76098454|920456936|65383879</v>
      </c>
      <c r="AO1221" t="s">
        <v>44</v>
      </c>
      <c r="AP1221" t="b">
        <v>0</v>
      </c>
      <c r="AQ1221" t="s">
        <v>763</v>
      </c>
    </row>
    <row r="1222" spans="1:43" x14ac:dyDescent="0.2">
      <c r="A1222" s="14" t="s">
        <v>500</v>
      </c>
      <c r="B1222" s="17">
        <v>10586495</v>
      </c>
      <c r="C1222" s="14" t="s">
        <v>401</v>
      </c>
      <c r="D1222" s="9">
        <v>10586495</v>
      </c>
      <c r="E1222" s="9" t="s">
        <v>401</v>
      </c>
      <c r="F1222" s="7">
        <v>45689</v>
      </c>
      <c r="G1222" s="20" t="s">
        <v>36</v>
      </c>
      <c r="H1222" s="8">
        <v>920579846</v>
      </c>
      <c r="I1222" s="19">
        <v>920579846</v>
      </c>
      <c r="J1222" s="10">
        <v>28990</v>
      </c>
      <c r="K1222" s="10">
        <v>16308</v>
      </c>
      <c r="L1222" s="10">
        <v>12682</v>
      </c>
      <c r="M1222" s="10">
        <v>0</v>
      </c>
      <c r="N1222" s="11">
        <v>12682</v>
      </c>
      <c r="O1222" s="12">
        <v>920579846</v>
      </c>
      <c r="P1222" s="9">
        <v>285123</v>
      </c>
      <c r="Q1222" s="9" t="s">
        <v>37</v>
      </c>
      <c r="R1222" s="13">
        <v>45709</v>
      </c>
      <c r="S1222" s="22">
        <v>45709</v>
      </c>
      <c r="T1222" s="13">
        <v>45709</v>
      </c>
      <c r="U1222" s="13">
        <v>45709</v>
      </c>
      <c r="V1222" s="9" t="s">
        <v>47</v>
      </c>
      <c r="W1222" s="9">
        <v>22621900</v>
      </c>
      <c r="X1222" s="9">
        <v>2250942</v>
      </c>
      <c r="Y1222" s="9">
        <v>68912400</v>
      </c>
      <c r="Z1222" s="9" t="s">
        <v>39</v>
      </c>
      <c r="AA1222" s="9">
        <v>23022025</v>
      </c>
      <c r="AB1222" s="9">
        <v>77703</v>
      </c>
      <c r="AC1222" s="9" t="s">
        <v>41</v>
      </c>
      <c r="AD1222" s="9" t="s">
        <v>134</v>
      </c>
      <c r="AE1222" s="9" t="s">
        <v>135</v>
      </c>
      <c r="AF1222" s="9" t="s">
        <v>135</v>
      </c>
      <c r="AG1222" s="14" t="str">
        <f t="shared" si="40"/>
        <v>EXAMENES RADIOLOGICOS</v>
      </c>
      <c r="AH1222" s="9" t="s">
        <v>758</v>
      </c>
      <c r="AI1222" s="9">
        <v>0</v>
      </c>
      <c r="AJ1222" s="9">
        <v>76098454</v>
      </c>
      <c r="AK1222" s="9" t="s">
        <v>161</v>
      </c>
      <c r="AL1222" s="26" t="s">
        <v>62</v>
      </c>
      <c r="AM1222" s="14" t="s">
        <v>689</v>
      </c>
      <c r="AN1222" s="27" t="str">
        <f t="shared" si="41"/>
        <v>10586495|76098454|920579846|920579846</v>
      </c>
      <c r="AO1222" t="s">
        <v>758</v>
      </c>
      <c r="AP1222" t="b">
        <v>1</v>
      </c>
      <c r="AQ1222" t="s">
        <v>764</v>
      </c>
    </row>
    <row r="1223" spans="1:43" x14ac:dyDescent="0.2">
      <c r="A1223" s="14" t="s">
        <v>500</v>
      </c>
      <c r="B1223" s="17">
        <v>10586495</v>
      </c>
      <c r="C1223" s="14" t="s">
        <v>401</v>
      </c>
      <c r="D1223" s="9">
        <v>10586495</v>
      </c>
      <c r="E1223" s="9" t="s">
        <v>401</v>
      </c>
      <c r="F1223" s="7">
        <v>45717</v>
      </c>
      <c r="G1223" s="20" t="s">
        <v>46</v>
      </c>
      <c r="H1223" s="8">
        <v>920579846</v>
      </c>
      <c r="I1223" s="19">
        <v>65383880</v>
      </c>
      <c r="J1223" s="10">
        <v>10021</v>
      </c>
      <c r="K1223" s="10">
        <v>0</v>
      </c>
      <c r="L1223" s="10">
        <v>10021</v>
      </c>
      <c r="M1223" s="10">
        <v>0</v>
      </c>
      <c r="N1223" s="11">
        <v>10021</v>
      </c>
      <c r="O1223" s="12">
        <v>920579846</v>
      </c>
      <c r="P1223" s="9">
        <v>285123</v>
      </c>
      <c r="Q1223" s="9" t="s">
        <v>37</v>
      </c>
      <c r="R1223" s="13">
        <v>45717</v>
      </c>
      <c r="S1223" s="22">
        <v>45742</v>
      </c>
      <c r="T1223" s="13">
        <v>45709</v>
      </c>
      <c r="U1223" s="13">
        <v>45709</v>
      </c>
      <c r="V1223" s="9" t="s">
        <v>47</v>
      </c>
      <c r="W1223" s="9">
        <v>22770683</v>
      </c>
      <c r="X1223" s="9">
        <v>3311105</v>
      </c>
      <c r="Y1223" s="9">
        <v>69250769</v>
      </c>
      <c r="Z1223" s="9" t="s">
        <v>39</v>
      </c>
      <c r="AA1223" s="9">
        <v>50964119</v>
      </c>
      <c r="AB1223" s="9">
        <v>78070</v>
      </c>
      <c r="AC1223" s="9" t="s">
        <v>41</v>
      </c>
      <c r="AD1223" s="9" t="s">
        <v>134</v>
      </c>
      <c r="AE1223" s="9" t="s">
        <v>135</v>
      </c>
      <c r="AF1223" s="9" t="s">
        <v>135</v>
      </c>
      <c r="AG1223" s="14" t="str">
        <f t="shared" si="40"/>
        <v>EXAMENES RADIOLOGICOS</v>
      </c>
      <c r="AH1223" s="9">
        <v>0</v>
      </c>
      <c r="AI1223" s="9">
        <v>0</v>
      </c>
      <c r="AJ1223" s="9">
        <v>76098454</v>
      </c>
      <c r="AK1223" s="9" t="s">
        <v>161</v>
      </c>
      <c r="AL1223" s="26" t="s">
        <v>52</v>
      </c>
      <c r="AM1223" s="14" t="s">
        <v>689</v>
      </c>
      <c r="AN1223" s="27" t="str">
        <f t="shared" si="41"/>
        <v>10586495|76098454|920579846|65383880</v>
      </c>
      <c r="AO1223" t="s">
        <v>44</v>
      </c>
      <c r="AP1223" t="b">
        <v>0</v>
      </c>
      <c r="AQ1223" t="s">
        <v>763</v>
      </c>
    </row>
    <row r="1224" spans="1:43" x14ac:dyDescent="0.2">
      <c r="A1224" s="14" t="s">
        <v>500</v>
      </c>
      <c r="B1224" s="17">
        <v>10586495</v>
      </c>
      <c r="C1224" s="14" t="s">
        <v>401</v>
      </c>
      <c r="D1224" s="9">
        <v>10586495</v>
      </c>
      <c r="E1224" s="9" t="s">
        <v>401</v>
      </c>
      <c r="F1224" s="7">
        <v>45689</v>
      </c>
      <c r="G1224" s="20" t="s">
        <v>36</v>
      </c>
      <c r="H1224" s="8">
        <v>920579860</v>
      </c>
      <c r="I1224" s="19">
        <v>920579860</v>
      </c>
      <c r="J1224" s="10">
        <v>28990</v>
      </c>
      <c r="K1224" s="10">
        <v>16308</v>
      </c>
      <c r="L1224" s="10">
        <v>12682</v>
      </c>
      <c r="M1224" s="10">
        <v>0</v>
      </c>
      <c r="N1224" s="11">
        <v>12682</v>
      </c>
      <c r="O1224" s="12">
        <v>920579860</v>
      </c>
      <c r="P1224" s="9">
        <v>285123</v>
      </c>
      <c r="Q1224" s="9" t="s">
        <v>37</v>
      </c>
      <c r="R1224" s="13">
        <v>45709</v>
      </c>
      <c r="S1224" s="22">
        <v>45709</v>
      </c>
      <c r="T1224" s="13">
        <v>45709</v>
      </c>
      <c r="U1224" s="13">
        <v>45709</v>
      </c>
      <c r="V1224" s="9" t="s">
        <v>47</v>
      </c>
      <c r="W1224" s="9">
        <v>22621900</v>
      </c>
      <c r="X1224" s="9">
        <v>2250942</v>
      </c>
      <c r="Y1224" s="9">
        <v>68912401</v>
      </c>
      <c r="Z1224" s="9" t="s">
        <v>39</v>
      </c>
      <c r="AA1224" s="9">
        <v>23022025</v>
      </c>
      <c r="AB1224" s="9">
        <v>77703</v>
      </c>
      <c r="AC1224" s="9" t="s">
        <v>41</v>
      </c>
      <c r="AD1224" s="9" t="s">
        <v>134</v>
      </c>
      <c r="AE1224" s="9" t="s">
        <v>135</v>
      </c>
      <c r="AF1224" s="9" t="s">
        <v>135</v>
      </c>
      <c r="AG1224" s="14" t="str">
        <f t="shared" si="40"/>
        <v>EXAMENES RADIOLOGICOS</v>
      </c>
      <c r="AH1224" s="9" t="s">
        <v>758</v>
      </c>
      <c r="AI1224" s="9">
        <v>0</v>
      </c>
      <c r="AJ1224" s="9">
        <v>76098454</v>
      </c>
      <c r="AK1224" s="9" t="s">
        <v>161</v>
      </c>
      <c r="AL1224" s="26" t="s">
        <v>62</v>
      </c>
      <c r="AM1224" s="14" t="s">
        <v>689</v>
      </c>
      <c r="AN1224" s="27" t="str">
        <f t="shared" si="41"/>
        <v>10586495|76098454|920579860|920579860</v>
      </c>
      <c r="AO1224" t="s">
        <v>758</v>
      </c>
      <c r="AP1224" t="b">
        <v>1</v>
      </c>
      <c r="AQ1224" t="s">
        <v>764</v>
      </c>
    </row>
    <row r="1225" spans="1:43" x14ac:dyDescent="0.2">
      <c r="A1225" s="14" t="s">
        <v>500</v>
      </c>
      <c r="B1225" s="17">
        <v>10586495</v>
      </c>
      <c r="C1225" s="14" t="s">
        <v>401</v>
      </c>
      <c r="D1225" s="9">
        <v>10586495</v>
      </c>
      <c r="E1225" s="9" t="s">
        <v>401</v>
      </c>
      <c r="F1225" s="7">
        <v>45717</v>
      </c>
      <c r="G1225" s="20" t="s">
        <v>46</v>
      </c>
      <c r="H1225" s="8">
        <v>920579860</v>
      </c>
      <c r="I1225" s="19">
        <v>65383881</v>
      </c>
      <c r="J1225" s="10">
        <v>10021</v>
      </c>
      <c r="K1225" s="10">
        <v>0</v>
      </c>
      <c r="L1225" s="10">
        <v>10021</v>
      </c>
      <c r="M1225" s="10">
        <v>0</v>
      </c>
      <c r="N1225" s="11">
        <v>10021</v>
      </c>
      <c r="O1225" s="12">
        <v>920579860</v>
      </c>
      <c r="P1225" s="9">
        <v>285123</v>
      </c>
      <c r="Q1225" s="9" t="s">
        <v>37</v>
      </c>
      <c r="R1225" s="13">
        <v>45717</v>
      </c>
      <c r="S1225" s="22">
        <v>45742</v>
      </c>
      <c r="T1225" s="13">
        <v>45709</v>
      </c>
      <c r="U1225" s="13">
        <v>45709</v>
      </c>
      <c r="V1225" s="9" t="s">
        <v>47</v>
      </c>
      <c r="W1225" s="9">
        <v>22770683</v>
      </c>
      <c r="X1225" s="9">
        <v>3311105</v>
      </c>
      <c r="Y1225" s="9">
        <v>69250770</v>
      </c>
      <c r="Z1225" s="9" t="s">
        <v>39</v>
      </c>
      <c r="AA1225" s="9">
        <v>50964119</v>
      </c>
      <c r="AB1225" s="9">
        <v>78070</v>
      </c>
      <c r="AC1225" s="9" t="s">
        <v>41</v>
      </c>
      <c r="AD1225" s="9" t="s">
        <v>134</v>
      </c>
      <c r="AE1225" s="9" t="s">
        <v>135</v>
      </c>
      <c r="AF1225" s="9" t="s">
        <v>135</v>
      </c>
      <c r="AG1225" s="14" t="str">
        <f t="shared" si="40"/>
        <v>EXAMENES RADIOLOGICOS</v>
      </c>
      <c r="AH1225" s="9">
        <v>0</v>
      </c>
      <c r="AI1225" s="9">
        <v>0</v>
      </c>
      <c r="AJ1225" s="9">
        <v>76098454</v>
      </c>
      <c r="AK1225" s="9" t="s">
        <v>161</v>
      </c>
      <c r="AL1225" s="26" t="s">
        <v>52</v>
      </c>
      <c r="AM1225" s="14" t="s">
        <v>689</v>
      </c>
      <c r="AN1225" s="27" t="str">
        <f t="shared" si="41"/>
        <v>10586495|76098454|920579860|65383881</v>
      </c>
      <c r="AO1225" t="s">
        <v>44</v>
      </c>
      <c r="AP1225" t="b">
        <v>0</v>
      </c>
      <c r="AQ1225" t="s">
        <v>763</v>
      </c>
    </row>
    <row r="1226" spans="1:43" x14ac:dyDescent="0.2">
      <c r="A1226" s="14" t="s">
        <v>500</v>
      </c>
      <c r="B1226" s="17">
        <v>21442073</v>
      </c>
      <c r="C1226" s="14" t="s">
        <v>232</v>
      </c>
      <c r="D1226" s="9">
        <v>21442073</v>
      </c>
      <c r="E1226" s="9" t="s">
        <v>232</v>
      </c>
      <c r="F1226" s="7">
        <v>45689</v>
      </c>
      <c r="G1226" s="20" t="s">
        <v>36</v>
      </c>
      <c r="H1226" s="8">
        <v>920629253</v>
      </c>
      <c r="I1226" s="19">
        <v>920629253</v>
      </c>
      <c r="J1226" s="10">
        <v>18340</v>
      </c>
      <c r="K1226" s="10">
        <v>10326</v>
      </c>
      <c r="L1226" s="10">
        <v>8014</v>
      </c>
      <c r="M1226" s="10">
        <v>0</v>
      </c>
      <c r="N1226" s="11">
        <v>8014</v>
      </c>
      <c r="O1226" s="12">
        <v>920629253</v>
      </c>
      <c r="P1226" s="9">
        <v>285123</v>
      </c>
      <c r="Q1226" s="9" t="s">
        <v>37</v>
      </c>
      <c r="R1226" s="13">
        <v>45710</v>
      </c>
      <c r="S1226" s="22">
        <v>45710</v>
      </c>
      <c r="T1226" s="13">
        <v>45710</v>
      </c>
      <c r="U1226" s="13">
        <v>45710</v>
      </c>
      <c r="V1226" s="9" t="s">
        <v>47</v>
      </c>
      <c r="W1226" s="9">
        <v>22646296</v>
      </c>
      <c r="X1226" s="9">
        <v>3041018</v>
      </c>
      <c r="Y1226" s="9">
        <v>68950339</v>
      </c>
      <c r="Z1226" s="9" t="s">
        <v>39</v>
      </c>
      <c r="AA1226" s="9">
        <v>2032025</v>
      </c>
      <c r="AB1226" s="9">
        <v>77760</v>
      </c>
      <c r="AC1226" s="9" t="s">
        <v>41</v>
      </c>
      <c r="AD1226" s="9" t="s">
        <v>132</v>
      </c>
      <c r="AE1226" s="9" t="s">
        <v>133</v>
      </c>
      <c r="AF1226" s="9" t="s">
        <v>133</v>
      </c>
      <c r="AG1226" s="14" t="str">
        <f t="shared" si="40"/>
        <v>EXAMENES DE LABORATORIO</v>
      </c>
      <c r="AH1226" s="9" t="s">
        <v>758</v>
      </c>
      <c r="AI1226" s="9">
        <v>0</v>
      </c>
      <c r="AJ1226" s="9">
        <v>96986050</v>
      </c>
      <c r="AK1226" s="9">
        <v>3</v>
      </c>
      <c r="AL1226" s="26" t="s">
        <v>62</v>
      </c>
      <c r="AM1226" s="14" t="s">
        <v>572</v>
      </c>
      <c r="AN1226" s="27" t="str">
        <f t="shared" si="41"/>
        <v>21442073|96986050|920629253|920629253</v>
      </c>
      <c r="AO1226" t="s">
        <v>758</v>
      </c>
      <c r="AP1226" t="b">
        <v>1</v>
      </c>
      <c r="AQ1226" t="s">
        <v>764</v>
      </c>
    </row>
    <row r="1227" spans="1:43" x14ac:dyDescent="0.2">
      <c r="A1227" s="14" t="s">
        <v>500</v>
      </c>
      <c r="B1227" s="17">
        <v>21442073</v>
      </c>
      <c r="C1227" s="14" t="s">
        <v>232</v>
      </c>
      <c r="D1227" s="9">
        <v>21442073</v>
      </c>
      <c r="E1227" s="9" t="s">
        <v>232</v>
      </c>
      <c r="F1227" s="7">
        <v>45717</v>
      </c>
      <c r="G1227" s="20" t="s">
        <v>46</v>
      </c>
      <c r="H1227" s="8">
        <v>920629253</v>
      </c>
      <c r="I1227" s="19">
        <v>65384503</v>
      </c>
      <c r="J1227" s="10">
        <v>6939</v>
      </c>
      <c r="K1227" s="10">
        <v>0</v>
      </c>
      <c r="L1227" s="10">
        <v>6939</v>
      </c>
      <c r="M1227" s="10">
        <v>0</v>
      </c>
      <c r="N1227" s="11">
        <v>6939</v>
      </c>
      <c r="O1227" s="12">
        <v>920629253</v>
      </c>
      <c r="P1227" s="9">
        <v>285123</v>
      </c>
      <c r="Q1227" s="9" t="s">
        <v>37</v>
      </c>
      <c r="R1227" s="13">
        <v>45717</v>
      </c>
      <c r="S1227" s="22">
        <v>45742</v>
      </c>
      <c r="T1227" s="13">
        <v>45710</v>
      </c>
      <c r="U1227" s="13">
        <v>45710</v>
      </c>
      <c r="V1227" s="9" t="s">
        <v>47</v>
      </c>
      <c r="W1227" s="9">
        <v>22770693</v>
      </c>
      <c r="X1227" s="9">
        <v>3311105</v>
      </c>
      <c r="Y1227" s="9">
        <v>69251367</v>
      </c>
      <c r="Z1227" s="9" t="s">
        <v>39</v>
      </c>
      <c r="AA1227" s="9">
        <v>1713549343</v>
      </c>
      <c r="AB1227" s="9">
        <v>78070</v>
      </c>
      <c r="AC1227" s="9" t="s">
        <v>41</v>
      </c>
      <c r="AD1227" s="9" t="s">
        <v>132</v>
      </c>
      <c r="AE1227" s="9" t="s">
        <v>133</v>
      </c>
      <c r="AF1227" s="9" t="s">
        <v>133</v>
      </c>
      <c r="AG1227" s="14" t="str">
        <f t="shared" si="40"/>
        <v>EXAMENES DE LABORATORIO</v>
      </c>
      <c r="AH1227" s="9">
        <v>0</v>
      </c>
      <c r="AI1227" s="9">
        <v>0</v>
      </c>
      <c r="AJ1227" s="9">
        <v>96986050</v>
      </c>
      <c r="AK1227" s="9">
        <v>3</v>
      </c>
      <c r="AL1227" s="26" t="s">
        <v>52</v>
      </c>
      <c r="AM1227" s="14" t="s">
        <v>572</v>
      </c>
      <c r="AN1227" s="27" t="str">
        <f t="shared" si="41"/>
        <v>21442073|96986050|920629253|65384503</v>
      </c>
      <c r="AO1227" t="s">
        <v>44</v>
      </c>
      <c r="AP1227" t="b">
        <v>0</v>
      </c>
      <c r="AQ1227" t="s">
        <v>763</v>
      </c>
    </row>
    <row r="1228" spans="1:43" x14ac:dyDescent="0.2">
      <c r="A1228" s="14" t="s">
        <v>500</v>
      </c>
      <c r="B1228" s="17">
        <v>21442073</v>
      </c>
      <c r="C1228" s="14" t="s">
        <v>232</v>
      </c>
      <c r="D1228" s="9">
        <v>21442073</v>
      </c>
      <c r="E1228" s="9" t="s">
        <v>232</v>
      </c>
      <c r="F1228" s="7">
        <v>45689</v>
      </c>
      <c r="G1228" s="20" t="s">
        <v>36</v>
      </c>
      <c r="H1228" s="8">
        <v>920629254</v>
      </c>
      <c r="I1228" s="19">
        <v>920629254</v>
      </c>
      <c r="J1228" s="10">
        <v>45740</v>
      </c>
      <c r="K1228" s="10">
        <v>25746</v>
      </c>
      <c r="L1228" s="10">
        <v>19994</v>
      </c>
      <c r="M1228" s="10">
        <v>0</v>
      </c>
      <c r="N1228" s="11">
        <v>19994</v>
      </c>
      <c r="O1228" s="12">
        <v>920629254</v>
      </c>
      <c r="P1228" s="9">
        <v>285123</v>
      </c>
      <c r="Q1228" s="9" t="s">
        <v>37</v>
      </c>
      <c r="R1228" s="13">
        <v>45710</v>
      </c>
      <c r="S1228" s="22">
        <v>45710</v>
      </c>
      <c r="T1228" s="13">
        <v>45710</v>
      </c>
      <c r="U1228" s="13">
        <v>45710</v>
      </c>
      <c r="V1228" s="9" t="s">
        <v>47</v>
      </c>
      <c r="W1228" s="9">
        <v>22646296</v>
      </c>
      <c r="X1228" s="9">
        <v>3041018</v>
      </c>
      <c r="Y1228" s="9">
        <v>68950338</v>
      </c>
      <c r="Z1228" s="9" t="s">
        <v>39</v>
      </c>
      <c r="AA1228" s="9">
        <v>2032025</v>
      </c>
      <c r="AB1228" s="9">
        <v>77760</v>
      </c>
      <c r="AC1228" s="9" t="s">
        <v>41</v>
      </c>
      <c r="AD1228" s="9" t="s">
        <v>132</v>
      </c>
      <c r="AE1228" s="9" t="s">
        <v>133</v>
      </c>
      <c r="AF1228" s="9" t="s">
        <v>133</v>
      </c>
      <c r="AG1228" s="14" t="str">
        <f t="shared" si="40"/>
        <v>EXAMENES DE LABORATORIO</v>
      </c>
      <c r="AH1228" s="9" t="s">
        <v>758</v>
      </c>
      <c r="AI1228" s="9">
        <v>0</v>
      </c>
      <c r="AJ1228" s="9">
        <v>96986050</v>
      </c>
      <c r="AK1228" s="9">
        <v>3</v>
      </c>
      <c r="AL1228" s="26" t="s">
        <v>62</v>
      </c>
      <c r="AM1228" s="14" t="s">
        <v>572</v>
      </c>
      <c r="AN1228" s="27" t="str">
        <f t="shared" si="41"/>
        <v>21442073|96986050|920629254|920629254</v>
      </c>
      <c r="AO1228" t="s">
        <v>758</v>
      </c>
      <c r="AP1228" t="b">
        <v>1</v>
      </c>
      <c r="AQ1228" t="s">
        <v>764</v>
      </c>
    </row>
    <row r="1229" spans="1:43" x14ac:dyDescent="0.2">
      <c r="A1229" s="14" t="s">
        <v>500</v>
      </c>
      <c r="B1229" s="17">
        <v>21442073</v>
      </c>
      <c r="C1229" s="14" t="s">
        <v>232</v>
      </c>
      <c r="D1229" s="9">
        <v>21442073</v>
      </c>
      <c r="E1229" s="9" t="s">
        <v>232</v>
      </c>
      <c r="F1229" s="7">
        <v>45717</v>
      </c>
      <c r="G1229" s="20" t="s">
        <v>46</v>
      </c>
      <c r="H1229" s="8">
        <v>920629254</v>
      </c>
      <c r="I1229" s="19">
        <v>65384504</v>
      </c>
      <c r="J1229" s="10">
        <v>15806</v>
      </c>
      <c r="K1229" s="10">
        <v>0</v>
      </c>
      <c r="L1229" s="10">
        <v>15806</v>
      </c>
      <c r="M1229" s="10">
        <v>0</v>
      </c>
      <c r="N1229" s="11">
        <v>15806</v>
      </c>
      <c r="O1229" s="12">
        <v>920629254</v>
      </c>
      <c r="P1229" s="9">
        <v>285123</v>
      </c>
      <c r="Q1229" s="9" t="s">
        <v>37</v>
      </c>
      <c r="R1229" s="13">
        <v>45717</v>
      </c>
      <c r="S1229" s="22">
        <v>45742</v>
      </c>
      <c r="T1229" s="13">
        <v>45710</v>
      </c>
      <c r="U1229" s="13">
        <v>45710</v>
      </c>
      <c r="V1229" s="9" t="s">
        <v>47</v>
      </c>
      <c r="W1229" s="9">
        <v>22770693</v>
      </c>
      <c r="X1229" s="9">
        <v>3311105</v>
      </c>
      <c r="Y1229" s="9">
        <v>69251368</v>
      </c>
      <c r="Z1229" s="9" t="s">
        <v>39</v>
      </c>
      <c r="AA1229" s="9">
        <v>1713549343</v>
      </c>
      <c r="AB1229" s="9">
        <v>78070</v>
      </c>
      <c r="AC1229" s="9" t="s">
        <v>41</v>
      </c>
      <c r="AD1229" s="9" t="s">
        <v>132</v>
      </c>
      <c r="AE1229" s="9" t="s">
        <v>133</v>
      </c>
      <c r="AF1229" s="9" t="s">
        <v>133</v>
      </c>
      <c r="AG1229" s="14" t="str">
        <f t="shared" si="40"/>
        <v>EXAMENES DE LABORATORIO</v>
      </c>
      <c r="AH1229" s="9">
        <v>0</v>
      </c>
      <c r="AI1229" s="9">
        <v>0</v>
      </c>
      <c r="AJ1229" s="9">
        <v>96986050</v>
      </c>
      <c r="AK1229" s="9">
        <v>3</v>
      </c>
      <c r="AL1229" s="26" t="s">
        <v>52</v>
      </c>
      <c r="AM1229" s="14" t="s">
        <v>572</v>
      </c>
      <c r="AN1229" s="27" t="str">
        <f t="shared" si="41"/>
        <v>21442073|96986050|920629254|65384504</v>
      </c>
      <c r="AO1229" t="s">
        <v>44</v>
      </c>
      <c r="AP1229" t="b">
        <v>0</v>
      </c>
      <c r="AQ1229" t="s">
        <v>763</v>
      </c>
    </row>
    <row r="1230" spans="1:43" x14ac:dyDescent="0.2">
      <c r="A1230" s="14" t="s">
        <v>500</v>
      </c>
      <c r="B1230" s="17">
        <v>21442073</v>
      </c>
      <c r="C1230" s="14" t="s">
        <v>232</v>
      </c>
      <c r="D1230" s="9">
        <v>21442073</v>
      </c>
      <c r="E1230" s="9" t="s">
        <v>232</v>
      </c>
      <c r="F1230" s="7">
        <v>45689</v>
      </c>
      <c r="G1230" s="20" t="s">
        <v>36</v>
      </c>
      <c r="H1230" s="8">
        <v>920629255</v>
      </c>
      <c r="I1230" s="19">
        <v>920629255</v>
      </c>
      <c r="J1230" s="10">
        <v>2960</v>
      </c>
      <c r="K1230" s="10">
        <v>1670</v>
      </c>
      <c r="L1230" s="10">
        <v>1290</v>
      </c>
      <c r="M1230" s="10">
        <v>0</v>
      </c>
      <c r="N1230" s="11">
        <v>1290</v>
      </c>
      <c r="O1230" s="12">
        <v>920629255</v>
      </c>
      <c r="P1230" s="9">
        <v>285123</v>
      </c>
      <c r="Q1230" s="9" t="s">
        <v>37</v>
      </c>
      <c r="R1230" s="13">
        <v>45710</v>
      </c>
      <c r="S1230" s="22">
        <v>45710</v>
      </c>
      <c r="T1230" s="13">
        <v>45710</v>
      </c>
      <c r="U1230" s="13">
        <v>45710</v>
      </c>
      <c r="V1230" s="9" t="s">
        <v>47</v>
      </c>
      <c r="W1230" s="9">
        <v>22646296</v>
      </c>
      <c r="X1230" s="9">
        <v>3041018</v>
      </c>
      <c r="Y1230" s="9">
        <v>68950337</v>
      </c>
      <c r="Z1230" s="9" t="s">
        <v>39</v>
      </c>
      <c r="AA1230" s="9">
        <v>2032025</v>
      </c>
      <c r="AB1230" s="9">
        <v>77760</v>
      </c>
      <c r="AC1230" s="9" t="s">
        <v>41</v>
      </c>
      <c r="AD1230" s="9" t="s">
        <v>132</v>
      </c>
      <c r="AE1230" s="9" t="s">
        <v>133</v>
      </c>
      <c r="AF1230" s="9" t="s">
        <v>133</v>
      </c>
      <c r="AG1230" s="14" t="str">
        <f t="shared" si="40"/>
        <v>EXAMENES DE LABORATORIO</v>
      </c>
      <c r="AH1230" s="9" t="s">
        <v>758</v>
      </c>
      <c r="AI1230" s="9">
        <v>0</v>
      </c>
      <c r="AJ1230" s="9">
        <v>96986050</v>
      </c>
      <c r="AK1230" s="9">
        <v>3</v>
      </c>
      <c r="AL1230" s="26" t="s">
        <v>62</v>
      </c>
      <c r="AM1230" s="14" t="s">
        <v>572</v>
      </c>
      <c r="AN1230" s="27" t="str">
        <f t="shared" si="41"/>
        <v>21442073|96986050|920629255|920629255</v>
      </c>
      <c r="AO1230" t="s">
        <v>758</v>
      </c>
      <c r="AP1230" t="b">
        <v>1</v>
      </c>
      <c r="AQ1230" t="s">
        <v>764</v>
      </c>
    </row>
    <row r="1231" spans="1:43" x14ac:dyDescent="0.2">
      <c r="A1231" s="14" t="s">
        <v>500</v>
      </c>
      <c r="B1231" s="17">
        <v>21442073</v>
      </c>
      <c r="C1231" s="14" t="s">
        <v>232</v>
      </c>
      <c r="D1231" s="9">
        <v>21442073</v>
      </c>
      <c r="E1231" s="9" t="s">
        <v>232</v>
      </c>
      <c r="F1231" s="7">
        <v>45717</v>
      </c>
      <c r="G1231" s="20" t="s">
        <v>46</v>
      </c>
      <c r="H1231" s="8">
        <v>920629255</v>
      </c>
      <c r="I1231" s="19">
        <v>65384505</v>
      </c>
      <c r="J1231" s="10">
        <v>771</v>
      </c>
      <c r="K1231" s="10">
        <v>0</v>
      </c>
      <c r="L1231" s="10">
        <v>771</v>
      </c>
      <c r="M1231" s="10">
        <v>0</v>
      </c>
      <c r="N1231" s="11">
        <v>771</v>
      </c>
      <c r="O1231" s="12">
        <v>920629255</v>
      </c>
      <c r="P1231" s="9">
        <v>285123</v>
      </c>
      <c r="Q1231" s="9" t="s">
        <v>37</v>
      </c>
      <c r="R1231" s="13">
        <v>45717</v>
      </c>
      <c r="S1231" s="22">
        <v>45742</v>
      </c>
      <c r="T1231" s="13">
        <v>45710</v>
      </c>
      <c r="U1231" s="13">
        <v>45710</v>
      </c>
      <c r="V1231" s="9" t="s">
        <v>47</v>
      </c>
      <c r="W1231" s="9">
        <v>22770693</v>
      </c>
      <c r="X1231" s="9">
        <v>3311105</v>
      </c>
      <c r="Y1231" s="9">
        <v>69251369</v>
      </c>
      <c r="Z1231" s="9" t="s">
        <v>39</v>
      </c>
      <c r="AA1231" s="9">
        <v>1713549343</v>
      </c>
      <c r="AB1231" s="9">
        <v>78070</v>
      </c>
      <c r="AC1231" s="9" t="s">
        <v>41</v>
      </c>
      <c r="AD1231" s="9" t="s">
        <v>132</v>
      </c>
      <c r="AE1231" s="9" t="s">
        <v>133</v>
      </c>
      <c r="AF1231" s="9" t="s">
        <v>133</v>
      </c>
      <c r="AG1231" s="14" t="str">
        <f t="shared" si="40"/>
        <v>EXAMENES DE LABORATORIO</v>
      </c>
      <c r="AH1231" s="9">
        <v>0</v>
      </c>
      <c r="AI1231" s="9">
        <v>0</v>
      </c>
      <c r="AJ1231" s="9">
        <v>96986050</v>
      </c>
      <c r="AK1231" s="9">
        <v>3</v>
      </c>
      <c r="AL1231" s="26" t="s">
        <v>52</v>
      </c>
      <c r="AM1231" s="14" t="s">
        <v>572</v>
      </c>
      <c r="AN1231" s="27" t="str">
        <f t="shared" si="41"/>
        <v>21442073|96986050|920629255|65384505</v>
      </c>
      <c r="AO1231" t="s">
        <v>44</v>
      </c>
      <c r="AP1231" t="b">
        <v>0</v>
      </c>
      <c r="AQ1231" t="s">
        <v>763</v>
      </c>
    </row>
    <row r="1232" spans="1:43" x14ac:dyDescent="0.2">
      <c r="A1232" s="14" t="s">
        <v>500</v>
      </c>
      <c r="B1232" s="17">
        <v>9004627</v>
      </c>
      <c r="C1232" s="14" t="s">
        <v>393</v>
      </c>
      <c r="D1232" s="9">
        <v>9004627</v>
      </c>
      <c r="E1232" s="9" t="s">
        <v>393</v>
      </c>
      <c r="F1232" s="7">
        <v>45689</v>
      </c>
      <c r="G1232" s="20" t="s">
        <v>36</v>
      </c>
      <c r="H1232" s="8">
        <v>920737202</v>
      </c>
      <c r="I1232" s="19">
        <v>920737202</v>
      </c>
      <c r="J1232" s="10">
        <v>51890</v>
      </c>
      <c r="K1232" s="10">
        <v>16220</v>
      </c>
      <c r="L1232" s="10">
        <v>35670</v>
      </c>
      <c r="M1232" s="10">
        <v>0</v>
      </c>
      <c r="N1232" s="11">
        <v>35670</v>
      </c>
      <c r="O1232" s="12">
        <v>920737202</v>
      </c>
      <c r="P1232" s="9">
        <v>285123</v>
      </c>
      <c r="Q1232" s="9" t="s">
        <v>37</v>
      </c>
      <c r="R1232" s="13">
        <v>45712</v>
      </c>
      <c r="S1232" s="22">
        <v>45712</v>
      </c>
      <c r="T1232" s="13">
        <v>45712</v>
      </c>
      <c r="U1232" s="13">
        <v>45712</v>
      </c>
      <c r="V1232" s="9" t="s">
        <v>47</v>
      </c>
      <c r="W1232" s="9">
        <v>22646303</v>
      </c>
      <c r="X1232" s="9">
        <v>3041018</v>
      </c>
      <c r="Y1232" s="9">
        <v>68950958</v>
      </c>
      <c r="Z1232" s="9" t="s">
        <v>39</v>
      </c>
      <c r="AA1232" s="9">
        <v>2032025</v>
      </c>
      <c r="AB1232" s="9">
        <v>77760</v>
      </c>
      <c r="AC1232" s="9" t="s">
        <v>41</v>
      </c>
      <c r="AD1232" s="9" t="s">
        <v>132</v>
      </c>
      <c r="AE1232" s="9" t="s">
        <v>133</v>
      </c>
      <c r="AF1232" s="9" t="s">
        <v>133</v>
      </c>
      <c r="AG1232" s="14" t="str">
        <f t="shared" si="40"/>
        <v>EXAMENES DE LABORATORIO</v>
      </c>
      <c r="AH1232" s="9" t="s">
        <v>758</v>
      </c>
      <c r="AI1232" s="9">
        <v>0</v>
      </c>
      <c r="AJ1232" s="9">
        <v>96530470</v>
      </c>
      <c r="AK1232" s="9">
        <v>3</v>
      </c>
      <c r="AL1232" s="26" t="s">
        <v>62</v>
      </c>
      <c r="AM1232" s="14" t="s">
        <v>683</v>
      </c>
      <c r="AN1232" s="27" t="str">
        <f t="shared" si="41"/>
        <v>9004627|96530470|920737202|920737202</v>
      </c>
      <c r="AO1232" t="s">
        <v>758</v>
      </c>
      <c r="AP1232" t="b">
        <v>1</v>
      </c>
      <c r="AQ1232" t="s">
        <v>764</v>
      </c>
    </row>
    <row r="1233" spans="1:43" x14ac:dyDescent="0.2">
      <c r="A1233" s="14" t="s">
        <v>500</v>
      </c>
      <c r="B1233" s="17">
        <v>9004627</v>
      </c>
      <c r="C1233" s="14" t="s">
        <v>393</v>
      </c>
      <c r="D1233" s="9">
        <v>9004627</v>
      </c>
      <c r="E1233" s="9" t="s">
        <v>393</v>
      </c>
      <c r="F1233" s="7">
        <v>45717</v>
      </c>
      <c r="G1233" s="20" t="s">
        <v>46</v>
      </c>
      <c r="H1233" s="8">
        <v>920737202</v>
      </c>
      <c r="I1233" s="19">
        <v>65383699</v>
      </c>
      <c r="J1233" s="10">
        <v>31254</v>
      </c>
      <c r="K1233" s="10">
        <v>0</v>
      </c>
      <c r="L1233" s="10">
        <v>31254</v>
      </c>
      <c r="M1233" s="10">
        <v>0</v>
      </c>
      <c r="N1233" s="11">
        <v>31254</v>
      </c>
      <c r="O1233" s="12">
        <v>920737202</v>
      </c>
      <c r="P1233" s="9">
        <v>285123</v>
      </c>
      <c r="Q1233" s="9" t="s">
        <v>37</v>
      </c>
      <c r="R1233" s="13">
        <v>45717</v>
      </c>
      <c r="S1233" s="22">
        <v>45742</v>
      </c>
      <c r="T1233" s="13">
        <v>45712</v>
      </c>
      <c r="U1233" s="13">
        <v>45712</v>
      </c>
      <c r="V1233" s="9" t="s">
        <v>47</v>
      </c>
      <c r="W1233" s="9">
        <v>22770695</v>
      </c>
      <c r="X1233" s="9">
        <v>3311105</v>
      </c>
      <c r="Y1233" s="9">
        <v>69250590</v>
      </c>
      <c r="Z1233" s="9" t="s">
        <v>39</v>
      </c>
      <c r="AA1233" s="9">
        <v>14076980</v>
      </c>
      <c r="AB1233" s="9">
        <v>78070</v>
      </c>
      <c r="AC1233" s="9" t="s">
        <v>41</v>
      </c>
      <c r="AD1233" s="9" t="s">
        <v>132</v>
      </c>
      <c r="AE1233" s="9" t="s">
        <v>133</v>
      </c>
      <c r="AF1233" s="9" t="s">
        <v>133</v>
      </c>
      <c r="AG1233" s="14" t="str">
        <f t="shared" si="40"/>
        <v>EXAMENES DE LABORATORIO</v>
      </c>
      <c r="AH1233" s="9">
        <v>0</v>
      </c>
      <c r="AI1233" s="9">
        <v>0</v>
      </c>
      <c r="AJ1233" s="9">
        <v>96530470</v>
      </c>
      <c r="AK1233" s="9">
        <v>3</v>
      </c>
      <c r="AL1233" s="26" t="s">
        <v>52</v>
      </c>
      <c r="AM1233" s="14" t="s">
        <v>683</v>
      </c>
      <c r="AN1233" s="27" t="str">
        <f t="shared" si="41"/>
        <v>9004627|96530470|920737202|65383699</v>
      </c>
      <c r="AO1233" t="s">
        <v>44</v>
      </c>
      <c r="AP1233" t="b">
        <v>0</v>
      </c>
      <c r="AQ1233" t="s">
        <v>763</v>
      </c>
    </row>
    <row r="1234" spans="1:43" x14ac:dyDescent="0.2">
      <c r="A1234" s="14" t="s">
        <v>500</v>
      </c>
      <c r="B1234" s="17">
        <v>9004627</v>
      </c>
      <c r="C1234" s="14" t="s">
        <v>393</v>
      </c>
      <c r="D1234" s="9">
        <v>9004627</v>
      </c>
      <c r="E1234" s="9" t="s">
        <v>393</v>
      </c>
      <c r="F1234" s="7">
        <v>45689</v>
      </c>
      <c r="G1234" s="20" t="s">
        <v>36</v>
      </c>
      <c r="H1234" s="8">
        <v>920737203</v>
      </c>
      <c r="I1234" s="19">
        <v>920737203</v>
      </c>
      <c r="J1234" s="10">
        <v>36200</v>
      </c>
      <c r="K1234" s="10">
        <v>11320</v>
      </c>
      <c r="L1234" s="10">
        <v>24880</v>
      </c>
      <c r="M1234" s="10">
        <v>0</v>
      </c>
      <c r="N1234" s="11">
        <v>24880</v>
      </c>
      <c r="O1234" s="12">
        <v>920737203</v>
      </c>
      <c r="P1234" s="9">
        <v>285123</v>
      </c>
      <c r="Q1234" s="9" t="s">
        <v>37</v>
      </c>
      <c r="R1234" s="13">
        <v>45712</v>
      </c>
      <c r="S1234" s="22">
        <v>45712</v>
      </c>
      <c r="T1234" s="13">
        <v>45712</v>
      </c>
      <c r="U1234" s="13">
        <v>45712</v>
      </c>
      <c r="V1234" s="9" t="s">
        <v>47</v>
      </c>
      <c r="W1234" s="9">
        <v>22646303</v>
      </c>
      <c r="X1234" s="9">
        <v>3041018</v>
      </c>
      <c r="Y1234" s="9">
        <v>68950957</v>
      </c>
      <c r="Z1234" s="9" t="s">
        <v>39</v>
      </c>
      <c r="AA1234" s="9">
        <v>2032025</v>
      </c>
      <c r="AB1234" s="9">
        <v>77760</v>
      </c>
      <c r="AC1234" s="9" t="s">
        <v>41</v>
      </c>
      <c r="AD1234" s="9" t="s">
        <v>132</v>
      </c>
      <c r="AE1234" s="9" t="s">
        <v>133</v>
      </c>
      <c r="AF1234" s="9" t="s">
        <v>133</v>
      </c>
      <c r="AG1234" s="14" t="str">
        <f t="shared" si="40"/>
        <v>EXAMENES DE LABORATORIO</v>
      </c>
      <c r="AH1234" s="9" t="s">
        <v>758</v>
      </c>
      <c r="AI1234" s="9">
        <v>0</v>
      </c>
      <c r="AJ1234" s="9">
        <v>96530470</v>
      </c>
      <c r="AK1234" s="9">
        <v>3</v>
      </c>
      <c r="AL1234" s="26" t="s">
        <v>62</v>
      </c>
      <c r="AM1234" s="14" t="s">
        <v>683</v>
      </c>
      <c r="AN1234" s="27" t="str">
        <f t="shared" si="41"/>
        <v>9004627|96530470|920737203|920737203</v>
      </c>
      <c r="AO1234" t="s">
        <v>758</v>
      </c>
      <c r="AP1234" t="b">
        <v>1</v>
      </c>
      <c r="AQ1234" t="s">
        <v>764</v>
      </c>
    </row>
    <row r="1235" spans="1:43" x14ac:dyDescent="0.2">
      <c r="A1235" s="14" t="s">
        <v>500</v>
      </c>
      <c r="B1235" s="17">
        <v>9004627</v>
      </c>
      <c r="C1235" s="14" t="s">
        <v>393</v>
      </c>
      <c r="D1235" s="9">
        <v>9004627</v>
      </c>
      <c r="E1235" s="9" t="s">
        <v>393</v>
      </c>
      <c r="F1235" s="7">
        <v>45717</v>
      </c>
      <c r="G1235" s="20" t="s">
        <v>46</v>
      </c>
      <c r="H1235" s="8">
        <v>920737203</v>
      </c>
      <c r="I1235" s="19">
        <v>65383700</v>
      </c>
      <c r="J1235" s="10">
        <v>21607</v>
      </c>
      <c r="K1235" s="10">
        <v>0</v>
      </c>
      <c r="L1235" s="10">
        <v>21607</v>
      </c>
      <c r="M1235" s="10">
        <v>0</v>
      </c>
      <c r="N1235" s="11">
        <v>21607</v>
      </c>
      <c r="O1235" s="12">
        <v>920737203</v>
      </c>
      <c r="P1235" s="9">
        <v>285123</v>
      </c>
      <c r="Q1235" s="9" t="s">
        <v>37</v>
      </c>
      <c r="R1235" s="13">
        <v>45717</v>
      </c>
      <c r="S1235" s="22">
        <v>45742</v>
      </c>
      <c r="T1235" s="13">
        <v>45712</v>
      </c>
      <c r="U1235" s="13">
        <v>45712</v>
      </c>
      <c r="V1235" s="9" t="s">
        <v>47</v>
      </c>
      <c r="W1235" s="9">
        <v>22770695</v>
      </c>
      <c r="X1235" s="9">
        <v>3311105</v>
      </c>
      <c r="Y1235" s="9">
        <v>69250591</v>
      </c>
      <c r="Z1235" s="9" t="s">
        <v>39</v>
      </c>
      <c r="AA1235" s="9">
        <v>14076980</v>
      </c>
      <c r="AB1235" s="9">
        <v>78070</v>
      </c>
      <c r="AC1235" s="9" t="s">
        <v>41</v>
      </c>
      <c r="AD1235" s="9" t="s">
        <v>132</v>
      </c>
      <c r="AE1235" s="9" t="s">
        <v>133</v>
      </c>
      <c r="AF1235" s="9" t="s">
        <v>133</v>
      </c>
      <c r="AG1235" s="14" t="str">
        <f t="shared" si="40"/>
        <v>EXAMENES DE LABORATORIO</v>
      </c>
      <c r="AH1235" s="9">
        <v>0</v>
      </c>
      <c r="AI1235" s="9">
        <v>0</v>
      </c>
      <c r="AJ1235" s="9">
        <v>96530470</v>
      </c>
      <c r="AK1235" s="9">
        <v>3</v>
      </c>
      <c r="AL1235" s="26" t="s">
        <v>52</v>
      </c>
      <c r="AM1235" s="14" t="s">
        <v>683</v>
      </c>
      <c r="AN1235" s="27" t="str">
        <f t="shared" si="41"/>
        <v>9004627|96530470|920737203|65383700</v>
      </c>
      <c r="AO1235" t="s">
        <v>44</v>
      </c>
      <c r="AP1235" t="b">
        <v>0</v>
      </c>
      <c r="AQ1235" t="s">
        <v>763</v>
      </c>
    </row>
    <row r="1236" spans="1:43" x14ac:dyDescent="0.2">
      <c r="A1236" s="14" t="s">
        <v>500</v>
      </c>
      <c r="B1236" s="17">
        <v>9004627</v>
      </c>
      <c r="C1236" s="14" t="s">
        <v>393</v>
      </c>
      <c r="D1236" s="9">
        <v>9004627</v>
      </c>
      <c r="E1236" s="9" t="s">
        <v>393</v>
      </c>
      <c r="F1236" s="7">
        <v>45689</v>
      </c>
      <c r="G1236" s="20" t="s">
        <v>36</v>
      </c>
      <c r="H1236" s="8">
        <v>920737204</v>
      </c>
      <c r="I1236" s="19">
        <v>920737204</v>
      </c>
      <c r="J1236" s="10">
        <v>25650</v>
      </c>
      <c r="K1236" s="10">
        <v>8030</v>
      </c>
      <c r="L1236" s="10">
        <v>17620</v>
      </c>
      <c r="M1236" s="10">
        <v>0</v>
      </c>
      <c r="N1236" s="11">
        <v>17620</v>
      </c>
      <c r="O1236" s="12">
        <v>920737204</v>
      </c>
      <c r="P1236" s="9">
        <v>285123</v>
      </c>
      <c r="Q1236" s="9" t="s">
        <v>37</v>
      </c>
      <c r="R1236" s="13">
        <v>45712</v>
      </c>
      <c r="S1236" s="22">
        <v>45712</v>
      </c>
      <c r="T1236" s="13">
        <v>45712</v>
      </c>
      <c r="U1236" s="13">
        <v>45712</v>
      </c>
      <c r="V1236" s="9" t="s">
        <v>47</v>
      </c>
      <c r="W1236" s="9">
        <v>22646303</v>
      </c>
      <c r="X1236" s="9">
        <v>3041018</v>
      </c>
      <c r="Y1236" s="9">
        <v>68950956</v>
      </c>
      <c r="Z1236" s="9" t="s">
        <v>39</v>
      </c>
      <c r="AA1236" s="9">
        <v>2032025</v>
      </c>
      <c r="AB1236" s="9">
        <v>77760</v>
      </c>
      <c r="AC1236" s="9" t="s">
        <v>41</v>
      </c>
      <c r="AD1236" s="9" t="s">
        <v>132</v>
      </c>
      <c r="AE1236" s="9" t="s">
        <v>133</v>
      </c>
      <c r="AF1236" s="9" t="s">
        <v>133</v>
      </c>
      <c r="AG1236" s="14" t="str">
        <f t="shared" si="40"/>
        <v>EXAMENES DE LABORATORIO</v>
      </c>
      <c r="AH1236" s="9" t="s">
        <v>758</v>
      </c>
      <c r="AI1236" s="9">
        <v>0</v>
      </c>
      <c r="AJ1236" s="9">
        <v>96530470</v>
      </c>
      <c r="AK1236" s="9">
        <v>3</v>
      </c>
      <c r="AL1236" s="26" t="s">
        <v>62</v>
      </c>
      <c r="AM1236" s="14" t="s">
        <v>683</v>
      </c>
      <c r="AN1236" s="27" t="str">
        <f t="shared" si="41"/>
        <v>9004627|96530470|920737204|920737204</v>
      </c>
      <c r="AO1236" t="s">
        <v>758</v>
      </c>
      <c r="AP1236" t="b">
        <v>1</v>
      </c>
      <c r="AQ1236" t="s">
        <v>764</v>
      </c>
    </row>
    <row r="1237" spans="1:43" x14ac:dyDescent="0.2">
      <c r="A1237" s="14" t="s">
        <v>500</v>
      </c>
      <c r="B1237" s="17">
        <v>9004627</v>
      </c>
      <c r="C1237" s="14" t="s">
        <v>393</v>
      </c>
      <c r="D1237" s="9">
        <v>9004627</v>
      </c>
      <c r="E1237" s="9" t="s">
        <v>393</v>
      </c>
      <c r="F1237" s="7">
        <v>45717</v>
      </c>
      <c r="G1237" s="20" t="s">
        <v>46</v>
      </c>
      <c r="H1237" s="8">
        <v>920737204</v>
      </c>
      <c r="I1237" s="19">
        <v>65383701</v>
      </c>
      <c r="J1237" s="10">
        <v>15046</v>
      </c>
      <c r="K1237" s="10">
        <v>0</v>
      </c>
      <c r="L1237" s="10">
        <v>15046</v>
      </c>
      <c r="M1237" s="10">
        <v>0</v>
      </c>
      <c r="N1237" s="11">
        <v>15046</v>
      </c>
      <c r="O1237" s="12">
        <v>920737204</v>
      </c>
      <c r="P1237" s="9">
        <v>285123</v>
      </c>
      <c r="Q1237" s="9" t="s">
        <v>37</v>
      </c>
      <c r="R1237" s="13">
        <v>45717</v>
      </c>
      <c r="S1237" s="22">
        <v>45742</v>
      </c>
      <c r="T1237" s="13">
        <v>45712</v>
      </c>
      <c r="U1237" s="13">
        <v>45712</v>
      </c>
      <c r="V1237" s="9" t="s">
        <v>47</v>
      </c>
      <c r="W1237" s="9">
        <v>22770695</v>
      </c>
      <c r="X1237" s="9">
        <v>3311105</v>
      </c>
      <c r="Y1237" s="9">
        <v>69250592</v>
      </c>
      <c r="Z1237" s="9" t="s">
        <v>39</v>
      </c>
      <c r="AA1237" s="9">
        <v>14076980</v>
      </c>
      <c r="AB1237" s="9">
        <v>78070</v>
      </c>
      <c r="AC1237" s="9" t="s">
        <v>41</v>
      </c>
      <c r="AD1237" s="9" t="s">
        <v>132</v>
      </c>
      <c r="AE1237" s="9" t="s">
        <v>133</v>
      </c>
      <c r="AF1237" s="9" t="s">
        <v>133</v>
      </c>
      <c r="AG1237" s="14" t="str">
        <f t="shared" ref="AG1237:AG1300" si="42">+AF1237</f>
        <v>EXAMENES DE LABORATORIO</v>
      </c>
      <c r="AH1237" s="9">
        <v>0</v>
      </c>
      <c r="AI1237" s="9">
        <v>0</v>
      </c>
      <c r="AJ1237" s="9">
        <v>96530470</v>
      </c>
      <c r="AK1237" s="9">
        <v>3</v>
      </c>
      <c r="AL1237" s="26" t="s">
        <v>52</v>
      </c>
      <c r="AM1237" s="14" t="s">
        <v>683</v>
      </c>
      <c r="AN1237" s="27" t="str">
        <f t="shared" si="41"/>
        <v>9004627|96530470|920737204|65383701</v>
      </c>
      <c r="AO1237" t="s">
        <v>44</v>
      </c>
      <c r="AP1237" t="b">
        <v>0</v>
      </c>
      <c r="AQ1237" t="s">
        <v>763</v>
      </c>
    </row>
    <row r="1238" spans="1:43" x14ac:dyDescent="0.2">
      <c r="A1238" s="14" t="s">
        <v>500</v>
      </c>
      <c r="B1238" s="17">
        <v>18545062</v>
      </c>
      <c r="C1238" s="14" t="s">
        <v>434</v>
      </c>
      <c r="D1238" s="9">
        <v>18545062</v>
      </c>
      <c r="E1238" s="9" t="s">
        <v>434</v>
      </c>
      <c r="F1238" s="7">
        <v>45689</v>
      </c>
      <c r="G1238" s="20" t="s">
        <v>36</v>
      </c>
      <c r="H1238" s="8">
        <v>920786835</v>
      </c>
      <c r="I1238" s="19">
        <v>920786835</v>
      </c>
      <c r="J1238" s="10">
        <v>23560</v>
      </c>
      <c r="K1238" s="10">
        <v>11780</v>
      </c>
      <c r="L1238" s="10">
        <v>11780</v>
      </c>
      <c r="M1238" s="10">
        <v>0</v>
      </c>
      <c r="N1238" s="11">
        <v>11780</v>
      </c>
      <c r="O1238" s="12">
        <v>920786835</v>
      </c>
      <c r="P1238" s="9">
        <v>285123</v>
      </c>
      <c r="Q1238" s="9" t="s">
        <v>37</v>
      </c>
      <c r="R1238" s="13">
        <v>45712</v>
      </c>
      <c r="S1238" s="22">
        <v>45712</v>
      </c>
      <c r="T1238" s="13">
        <v>45712</v>
      </c>
      <c r="U1238" s="13">
        <v>45712</v>
      </c>
      <c r="V1238" s="9" t="s">
        <v>47</v>
      </c>
      <c r="W1238" s="9">
        <v>22646337</v>
      </c>
      <c r="X1238" s="9">
        <v>3041018</v>
      </c>
      <c r="Y1238" s="9">
        <v>68951208</v>
      </c>
      <c r="Z1238" s="9" t="s">
        <v>39</v>
      </c>
      <c r="AA1238" s="9">
        <v>2032025</v>
      </c>
      <c r="AB1238" s="9">
        <v>77760</v>
      </c>
      <c r="AC1238" s="9" t="s">
        <v>41</v>
      </c>
      <c r="AD1238" s="9" t="s">
        <v>65</v>
      </c>
      <c r="AE1238" s="9" t="s">
        <v>66</v>
      </c>
      <c r="AF1238" s="9" t="s">
        <v>66</v>
      </c>
      <c r="AG1238" s="14" t="str">
        <f t="shared" si="42"/>
        <v>PROCEDIMIENTOS TERAPEUTICOS</v>
      </c>
      <c r="AH1238" s="9" t="s">
        <v>758</v>
      </c>
      <c r="AI1238" s="9">
        <v>0</v>
      </c>
      <c r="AJ1238" s="9">
        <v>76089550</v>
      </c>
      <c r="AK1238" s="9">
        <v>4</v>
      </c>
      <c r="AL1238" s="26" t="s">
        <v>62</v>
      </c>
      <c r="AM1238" s="14" t="s">
        <v>712</v>
      </c>
      <c r="AN1238" s="27" t="str">
        <f t="shared" si="41"/>
        <v>18545062|76089550|920786835|920786835</v>
      </c>
      <c r="AO1238" t="s">
        <v>758</v>
      </c>
      <c r="AP1238" t="b">
        <v>1</v>
      </c>
      <c r="AQ1238" t="s">
        <v>764</v>
      </c>
    </row>
    <row r="1239" spans="1:43" x14ac:dyDescent="0.2">
      <c r="A1239" s="14" t="s">
        <v>500</v>
      </c>
      <c r="B1239" s="17">
        <v>18545062</v>
      </c>
      <c r="C1239" s="14" t="s">
        <v>434</v>
      </c>
      <c r="D1239" s="9">
        <v>18545062</v>
      </c>
      <c r="E1239" s="9" t="s">
        <v>434</v>
      </c>
      <c r="F1239" s="7">
        <v>45717</v>
      </c>
      <c r="G1239" s="20" t="s">
        <v>46</v>
      </c>
      <c r="H1239" s="8">
        <v>920786835</v>
      </c>
      <c r="I1239" s="19">
        <v>65384459</v>
      </c>
      <c r="J1239" s="10">
        <v>11962</v>
      </c>
      <c r="K1239" s="10">
        <v>0</v>
      </c>
      <c r="L1239" s="10">
        <v>11962</v>
      </c>
      <c r="M1239" s="10">
        <v>0</v>
      </c>
      <c r="N1239" s="11">
        <v>11962</v>
      </c>
      <c r="O1239" s="12">
        <v>920786835</v>
      </c>
      <c r="P1239" s="9">
        <v>285123</v>
      </c>
      <c r="Q1239" s="9" t="s">
        <v>37</v>
      </c>
      <c r="R1239" s="13">
        <v>45717</v>
      </c>
      <c r="S1239" s="22">
        <v>45742</v>
      </c>
      <c r="T1239" s="13">
        <v>45712</v>
      </c>
      <c r="U1239" s="13">
        <v>45712</v>
      </c>
      <c r="V1239" s="9" t="s">
        <v>47</v>
      </c>
      <c r="W1239" s="9">
        <v>22770705</v>
      </c>
      <c r="X1239" s="9">
        <v>3311105</v>
      </c>
      <c r="Y1239" s="9">
        <v>69251325</v>
      </c>
      <c r="Z1239" s="9" t="s">
        <v>39</v>
      </c>
      <c r="AA1239" s="9">
        <v>8010801903</v>
      </c>
      <c r="AB1239" s="9">
        <v>78070</v>
      </c>
      <c r="AC1239" s="9" t="s">
        <v>41</v>
      </c>
      <c r="AD1239" s="9" t="s">
        <v>65</v>
      </c>
      <c r="AE1239" s="9" t="s">
        <v>66</v>
      </c>
      <c r="AF1239" s="9" t="s">
        <v>66</v>
      </c>
      <c r="AG1239" s="14" t="str">
        <f t="shared" si="42"/>
        <v>PROCEDIMIENTOS TERAPEUTICOS</v>
      </c>
      <c r="AH1239" s="9">
        <v>0</v>
      </c>
      <c r="AI1239" s="9">
        <v>0</v>
      </c>
      <c r="AJ1239" s="9">
        <v>76089550</v>
      </c>
      <c r="AK1239" s="9">
        <v>4</v>
      </c>
      <c r="AL1239" s="26" t="s">
        <v>52</v>
      </c>
      <c r="AM1239" s="14" t="s">
        <v>712</v>
      </c>
      <c r="AN1239" s="27" t="str">
        <f t="shared" si="41"/>
        <v>18545062|76089550|920786835|65384459</v>
      </c>
      <c r="AO1239" t="s">
        <v>44</v>
      </c>
      <c r="AP1239" t="b">
        <v>0</v>
      </c>
      <c r="AQ1239" t="s">
        <v>763</v>
      </c>
    </row>
    <row r="1240" spans="1:43" x14ac:dyDescent="0.2">
      <c r="A1240" s="14" t="s">
        <v>500</v>
      </c>
      <c r="B1240" s="17">
        <v>9004627</v>
      </c>
      <c r="C1240" s="14" t="s">
        <v>393</v>
      </c>
      <c r="D1240" s="9">
        <v>9004627</v>
      </c>
      <c r="E1240" s="9" t="s">
        <v>393</v>
      </c>
      <c r="F1240" s="7">
        <v>45689</v>
      </c>
      <c r="G1240" s="20" t="s">
        <v>36</v>
      </c>
      <c r="H1240" s="8">
        <v>920822944</v>
      </c>
      <c r="I1240" s="19">
        <v>920822944</v>
      </c>
      <c r="J1240" s="10">
        <v>18400</v>
      </c>
      <c r="K1240" s="10">
        <v>5760</v>
      </c>
      <c r="L1240" s="10">
        <v>12640</v>
      </c>
      <c r="M1240" s="10">
        <v>0</v>
      </c>
      <c r="N1240" s="11">
        <v>12640</v>
      </c>
      <c r="O1240" s="12">
        <v>920822944</v>
      </c>
      <c r="P1240" s="9">
        <v>285123</v>
      </c>
      <c r="Q1240" s="9" t="s">
        <v>37</v>
      </c>
      <c r="R1240" s="13">
        <v>45713</v>
      </c>
      <c r="S1240" s="22">
        <v>45713</v>
      </c>
      <c r="T1240" s="13">
        <v>45713</v>
      </c>
      <c r="U1240" s="13">
        <v>45713</v>
      </c>
      <c r="V1240" s="9" t="s">
        <v>47</v>
      </c>
      <c r="W1240" s="9">
        <v>22646347</v>
      </c>
      <c r="X1240" s="9">
        <v>3041018</v>
      </c>
      <c r="Y1240" s="9">
        <v>68951421</v>
      </c>
      <c r="Z1240" s="9" t="s">
        <v>39</v>
      </c>
      <c r="AA1240" s="9">
        <v>2032025</v>
      </c>
      <c r="AB1240" s="9">
        <v>77760</v>
      </c>
      <c r="AC1240" s="9" t="s">
        <v>41</v>
      </c>
      <c r="AD1240" s="9" t="s">
        <v>132</v>
      </c>
      <c r="AE1240" s="9" t="s">
        <v>133</v>
      </c>
      <c r="AF1240" s="9" t="s">
        <v>133</v>
      </c>
      <c r="AG1240" s="14" t="str">
        <f t="shared" si="42"/>
        <v>EXAMENES DE LABORATORIO</v>
      </c>
      <c r="AH1240" s="9" t="s">
        <v>758</v>
      </c>
      <c r="AI1240" s="9">
        <v>0</v>
      </c>
      <c r="AJ1240" s="9">
        <v>96530470</v>
      </c>
      <c r="AK1240" s="9">
        <v>3</v>
      </c>
      <c r="AL1240" s="26" t="s">
        <v>62</v>
      </c>
      <c r="AM1240" s="14" t="s">
        <v>683</v>
      </c>
      <c r="AN1240" s="27" t="str">
        <f t="shared" si="41"/>
        <v>9004627|96530470|920822944|920822944</v>
      </c>
      <c r="AO1240" t="s">
        <v>758</v>
      </c>
      <c r="AP1240" t="b">
        <v>1</v>
      </c>
      <c r="AQ1240" t="s">
        <v>764</v>
      </c>
    </row>
    <row r="1241" spans="1:43" x14ac:dyDescent="0.2">
      <c r="A1241" s="14" t="s">
        <v>500</v>
      </c>
      <c r="B1241" s="17">
        <v>9004627</v>
      </c>
      <c r="C1241" s="14" t="s">
        <v>393</v>
      </c>
      <c r="D1241" s="9">
        <v>9004627</v>
      </c>
      <c r="E1241" s="9" t="s">
        <v>393</v>
      </c>
      <c r="F1241" s="7">
        <v>45717</v>
      </c>
      <c r="G1241" s="20" t="s">
        <v>46</v>
      </c>
      <c r="H1241" s="8">
        <v>920822944</v>
      </c>
      <c r="I1241" s="19">
        <v>65383702</v>
      </c>
      <c r="J1241" s="10">
        <v>10808</v>
      </c>
      <c r="K1241" s="10">
        <v>0</v>
      </c>
      <c r="L1241" s="10">
        <v>10808</v>
      </c>
      <c r="M1241" s="10">
        <v>0</v>
      </c>
      <c r="N1241" s="11">
        <v>10808</v>
      </c>
      <c r="O1241" s="12">
        <v>920822944</v>
      </c>
      <c r="P1241" s="9">
        <v>285123</v>
      </c>
      <c r="Q1241" s="9" t="s">
        <v>37</v>
      </c>
      <c r="R1241" s="13">
        <v>45717</v>
      </c>
      <c r="S1241" s="22">
        <v>45742</v>
      </c>
      <c r="T1241" s="13">
        <v>45713</v>
      </c>
      <c r="U1241" s="13">
        <v>45713</v>
      </c>
      <c r="V1241" s="9" t="s">
        <v>47</v>
      </c>
      <c r="W1241" s="9">
        <v>22770710</v>
      </c>
      <c r="X1241" s="9">
        <v>3311105</v>
      </c>
      <c r="Y1241" s="9">
        <v>69250593</v>
      </c>
      <c r="Z1241" s="9" t="s">
        <v>39</v>
      </c>
      <c r="AA1241" s="9">
        <v>14076980</v>
      </c>
      <c r="AB1241" s="9">
        <v>78070</v>
      </c>
      <c r="AC1241" s="9" t="s">
        <v>41</v>
      </c>
      <c r="AD1241" s="9" t="s">
        <v>132</v>
      </c>
      <c r="AE1241" s="9" t="s">
        <v>133</v>
      </c>
      <c r="AF1241" s="9" t="s">
        <v>133</v>
      </c>
      <c r="AG1241" s="14" t="str">
        <f t="shared" si="42"/>
        <v>EXAMENES DE LABORATORIO</v>
      </c>
      <c r="AH1241" s="9">
        <v>0</v>
      </c>
      <c r="AI1241" s="9">
        <v>0</v>
      </c>
      <c r="AJ1241" s="9">
        <v>96530470</v>
      </c>
      <c r="AK1241" s="9">
        <v>3</v>
      </c>
      <c r="AL1241" s="26" t="s">
        <v>52</v>
      </c>
      <c r="AM1241" s="14" t="s">
        <v>683</v>
      </c>
      <c r="AN1241" s="27" t="str">
        <f t="shared" si="41"/>
        <v>9004627|96530470|920822944|65383702</v>
      </c>
      <c r="AO1241" t="s">
        <v>44</v>
      </c>
      <c r="AP1241" t="b">
        <v>0</v>
      </c>
      <c r="AQ1241" t="s">
        <v>763</v>
      </c>
    </row>
    <row r="1242" spans="1:43" x14ac:dyDescent="0.2">
      <c r="A1242" s="14" t="s">
        <v>500</v>
      </c>
      <c r="B1242" s="17">
        <v>8090641</v>
      </c>
      <c r="C1242" s="14" t="s">
        <v>181</v>
      </c>
      <c r="D1242" s="9">
        <v>8090641</v>
      </c>
      <c r="E1242" s="9" t="s">
        <v>181</v>
      </c>
      <c r="F1242" s="7">
        <v>45689</v>
      </c>
      <c r="G1242" s="20" t="s">
        <v>36</v>
      </c>
      <c r="H1242" s="8">
        <v>920826914</v>
      </c>
      <c r="I1242" s="19">
        <v>920826914</v>
      </c>
      <c r="J1242" s="10">
        <v>35330</v>
      </c>
      <c r="K1242" s="10">
        <v>26500</v>
      </c>
      <c r="L1242" s="10">
        <v>8830</v>
      </c>
      <c r="M1242" s="10">
        <v>0</v>
      </c>
      <c r="N1242" s="11">
        <v>8830</v>
      </c>
      <c r="O1242" s="12">
        <v>920826914</v>
      </c>
      <c r="P1242" s="9">
        <v>285123</v>
      </c>
      <c r="Q1242" s="9" t="s">
        <v>37</v>
      </c>
      <c r="R1242" s="13">
        <v>45713</v>
      </c>
      <c r="S1242" s="22">
        <v>45713</v>
      </c>
      <c r="T1242" s="13">
        <v>45713</v>
      </c>
      <c r="U1242" s="13">
        <v>45713</v>
      </c>
      <c r="V1242" s="9" t="s">
        <v>47</v>
      </c>
      <c r="W1242" s="9">
        <v>22646344</v>
      </c>
      <c r="X1242" s="9">
        <v>3041018</v>
      </c>
      <c r="Y1242" s="9">
        <v>68951462</v>
      </c>
      <c r="Z1242" s="9" t="s">
        <v>39</v>
      </c>
      <c r="AA1242" s="9">
        <v>2032025</v>
      </c>
      <c r="AB1242" s="9">
        <v>77760</v>
      </c>
      <c r="AC1242" s="9" t="s">
        <v>41</v>
      </c>
      <c r="AD1242" s="9" t="s">
        <v>132</v>
      </c>
      <c r="AE1242" s="9" t="s">
        <v>133</v>
      </c>
      <c r="AF1242" s="9" t="s">
        <v>133</v>
      </c>
      <c r="AG1242" s="14" t="str">
        <f t="shared" si="42"/>
        <v>EXAMENES DE LABORATORIO</v>
      </c>
      <c r="AH1242" s="9" t="s">
        <v>758</v>
      </c>
      <c r="AI1242" s="9">
        <v>0</v>
      </c>
      <c r="AJ1242" s="9">
        <v>77687110</v>
      </c>
      <c r="AK1242" s="9">
        <v>9</v>
      </c>
      <c r="AL1242" s="26" t="s">
        <v>62</v>
      </c>
      <c r="AM1242" s="14" t="s">
        <v>534</v>
      </c>
      <c r="AN1242" s="27" t="str">
        <f t="shared" si="41"/>
        <v>8090641|77687110|920826914|920826914</v>
      </c>
      <c r="AO1242" t="s">
        <v>758</v>
      </c>
      <c r="AP1242" t="b">
        <v>1</v>
      </c>
      <c r="AQ1242" t="s">
        <v>764</v>
      </c>
    </row>
    <row r="1243" spans="1:43" x14ac:dyDescent="0.2">
      <c r="A1243" s="14" t="s">
        <v>500</v>
      </c>
      <c r="B1243" s="17">
        <v>8090641</v>
      </c>
      <c r="C1243" s="14" t="s">
        <v>181</v>
      </c>
      <c r="D1243" s="9">
        <v>8090641</v>
      </c>
      <c r="E1243" s="9" t="s">
        <v>181</v>
      </c>
      <c r="F1243" s="7">
        <v>45717</v>
      </c>
      <c r="G1243" s="20" t="s">
        <v>46</v>
      </c>
      <c r="H1243" s="8">
        <v>920826914</v>
      </c>
      <c r="I1243" s="19">
        <v>65383639</v>
      </c>
      <c r="J1243" s="10">
        <v>8878</v>
      </c>
      <c r="K1243" s="10">
        <v>0</v>
      </c>
      <c r="L1243" s="10">
        <v>8878</v>
      </c>
      <c r="M1243" s="10">
        <v>0</v>
      </c>
      <c r="N1243" s="11">
        <v>8878</v>
      </c>
      <c r="O1243" s="12">
        <v>920826914</v>
      </c>
      <c r="P1243" s="9">
        <v>285123</v>
      </c>
      <c r="Q1243" s="9" t="s">
        <v>37</v>
      </c>
      <c r="R1243" s="13">
        <v>45717</v>
      </c>
      <c r="S1243" s="22">
        <v>45742</v>
      </c>
      <c r="T1243" s="13">
        <v>45713</v>
      </c>
      <c r="U1243" s="13">
        <v>45713</v>
      </c>
      <c r="V1243" s="9" t="s">
        <v>47</v>
      </c>
      <c r="W1243" s="9">
        <v>22770707</v>
      </c>
      <c r="X1243" s="9">
        <v>3311105</v>
      </c>
      <c r="Y1243" s="9">
        <v>69250530</v>
      </c>
      <c r="Z1243" s="9" t="s">
        <v>39</v>
      </c>
      <c r="AA1243" s="9">
        <v>1850449800</v>
      </c>
      <c r="AB1243" s="9">
        <v>78070</v>
      </c>
      <c r="AC1243" s="9" t="s">
        <v>41</v>
      </c>
      <c r="AD1243" s="9" t="s">
        <v>132</v>
      </c>
      <c r="AE1243" s="9" t="s">
        <v>133</v>
      </c>
      <c r="AF1243" s="9" t="s">
        <v>133</v>
      </c>
      <c r="AG1243" s="14" t="str">
        <f t="shared" si="42"/>
        <v>EXAMENES DE LABORATORIO</v>
      </c>
      <c r="AH1243" s="9">
        <v>0</v>
      </c>
      <c r="AI1243" s="9">
        <v>0</v>
      </c>
      <c r="AJ1243" s="9">
        <v>77687110</v>
      </c>
      <c r="AK1243" s="9">
        <v>9</v>
      </c>
      <c r="AL1243" s="26" t="s">
        <v>52</v>
      </c>
      <c r="AM1243" s="14" t="s">
        <v>534</v>
      </c>
      <c r="AN1243" s="27" t="str">
        <f t="shared" si="41"/>
        <v>8090641|77687110|920826914|65383639</v>
      </c>
      <c r="AO1243" t="s">
        <v>44</v>
      </c>
      <c r="AP1243" t="b">
        <v>0</v>
      </c>
      <c r="AQ1243" t="s">
        <v>763</v>
      </c>
    </row>
    <row r="1244" spans="1:43" x14ac:dyDescent="0.2">
      <c r="A1244" s="14" t="s">
        <v>500</v>
      </c>
      <c r="B1244" s="17">
        <v>15400638</v>
      </c>
      <c r="C1244" s="14" t="s">
        <v>119</v>
      </c>
      <c r="D1244" s="9">
        <v>15400638</v>
      </c>
      <c r="E1244" s="9" t="s">
        <v>119</v>
      </c>
      <c r="F1244" s="7">
        <v>45689</v>
      </c>
      <c r="G1244" s="20" t="s">
        <v>36</v>
      </c>
      <c r="H1244" s="8">
        <v>920840611</v>
      </c>
      <c r="I1244" s="19">
        <v>920840611</v>
      </c>
      <c r="J1244" s="10">
        <v>31320</v>
      </c>
      <c r="K1244" s="10">
        <v>9790</v>
      </c>
      <c r="L1244" s="10">
        <v>21530</v>
      </c>
      <c r="M1244" s="10">
        <v>0</v>
      </c>
      <c r="N1244" s="11">
        <v>21530</v>
      </c>
      <c r="O1244" s="12">
        <v>920840611</v>
      </c>
      <c r="P1244" s="9">
        <v>285123</v>
      </c>
      <c r="Q1244" s="9" t="s">
        <v>37</v>
      </c>
      <c r="R1244" s="13">
        <v>45713</v>
      </c>
      <c r="S1244" s="22">
        <v>45713</v>
      </c>
      <c r="T1244" s="13">
        <v>45713</v>
      </c>
      <c r="U1244" s="13">
        <v>45713</v>
      </c>
      <c r="V1244" s="9" t="s">
        <v>47</v>
      </c>
      <c r="W1244" s="9">
        <v>22646367</v>
      </c>
      <c r="X1244" s="9">
        <v>3041018</v>
      </c>
      <c r="Y1244" s="9">
        <v>68951538</v>
      </c>
      <c r="Z1244" s="9" t="s">
        <v>39</v>
      </c>
      <c r="AA1244" s="9">
        <v>2032025</v>
      </c>
      <c r="AB1244" s="9">
        <v>77760</v>
      </c>
      <c r="AC1244" s="9" t="s">
        <v>41</v>
      </c>
      <c r="AD1244" s="9" t="s">
        <v>132</v>
      </c>
      <c r="AE1244" s="9" t="s">
        <v>133</v>
      </c>
      <c r="AF1244" s="9" t="s">
        <v>133</v>
      </c>
      <c r="AG1244" s="14" t="str">
        <f t="shared" si="42"/>
        <v>EXAMENES DE LABORATORIO</v>
      </c>
      <c r="AH1244" s="9" t="s">
        <v>758</v>
      </c>
      <c r="AI1244" s="9">
        <v>0</v>
      </c>
      <c r="AJ1244" s="9">
        <v>96942400</v>
      </c>
      <c r="AK1244" s="9">
        <v>2</v>
      </c>
      <c r="AL1244" s="26" t="s">
        <v>62</v>
      </c>
      <c r="AM1244" s="14" t="s">
        <v>518</v>
      </c>
      <c r="AN1244" s="27" t="str">
        <f t="shared" si="41"/>
        <v>15400638|96942400|920840611|920840611</v>
      </c>
      <c r="AO1244" t="s">
        <v>758</v>
      </c>
      <c r="AP1244" t="b">
        <v>1</v>
      </c>
      <c r="AQ1244" t="s">
        <v>764</v>
      </c>
    </row>
    <row r="1245" spans="1:43" x14ac:dyDescent="0.2">
      <c r="A1245" s="14" t="s">
        <v>500</v>
      </c>
      <c r="B1245" s="17">
        <v>15400638</v>
      </c>
      <c r="C1245" s="14" t="s">
        <v>119</v>
      </c>
      <c r="D1245" s="9">
        <v>15400638</v>
      </c>
      <c r="E1245" s="9" t="s">
        <v>119</v>
      </c>
      <c r="F1245" s="7">
        <v>45717</v>
      </c>
      <c r="G1245" s="20" t="s">
        <v>46</v>
      </c>
      <c r="H1245" s="8">
        <v>920840611</v>
      </c>
      <c r="I1245" s="19">
        <v>65384278</v>
      </c>
      <c r="J1245" s="10">
        <v>18142</v>
      </c>
      <c r="K1245" s="10">
        <v>0</v>
      </c>
      <c r="L1245" s="10">
        <v>18142</v>
      </c>
      <c r="M1245" s="10">
        <v>0</v>
      </c>
      <c r="N1245" s="11">
        <v>18142</v>
      </c>
      <c r="O1245" s="12">
        <v>920840611</v>
      </c>
      <c r="P1245" s="9">
        <v>285123</v>
      </c>
      <c r="Q1245" s="9" t="s">
        <v>37</v>
      </c>
      <c r="R1245" s="13">
        <v>45717</v>
      </c>
      <c r="S1245" s="22">
        <v>45742</v>
      </c>
      <c r="T1245" s="13">
        <v>45713</v>
      </c>
      <c r="U1245" s="13">
        <v>45713</v>
      </c>
      <c r="V1245" s="9" t="s">
        <v>47</v>
      </c>
      <c r="W1245" s="9">
        <v>22770718</v>
      </c>
      <c r="X1245" s="9">
        <v>3311105</v>
      </c>
      <c r="Y1245" s="9">
        <v>69251161</v>
      </c>
      <c r="Z1245" s="9" t="s">
        <v>39</v>
      </c>
      <c r="AA1245" s="9">
        <v>1693122302</v>
      </c>
      <c r="AB1245" s="9">
        <v>78070</v>
      </c>
      <c r="AC1245" s="9" t="s">
        <v>41</v>
      </c>
      <c r="AD1245" s="9" t="s">
        <v>132</v>
      </c>
      <c r="AE1245" s="9" t="s">
        <v>133</v>
      </c>
      <c r="AF1245" s="9" t="s">
        <v>133</v>
      </c>
      <c r="AG1245" s="14" t="str">
        <f t="shared" si="42"/>
        <v>EXAMENES DE LABORATORIO</v>
      </c>
      <c r="AH1245" s="9">
        <v>0</v>
      </c>
      <c r="AI1245" s="9">
        <v>0</v>
      </c>
      <c r="AJ1245" s="9">
        <v>96942400</v>
      </c>
      <c r="AK1245" s="9">
        <v>2</v>
      </c>
      <c r="AL1245" s="26" t="s">
        <v>52</v>
      </c>
      <c r="AM1245" s="14" t="s">
        <v>518</v>
      </c>
      <c r="AN1245" s="27" t="str">
        <f t="shared" si="41"/>
        <v>15400638|96942400|920840611|65384278</v>
      </c>
      <c r="AO1245" t="s">
        <v>44</v>
      </c>
      <c r="AP1245" t="b">
        <v>0</v>
      </c>
      <c r="AQ1245" t="s">
        <v>763</v>
      </c>
    </row>
    <row r="1246" spans="1:43" x14ac:dyDescent="0.2">
      <c r="A1246" s="14" t="s">
        <v>500</v>
      </c>
      <c r="B1246" s="17">
        <v>15400638</v>
      </c>
      <c r="C1246" s="14" t="s">
        <v>119</v>
      </c>
      <c r="D1246" s="9">
        <v>15400638</v>
      </c>
      <c r="E1246" s="9" t="s">
        <v>119</v>
      </c>
      <c r="F1246" s="7">
        <v>45689</v>
      </c>
      <c r="G1246" s="20" t="s">
        <v>36</v>
      </c>
      <c r="H1246" s="8">
        <v>920840612</v>
      </c>
      <c r="I1246" s="19">
        <v>920840612</v>
      </c>
      <c r="J1246" s="10">
        <v>35730</v>
      </c>
      <c r="K1246" s="10">
        <v>11180</v>
      </c>
      <c r="L1246" s="10">
        <v>24550</v>
      </c>
      <c r="M1246" s="10">
        <v>0</v>
      </c>
      <c r="N1246" s="11">
        <v>24550</v>
      </c>
      <c r="O1246" s="12">
        <v>920840612</v>
      </c>
      <c r="P1246" s="9">
        <v>285123</v>
      </c>
      <c r="Q1246" s="9" t="s">
        <v>37</v>
      </c>
      <c r="R1246" s="13">
        <v>45713</v>
      </c>
      <c r="S1246" s="22">
        <v>45713</v>
      </c>
      <c r="T1246" s="13">
        <v>45713</v>
      </c>
      <c r="U1246" s="13">
        <v>45713</v>
      </c>
      <c r="V1246" s="9" t="s">
        <v>47</v>
      </c>
      <c r="W1246" s="9">
        <v>22646367</v>
      </c>
      <c r="X1246" s="9">
        <v>3041018</v>
      </c>
      <c r="Y1246" s="9">
        <v>68951537</v>
      </c>
      <c r="Z1246" s="9" t="s">
        <v>39</v>
      </c>
      <c r="AA1246" s="9">
        <v>2032025</v>
      </c>
      <c r="AB1246" s="9">
        <v>77760</v>
      </c>
      <c r="AC1246" s="9" t="s">
        <v>41</v>
      </c>
      <c r="AD1246" s="9" t="s">
        <v>132</v>
      </c>
      <c r="AE1246" s="9" t="s">
        <v>133</v>
      </c>
      <c r="AF1246" s="9" t="s">
        <v>133</v>
      </c>
      <c r="AG1246" s="14" t="str">
        <f t="shared" si="42"/>
        <v>EXAMENES DE LABORATORIO</v>
      </c>
      <c r="AH1246" s="9" t="s">
        <v>758</v>
      </c>
      <c r="AI1246" s="9">
        <v>0</v>
      </c>
      <c r="AJ1246" s="9">
        <v>96942400</v>
      </c>
      <c r="AK1246" s="9">
        <v>2</v>
      </c>
      <c r="AL1246" s="26" t="s">
        <v>62</v>
      </c>
      <c r="AM1246" s="14" t="s">
        <v>518</v>
      </c>
      <c r="AN1246" s="27" t="str">
        <f t="shared" si="41"/>
        <v>15400638|96942400|920840612|920840612</v>
      </c>
      <c r="AO1246" t="s">
        <v>758</v>
      </c>
      <c r="AP1246" t="b">
        <v>1</v>
      </c>
      <c r="AQ1246" t="s">
        <v>764</v>
      </c>
    </row>
    <row r="1247" spans="1:43" x14ac:dyDescent="0.2">
      <c r="A1247" s="14" t="s">
        <v>500</v>
      </c>
      <c r="B1247" s="17">
        <v>15400638</v>
      </c>
      <c r="C1247" s="14" t="s">
        <v>119</v>
      </c>
      <c r="D1247" s="9">
        <v>15400638</v>
      </c>
      <c r="E1247" s="9" t="s">
        <v>119</v>
      </c>
      <c r="F1247" s="7">
        <v>45717</v>
      </c>
      <c r="G1247" s="20" t="s">
        <v>46</v>
      </c>
      <c r="H1247" s="8">
        <v>920840612</v>
      </c>
      <c r="I1247" s="19">
        <v>65384279</v>
      </c>
      <c r="J1247" s="10">
        <v>21230</v>
      </c>
      <c r="K1247" s="10">
        <v>0</v>
      </c>
      <c r="L1247" s="10">
        <v>21230</v>
      </c>
      <c r="M1247" s="10">
        <v>0</v>
      </c>
      <c r="N1247" s="11">
        <v>21230</v>
      </c>
      <c r="O1247" s="12">
        <v>920840612</v>
      </c>
      <c r="P1247" s="9">
        <v>285123</v>
      </c>
      <c r="Q1247" s="9" t="s">
        <v>37</v>
      </c>
      <c r="R1247" s="13">
        <v>45717</v>
      </c>
      <c r="S1247" s="22">
        <v>45742</v>
      </c>
      <c r="T1247" s="13">
        <v>45713</v>
      </c>
      <c r="U1247" s="13">
        <v>45713</v>
      </c>
      <c r="V1247" s="9" t="s">
        <v>47</v>
      </c>
      <c r="W1247" s="9">
        <v>22770718</v>
      </c>
      <c r="X1247" s="9">
        <v>3311105</v>
      </c>
      <c r="Y1247" s="9">
        <v>69251162</v>
      </c>
      <c r="Z1247" s="9" t="s">
        <v>39</v>
      </c>
      <c r="AA1247" s="9">
        <v>1693122302</v>
      </c>
      <c r="AB1247" s="9">
        <v>78070</v>
      </c>
      <c r="AC1247" s="9" t="s">
        <v>41</v>
      </c>
      <c r="AD1247" s="9" t="s">
        <v>132</v>
      </c>
      <c r="AE1247" s="9" t="s">
        <v>133</v>
      </c>
      <c r="AF1247" s="9" t="s">
        <v>133</v>
      </c>
      <c r="AG1247" s="14" t="str">
        <f t="shared" si="42"/>
        <v>EXAMENES DE LABORATORIO</v>
      </c>
      <c r="AH1247" s="9">
        <v>0</v>
      </c>
      <c r="AI1247" s="9">
        <v>0</v>
      </c>
      <c r="AJ1247" s="9">
        <v>96942400</v>
      </c>
      <c r="AK1247" s="9">
        <v>2</v>
      </c>
      <c r="AL1247" s="26" t="s">
        <v>52</v>
      </c>
      <c r="AM1247" s="14" t="s">
        <v>518</v>
      </c>
      <c r="AN1247" s="27" t="str">
        <f t="shared" si="41"/>
        <v>15400638|96942400|920840612|65384279</v>
      </c>
      <c r="AO1247" t="s">
        <v>44</v>
      </c>
      <c r="AP1247" t="b">
        <v>0</v>
      </c>
      <c r="AQ1247" t="s">
        <v>763</v>
      </c>
    </row>
    <row r="1248" spans="1:43" x14ac:dyDescent="0.2">
      <c r="A1248" s="14" t="s">
        <v>500</v>
      </c>
      <c r="B1248" s="17">
        <v>15400638</v>
      </c>
      <c r="C1248" s="14" t="s">
        <v>119</v>
      </c>
      <c r="D1248" s="9">
        <v>15400638</v>
      </c>
      <c r="E1248" s="9" t="s">
        <v>119</v>
      </c>
      <c r="F1248" s="7">
        <v>45689</v>
      </c>
      <c r="G1248" s="20" t="s">
        <v>36</v>
      </c>
      <c r="H1248" s="8">
        <v>920840613</v>
      </c>
      <c r="I1248" s="19">
        <v>920840613</v>
      </c>
      <c r="J1248" s="10">
        <v>39180</v>
      </c>
      <c r="K1248" s="10">
        <v>12250</v>
      </c>
      <c r="L1248" s="10">
        <v>26930</v>
      </c>
      <c r="M1248" s="10">
        <v>0</v>
      </c>
      <c r="N1248" s="11">
        <v>26930</v>
      </c>
      <c r="O1248" s="12">
        <v>920840613</v>
      </c>
      <c r="P1248" s="9">
        <v>285123</v>
      </c>
      <c r="Q1248" s="9" t="s">
        <v>37</v>
      </c>
      <c r="R1248" s="13">
        <v>45713</v>
      </c>
      <c r="S1248" s="22">
        <v>45713</v>
      </c>
      <c r="T1248" s="13">
        <v>45713</v>
      </c>
      <c r="U1248" s="13">
        <v>45713</v>
      </c>
      <c r="V1248" s="9" t="s">
        <v>47</v>
      </c>
      <c r="W1248" s="9">
        <v>22646367</v>
      </c>
      <c r="X1248" s="9">
        <v>3041018</v>
      </c>
      <c r="Y1248" s="9">
        <v>68951536</v>
      </c>
      <c r="Z1248" s="9" t="s">
        <v>39</v>
      </c>
      <c r="AA1248" s="9">
        <v>2032025</v>
      </c>
      <c r="AB1248" s="9">
        <v>77760</v>
      </c>
      <c r="AC1248" s="9" t="s">
        <v>41</v>
      </c>
      <c r="AD1248" s="9" t="s">
        <v>132</v>
      </c>
      <c r="AE1248" s="9" t="s">
        <v>133</v>
      </c>
      <c r="AF1248" s="9" t="s">
        <v>133</v>
      </c>
      <c r="AG1248" s="14" t="str">
        <f t="shared" si="42"/>
        <v>EXAMENES DE LABORATORIO</v>
      </c>
      <c r="AH1248" s="9" t="s">
        <v>758</v>
      </c>
      <c r="AI1248" s="9">
        <v>0</v>
      </c>
      <c r="AJ1248" s="9">
        <v>96942400</v>
      </c>
      <c r="AK1248" s="9">
        <v>2</v>
      </c>
      <c r="AL1248" s="26" t="s">
        <v>62</v>
      </c>
      <c r="AM1248" s="14" t="s">
        <v>518</v>
      </c>
      <c r="AN1248" s="27" t="str">
        <f t="shared" si="41"/>
        <v>15400638|96942400|920840613|920840613</v>
      </c>
      <c r="AO1248" t="s">
        <v>758</v>
      </c>
      <c r="AP1248" t="b">
        <v>1</v>
      </c>
      <c r="AQ1248" t="s">
        <v>764</v>
      </c>
    </row>
    <row r="1249" spans="1:43" x14ac:dyDescent="0.2">
      <c r="A1249" s="14" t="s">
        <v>500</v>
      </c>
      <c r="B1249" s="17">
        <v>15400638</v>
      </c>
      <c r="C1249" s="14" t="s">
        <v>119</v>
      </c>
      <c r="D1249" s="9">
        <v>15400638</v>
      </c>
      <c r="E1249" s="9" t="s">
        <v>119</v>
      </c>
      <c r="F1249" s="7">
        <v>45717</v>
      </c>
      <c r="G1249" s="20" t="s">
        <v>46</v>
      </c>
      <c r="H1249" s="8">
        <v>920840613</v>
      </c>
      <c r="I1249" s="19">
        <v>65384280</v>
      </c>
      <c r="J1249" s="10">
        <v>22775</v>
      </c>
      <c r="K1249" s="10">
        <v>0</v>
      </c>
      <c r="L1249" s="10">
        <v>22775</v>
      </c>
      <c r="M1249" s="10">
        <v>0</v>
      </c>
      <c r="N1249" s="11">
        <v>22775</v>
      </c>
      <c r="O1249" s="12">
        <v>920840613</v>
      </c>
      <c r="P1249" s="9">
        <v>285123</v>
      </c>
      <c r="Q1249" s="9" t="s">
        <v>37</v>
      </c>
      <c r="R1249" s="13">
        <v>45717</v>
      </c>
      <c r="S1249" s="22">
        <v>45742</v>
      </c>
      <c r="T1249" s="13">
        <v>45713</v>
      </c>
      <c r="U1249" s="13">
        <v>45713</v>
      </c>
      <c r="V1249" s="9" t="s">
        <v>47</v>
      </c>
      <c r="W1249" s="9">
        <v>22770718</v>
      </c>
      <c r="X1249" s="9">
        <v>3311105</v>
      </c>
      <c r="Y1249" s="9">
        <v>69251163</v>
      </c>
      <c r="Z1249" s="9" t="s">
        <v>39</v>
      </c>
      <c r="AA1249" s="9">
        <v>1693122302</v>
      </c>
      <c r="AB1249" s="9">
        <v>78070</v>
      </c>
      <c r="AC1249" s="9" t="s">
        <v>41</v>
      </c>
      <c r="AD1249" s="9" t="s">
        <v>132</v>
      </c>
      <c r="AE1249" s="9" t="s">
        <v>133</v>
      </c>
      <c r="AF1249" s="9" t="s">
        <v>133</v>
      </c>
      <c r="AG1249" s="14" t="str">
        <f t="shared" si="42"/>
        <v>EXAMENES DE LABORATORIO</v>
      </c>
      <c r="AH1249" s="9">
        <v>0</v>
      </c>
      <c r="AI1249" s="9">
        <v>0</v>
      </c>
      <c r="AJ1249" s="9">
        <v>96942400</v>
      </c>
      <c r="AK1249" s="9">
        <v>2</v>
      </c>
      <c r="AL1249" s="26" t="s">
        <v>52</v>
      </c>
      <c r="AM1249" s="14" t="s">
        <v>518</v>
      </c>
      <c r="AN1249" s="27" t="str">
        <f t="shared" si="41"/>
        <v>15400638|96942400|920840613|65384280</v>
      </c>
      <c r="AO1249" t="s">
        <v>44</v>
      </c>
      <c r="AP1249" t="b">
        <v>0</v>
      </c>
      <c r="AQ1249" t="s">
        <v>763</v>
      </c>
    </row>
    <row r="1250" spans="1:43" x14ac:dyDescent="0.2">
      <c r="A1250" s="14" t="s">
        <v>500</v>
      </c>
      <c r="B1250" s="17">
        <v>15400638</v>
      </c>
      <c r="C1250" s="14" t="s">
        <v>119</v>
      </c>
      <c r="D1250" s="9">
        <v>15400638</v>
      </c>
      <c r="E1250" s="9" t="s">
        <v>119</v>
      </c>
      <c r="F1250" s="7">
        <v>45689</v>
      </c>
      <c r="G1250" s="20" t="s">
        <v>36</v>
      </c>
      <c r="H1250" s="8">
        <v>920841344</v>
      </c>
      <c r="I1250" s="19">
        <v>920841344</v>
      </c>
      <c r="J1250" s="10">
        <v>10740</v>
      </c>
      <c r="K1250" s="10">
        <v>3360</v>
      </c>
      <c r="L1250" s="10">
        <v>7380</v>
      </c>
      <c r="M1250" s="10">
        <v>0</v>
      </c>
      <c r="N1250" s="11">
        <v>7380</v>
      </c>
      <c r="O1250" s="12">
        <v>920841344</v>
      </c>
      <c r="P1250" s="9">
        <v>285123</v>
      </c>
      <c r="Q1250" s="9" t="s">
        <v>37</v>
      </c>
      <c r="R1250" s="13">
        <v>45713</v>
      </c>
      <c r="S1250" s="22">
        <v>45713</v>
      </c>
      <c r="T1250" s="13">
        <v>45713</v>
      </c>
      <c r="U1250" s="13">
        <v>45713</v>
      </c>
      <c r="V1250" s="9" t="s">
        <v>47</v>
      </c>
      <c r="W1250" s="9">
        <v>22646367</v>
      </c>
      <c r="X1250" s="9">
        <v>3041018</v>
      </c>
      <c r="Y1250" s="9">
        <v>68951543</v>
      </c>
      <c r="Z1250" s="9" t="s">
        <v>39</v>
      </c>
      <c r="AA1250" s="9">
        <v>2032025</v>
      </c>
      <c r="AB1250" s="9">
        <v>77760</v>
      </c>
      <c r="AC1250" s="9" t="s">
        <v>41</v>
      </c>
      <c r="AD1250" s="9" t="s">
        <v>65</v>
      </c>
      <c r="AE1250" s="9" t="s">
        <v>66</v>
      </c>
      <c r="AF1250" s="9" t="s">
        <v>66</v>
      </c>
      <c r="AG1250" s="14" t="str">
        <f t="shared" si="42"/>
        <v>PROCEDIMIENTOS TERAPEUTICOS</v>
      </c>
      <c r="AH1250" s="9" t="s">
        <v>758</v>
      </c>
      <c r="AI1250" s="9">
        <v>0</v>
      </c>
      <c r="AJ1250" s="9">
        <v>96942400</v>
      </c>
      <c r="AK1250" s="9">
        <v>2</v>
      </c>
      <c r="AL1250" s="26" t="s">
        <v>62</v>
      </c>
      <c r="AM1250" s="14" t="s">
        <v>518</v>
      </c>
      <c r="AN1250" s="27" t="str">
        <f t="shared" si="41"/>
        <v>15400638|96942400|920841344|920841344</v>
      </c>
      <c r="AO1250" t="s">
        <v>758</v>
      </c>
      <c r="AP1250" t="b">
        <v>1</v>
      </c>
      <c r="AQ1250" t="s">
        <v>764</v>
      </c>
    </row>
    <row r="1251" spans="1:43" x14ac:dyDescent="0.2">
      <c r="A1251" s="14" t="s">
        <v>500</v>
      </c>
      <c r="B1251" s="17">
        <v>15400638</v>
      </c>
      <c r="C1251" s="14" t="s">
        <v>119</v>
      </c>
      <c r="D1251" s="9">
        <v>15400638</v>
      </c>
      <c r="E1251" s="9" t="s">
        <v>119</v>
      </c>
      <c r="F1251" s="7">
        <v>45717</v>
      </c>
      <c r="G1251" s="20" t="s">
        <v>46</v>
      </c>
      <c r="H1251" s="8">
        <v>920841344</v>
      </c>
      <c r="I1251" s="19">
        <v>65384281</v>
      </c>
      <c r="J1251" s="10">
        <v>6176</v>
      </c>
      <c r="K1251" s="10">
        <v>0</v>
      </c>
      <c r="L1251" s="10">
        <v>6176</v>
      </c>
      <c r="M1251" s="10">
        <v>0</v>
      </c>
      <c r="N1251" s="11">
        <v>6176</v>
      </c>
      <c r="O1251" s="12">
        <v>920841344</v>
      </c>
      <c r="P1251" s="9">
        <v>285123</v>
      </c>
      <c r="Q1251" s="9" t="s">
        <v>37</v>
      </c>
      <c r="R1251" s="13">
        <v>45717</v>
      </c>
      <c r="S1251" s="22">
        <v>45742</v>
      </c>
      <c r="T1251" s="13">
        <v>45713</v>
      </c>
      <c r="U1251" s="13">
        <v>45713</v>
      </c>
      <c r="V1251" s="9" t="s">
        <v>47</v>
      </c>
      <c r="W1251" s="9">
        <v>22770718</v>
      </c>
      <c r="X1251" s="9">
        <v>3311105</v>
      </c>
      <c r="Y1251" s="9">
        <v>69251164</v>
      </c>
      <c r="Z1251" s="9" t="s">
        <v>39</v>
      </c>
      <c r="AA1251" s="9">
        <v>1693122302</v>
      </c>
      <c r="AB1251" s="9">
        <v>78070</v>
      </c>
      <c r="AC1251" s="9" t="s">
        <v>41</v>
      </c>
      <c r="AD1251" s="9" t="s">
        <v>65</v>
      </c>
      <c r="AE1251" s="9" t="s">
        <v>66</v>
      </c>
      <c r="AF1251" s="9" t="s">
        <v>66</v>
      </c>
      <c r="AG1251" s="14" t="str">
        <f t="shared" si="42"/>
        <v>PROCEDIMIENTOS TERAPEUTICOS</v>
      </c>
      <c r="AH1251" s="9">
        <v>0</v>
      </c>
      <c r="AI1251" s="9">
        <v>0</v>
      </c>
      <c r="AJ1251" s="9">
        <v>96942400</v>
      </c>
      <c r="AK1251" s="9">
        <v>2</v>
      </c>
      <c r="AL1251" s="26" t="s">
        <v>52</v>
      </c>
      <c r="AM1251" s="14" t="s">
        <v>518</v>
      </c>
      <c r="AN1251" s="27" t="str">
        <f t="shared" si="41"/>
        <v>15400638|96942400|920841344|65384281</v>
      </c>
      <c r="AO1251" t="s">
        <v>44</v>
      </c>
      <c r="AP1251" t="b">
        <v>0</v>
      </c>
      <c r="AQ1251" t="s">
        <v>763</v>
      </c>
    </row>
    <row r="1252" spans="1:43" x14ac:dyDescent="0.2">
      <c r="A1252" s="14" t="s">
        <v>500</v>
      </c>
      <c r="B1252" s="17">
        <v>15400638</v>
      </c>
      <c r="C1252" s="14" t="s">
        <v>119</v>
      </c>
      <c r="D1252" s="9">
        <v>15400638</v>
      </c>
      <c r="E1252" s="9" t="s">
        <v>119</v>
      </c>
      <c r="F1252" s="7">
        <v>45689</v>
      </c>
      <c r="G1252" s="20" t="s">
        <v>36</v>
      </c>
      <c r="H1252" s="8">
        <v>920853257</v>
      </c>
      <c r="I1252" s="19">
        <v>920853257</v>
      </c>
      <c r="J1252" s="10">
        <v>11500</v>
      </c>
      <c r="K1252" s="10">
        <v>3600</v>
      </c>
      <c r="L1252" s="10">
        <v>7900</v>
      </c>
      <c r="M1252" s="10">
        <v>0</v>
      </c>
      <c r="N1252" s="11">
        <v>7900</v>
      </c>
      <c r="O1252" s="12">
        <v>920853257</v>
      </c>
      <c r="P1252" s="9">
        <v>285123</v>
      </c>
      <c r="Q1252" s="9" t="s">
        <v>37</v>
      </c>
      <c r="R1252" s="13">
        <v>45713</v>
      </c>
      <c r="S1252" s="22">
        <v>45713</v>
      </c>
      <c r="T1252" s="13">
        <v>45713</v>
      </c>
      <c r="U1252" s="13">
        <v>45713</v>
      </c>
      <c r="V1252" s="9" t="s">
        <v>47</v>
      </c>
      <c r="W1252" s="9">
        <v>22646367</v>
      </c>
      <c r="X1252" s="9">
        <v>3041018</v>
      </c>
      <c r="Y1252" s="9">
        <v>68951603</v>
      </c>
      <c r="Z1252" s="9" t="s">
        <v>39</v>
      </c>
      <c r="AA1252" s="9">
        <v>2032025</v>
      </c>
      <c r="AB1252" s="9">
        <v>77760</v>
      </c>
      <c r="AC1252" s="9" t="s">
        <v>41</v>
      </c>
      <c r="AD1252" s="9" t="s">
        <v>65</v>
      </c>
      <c r="AE1252" s="9" t="s">
        <v>66</v>
      </c>
      <c r="AF1252" s="9" t="s">
        <v>66</v>
      </c>
      <c r="AG1252" s="14" t="str">
        <f t="shared" si="42"/>
        <v>PROCEDIMIENTOS TERAPEUTICOS</v>
      </c>
      <c r="AH1252" s="9" t="s">
        <v>758</v>
      </c>
      <c r="AI1252" s="9">
        <v>0</v>
      </c>
      <c r="AJ1252" s="9">
        <v>96942400</v>
      </c>
      <c r="AK1252" s="9">
        <v>2</v>
      </c>
      <c r="AL1252" s="26" t="s">
        <v>62</v>
      </c>
      <c r="AM1252" s="14" t="s">
        <v>518</v>
      </c>
      <c r="AN1252" s="27" t="str">
        <f t="shared" si="41"/>
        <v>15400638|96942400|920853257|920853257</v>
      </c>
      <c r="AO1252" t="s">
        <v>758</v>
      </c>
      <c r="AP1252" t="b">
        <v>1</v>
      </c>
      <c r="AQ1252" t="s">
        <v>764</v>
      </c>
    </row>
    <row r="1253" spans="1:43" x14ac:dyDescent="0.2">
      <c r="A1253" s="14" t="s">
        <v>500</v>
      </c>
      <c r="B1253" s="17">
        <v>15400638</v>
      </c>
      <c r="C1253" s="14" t="s">
        <v>119</v>
      </c>
      <c r="D1253" s="9">
        <v>15400638</v>
      </c>
      <c r="E1253" s="9" t="s">
        <v>119</v>
      </c>
      <c r="F1253" s="7">
        <v>45717</v>
      </c>
      <c r="G1253" s="20" t="s">
        <v>46</v>
      </c>
      <c r="H1253" s="8">
        <v>920853257</v>
      </c>
      <c r="I1253" s="19">
        <v>65384282</v>
      </c>
      <c r="J1253" s="10">
        <v>6562</v>
      </c>
      <c r="K1253" s="10">
        <v>0</v>
      </c>
      <c r="L1253" s="10">
        <v>6562</v>
      </c>
      <c r="M1253" s="10">
        <v>0</v>
      </c>
      <c r="N1253" s="11">
        <v>6562</v>
      </c>
      <c r="O1253" s="12">
        <v>920853257</v>
      </c>
      <c r="P1253" s="9">
        <v>285123</v>
      </c>
      <c r="Q1253" s="9" t="s">
        <v>37</v>
      </c>
      <c r="R1253" s="13">
        <v>45717</v>
      </c>
      <c r="S1253" s="22">
        <v>45742</v>
      </c>
      <c r="T1253" s="13">
        <v>45713</v>
      </c>
      <c r="U1253" s="13">
        <v>45713</v>
      </c>
      <c r="V1253" s="9" t="s">
        <v>47</v>
      </c>
      <c r="W1253" s="9">
        <v>22770718</v>
      </c>
      <c r="X1253" s="9">
        <v>3311105</v>
      </c>
      <c r="Y1253" s="9">
        <v>69251165</v>
      </c>
      <c r="Z1253" s="9" t="s">
        <v>39</v>
      </c>
      <c r="AA1253" s="9">
        <v>1693122302</v>
      </c>
      <c r="AB1253" s="9">
        <v>78070</v>
      </c>
      <c r="AC1253" s="9" t="s">
        <v>41</v>
      </c>
      <c r="AD1253" s="9" t="s">
        <v>65</v>
      </c>
      <c r="AE1253" s="9" t="s">
        <v>66</v>
      </c>
      <c r="AF1253" s="9" t="s">
        <v>66</v>
      </c>
      <c r="AG1253" s="14" t="str">
        <f t="shared" si="42"/>
        <v>PROCEDIMIENTOS TERAPEUTICOS</v>
      </c>
      <c r="AH1253" s="9">
        <v>0</v>
      </c>
      <c r="AI1253" s="9">
        <v>0</v>
      </c>
      <c r="AJ1253" s="9">
        <v>96942400</v>
      </c>
      <c r="AK1253" s="9">
        <v>2</v>
      </c>
      <c r="AL1253" s="26" t="s">
        <v>52</v>
      </c>
      <c r="AM1253" s="14" t="s">
        <v>518</v>
      </c>
      <c r="AN1253" s="27" t="str">
        <f t="shared" si="41"/>
        <v>15400638|96942400|920853257|65384282</v>
      </c>
      <c r="AO1253" t="s">
        <v>44</v>
      </c>
      <c r="AP1253" t="b">
        <v>0</v>
      </c>
      <c r="AQ1253" t="s">
        <v>763</v>
      </c>
    </row>
    <row r="1254" spans="1:43" x14ac:dyDescent="0.2">
      <c r="A1254" s="14" t="s">
        <v>500</v>
      </c>
      <c r="B1254" s="17">
        <v>13924168</v>
      </c>
      <c r="C1254" s="14" t="s">
        <v>418</v>
      </c>
      <c r="D1254" s="9">
        <v>25061160</v>
      </c>
      <c r="E1254" s="9" t="s">
        <v>419</v>
      </c>
      <c r="F1254" s="7">
        <v>45689</v>
      </c>
      <c r="G1254" s="20" t="s">
        <v>36</v>
      </c>
      <c r="H1254" s="8">
        <v>920865376</v>
      </c>
      <c r="I1254" s="19">
        <v>920865376</v>
      </c>
      <c r="J1254" s="10">
        <v>29500</v>
      </c>
      <c r="K1254" s="10">
        <v>9220</v>
      </c>
      <c r="L1254" s="10">
        <v>20280</v>
      </c>
      <c r="M1254" s="10">
        <v>0</v>
      </c>
      <c r="N1254" s="11">
        <v>20280</v>
      </c>
      <c r="O1254" s="12">
        <v>920865376</v>
      </c>
      <c r="P1254" s="9">
        <v>285123</v>
      </c>
      <c r="Q1254" s="9" t="s">
        <v>37</v>
      </c>
      <c r="R1254" s="13">
        <v>45713</v>
      </c>
      <c r="S1254" s="22">
        <v>45713</v>
      </c>
      <c r="T1254" s="13">
        <v>45713</v>
      </c>
      <c r="U1254" s="13">
        <v>45713</v>
      </c>
      <c r="V1254" s="9" t="s">
        <v>47</v>
      </c>
      <c r="W1254" s="9">
        <v>22646363</v>
      </c>
      <c r="X1254" s="9">
        <v>3041018</v>
      </c>
      <c r="Y1254" s="9">
        <v>68951656</v>
      </c>
      <c r="Z1254" s="9" t="s">
        <v>39</v>
      </c>
      <c r="AA1254" s="9">
        <v>2032025</v>
      </c>
      <c r="AB1254" s="9">
        <v>77760</v>
      </c>
      <c r="AC1254" s="9" t="s">
        <v>41</v>
      </c>
      <c r="AD1254" s="9" t="s">
        <v>65</v>
      </c>
      <c r="AE1254" s="9" t="s">
        <v>66</v>
      </c>
      <c r="AF1254" s="9" t="s">
        <v>66</v>
      </c>
      <c r="AG1254" s="14" t="str">
        <f t="shared" si="42"/>
        <v>PROCEDIMIENTOS TERAPEUTICOS</v>
      </c>
      <c r="AH1254" s="9" t="s">
        <v>758</v>
      </c>
      <c r="AI1254" s="9">
        <v>0</v>
      </c>
      <c r="AJ1254" s="9">
        <v>96942400</v>
      </c>
      <c r="AK1254" s="9">
        <v>2</v>
      </c>
      <c r="AL1254" s="26" t="s">
        <v>62</v>
      </c>
      <c r="AM1254" s="14" t="s">
        <v>702</v>
      </c>
      <c r="AN1254" s="27" t="str">
        <f t="shared" si="41"/>
        <v>13924168|96942400|920865376|920865376</v>
      </c>
      <c r="AO1254" t="s">
        <v>758</v>
      </c>
      <c r="AP1254" t="b">
        <v>1</v>
      </c>
      <c r="AQ1254" t="s">
        <v>764</v>
      </c>
    </row>
    <row r="1255" spans="1:43" x14ac:dyDescent="0.2">
      <c r="A1255" s="14" t="s">
        <v>500</v>
      </c>
      <c r="B1255" s="17">
        <v>13924168</v>
      </c>
      <c r="C1255" s="14" t="s">
        <v>418</v>
      </c>
      <c r="D1255" s="9">
        <v>25061160</v>
      </c>
      <c r="E1255" s="9" t="s">
        <v>419</v>
      </c>
      <c r="F1255" s="7">
        <v>45717</v>
      </c>
      <c r="G1255" s="20" t="s">
        <v>46</v>
      </c>
      <c r="H1255" s="8">
        <v>920865376</v>
      </c>
      <c r="I1255" s="19">
        <v>65384157</v>
      </c>
      <c r="J1255" s="10">
        <v>17757</v>
      </c>
      <c r="K1255" s="10">
        <v>0</v>
      </c>
      <c r="L1255" s="10">
        <v>17757</v>
      </c>
      <c r="M1255" s="10">
        <v>0</v>
      </c>
      <c r="N1255" s="11">
        <v>17757</v>
      </c>
      <c r="O1255" s="12">
        <v>920865376</v>
      </c>
      <c r="P1255" s="9">
        <v>285123</v>
      </c>
      <c r="Q1255" s="9" t="s">
        <v>37</v>
      </c>
      <c r="R1255" s="13">
        <v>45717</v>
      </c>
      <c r="S1255" s="22">
        <v>45742</v>
      </c>
      <c r="T1255" s="13">
        <v>45713</v>
      </c>
      <c r="U1255" s="13">
        <v>45713</v>
      </c>
      <c r="V1255" s="9" t="s">
        <v>47</v>
      </c>
      <c r="W1255" s="9">
        <v>22770715</v>
      </c>
      <c r="X1255" s="9">
        <v>3311105</v>
      </c>
      <c r="Y1255" s="9">
        <v>69251037</v>
      </c>
      <c r="Z1255" s="9" t="s">
        <v>39</v>
      </c>
      <c r="AA1255" s="9">
        <v>13924168</v>
      </c>
      <c r="AB1255" s="9">
        <v>78070</v>
      </c>
      <c r="AC1255" s="9" t="s">
        <v>41</v>
      </c>
      <c r="AD1255" s="9" t="s">
        <v>65</v>
      </c>
      <c r="AE1255" s="9" t="s">
        <v>66</v>
      </c>
      <c r="AF1255" s="9" t="s">
        <v>66</v>
      </c>
      <c r="AG1255" s="14" t="str">
        <f t="shared" si="42"/>
        <v>PROCEDIMIENTOS TERAPEUTICOS</v>
      </c>
      <c r="AH1255" s="9">
        <v>0</v>
      </c>
      <c r="AI1255" s="9">
        <v>0</v>
      </c>
      <c r="AJ1255" s="9">
        <v>96942400</v>
      </c>
      <c r="AK1255" s="9">
        <v>2</v>
      </c>
      <c r="AL1255" s="26" t="s">
        <v>52</v>
      </c>
      <c r="AM1255" s="14" t="s">
        <v>702</v>
      </c>
      <c r="AN1255" s="27" t="str">
        <f t="shared" si="41"/>
        <v>13924168|96942400|920865376|65384157</v>
      </c>
      <c r="AO1255" t="s">
        <v>44</v>
      </c>
      <c r="AP1255" t="b">
        <v>0</v>
      </c>
      <c r="AQ1255" t="s">
        <v>763</v>
      </c>
    </row>
    <row r="1256" spans="1:43" x14ac:dyDescent="0.2">
      <c r="A1256" s="14" t="s">
        <v>500</v>
      </c>
      <c r="B1256" s="17">
        <v>10240460</v>
      </c>
      <c r="C1256" s="14" t="s">
        <v>433</v>
      </c>
      <c r="D1256" s="9">
        <v>10240460</v>
      </c>
      <c r="E1256" s="9" t="s">
        <v>433</v>
      </c>
      <c r="F1256" s="7">
        <v>45689</v>
      </c>
      <c r="G1256" s="20" t="s">
        <v>36</v>
      </c>
      <c r="H1256" s="8">
        <v>920884394</v>
      </c>
      <c r="I1256" s="19">
        <v>920884394</v>
      </c>
      <c r="J1256" s="10">
        <v>35460</v>
      </c>
      <c r="K1256" s="10">
        <v>11080</v>
      </c>
      <c r="L1256" s="10">
        <v>24380</v>
      </c>
      <c r="M1256" s="10">
        <v>0</v>
      </c>
      <c r="N1256" s="11">
        <v>24380</v>
      </c>
      <c r="O1256" s="12">
        <v>920884394</v>
      </c>
      <c r="P1256" s="9">
        <v>285123</v>
      </c>
      <c r="Q1256" s="9" t="s">
        <v>37</v>
      </c>
      <c r="R1256" s="13">
        <v>45713</v>
      </c>
      <c r="S1256" s="22">
        <v>45713</v>
      </c>
      <c r="T1256" s="13">
        <v>45713</v>
      </c>
      <c r="U1256" s="13">
        <v>45713</v>
      </c>
      <c r="V1256" s="9" t="s">
        <v>47</v>
      </c>
      <c r="W1256" s="9">
        <v>22646350</v>
      </c>
      <c r="X1256" s="9">
        <v>3041018</v>
      </c>
      <c r="Y1256" s="9">
        <v>68951746</v>
      </c>
      <c r="Z1256" s="9" t="s">
        <v>39</v>
      </c>
      <c r="AA1256" s="9">
        <v>2032025</v>
      </c>
      <c r="AB1256" s="9">
        <v>77760</v>
      </c>
      <c r="AC1256" s="9" t="s">
        <v>41</v>
      </c>
      <c r="AD1256" s="9" t="s">
        <v>134</v>
      </c>
      <c r="AE1256" s="9" t="s">
        <v>135</v>
      </c>
      <c r="AF1256" s="9" t="s">
        <v>135</v>
      </c>
      <c r="AG1256" s="14" t="str">
        <f t="shared" si="42"/>
        <v>EXAMENES RADIOLOGICOS</v>
      </c>
      <c r="AH1256" s="9" t="s">
        <v>758</v>
      </c>
      <c r="AI1256" s="9">
        <v>0</v>
      </c>
      <c r="AJ1256" s="9">
        <v>76098454</v>
      </c>
      <c r="AK1256" s="9" t="s">
        <v>161</v>
      </c>
      <c r="AL1256" s="26" t="s">
        <v>62</v>
      </c>
      <c r="AM1256" s="14" t="s">
        <v>711</v>
      </c>
      <c r="AN1256" s="27" t="str">
        <f t="shared" si="41"/>
        <v>10240460|76098454|920884394|920884394</v>
      </c>
      <c r="AO1256" t="s">
        <v>758</v>
      </c>
      <c r="AP1256" t="b">
        <v>1</v>
      </c>
      <c r="AQ1256" t="s">
        <v>764</v>
      </c>
    </row>
    <row r="1257" spans="1:43" x14ac:dyDescent="0.2">
      <c r="A1257" s="14" t="s">
        <v>500</v>
      </c>
      <c r="B1257" s="17">
        <v>10240460</v>
      </c>
      <c r="C1257" s="14" t="s">
        <v>433</v>
      </c>
      <c r="D1257" s="9">
        <v>10240460</v>
      </c>
      <c r="E1257" s="9" t="s">
        <v>433</v>
      </c>
      <c r="F1257" s="7">
        <v>45717</v>
      </c>
      <c r="G1257" s="20" t="s">
        <v>46</v>
      </c>
      <c r="H1257" s="8">
        <v>920884394</v>
      </c>
      <c r="I1257" s="19">
        <v>65383819</v>
      </c>
      <c r="J1257" s="10">
        <v>20845</v>
      </c>
      <c r="K1257" s="10">
        <v>0</v>
      </c>
      <c r="L1257" s="10">
        <v>20845</v>
      </c>
      <c r="M1257" s="10">
        <v>0</v>
      </c>
      <c r="N1257" s="11">
        <v>20845</v>
      </c>
      <c r="O1257" s="12">
        <v>920884394</v>
      </c>
      <c r="P1257" s="9">
        <v>285123</v>
      </c>
      <c r="Q1257" s="9" t="s">
        <v>37</v>
      </c>
      <c r="R1257" s="13">
        <v>45717</v>
      </c>
      <c r="S1257" s="22">
        <v>45742</v>
      </c>
      <c r="T1257" s="13">
        <v>45713</v>
      </c>
      <c r="U1257" s="13">
        <v>45713</v>
      </c>
      <c r="V1257" s="9" t="s">
        <v>47</v>
      </c>
      <c r="W1257" s="9">
        <v>22770712</v>
      </c>
      <c r="X1257" s="9">
        <v>3311105</v>
      </c>
      <c r="Y1257" s="9">
        <v>69250708</v>
      </c>
      <c r="Z1257" s="9" t="s">
        <v>39</v>
      </c>
      <c r="AA1257" s="9">
        <v>210927782</v>
      </c>
      <c r="AB1257" s="9">
        <v>78070</v>
      </c>
      <c r="AC1257" s="9" t="s">
        <v>41</v>
      </c>
      <c r="AD1257" s="9" t="s">
        <v>134</v>
      </c>
      <c r="AE1257" s="9" t="s">
        <v>135</v>
      </c>
      <c r="AF1257" s="9" t="s">
        <v>135</v>
      </c>
      <c r="AG1257" s="14" t="str">
        <f t="shared" si="42"/>
        <v>EXAMENES RADIOLOGICOS</v>
      </c>
      <c r="AH1257" s="9">
        <v>0</v>
      </c>
      <c r="AI1257" s="9">
        <v>0</v>
      </c>
      <c r="AJ1257" s="9">
        <v>76098454</v>
      </c>
      <c r="AK1257" s="9" t="s">
        <v>161</v>
      </c>
      <c r="AL1257" s="26" t="s">
        <v>52</v>
      </c>
      <c r="AM1257" s="14" t="s">
        <v>711</v>
      </c>
      <c r="AN1257" s="27" t="str">
        <f t="shared" si="41"/>
        <v>10240460|76098454|920884394|65383819</v>
      </c>
      <c r="AO1257" t="s">
        <v>44</v>
      </c>
      <c r="AP1257" t="b">
        <v>0</v>
      </c>
      <c r="AQ1257" t="s">
        <v>763</v>
      </c>
    </row>
    <row r="1258" spans="1:43" x14ac:dyDescent="0.2">
      <c r="A1258" s="14" t="s">
        <v>500</v>
      </c>
      <c r="B1258" s="17">
        <v>10240460</v>
      </c>
      <c r="C1258" s="14" t="s">
        <v>433</v>
      </c>
      <c r="D1258" s="9">
        <v>10240460</v>
      </c>
      <c r="E1258" s="9" t="s">
        <v>433</v>
      </c>
      <c r="F1258" s="7">
        <v>45689</v>
      </c>
      <c r="G1258" s="20" t="s">
        <v>36</v>
      </c>
      <c r="H1258" s="8">
        <v>920884860</v>
      </c>
      <c r="I1258" s="19">
        <v>920884860</v>
      </c>
      <c r="J1258" s="10">
        <v>28990</v>
      </c>
      <c r="K1258" s="10">
        <v>9060</v>
      </c>
      <c r="L1258" s="10">
        <v>19930</v>
      </c>
      <c r="M1258" s="10">
        <v>0</v>
      </c>
      <c r="N1258" s="11">
        <v>19930</v>
      </c>
      <c r="O1258" s="12">
        <v>920884860</v>
      </c>
      <c r="P1258" s="9">
        <v>285123</v>
      </c>
      <c r="Q1258" s="9" t="s">
        <v>37</v>
      </c>
      <c r="R1258" s="13">
        <v>45713</v>
      </c>
      <c r="S1258" s="22">
        <v>45713</v>
      </c>
      <c r="T1258" s="13">
        <v>45713</v>
      </c>
      <c r="U1258" s="13">
        <v>45713</v>
      </c>
      <c r="V1258" s="9" t="s">
        <v>47</v>
      </c>
      <c r="W1258" s="9">
        <v>22646350</v>
      </c>
      <c r="X1258" s="9">
        <v>3041018</v>
      </c>
      <c r="Y1258" s="9">
        <v>68951748</v>
      </c>
      <c r="Z1258" s="9" t="s">
        <v>39</v>
      </c>
      <c r="AA1258" s="9">
        <v>2032025</v>
      </c>
      <c r="AB1258" s="9">
        <v>77760</v>
      </c>
      <c r="AC1258" s="9" t="s">
        <v>41</v>
      </c>
      <c r="AD1258" s="9" t="s">
        <v>134</v>
      </c>
      <c r="AE1258" s="9" t="s">
        <v>135</v>
      </c>
      <c r="AF1258" s="9" t="s">
        <v>135</v>
      </c>
      <c r="AG1258" s="14" t="str">
        <f t="shared" si="42"/>
        <v>EXAMENES RADIOLOGICOS</v>
      </c>
      <c r="AH1258" s="9" t="s">
        <v>758</v>
      </c>
      <c r="AI1258" s="9">
        <v>0</v>
      </c>
      <c r="AJ1258" s="9">
        <v>76098454</v>
      </c>
      <c r="AK1258" s="9" t="s">
        <v>161</v>
      </c>
      <c r="AL1258" s="26" t="s">
        <v>62</v>
      </c>
      <c r="AM1258" s="14" t="s">
        <v>711</v>
      </c>
      <c r="AN1258" s="27" t="str">
        <f t="shared" si="41"/>
        <v>10240460|76098454|920884860|920884860</v>
      </c>
      <c r="AO1258" t="s">
        <v>758</v>
      </c>
      <c r="AP1258" t="b">
        <v>1</v>
      </c>
      <c r="AQ1258" t="s">
        <v>764</v>
      </c>
    </row>
    <row r="1259" spans="1:43" x14ac:dyDescent="0.2">
      <c r="A1259" s="14" t="s">
        <v>500</v>
      </c>
      <c r="B1259" s="17">
        <v>10240460</v>
      </c>
      <c r="C1259" s="14" t="s">
        <v>433</v>
      </c>
      <c r="D1259" s="9">
        <v>10240460</v>
      </c>
      <c r="E1259" s="9" t="s">
        <v>433</v>
      </c>
      <c r="F1259" s="7">
        <v>45717</v>
      </c>
      <c r="G1259" s="20" t="s">
        <v>46</v>
      </c>
      <c r="H1259" s="8">
        <v>920884860</v>
      </c>
      <c r="I1259" s="19">
        <v>65383820</v>
      </c>
      <c r="J1259" s="10">
        <v>17371</v>
      </c>
      <c r="K1259" s="10">
        <v>0</v>
      </c>
      <c r="L1259" s="10">
        <v>17371</v>
      </c>
      <c r="M1259" s="10">
        <v>0</v>
      </c>
      <c r="N1259" s="11">
        <v>17371</v>
      </c>
      <c r="O1259" s="12">
        <v>920884860</v>
      </c>
      <c r="P1259" s="9">
        <v>285123</v>
      </c>
      <c r="Q1259" s="9" t="s">
        <v>37</v>
      </c>
      <c r="R1259" s="13">
        <v>45717</v>
      </c>
      <c r="S1259" s="22">
        <v>45742</v>
      </c>
      <c r="T1259" s="13">
        <v>45713</v>
      </c>
      <c r="U1259" s="13">
        <v>45713</v>
      </c>
      <c r="V1259" s="9" t="s">
        <v>47</v>
      </c>
      <c r="W1259" s="9">
        <v>22770712</v>
      </c>
      <c r="X1259" s="9">
        <v>3311105</v>
      </c>
      <c r="Y1259" s="9">
        <v>69250709</v>
      </c>
      <c r="Z1259" s="9" t="s">
        <v>39</v>
      </c>
      <c r="AA1259" s="9">
        <v>210927782</v>
      </c>
      <c r="AB1259" s="9">
        <v>78070</v>
      </c>
      <c r="AC1259" s="9" t="s">
        <v>41</v>
      </c>
      <c r="AD1259" s="9" t="s">
        <v>134</v>
      </c>
      <c r="AE1259" s="9" t="s">
        <v>135</v>
      </c>
      <c r="AF1259" s="9" t="s">
        <v>135</v>
      </c>
      <c r="AG1259" s="14" t="str">
        <f t="shared" si="42"/>
        <v>EXAMENES RADIOLOGICOS</v>
      </c>
      <c r="AH1259" s="9">
        <v>0</v>
      </c>
      <c r="AI1259" s="9">
        <v>0</v>
      </c>
      <c r="AJ1259" s="9">
        <v>76098454</v>
      </c>
      <c r="AK1259" s="9" t="s">
        <v>161</v>
      </c>
      <c r="AL1259" s="26" t="s">
        <v>52</v>
      </c>
      <c r="AM1259" s="14" t="s">
        <v>711</v>
      </c>
      <c r="AN1259" s="27" t="str">
        <f t="shared" si="41"/>
        <v>10240460|76098454|920884860|65383820</v>
      </c>
      <c r="AO1259" t="s">
        <v>44</v>
      </c>
      <c r="AP1259" t="b">
        <v>0</v>
      </c>
      <c r="AQ1259" t="s">
        <v>763</v>
      </c>
    </row>
    <row r="1260" spans="1:43" x14ac:dyDescent="0.2">
      <c r="A1260" s="14" t="s">
        <v>500</v>
      </c>
      <c r="B1260" s="17">
        <v>18545062</v>
      </c>
      <c r="C1260" s="14" t="s">
        <v>434</v>
      </c>
      <c r="D1260" s="9">
        <v>18545062</v>
      </c>
      <c r="E1260" s="9" t="s">
        <v>434</v>
      </c>
      <c r="F1260" s="7">
        <v>45689</v>
      </c>
      <c r="G1260" s="20" t="s">
        <v>36</v>
      </c>
      <c r="H1260" s="8">
        <v>920950240</v>
      </c>
      <c r="I1260" s="19">
        <v>920950240</v>
      </c>
      <c r="J1260" s="10">
        <v>34290</v>
      </c>
      <c r="K1260" s="10">
        <v>17160</v>
      </c>
      <c r="L1260" s="10">
        <v>17130</v>
      </c>
      <c r="M1260" s="10">
        <v>0</v>
      </c>
      <c r="N1260" s="11">
        <v>17130</v>
      </c>
      <c r="O1260" s="12">
        <v>920950240</v>
      </c>
      <c r="P1260" s="9">
        <v>285123</v>
      </c>
      <c r="Q1260" s="9" t="s">
        <v>37</v>
      </c>
      <c r="R1260" s="13">
        <v>45714</v>
      </c>
      <c r="S1260" s="22">
        <v>45714</v>
      </c>
      <c r="T1260" s="13">
        <v>45714</v>
      </c>
      <c r="U1260" s="13">
        <v>45714</v>
      </c>
      <c r="V1260" s="9" t="s">
        <v>47</v>
      </c>
      <c r="W1260" s="9">
        <v>22646417</v>
      </c>
      <c r="X1260" s="9">
        <v>3041018</v>
      </c>
      <c r="Y1260" s="9">
        <v>68952123</v>
      </c>
      <c r="Z1260" s="9" t="s">
        <v>39</v>
      </c>
      <c r="AA1260" s="9">
        <v>2032025</v>
      </c>
      <c r="AB1260" s="9">
        <v>77760</v>
      </c>
      <c r="AC1260" s="9" t="s">
        <v>41</v>
      </c>
      <c r="AD1260" s="9" t="s">
        <v>132</v>
      </c>
      <c r="AE1260" s="9" t="s">
        <v>133</v>
      </c>
      <c r="AF1260" s="9" t="s">
        <v>133</v>
      </c>
      <c r="AG1260" s="14" t="str">
        <f t="shared" si="42"/>
        <v>EXAMENES DE LABORATORIO</v>
      </c>
      <c r="AH1260" s="9" t="s">
        <v>758</v>
      </c>
      <c r="AI1260" s="9">
        <v>0</v>
      </c>
      <c r="AJ1260" s="9">
        <v>77427817</v>
      </c>
      <c r="AK1260" s="9">
        <v>6</v>
      </c>
      <c r="AL1260" s="26" t="s">
        <v>62</v>
      </c>
      <c r="AM1260" s="14" t="s">
        <v>712</v>
      </c>
      <c r="AN1260" s="27" t="str">
        <f t="shared" si="41"/>
        <v>18545062|77427817|920950240|920950240</v>
      </c>
      <c r="AO1260" t="s">
        <v>758</v>
      </c>
      <c r="AP1260" t="b">
        <v>1</v>
      </c>
      <c r="AQ1260" t="s">
        <v>764</v>
      </c>
    </row>
    <row r="1261" spans="1:43" x14ac:dyDescent="0.2">
      <c r="A1261" s="14" t="s">
        <v>500</v>
      </c>
      <c r="B1261" s="17">
        <v>18545062</v>
      </c>
      <c r="C1261" s="14" t="s">
        <v>434</v>
      </c>
      <c r="D1261" s="9">
        <v>18545062</v>
      </c>
      <c r="E1261" s="9" t="s">
        <v>434</v>
      </c>
      <c r="F1261" s="7">
        <v>45717</v>
      </c>
      <c r="G1261" s="20" t="s">
        <v>46</v>
      </c>
      <c r="H1261" s="8">
        <v>920950240</v>
      </c>
      <c r="I1261" s="19">
        <v>65384460</v>
      </c>
      <c r="J1261" s="10">
        <v>16990</v>
      </c>
      <c r="K1261" s="10">
        <v>0</v>
      </c>
      <c r="L1261" s="10">
        <v>16990</v>
      </c>
      <c r="M1261" s="10">
        <v>0</v>
      </c>
      <c r="N1261" s="11">
        <v>16990</v>
      </c>
      <c r="O1261" s="12">
        <v>920950240</v>
      </c>
      <c r="P1261" s="9">
        <v>285123</v>
      </c>
      <c r="Q1261" s="9" t="s">
        <v>37</v>
      </c>
      <c r="R1261" s="13">
        <v>45717</v>
      </c>
      <c r="S1261" s="22">
        <v>45742</v>
      </c>
      <c r="T1261" s="13">
        <v>45714</v>
      </c>
      <c r="U1261" s="13">
        <v>45714</v>
      </c>
      <c r="V1261" s="9" t="s">
        <v>47</v>
      </c>
      <c r="W1261" s="9">
        <v>22770729</v>
      </c>
      <c r="X1261" s="9">
        <v>3311105</v>
      </c>
      <c r="Y1261" s="9">
        <v>69251326</v>
      </c>
      <c r="Z1261" s="9" t="s">
        <v>39</v>
      </c>
      <c r="AA1261" s="9">
        <v>8010801903</v>
      </c>
      <c r="AB1261" s="9">
        <v>78070</v>
      </c>
      <c r="AC1261" s="9" t="s">
        <v>41</v>
      </c>
      <c r="AD1261" s="9" t="s">
        <v>132</v>
      </c>
      <c r="AE1261" s="9" t="s">
        <v>133</v>
      </c>
      <c r="AF1261" s="9" t="s">
        <v>133</v>
      </c>
      <c r="AG1261" s="14" t="str">
        <f t="shared" si="42"/>
        <v>EXAMENES DE LABORATORIO</v>
      </c>
      <c r="AH1261" s="9">
        <v>0</v>
      </c>
      <c r="AI1261" s="9">
        <v>0</v>
      </c>
      <c r="AJ1261" s="9">
        <v>77427817</v>
      </c>
      <c r="AK1261" s="9">
        <v>6</v>
      </c>
      <c r="AL1261" s="26" t="s">
        <v>52</v>
      </c>
      <c r="AM1261" s="14" t="s">
        <v>712</v>
      </c>
      <c r="AN1261" s="27" t="str">
        <f t="shared" si="41"/>
        <v>18545062|77427817|920950240|65384460</v>
      </c>
      <c r="AO1261" t="s">
        <v>44</v>
      </c>
      <c r="AP1261" t="b">
        <v>0</v>
      </c>
      <c r="AQ1261" t="s">
        <v>763</v>
      </c>
    </row>
    <row r="1262" spans="1:43" x14ac:dyDescent="0.2">
      <c r="A1262" s="14" t="s">
        <v>500</v>
      </c>
      <c r="B1262" s="17">
        <v>18545062</v>
      </c>
      <c r="C1262" s="14" t="s">
        <v>434</v>
      </c>
      <c r="D1262" s="9">
        <v>18545062</v>
      </c>
      <c r="E1262" s="9" t="s">
        <v>434</v>
      </c>
      <c r="F1262" s="7">
        <v>45689</v>
      </c>
      <c r="G1262" s="20" t="s">
        <v>36</v>
      </c>
      <c r="H1262" s="8">
        <v>920950241</v>
      </c>
      <c r="I1262" s="19">
        <v>920950241</v>
      </c>
      <c r="J1262" s="10">
        <v>21330</v>
      </c>
      <c r="K1262" s="10">
        <v>10670</v>
      </c>
      <c r="L1262" s="10">
        <v>10660</v>
      </c>
      <c r="M1262" s="10">
        <v>0</v>
      </c>
      <c r="N1262" s="11">
        <v>10660</v>
      </c>
      <c r="O1262" s="12">
        <v>920950241</v>
      </c>
      <c r="P1262" s="9">
        <v>285123</v>
      </c>
      <c r="Q1262" s="9" t="s">
        <v>37</v>
      </c>
      <c r="R1262" s="13">
        <v>45714</v>
      </c>
      <c r="S1262" s="22">
        <v>45714</v>
      </c>
      <c r="T1262" s="13">
        <v>45714</v>
      </c>
      <c r="U1262" s="13">
        <v>45714</v>
      </c>
      <c r="V1262" s="9" t="s">
        <v>47</v>
      </c>
      <c r="W1262" s="9">
        <v>22646417</v>
      </c>
      <c r="X1262" s="9">
        <v>3041018</v>
      </c>
      <c r="Y1262" s="9">
        <v>68952122</v>
      </c>
      <c r="Z1262" s="9" t="s">
        <v>39</v>
      </c>
      <c r="AA1262" s="9">
        <v>2032025</v>
      </c>
      <c r="AB1262" s="9">
        <v>77760</v>
      </c>
      <c r="AC1262" s="9" t="s">
        <v>41</v>
      </c>
      <c r="AD1262" s="9" t="s">
        <v>132</v>
      </c>
      <c r="AE1262" s="9" t="s">
        <v>133</v>
      </c>
      <c r="AF1262" s="9" t="s">
        <v>133</v>
      </c>
      <c r="AG1262" s="14" t="str">
        <f t="shared" si="42"/>
        <v>EXAMENES DE LABORATORIO</v>
      </c>
      <c r="AH1262" s="9" t="s">
        <v>758</v>
      </c>
      <c r="AI1262" s="9">
        <v>0</v>
      </c>
      <c r="AJ1262" s="9">
        <v>77427817</v>
      </c>
      <c r="AK1262" s="9">
        <v>6</v>
      </c>
      <c r="AL1262" s="26" t="s">
        <v>62</v>
      </c>
      <c r="AM1262" s="14" t="s">
        <v>712</v>
      </c>
      <c r="AN1262" s="27" t="str">
        <f t="shared" si="41"/>
        <v>18545062|77427817|920950241|920950241</v>
      </c>
      <c r="AO1262" t="s">
        <v>758</v>
      </c>
      <c r="AP1262" t="b">
        <v>1</v>
      </c>
      <c r="AQ1262" t="s">
        <v>764</v>
      </c>
    </row>
    <row r="1263" spans="1:43" x14ac:dyDescent="0.2">
      <c r="A1263" s="14" t="s">
        <v>500</v>
      </c>
      <c r="B1263" s="17">
        <v>18545062</v>
      </c>
      <c r="C1263" s="14" t="s">
        <v>434</v>
      </c>
      <c r="D1263" s="9">
        <v>18545062</v>
      </c>
      <c r="E1263" s="9" t="s">
        <v>434</v>
      </c>
      <c r="F1263" s="7">
        <v>45717</v>
      </c>
      <c r="G1263" s="20" t="s">
        <v>46</v>
      </c>
      <c r="H1263" s="8">
        <v>920950241</v>
      </c>
      <c r="I1263" s="19">
        <v>65384461</v>
      </c>
      <c r="J1263" s="10">
        <v>11198</v>
      </c>
      <c r="K1263" s="10">
        <v>0</v>
      </c>
      <c r="L1263" s="10">
        <v>11198</v>
      </c>
      <c r="M1263" s="10">
        <v>0</v>
      </c>
      <c r="N1263" s="11">
        <v>11198</v>
      </c>
      <c r="O1263" s="12">
        <v>920950241</v>
      </c>
      <c r="P1263" s="9">
        <v>285123</v>
      </c>
      <c r="Q1263" s="9" t="s">
        <v>37</v>
      </c>
      <c r="R1263" s="13">
        <v>45717</v>
      </c>
      <c r="S1263" s="22">
        <v>45742</v>
      </c>
      <c r="T1263" s="13">
        <v>45714</v>
      </c>
      <c r="U1263" s="13">
        <v>45714</v>
      </c>
      <c r="V1263" s="9" t="s">
        <v>47</v>
      </c>
      <c r="W1263" s="9">
        <v>22770729</v>
      </c>
      <c r="X1263" s="9">
        <v>3311105</v>
      </c>
      <c r="Y1263" s="9">
        <v>69251327</v>
      </c>
      <c r="Z1263" s="9" t="s">
        <v>39</v>
      </c>
      <c r="AA1263" s="9">
        <v>8010801903</v>
      </c>
      <c r="AB1263" s="9">
        <v>78070</v>
      </c>
      <c r="AC1263" s="9" t="s">
        <v>41</v>
      </c>
      <c r="AD1263" s="9" t="s">
        <v>132</v>
      </c>
      <c r="AE1263" s="9" t="s">
        <v>133</v>
      </c>
      <c r="AF1263" s="9" t="s">
        <v>133</v>
      </c>
      <c r="AG1263" s="14" t="str">
        <f t="shared" si="42"/>
        <v>EXAMENES DE LABORATORIO</v>
      </c>
      <c r="AH1263" s="9">
        <v>0</v>
      </c>
      <c r="AI1263" s="9">
        <v>0</v>
      </c>
      <c r="AJ1263" s="9">
        <v>77427817</v>
      </c>
      <c r="AK1263" s="9">
        <v>6</v>
      </c>
      <c r="AL1263" s="26" t="s">
        <v>52</v>
      </c>
      <c r="AM1263" s="14" t="s">
        <v>712</v>
      </c>
      <c r="AN1263" s="27" t="str">
        <f t="shared" si="41"/>
        <v>18545062|77427817|920950241|65384461</v>
      </c>
      <c r="AO1263" t="s">
        <v>44</v>
      </c>
      <c r="AP1263" t="b">
        <v>0</v>
      </c>
      <c r="AQ1263" t="s">
        <v>763</v>
      </c>
    </row>
    <row r="1264" spans="1:43" x14ac:dyDescent="0.2">
      <c r="A1264" s="14" t="s">
        <v>500</v>
      </c>
      <c r="B1264" s="17">
        <v>18545062</v>
      </c>
      <c r="C1264" s="14" t="s">
        <v>434</v>
      </c>
      <c r="D1264" s="9">
        <v>18545062</v>
      </c>
      <c r="E1264" s="9" t="s">
        <v>434</v>
      </c>
      <c r="F1264" s="7">
        <v>45689</v>
      </c>
      <c r="G1264" s="20" t="s">
        <v>36</v>
      </c>
      <c r="H1264" s="8">
        <v>920950242</v>
      </c>
      <c r="I1264" s="19">
        <v>920950242</v>
      </c>
      <c r="J1264" s="10">
        <v>15320</v>
      </c>
      <c r="K1264" s="10">
        <v>7670</v>
      </c>
      <c r="L1264" s="10">
        <v>7650</v>
      </c>
      <c r="M1264" s="10">
        <v>0</v>
      </c>
      <c r="N1264" s="11">
        <v>7650</v>
      </c>
      <c r="O1264" s="12">
        <v>920950242</v>
      </c>
      <c r="P1264" s="9">
        <v>285123</v>
      </c>
      <c r="Q1264" s="9" t="s">
        <v>37</v>
      </c>
      <c r="R1264" s="13">
        <v>45714</v>
      </c>
      <c r="S1264" s="22">
        <v>45714</v>
      </c>
      <c r="T1264" s="13">
        <v>45714</v>
      </c>
      <c r="U1264" s="13">
        <v>45714</v>
      </c>
      <c r="V1264" s="9" t="s">
        <v>47</v>
      </c>
      <c r="W1264" s="9">
        <v>22646417</v>
      </c>
      <c r="X1264" s="9">
        <v>3041018</v>
      </c>
      <c r="Y1264" s="9">
        <v>68952121</v>
      </c>
      <c r="Z1264" s="9" t="s">
        <v>39</v>
      </c>
      <c r="AA1264" s="9">
        <v>2032025</v>
      </c>
      <c r="AB1264" s="9">
        <v>77760</v>
      </c>
      <c r="AC1264" s="9" t="s">
        <v>41</v>
      </c>
      <c r="AD1264" s="9" t="s">
        <v>132</v>
      </c>
      <c r="AE1264" s="9" t="s">
        <v>133</v>
      </c>
      <c r="AF1264" s="9" t="s">
        <v>133</v>
      </c>
      <c r="AG1264" s="14" t="str">
        <f t="shared" si="42"/>
        <v>EXAMENES DE LABORATORIO</v>
      </c>
      <c r="AH1264" s="9" t="s">
        <v>758</v>
      </c>
      <c r="AI1264" s="9">
        <v>0</v>
      </c>
      <c r="AJ1264" s="9">
        <v>77427817</v>
      </c>
      <c r="AK1264" s="9">
        <v>6</v>
      </c>
      <c r="AL1264" s="26" t="s">
        <v>62</v>
      </c>
      <c r="AM1264" s="14" t="s">
        <v>712</v>
      </c>
      <c r="AN1264" s="27" t="str">
        <f t="shared" si="41"/>
        <v>18545062|77427817|920950242|920950242</v>
      </c>
      <c r="AO1264" t="s">
        <v>758</v>
      </c>
      <c r="AP1264" t="b">
        <v>1</v>
      </c>
      <c r="AQ1264" t="s">
        <v>764</v>
      </c>
    </row>
    <row r="1265" spans="1:43" x14ac:dyDescent="0.2">
      <c r="A1265" s="14" t="s">
        <v>500</v>
      </c>
      <c r="B1265" s="17">
        <v>18545062</v>
      </c>
      <c r="C1265" s="14" t="s">
        <v>434</v>
      </c>
      <c r="D1265" s="9">
        <v>18545062</v>
      </c>
      <c r="E1265" s="9" t="s">
        <v>434</v>
      </c>
      <c r="F1265" s="7">
        <v>45717</v>
      </c>
      <c r="G1265" s="20" t="s">
        <v>46</v>
      </c>
      <c r="H1265" s="8">
        <v>920950242</v>
      </c>
      <c r="I1265" s="19">
        <v>65384462</v>
      </c>
      <c r="J1265" s="10">
        <v>7722</v>
      </c>
      <c r="K1265" s="10">
        <v>0</v>
      </c>
      <c r="L1265" s="10">
        <v>7722</v>
      </c>
      <c r="M1265" s="10">
        <v>0</v>
      </c>
      <c r="N1265" s="11">
        <v>7722</v>
      </c>
      <c r="O1265" s="12">
        <v>920950242</v>
      </c>
      <c r="P1265" s="9">
        <v>285123</v>
      </c>
      <c r="Q1265" s="9" t="s">
        <v>37</v>
      </c>
      <c r="R1265" s="13">
        <v>45717</v>
      </c>
      <c r="S1265" s="22">
        <v>45742</v>
      </c>
      <c r="T1265" s="13">
        <v>45714</v>
      </c>
      <c r="U1265" s="13">
        <v>45714</v>
      </c>
      <c r="V1265" s="9" t="s">
        <v>47</v>
      </c>
      <c r="W1265" s="9">
        <v>22770729</v>
      </c>
      <c r="X1265" s="9">
        <v>3311105</v>
      </c>
      <c r="Y1265" s="9">
        <v>69251328</v>
      </c>
      <c r="Z1265" s="9" t="s">
        <v>39</v>
      </c>
      <c r="AA1265" s="9">
        <v>8010801903</v>
      </c>
      <c r="AB1265" s="9">
        <v>78070</v>
      </c>
      <c r="AC1265" s="9" t="s">
        <v>41</v>
      </c>
      <c r="AD1265" s="9" t="s">
        <v>132</v>
      </c>
      <c r="AE1265" s="9" t="s">
        <v>133</v>
      </c>
      <c r="AF1265" s="9" t="s">
        <v>133</v>
      </c>
      <c r="AG1265" s="14" t="str">
        <f t="shared" si="42"/>
        <v>EXAMENES DE LABORATORIO</v>
      </c>
      <c r="AH1265" s="9">
        <v>0</v>
      </c>
      <c r="AI1265" s="9">
        <v>0</v>
      </c>
      <c r="AJ1265" s="9">
        <v>77427817</v>
      </c>
      <c r="AK1265" s="9">
        <v>6</v>
      </c>
      <c r="AL1265" s="26" t="s">
        <v>52</v>
      </c>
      <c r="AM1265" s="14" t="s">
        <v>712</v>
      </c>
      <c r="AN1265" s="27" t="str">
        <f t="shared" si="41"/>
        <v>18545062|77427817|920950242|65384462</v>
      </c>
      <c r="AO1265" t="s">
        <v>44</v>
      </c>
      <c r="AP1265" t="b">
        <v>0</v>
      </c>
      <c r="AQ1265" t="s">
        <v>763</v>
      </c>
    </row>
    <row r="1266" spans="1:43" x14ac:dyDescent="0.2">
      <c r="A1266" s="14" t="s">
        <v>500</v>
      </c>
      <c r="B1266" s="17">
        <v>18545062</v>
      </c>
      <c r="C1266" s="14" t="s">
        <v>434</v>
      </c>
      <c r="D1266" s="9">
        <v>18545062</v>
      </c>
      <c r="E1266" s="9" t="s">
        <v>434</v>
      </c>
      <c r="F1266" s="7">
        <v>45689</v>
      </c>
      <c r="G1266" s="20" t="s">
        <v>36</v>
      </c>
      <c r="H1266" s="8">
        <v>920975669</v>
      </c>
      <c r="I1266" s="19">
        <v>920975669</v>
      </c>
      <c r="J1266" s="10">
        <v>41600</v>
      </c>
      <c r="K1266" s="10">
        <v>13000</v>
      </c>
      <c r="L1266" s="10">
        <v>28600</v>
      </c>
      <c r="M1266" s="10">
        <v>0</v>
      </c>
      <c r="N1266" s="11">
        <v>28600</v>
      </c>
      <c r="O1266" s="12">
        <v>920975669</v>
      </c>
      <c r="P1266" s="9">
        <v>285123</v>
      </c>
      <c r="Q1266" s="9" t="s">
        <v>37</v>
      </c>
      <c r="R1266" s="13">
        <v>45714</v>
      </c>
      <c r="S1266" s="22">
        <v>45714</v>
      </c>
      <c r="T1266" s="13">
        <v>45714</v>
      </c>
      <c r="U1266" s="13">
        <v>45714</v>
      </c>
      <c r="V1266" s="9" t="s">
        <v>47</v>
      </c>
      <c r="W1266" s="9">
        <v>22646417</v>
      </c>
      <c r="X1266" s="9">
        <v>3041018</v>
      </c>
      <c r="Y1266" s="9">
        <v>68952239</v>
      </c>
      <c r="Z1266" s="9" t="s">
        <v>39</v>
      </c>
      <c r="AA1266" s="9">
        <v>2032025</v>
      </c>
      <c r="AB1266" s="9">
        <v>77760</v>
      </c>
      <c r="AC1266" s="9" t="s">
        <v>41</v>
      </c>
      <c r="AD1266" s="9" t="s">
        <v>134</v>
      </c>
      <c r="AE1266" s="9" t="s">
        <v>135</v>
      </c>
      <c r="AF1266" s="9" t="s">
        <v>135</v>
      </c>
      <c r="AG1266" s="14" t="str">
        <f t="shared" si="42"/>
        <v>EXAMENES RADIOLOGICOS</v>
      </c>
      <c r="AH1266" s="9" t="s">
        <v>758</v>
      </c>
      <c r="AI1266" s="9">
        <v>0</v>
      </c>
      <c r="AJ1266" s="9">
        <v>96759190</v>
      </c>
      <c r="AK1266" s="9">
        <v>4</v>
      </c>
      <c r="AL1266" s="26" t="s">
        <v>62</v>
      </c>
      <c r="AM1266" s="14" t="s">
        <v>712</v>
      </c>
      <c r="AN1266" s="27" t="str">
        <f t="shared" si="41"/>
        <v>18545062|96759190|920975669|920975669</v>
      </c>
      <c r="AO1266" t="s">
        <v>758</v>
      </c>
      <c r="AP1266" t="b">
        <v>1</v>
      </c>
      <c r="AQ1266" t="s">
        <v>764</v>
      </c>
    </row>
    <row r="1267" spans="1:43" x14ac:dyDescent="0.2">
      <c r="A1267" s="14" t="s">
        <v>500</v>
      </c>
      <c r="B1267" s="17">
        <v>18545062</v>
      </c>
      <c r="C1267" s="14" t="s">
        <v>434</v>
      </c>
      <c r="D1267" s="9">
        <v>18545062</v>
      </c>
      <c r="E1267" s="9" t="s">
        <v>434</v>
      </c>
      <c r="F1267" s="7">
        <v>45717</v>
      </c>
      <c r="G1267" s="20" t="s">
        <v>46</v>
      </c>
      <c r="H1267" s="8">
        <v>920975669</v>
      </c>
      <c r="I1267" s="19">
        <v>65384463</v>
      </c>
      <c r="J1267" s="10">
        <v>24715</v>
      </c>
      <c r="K1267" s="10">
        <v>0</v>
      </c>
      <c r="L1267" s="10">
        <v>24715</v>
      </c>
      <c r="M1267" s="10">
        <v>0</v>
      </c>
      <c r="N1267" s="11">
        <v>24715</v>
      </c>
      <c r="O1267" s="12">
        <v>920975669</v>
      </c>
      <c r="P1267" s="9">
        <v>285123</v>
      </c>
      <c r="Q1267" s="9" t="s">
        <v>37</v>
      </c>
      <c r="R1267" s="13">
        <v>45717</v>
      </c>
      <c r="S1267" s="22">
        <v>45742</v>
      </c>
      <c r="T1267" s="13">
        <v>45714</v>
      </c>
      <c r="U1267" s="13">
        <v>45714</v>
      </c>
      <c r="V1267" s="9" t="s">
        <v>47</v>
      </c>
      <c r="W1267" s="9">
        <v>22770729</v>
      </c>
      <c r="X1267" s="9">
        <v>3311105</v>
      </c>
      <c r="Y1267" s="9">
        <v>69251329</v>
      </c>
      <c r="Z1267" s="9" t="s">
        <v>39</v>
      </c>
      <c r="AA1267" s="9">
        <v>8010801903</v>
      </c>
      <c r="AB1267" s="9">
        <v>78070</v>
      </c>
      <c r="AC1267" s="9" t="s">
        <v>41</v>
      </c>
      <c r="AD1267" s="9" t="s">
        <v>134</v>
      </c>
      <c r="AE1267" s="9" t="s">
        <v>135</v>
      </c>
      <c r="AF1267" s="9" t="s">
        <v>135</v>
      </c>
      <c r="AG1267" s="14" t="str">
        <f t="shared" si="42"/>
        <v>EXAMENES RADIOLOGICOS</v>
      </c>
      <c r="AH1267" s="9">
        <v>0</v>
      </c>
      <c r="AI1267" s="9">
        <v>0</v>
      </c>
      <c r="AJ1267" s="9">
        <v>96759190</v>
      </c>
      <c r="AK1267" s="9">
        <v>4</v>
      </c>
      <c r="AL1267" s="26" t="s">
        <v>52</v>
      </c>
      <c r="AM1267" s="14" t="s">
        <v>712</v>
      </c>
      <c r="AN1267" s="27" t="str">
        <f t="shared" si="41"/>
        <v>18545062|96759190|920975669|65384463</v>
      </c>
      <c r="AO1267" t="s">
        <v>44</v>
      </c>
      <c r="AP1267" t="b">
        <v>0</v>
      </c>
      <c r="AQ1267" t="s">
        <v>763</v>
      </c>
    </row>
    <row r="1268" spans="1:43" x14ac:dyDescent="0.2">
      <c r="A1268" s="14" t="s">
        <v>500</v>
      </c>
      <c r="B1268" s="17">
        <v>18545062</v>
      </c>
      <c r="C1268" s="14" t="s">
        <v>434</v>
      </c>
      <c r="D1268" s="9">
        <v>18545062</v>
      </c>
      <c r="E1268" s="9" t="s">
        <v>434</v>
      </c>
      <c r="F1268" s="7">
        <v>45689</v>
      </c>
      <c r="G1268" s="20" t="s">
        <v>36</v>
      </c>
      <c r="H1268" s="8">
        <v>920976021</v>
      </c>
      <c r="I1268" s="19">
        <v>920976021</v>
      </c>
      <c r="J1268" s="10">
        <v>22130</v>
      </c>
      <c r="K1268" s="10">
        <v>7850</v>
      </c>
      <c r="L1268" s="10">
        <v>14280</v>
      </c>
      <c r="M1268" s="10">
        <v>0</v>
      </c>
      <c r="N1268" s="11">
        <v>14280</v>
      </c>
      <c r="O1268" s="12">
        <v>920976021</v>
      </c>
      <c r="P1268" s="9">
        <v>285123</v>
      </c>
      <c r="Q1268" s="9" t="s">
        <v>37</v>
      </c>
      <c r="R1268" s="13">
        <v>45714</v>
      </c>
      <c r="S1268" s="22">
        <v>45714</v>
      </c>
      <c r="T1268" s="13">
        <v>45714</v>
      </c>
      <c r="U1268" s="13">
        <v>45714</v>
      </c>
      <c r="V1268" s="9" t="s">
        <v>47</v>
      </c>
      <c r="W1268" s="9">
        <v>22646417</v>
      </c>
      <c r="X1268" s="9">
        <v>3041018</v>
      </c>
      <c r="Y1268" s="9">
        <v>68952245</v>
      </c>
      <c r="Z1268" s="9" t="s">
        <v>39</v>
      </c>
      <c r="AA1268" s="9">
        <v>2032025</v>
      </c>
      <c r="AB1268" s="9">
        <v>77760</v>
      </c>
      <c r="AC1268" s="9" t="s">
        <v>41</v>
      </c>
      <c r="AD1268" s="9" t="s">
        <v>134</v>
      </c>
      <c r="AE1268" s="9" t="s">
        <v>135</v>
      </c>
      <c r="AF1268" s="9" t="s">
        <v>135</v>
      </c>
      <c r="AG1268" s="14" t="str">
        <f t="shared" si="42"/>
        <v>EXAMENES RADIOLOGICOS</v>
      </c>
      <c r="AH1268" s="9" t="s">
        <v>758</v>
      </c>
      <c r="AI1268" s="9">
        <v>0</v>
      </c>
      <c r="AJ1268" s="9">
        <v>96759190</v>
      </c>
      <c r="AK1268" s="9">
        <v>4</v>
      </c>
      <c r="AL1268" s="26" t="s">
        <v>62</v>
      </c>
      <c r="AM1268" s="14" t="s">
        <v>712</v>
      </c>
      <c r="AN1268" s="27" t="str">
        <f t="shared" si="41"/>
        <v>18545062|96759190|920976021|920976021</v>
      </c>
      <c r="AO1268" t="s">
        <v>758</v>
      </c>
      <c r="AP1268" t="b">
        <v>1</v>
      </c>
      <c r="AQ1268" t="s">
        <v>764</v>
      </c>
    </row>
    <row r="1269" spans="1:43" x14ac:dyDescent="0.2">
      <c r="A1269" s="14" t="s">
        <v>500</v>
      </c>
      <c r="B1269" s="17">
        <v>18545062</v>
      </c>
      <c r="C1269" s="14" t="s">
        <v>434</v>
      </c>
      <c r="D1269" s="9">
        <v>18545062</v>
      </c>
      <c r="E1269" s="9" t="s">
        <v>434</v>
      </c>
      <c r="F1269" s="7">
        <v>45717</v>
      </c>
      <c r="G1269" s="20" t="s">
        <v>46</v>
      </c>
      <c r="H1269" s="8">
        <v>920976021</v>
      </c>
      <c r="I1269" s="19">
        <v>65384464</v>
      </c>
      <c r="J1269" s="10">
        <v>11971</v>
      </c>
      <c r="K1269" s="10">
        <v>0</v>
      </c>
      <c r="L1269" s="10">
        <v>11971</v>
      </c>
      <c r="M1269" s="10">
        <v>0</v>
      </c>
      <c r="N1269" s="11">
        <v>11971</v>
      </c>
      <c r="O1269" s="12">
        <v>920976021</v>
      </c>
      <c r="P1269" s="9">
        <v>285123</v>
      </c>
      <c r="Q1269" s="9" t="s">
        <v>37</v>
      </c>
      <c r="R1269" s="13">
        <v>45717</v>
      </c>
      <c r="S1269" s="22">
        <v>45742</v>
      </c>
      <c r="T1269" s="13">
        <v>45714</v>
      </c>
      <c r="U1269" s="13">
        <v>45714</v>
      </c>
      <c r="V1269" s="9" t="s">
        <v>47</v>
      </c>
      <c r="W1269" s="9">
        <v>22770729</v>
      </c>
      <c r="X1269" s="9">
        <v>3311105</v>
      </c>
      <c r="Y1269" s="9">
        <v>69251330</v>
      </c>
      <c r="Z1269" s="9" t="s">
        <v>39</v>
      </c>
      <c r="AA1269" s="9">
        <v>8010801903</v>
      </c>
      <c r="AB1269" s="9">
        <v>78070</v>
      </c>
      <c r="AC1269" s="9" t="s">
        <v>41</v>
      </c>
      <c r="AD1269" s="9" t="s">
        <v>134</v>
      </c>
      <c r="AE1269" s="9" t="s">
        <v>135</v>
      </c>
      <c r="AF1269" s="9" t="s">
        <v>135</v>
      </c>
      <c r="AG1269" s="14" t="str">
        <f t="shared" si="42"/>
        <v>EXAMENES RADIOLOGICOS</v>
      </c>
      <c r="AH1269" s="9">
        <v>0</v>
      </c>
      <c r="AI1269" s="9">
        <v>0</v>
      </c>
      <c r="AJ1269" s="9">
        <v>96759190</v>
      </c>
      <c r="AK1269" s="9">
        <v>4</v>
      </c>
      <c r="AL1269" s="26" t="s">
        <v>52</v>
      </c>
      <c r="AM1269" s="14" t="s">
        <v>712</v>
      </c>
      <c r="AN1269" s="27" t="str">
        <f t="shared" si="41"/>
        <v>18545062|96759190|920976021|65384464</v>
      </c>
      <c r="AO1269" t="s">
        <v>44</v>
      </c>
      <c r="AP1269" t="b">
        <v>0</v>
      </c>
      <c r="AQ1269" t="s">
        <v>763</v>
      </c>
    </row>
    <row r="1270" spans="1:43" x14ac:dyDescent="0.2">
      <c r="A1270" s="14" t="s">
        <v>500</v>
      </c>
      <c r="B1270" s="17">
        <v>18545062</v>
      </c>
      <c r="C1270" s="14" t="s">
        <v>434</v>
      </c>
      <c r="D1270" s="9">
        <v>18545062</v>
      </c>
      <c r="E1270" s="9" t="s">
        <v>434</v>
      </c>
      <c r="F1270" s="7">
        <v>45689</v>
      </c>
      <c r="G1270" s="20" t="s">
        <v>36</v>
      </c>
      <c r="H1270" s="8">
        <v>921011124</v>
      </c>
      <c r="I1270" s="19">
        <v>921011124</v>
      </c>
      <c r="J1270" s="10">
        <v>23230</v>
      </c>
      <c r="K1270" s="10">
        <v>13068</v>
      </c>
      <c r="L1270" s="10">
        <v>10162</v>
      </c>
      <c r="M1270" s="10">
        <v>0</v>
      </c>
      <c r="N1270" s="11">
        <v>10162</v>
      </c>
      <c r="O1270" s="12">
        <v>921011124</v>
      </c>
      <c r="P1270" s="9">
        <v>285123</v>
      </c>
      <c r="Q1270" s="9" t="s">
        <v>37</v>
      </c>
      <c r="R1270" s="13">
        <v>45714</v>
      </c>
      <c r="S1270" s="22">
        <v>45714</v>
      </c>
      <c r="T1270" s="13">
        <v>45714</v>
      </c>
      <c r="U1270" s="13">
        <v>45714</v>
      </c>
      <c r="V1270" s="9" t="s">
        <v>47</v>
      </c>
      <c r="W1270" s="9">
        <v>22646417</v>
      </c>
      <c r="X1270" s="9">
        <v>3041018</v>
      </c>
      <c r="Y1270" s="9">
        <v>68952437</v>
      </c>
      <c r="Z1270" s="9" t="s">
        <v>39</v>
      </c>
      <c r="AA1270" s="9">
        <v>2032025</v>
      </c>
      <c r="AB1270" s="9">
        <v>77760</v>
      </c>
      <c r="AC1270" s="9" t="s">
        <v>41</v>
      </c>
      <c r="AD1270" s="9" t="s">
        <v>134</v>
      </c>
      <c r="AE1270" s="9" t="s">
        <v>135</v>
      </c>
      <c r="AF1270" s="9" t="s">
        <v>135</v>
      </c>
      <c r="AG1270" s="14" t="str">
        <f t="shared" si="42"/>
        <v>EXAMENES RADIOLOGICOS</v>
      </c>
      <c r="AH1270" s="9" t="s">
        <v>758</v>
      </c>
      <c r="AI1270" s="9">
        <v>0</v>
      </c>
      <c r="AJ1270" s="9">
        <v>96759190</v>
      </c>
      <c r="AK1270" s="9">
        <v>4</v>
      </c>
      <c r="AL1270" s="26" t="s">
        <v>62</v>
      </c>
      <c r="AM1270" s="14" t="s">
        <v>712</v>
      </c>
      <c r="AN1270" s="27" t="str">
        <f t="shared" si="41"/>
        <v>18545062|96759190|921011124|921011124</v>
      </c>
      <c r="AO1270" t="s">
        <v>758</v>
      </c>
      <c r="AP1270" t="b">
        <v>1</v>
      </c>
      <c r="AQ1270" t="s">
        <v>764</v>
      </c>
    </row>
    <row r="1271" spans="1:43" x14ac:dyDescent="0.2">
      <c r="A1271" s="14" t="s">
        <v>500</v>
      </c>
      <c r="B1271" s="17">
        <v>18545062</v>
      </c>
      <c r="C1271" s="14" t="s">
        <v>434</v>
      </c>
      <c r="D1271" s="9">
        <v>18545062</v>
      </c>
      <c r="E1271" s="9" t="s">
        <v>434</v>
      </c>
      <c r="F1271" s="7">
        <v>45717</v>
      </c>
      <c r="G1271" s="20" t="s">
        <v>46</v>
      </c>
      <c r="H1271" s="8">
        <v>921011124</v>
      </c>
      <c r="I1271" s="19">
        <v>65384465</v>
      </c>
      <c r="J1271" s="10">
        <v>7723</v>
      </c>
      <c r="K1271" s="10">
        <v>0</v>
      </c>
      <c r="L1271" s="10">
        <v>7723</v>
      </c>
      <c r="M1271" s="10">
        <v>0</v>
      </c>
      <c r="N1271" s="11">
        <v>7723</v>
      </c>
      <c r="O1271" s="12">
        <v>921011124</v>
      </c>
      <c r="P1271" s="9">
        <v>285123</v>
      </c>
      <c r="Q1271" s="9" t="s">
        <v>37</v>
      </c>
      <c r="R1271" s="13">
        <v>45717</v>
      </c>
      <c r="S1271" s="22">
        <v>45742</v>
      </c>
      <c r="T1271" s="13">
        <v>45714</v>
      </c>
      <c r="U1271" s="13">
        <v>45714</v>
      </c>
      <c r="V1271" s="9" t="s">
        <v>47</v>
      </c>
      <c r="W1271" s="9">
        <v>22770729</v>
      </c>
      <c r="X1271" s="9">
        <v>3311105</v>
      </c>
      <c r="Y1271" s="9">
        <v>69251331</v>
      </c>
      <c r="Z1271" s="9" t="s">
        <v>39</v>
      </c>
      <c r="AA1271" s="9">
        <v>8010801903</v>
      </c>
      <c r="AB1271" s="9">
        <v>78070</v>
      </c>
      <c r="AC1271" s="9" t="s">
        <v>41</v>
      </c>
      <c r="AD1271" s="9" t="s">
        <v>134</v>
      </c>
      <c r="AE1271" s="9" t="s">
        <v>135</v>
      </c>
      <c r="AF1271" s="9" t="s">
        <v>135</v>
      </c>
      <c r="AG1271" s="14" t="str">
        <f t="shared" si="42"/>
        <v>EXAMENES RADIOLOGICOS</v>
      </c>
      <c r="AH1271" s="9">
        <v>0</v>
      </c>
      <c r="AI1271" s="9">
        <v>0</v>
      </c>
      <c r="AJ1271" s="9">
        <v>96759190</v>
      </c>
      <c r="AK1271" s="9">
        <v>4</v>
      </c>
      <c r="AL1271" s="26" t="s">
        <v>52</v>
      </c>
      <c r="AM1271" s="14" t="s">
        <v>712</v>
      </c>
      <c r="AN1271" s="27" t="str">
        <f t="shared" si="41"/>
        <v>18545062|96759190|921011124|65384465</v>
      </c>
      <c r="AO1271" t="s">
        <v>44</v>
      </c>
      <c r="AP1271" t="b">
        <v>0</v>
      </c>
      <c r="AQ1271" t="s">
        <v>763</v>
      </c>
    </row>
    <row r="1272" spans="1:43" x14ac:dyDescent="0.2">
      <c r="A1272" s="14" t="s">
        <v>500</v>
      </c>
      <c r="B1272" s="17">
        <v>9382290</v>
      </c>
      <c r="C1272" s="14" t="s">
        <v>435</v>
      </c>
      <c r="D1272" s="9">
        <v>9382290</v>
      </c>
      <c r="E1272" s="9" t="s">
        <v>435</v>
      </c>
      <c r="F1272" s="7">
        <v>45689</v>
      </c>
      <c r="G1272" s="20" t="s">
        <v>36</v>
      </c>
      <c r="H1272" s="8">
        <v>921018325</v>
      </c>
      <c r="I1272" s="19">
        <v>921018325</v>
      </c>
      <c r="J1272" s="10">
        <v>23200</v>
      </c>
      <c r="K1272" s="10">
        <v>7250</v>
      </c>
      <c r="L1272" s="10">
        <v>15950</v>
      </c>
      <c r="M1272" s="10">
        <v>0</v>
      </c>
      <c r="N1272" s="11">
        <v>15950</v>
      </c>
      <c r="O1272" s="12">
        <v>921018325</v>
      </c>
      <c r="P1272" s="9">
        <v>285123</v>
      </c>
      <c r="Q1272" s="9" t="s">
        <v>37</v>
      </c>
      <c r="R1272" s="13">
        <v>45714</v>
      </c>
      <c r="S1272" s="22">
        <v>45714</v>
      </c>
      <c r="T1272" s="13">
        <v>45714</v>
      </c>
      <c r="U1272" s="13">
        <v>45714</v>
      </c>
      <c r="V1272" s="9" t="s">
        <v>47</v>
      </c>
      <c r="W1272" s="9">
        <v>22646385</v>
      </c>
      <c r="X1272" s="9">
        <v>3041018</v>
      </c>
      <c r="Y1272" s="9">
        <v>68952477</v>
      </c>
      <c r="Z1272" s="9" t="s">
        <v>39</v>
      </c>
      <c r="AA1272" s="9">
        <v>2032025</v>
      </c>
      <c r="AB1272" s="9">
        <v>77760</v>
      </c>
      <c r="AC1272" s="9" t="s">
        <v>41</v>
      </c>
      <c r="AD1272" s="9" t="s">
        <v>65</v>
      </c>
      <c r="AE1272" s="9" t="s">
        <v>66</v>
      </c>
      <c r="AF1272" s="9" t="s">
        <v>66</v>
      </c>
      <c r="AG1272" s="14" t="str">
        <f t="shared" si="42"/>
        <v>PROCEDIMIENTOS TERAPEUTICOS</v>
      </c>
      <c r="AH1272" s="9" t="s">
        <v>758</v>
      </c>
      <c r="AI1272" s="9">
        <v>0</v>
      </c>
      <c r="AJ1272" s="9">
        <v>76098454</v>
      </c>
      <c r="AK1272" s="9" t="s">
        <v>161</v>
      </c>
      <c r="AL1272" s="26" t="s">
        <v>62</v>
      </c>
      <c r="AM1272" s="14" t="s">
        <v>713</v>
      </c>
      <c r="AN1272" s="27" t="str">
        <f t="shared" si="41"/>
        <v>9382290|76098454|921018325|921018325</v>
      </c>
      <c r="AO1272" t="s">
        <v>758</v>
      </c>
      <c r="AP1272" t="b">
        <v>1</v>
      </c>
      <c r="AQ1272" t="s">
        <v>764</v>
      </c>
    </row>
    <row r="1273" spans="1:43" x14ac:dyDescent="0.2">
      <c r="A1273" s="14" t="s">
        <v>500</v>
      </c>
      <c r="B1273" s="17">
        <v>9382290</v>
      </c>
      <c r="C1273" s="14" t="s">
        <v>435</v>
      </c>
      <c r="D1273" s="9">
        <v>9382290</v>
      </c>
      <c r="E1273" s="9" t="s">
        <v>435</v>
      </c>
      <c r="F1273" s="7">
        <v>45717</v>
      </c>
      <c r="G1273" s="20" t="s">
        <v>46</v>
      </c>
      <c r="H1273" s="8">
        <v>921018325</v>
      </c>
      <c r="I1273" s="19">
        <v>65383722</v>
      </c>
      <c r="J1273" s="10">
        <v>13901</v>
      </c>
      <c r="K1273" s="10">
        <v>0</v>
      </c>
      <c r="L1273" s="10">
        <v>13901</v>
      </c>
      <c r="M1273" s="10">
        <v>0</v>
      </c>
      <c r="N1273" s="11">
        <v>13901</v>
      </c>
      <c r="O1273" s="12">
        <v>921018325</v>
      </c>
      <c r="P1273" s="9">
        <v>285123</v>
      </c>
      <c r="Q1273" s="9" t="s">
        <v>37</v>
      </c>
      <c r="R1273" s="13">
        <v>45717</v>
      </c>
      <c r="S1273" s="22">
        <v>45742</v>
      </c>
      <c r="T1273" s="13">
        <v>45714</v>
      </c>
      <c r="U1273" s="13">
        <v>45714</v>
      </c>
      <c r="V1273" s="9" t="s">
        <v>47</v>
      </c>
      <c r="W1273" s="9">
        <v>22770720</v>
      </c>
      <c r="X1273" s="9">
        <v>3311105</v>
      </c>
      <c r="Y1273" s="9">
        <v>69250613</v>
      </c>
      <c r="Z1273" s="9" t="s">
        <v>39</v>
      </c>
      <c r="AA1273" s="9">
        <v>94808731</v>
      </c>
      <c r="AB1273" s="9">
        <v>78070</v>
      </c>
      <c r="AC1273" s="9" t="s">
        <v>41</v>
      </c>
      <c r="AD1273" s="9" t="s">
        <v>65</v>
      </c>
      <c r="AE1273" s="9" t="s">
        <v>66</v>
      </c>
      <c r="AF1273" s="9" t="s">
        <v>66</v>
      </c>
      <c r="AG1273" s="14" t="str">
        <f t="shared" si="42"/>
        <v>PROCEDIMIENTOS TERAPEUTICOS</v>
      </c>
      <c r="AH1273" s="9">
        <v>0</v>
      </c>
      <c r="AI1273" s="9">
        <v>0</v>
      </c>
      <c r="AJ1273" s="9">
        <v>76098454</v>
      </c>
      <c r="AK1273" s="9" t="s">
        <v>161</v>
      </c>
      <c r="AL1273" s="26" t="s">
        <v>52</v>
      </c>
      <c r="AM1273" s="14" t="s">
        <v>713</v>
      </c>
      <c r="AN1273" s="27" t="str">
        <f t="shared" si="41"/>
        <v>9382290|76098454|921018325|65383722</v>
      </c>
      <c r="AO1273" t="s">
        <v>44</v>
      </c>
      <c r="AP1273" t="b">
        <v>0</v>
      </c>
      <c r="AQ1273" t="s">
        <v>763</v>
      </c>
    </row>
    <row r="1274" spans="1:43" x14ac:dyDescent="0.2">
      <c r="A1274" s="14" t="s">
        <v>500</v>
      </c>
      <c r="B1274" s="17">
        <v>13931711</v>
      </c>
      <c r="C1274" s="14" t="s">
        <v>436</v>
      </c>
      <c r="D1274" s="9">
        <v>13475325</v>
      </c>
      <c r="E1274" s="9" t="s">
        <v>437</v>
      </c>
      <c r="F1274" s="7">
        <v>45689</v>
      </c>
      <c r="G1274" s="20" t="s">
        <v>36</v>
      </c>
      <c r="H1274" s="8">
        <v>921061968</v>
      </c>
      <c r="I1274" s="19">
        <v>921061968</v>
      </c>
      <c r="J1274" s="10">
        <v>7060</v>
      </c>
      <c r="K1274" s="10">
        <v>2720</v>
      </c>
      <c r="L1274" s="10">
        <v>4340</v>
      </c>
      <c r="M1274" s="10">
        <v>0</v>
      </c>
      <c r="N1274" s="11">
        <v>4340</v>
      </c>
      <c r="O1274" s="12">
        <v>921061968</v>
      </c>
      <c r="P1274" s="9">
        <v>285123</v>
      </c>
      <c r="Q1274" s="9" t="s">
        <v>37</v>
      </c>
      <c r="R1274" s="13">
        <v>45715</v>
      </c>
      <c r="S1274" s="22">
        <v>45715</v>
      </c>
      <c r="T1274" s="13">
        <v>45715</v>
      </c>
      <c r="U1274" s="13">
        <v>45715</v>
      </c>
      <c r="V1274" s="9" t="s">
        <v>47</v>
      </c>
      <c r="W1274" s="9">
        <v>22646452</v>
      </c>
      <c r="X1274" s="9">
        <v>3041018</v>
      </c>
      <c r="Y1274" s="9">
        <v>68952786</v>
      </c>
      <c r="Z1274" s="9" t="s">
        <v>39</v>
      </c>
      <c r="AA1274" s="9">
        <v>2032025</v>
      </c>
      <c r="AB1274" s="9">
        <v>77760</v>
      </c>
      <c r="AC1274" s="9" t="s">
        <v>41</v>
      </c>
      <c r="AD1274" s="9" t="s">
        <v>132</v>
      </c>
      <c r="AE1274" s="9" t="s">
        <v>133</v>
      </c>
      <c r="AF1274" s="9" t="s">
        <v>133</v>
      </c>
      <c r="AG1274" s="14" t="str">
        <f t="shared" si="42"/>
        <v>EXAMENES DE LABORATORIO</v>
      </c>
      <c r="AH1274" s="9" t="s">
        <v>758</v>
      </c>
      <c r="AI1274" s="9">
        <v>0</v>
      </c>
      <c r="AJ1274" s="9">
        <v>77274930</v>
      </c>
      <c r="AK1274" s="9">
        <v>9</v>
      </c>
      <c r="AL1274" s="26" t="s">
        <v>62</v>
      </c>
      <c r="AM1274" s="14" t="s">
        <v>714</v>
      </c>
      <c r="AN1274" s="27" t="str">
        <f t="shared" si="41"/>
        <v>13931711|77274930|921061968|921061968</v>
      </c>
      <c r="AO1274" t="s">
        <v>758</v>
      </c>
      <c r="AP1274" t="b">
        <v>1</v>
      </c>
      <c r="AQ1274" t="s">
        <v>764</v>
      </c>
    </row>
    <row r="1275" spans="1:43" x14ac:dyDescent="0.2">
      <c r="A1275" s="14" t="s">
        <v>500</v>
      </c>
      <c r="B1275" s="17">
        <v>13931711</v>
      </c>
      <c r="C1275" s="14" t="s">
        <v>436</v>
      </c>
      <c r="D1275" s="9">
        <v>13475325</v>
      </c>
      <c r="E1275" s="9" t="s">
        <v>437</v>
      </c>
      <c r="F1275" s="7">
        <v>45717</v>
      </c>
      <c r="G1275" s="20" t="s">
        <v>46</v>
      </c>
      <c r="H1275" s="8">
        <v>921061968</v>
      </c>
      <c r="I1275" s="19">
        <v>65384160</v>
      </c>
      <c r="J1275" s="10">
        <v>3862</v>
      </c>
      <c r="K1275" s="10">
        <v>0</v>
      </c>
      <c r="L1275" s="10">
        <v>3862</v>
      </c>
      <c r="M1275" s="10">
        <v>0</v>
      </c>
      <c r="N1275" s="11">
        <v>3862</v>
      </c>
      <c r="O1275" s="12">
        <v>921061968</v>
      </c>
      <c r="P1275" s="9">
        <v>285123</v>
      </c>
      <c r="Q1275" s="9" t="s">
        <v>37</v>
      </c>
      <c r="R1275" s="13">
        <v>45717</v>
      </c>
      <c r="S1275" s="22">
        <v>45742</v>
      </c>
      <c r="T1275" s="13">
        <v>45715</v>
      </c>
      <c r="U1275" s="13">
        <v>45715</v>
      </c>
      <c r="V1275" s="9" t="s">
        <v>47</v>
      </c>
      <c r="W1275" s="9">
        <v>22770736</v>
      </c>
      <c r="X1275" s="9">
        <v>3311105</v>
      </c>
      <c r="Y1275" s="9">
        <v>69251040</v>
      </c>
      <c r="Z1275" s="9" t="s">
        <v>39</v>
      </c>
      <c r="AA1275" s="9">
        <v>15841528364</v>
      </c>
      <c r="AB1275" s="9">
        <v>78070</v>
      </c>
      <c r="AC1275" s="9" t="s">
        <v>41</v>
      </c>
      <c r="AD1275" s="9" t="s">
        <v>132</v>
      </c>
      <c r="AE1275" s="9" t="s">
        <v>133</v>
      </c>
      <c r="AF1275" s="9" t="s">
        <v>133</v>
      </c>
      <c r="AG1275" s="14" t="str">
        <f t="shared" si="42"/>
        <v>EXAMENES DE LABORATORIO</v>
      </c>
      <c r="AH1275" s="9">
        <v>0</v>
      </c>
      <c r="AI1275" s="9">
        <v>0</v>
      </c>
      <c r="AJ1275" s="9">
        <v>77274930</v>
      </c>
      <c r="AK1275" s="9">
        <v>9</v>
      </c>
      <c r="AL1275" s="26" t="s">
        <v>52</v>
      </c>
      <c r="AM1275" s="14" t="s">
        <v>714</v>
      </c>
      <c r="AN1275" s="27" t="str">
        <f t="shared" si="41"/>
        <v>13931711|77274930|921061968|65384160</v>
      </c>
      <c r="AO1275" t="s">
        <v>44</v>
      </c>
      <c r="AP1275" t="b">
        <v>0</v>
      </c>
      <c r="AQ1275" t="s">
        <v>763</v>
      </c>
    </row>
    <row r="1276" spans="1:43" x14ac:dyDescent="0.2">
      <c r="A1276" s="14" t="s">
        <v>500</v>
      </c>
      <c r="B1276" s="17">
        <v>16116767</v>
      </c>
      <c r="C1276" s="14" t="s">
        <v>438</v>
      </c>
      <c r="D1276" s="9">
        <v>16116767</v>
      </c>
      <c r="E1276" s="9" t="s">
        <v>438</v>
      </c>
      <c r="F1276" s="7">
        <v>45689</v>
      </c>
      <c r="G1276" s="20" t="s">
        <v>36</v>
      </c>
      <c r="H1276" s="8">
        <v>921121536</v>
      </c>
      <c r="I1276" s="19">
        <v>921121536</v>
      </c>
      <c r="J1276" s="10">
        <v>10740</v>
      </c>
      <c r="K1276" s="10">
        <v>3360</v>
      </c>
      <c r="L1276" s="10">
        <v>7380</v>
      </c>
      <c r="M1276" s="10">
        <v>0</v>
      </c>
      <c r="N1276" s="11">
        <v>7380</v>
      </c>
      <c r="O1276" s="12">
        <v>921121536</v>
      </c>
      <c r="P1276" s="9">
        <v>285123</v>
      </c>
      <c r="Q1276" s="9" t="s">
        <v>37</v>
      </c>
      <c r="R1276" s="13">
        <v>45715</v>
      </c>
      <c r="S1276" s="22">
        <v>45715</v>
      </c>
      <c r="T1276" s="13">
        <v>45715</v>
      </c>
      <c r="U1276" s="13">
        <v>45715</v>
      </c>
      <c r="V1276" s="9" t="s">
        <v>47</v>
      </c>
      <c r="W1276" s="9">
        <v>22646466</v>
      </c>
      <c r="X1276" s="9">
        <v>3041018</v>
      </c>
      <c r="Y1276" s="9">
        <v>68953085</v>
      </c>
      <c r="Z1276" s="9" t="s">
        <v>39</v>
      </c>
      <c r="AA1276" s="9">
        <v>2032025</v>
      </c>
      <c r="AB1276" s="9">
        <v>77760</v>
      </c>
      <c r="AC1276" s="9" t="s">
        <v>41</v>
      </c>
      <c r="AD1276" s="9" t="s">
        <v>65</v>
      </c>
      <c r="AE1276" s="9" t="s">
        <v>66</v>
      </c>
      <c r="AF1276" s="9" t="s">
        <v>66</v>
      </c>
      <c r="AG1276" s="14" t="str">
        <f t="shared" si="42"/>
        <v>PROCEDIMIENTOS TERAPEUTICOS</v>
      </c>
      <c r="AH1276" s="9" t="s">
        <v>758</v>
      </c>
      <c r="AI1276" s="9">
        <v>0</v>
      </c>
      <c r="AJ1276" s="9">
        <v>76110809</v>
      </c>
      <c r="AK1276" s="9">
        <v>3</v>
      </c>
      <c r="AL1276" s="26" t="s">
        <v>62</v>
      </c>
      <c r="AM1276" s="14" t="s">
        <v>715</v>
      </c>
      <c r="AN1276" s="27" t="str">
        <f t="shared" si="41"/>
        <v>16116767|76110809|921121536|921121536</v>
      </c>
      <c r="AO1276" t="s">
        <v>758</v>
      </c>
      <c r="AP1276" t="b">
        <v>1</v>
      </c>
      <c r="AQ1276" t="s">
        <v>764</v>
      </c>
    </row>
    <row r="1277" spans="1:43" x14ac:dyDescent="0.2">
      <c r="A1277" s="14" t="s">
        <v>500</v>
      </c>
      <c r="B1277" s="17">
        <v>16116767</v>
      </c>
      <c r="C1277" s="14" t="s">
        <v>438</v>
      </c>
      <c r="D1277" s="9">
        <v>16116767</v>
      </c>
      <c r="E1277" s="9" t="s">
        <v>438</v>
      </c>
      <c r="F1277" s="7">
        <v>45717</v>
      </c>
      <c r="G1277" s="20" t="s">
        <v>46</v>
      </c>
      <c r="H1277" s="8">
        <v>921121536</v>
      </c>
      <c r="I1277" s="19">
        <v>65384353</v>
      </c>
      <c r="J1277" s="10">
        <v>6181</v>
      </c>
      <c r="K1277" s="10">
        <v>0</v>
      </c>
      <c r="L1277" s="10">
        <v>6181</v>
      </c>
      <c r="M1277" s="10">
        <v>0</v>
      </c>
      <c r="N1277" s="11">
        <v>6181</v>
      </c>
      <c r="O1277" s="12">
        <v>921121536</v>
      </c>
      <c r="P1277" s="9">
        <v>285123</v>
      </c>
      <c r="Q1277" s="9" t="s">
        <v>37</v>
      </c>
      <c r="R1277" s="13">
        <v>45717</v>
      </c>
      <c r="S1277" s="22">
        <v>45742</v>
      </c>
      <c r="T1277" s="13">
        <v>45715</v>
      </c>
      <c r="U1277" s="13">
        <v>45715</v>
      </c>
      <c r="V1277" s="9" t="s">
        <v>47</v>
      </c>
      <c r="W1277" s="9">
        <v>22770740</v>
      </c>
      <c r="X1277" s="9">
        <v>3311105</v>
      </c>
      <c r="Y1277" s="9">
        <v>69251236</v>
      </c>
      <c r="Z1277" s="9" t="s">
        <v>39</v>
      </c>
      <c r="AA1277" s="9">
        <v>15200202512</v>
      </c>
      <c r="AB1277" s="9">
        <v>78070</v>
      </c>
      <c r="AC1277" s="9" t="s">
        <v>41</v>
      </c>
      <c r="AD1277" s="9" t="s">
        <v>65</v>
      </c>
      <c r="AE1277" s="9" t="s">
        <v>66</v>
      </c>
      <c r="AF1277" s="9" t="s">
        <v>66</v>
      </c>
      <c r="AG1277" s="14" t="str">
        <f t="shared" si="42"/>
        <v>PROCEDIMIENTOS TERAPEUTICOS</v>
      </c>
      <c r="AH1277" s="9">
        <v>0</v>
      </c>
      <c r="AI1277" s="9">
        <v>0</v>
      </c>
      <c r="AJ1277" s="9">
        <v>76110809</v>
      </c>
      <c r="AK1277" s="9">
        <v>3</v>
      </c>
      <c r="AL1277" s="26" t="s">
        <v>52</v>
      </c>
      <c r="AM1277" s="14" t="s">
        <v>715</v>
      </c>
      <c r="AN1277" s="27" t="str">
        <f t="shared" si="41"/>
        <v>16116767|76110809|921121536|65384353</v>
      </c>
      <c r="AO1277" t="s">
        <v>44</v>
      </c>
      <c r="AP1277" t="b">
        <v>0</v>
      </c>
      <c r="AQ1277" t="s">
        <v>763</v>
      </c>
    </row>
    <row r="1278" spans="1:43" x14ac:dyDescent="0.2">
      <c r="A1278" s="14" t="s">
        <v>500</v>
      </c>
      <c r="B1278" s="17">
        <v>17585933</v>
      </c>
      <c r="C1278" s="14" t="s">
        <v>369</v>
      </c>
      <c r="D1278" s="9">
        <v>17585933</v>
      </c>
      <c r="E1278" s="9" t="s">
        <v>369</v>
      </c>
      <c r="F1278" s="7">
        <v>45689</v>
      </c>
      <c r="G1278" s="20" t="s">
        <v>36</v>
      </c>
      <c r="H1278" s="8">
        <v>921181250</v>
      </c>
      <c r="I1278" s="19">
        <v>921181250</v>
      </c>
      <c r="J1278" s="10">
        <v>23390</v>
      </c>
      <c r="K1278" s="10">
        <v>8230</v>
      </c>
      <c r="L1278" s="10">
        <v>15160</v>
      </c>
      <c r="M1278" s="10">
        <v>0</v>
      </c>
      <c r="N1278" s="11">
        <v>15160</v>
      </c>
      <c r="O1278" s="12">
        <v>921181250</v>
      </c>
      <c r="P1278" s="9">
        <v>285123</v>
      </c>
      <c r="Q1278" s="9" t="s">
        <v>37</v>
      </c>
      <c r="R1278" s="13">
        <v>45715</v>
      </c>
      <c r="S1278" s="22">
        <v>45715</v>
      </c>
      <c r="T1278" s="13">
        <v>45715</v>
      </c>
      <c r="U1278" s="13">
        <v>45715</v>
      </c>
      <c r="V1278" s="9" t="s">
        <v>47</v>
      </c>
      <c r="W1278" s="9">
        <v>22646473</v>
      </c>
      <c r="X1278" s="9">
        <v>3041018</v>
      </c>
      <c r="Y1278" s="9">
        <v>68953409</v>
      </c>
      <c r="Z1278" s="9" t="s">
        <v>39</v>
      </c>
      <c r="AA1278" s="9">
        <v>2032025</v>
      </c>
      <c r="AB1278" s="9">
        <v>77760</v>
      </c>
      <c r="AC1278" s="9" t="s">
        <v>41</v>
      </c>
      <c r="AD1278" s="9" t="s">
        <v>65</v>
      </c>
      <c r="AE1278" s="9" t="s">
        <v>66</v>
      </c>
      <c r="AF1278" s="9" t="s">
        <v>66</v>
      </c>
      <c r="AG1278" s="14" t="str">
        <f t="shared" si="42"/>
        <v>PROCEDIMIENTOS TERAPEUTICOS</v>
      </c>
      <c r="AH1278" s="9" t="s">
        <v>758</v>
      </c>
      <c r="AI1278" s="9">
        <v>0</v>
      </c>
      <c r="AJ1278" s="9">
        <v>96852530</v>
      </c>
      <c r="AK1278" s="9">
        <v>1</v>
      </c>
      <c r="AL1278" s="26" t="s">
        <v>62</v>
      </c>
      <c r="AM1278" s="14" t="s">
        <v>665</v>
      </c>
      <c r="AN1278" s="27" t="str">
        <f t="shared" si="41"/>
        <v>17585933|96852530|921181250|921181250</v>
      </c>
      <c r="AO1278" t="s">
        <v>758</v>
      </c>
      <c r="AP1278" t="b">
        <v>1</v>
      </c>
      <c r="AQ1278" t="s">
        <v>764</v>
      </c>
    </row>
    <row r="1279" spans="1:43" x14ac:dyDescent="0.2">
      <c r="A1279" s="14" t="s">
        <v>500</v>
      </c>
      <c r="B1279" s="17">
        <v>17585933</v>
      </c>
      <c r="C1279" s="14" t="s">
        <v>369</v>
      </c>
      <c r="D1279" s="9">
        <v>17585933</v>
      </c>
      <c r="E1279" s="9" t="s">
        <v>369</v>
      </c>
      <c r="F1279" s="7">
        <v>45717</v>
      </c>
      <c r="G1279" s="20" t="s">
        <v>46</v>
      </c>
      <c r="H1279" s="8">
        <v>921181250</v>
      </c>
      <c r="I1279" s="19">
        <v>65384425</v>
      </c>
      <c r="J1279" s="10">
        <v>13135</v>
      </c>
      <c r="K1279" s="10">
        <v>0</v>
      </c>
      <c r="L1279" s="10">
        <v>13135</v>
      </c>
      <c r="M1279" s="10">
        <v>0</v>
      </c>
      <c r="N1279" s="11">
        <v>13135</v>
      </c>
      <c r="O1279" s="12">
        <v>921181250</v>
      </c>
      <c r="P1279" s="9">
        <v>285123</v>
      </c>
      <c r="Q1279" s="9" t="s">
        <v>37</v>
      </c>
      <c r="R1279" s="13">
        <v>45717</v>
      </c>
      <c r="S1279" s="22">
        <v>45742</v>
      </c>
      <c r="T1279" s="13">
        <v>45715</v>
      </c>
      <c r="U1279" s="13">
        <v>45715</v>
      </c>
      <c r="V1279" s="9" t="s">
        <v>47</v>
      </c>
      <c r="W1279" s="9">
        <v>22770741</v>
      </c>
      <c r="X1279" s="9">
        <v>3311105</v>
      </c>
      <c r="Y1279" s="9">
        <v>69251293</v>
      </c>
      <c r="Z1279" s="9" t="s">
        <v>39</v>
      </c>
      <c r="AA1279" s="9">
        <v>10013857200</v>
      </c>
      <c r="AB1279" s="9">
        <v>78070</v>
      </c>
      <c r="AC1279" s="9" t="s">
        <v>41</v>
      </c>
      <c r="AD1279" s="9" t="s">
        <v>65</v>
      </c>
      <c r="AE1279" s="9" t="s">
        <v>66</v>
      </c>
      <c r="AF1279" s="9" t="s">
        <v>66</v>
      </c>
      <c r="AG1279" s="14" t="str">
        <f t="shared" si="42"/>
        <v>PROCEDIMIENTOS TERAPEUTICOS</v>
      </c>
      <c r="AH1279" s="9">
        <v>0</v>
      </c>
      <c r="AI1279" s="9">
        <v>0</v>
      </c>
      <c r="AJ1279" s="9">
        <v>96852530</v>
      </c>
      <c r="AK1279" s="9">
        <v>1</v>
      </c>
      <c r="AL1279" s="26" t="s">
        <v>52</v>
      </c>
      <c r="AM1279" s="14" t="s">
        <v>665</v>
      </c>
      <c r="AN1279" s="27" t="str">
        <f t="shared" si="41"/>
        <v>17585933|96852530|921181250|65384425</v>
      </c>
      <c r="AO1279" t="s">
        <v>44</v>
      </c>
      <c r="AP1279" t="b">
        <v>0</v>
      </c>
      <c r="AQ1279" t="s">
        <v>763</v>
      </c>
    </row>
    <row r="1280" spans="1:43" x14ac:dyDescent="0.2">
      <c r="A1280" s="14" t="s">
        <v>500</v>
      </c>
      <c r="B1280" s="17">
        <v>10687543</v>
      </c>
      <c r="C1280" s="14" t="s">
        <v>439</v>
      </c>
      <c r="D1280" s="9">
        <v>21615130</v>
      </c>
      <c r="E1280" s="9" t="s">
        <v>440</v>
      </c>
      <c r="F1280" s="7">
        <v>45689</v>
      </c>
      <c r="G1280" s="20" t="s">
        <v>36</v>
      </c>
      <c r="H1280" s="8">
        <v>921207882</v>
      </c>
      <c r="I1280" s="19">
        <v>921207882</v>
      </c>
      <c r="J1280" s="10">
        <v>59040</v>
      </c>
      <c r="K1280" s="10">
        <v>33222</v>
      </c>
      <c r="L1280" s="10">
        <v>25818</v>
      </c>
      <c r="M1280" s="10">
        <v>0</v>
      </c>
      <c r="N1280" s="11">
        <v>25818</v>
      </c>
      <c r="O1280" s="12">
        <v>921207882</v>
      </c>
      <c r="P1280" s="9">
        <v>285123</v>
      </c>
      <c r="Q1280" s="9" t="s">
        <v>37</v>
      </c>
      <c r="R1280" s="13">
        <v>45716</v>
      </c>
      <c r="S1280" s="22">
        <v>45716</v>
      </c>
      <c r="T1280" s="13">
        <v>45716</v>
      </c>
      <c r="U1280" s="13">
        <v>45716</v>
      </c>
      <c r="V1280" s="9" t="s">
        <v>47</v>
      </c>
      <c r="W1280" s="9">
        <v>22646488</v>
      </c>
      <c r="X1280" s="9">
        <v>3041018</v>
      </c>
      <c r="Y1280" s="9">
        <v>68953555</v>
      </c>
      <c r="Z1280" s="9" t="s">
        <v>39</v>
      </c>
      <c r="AA1280" s="9">
        <v>2032025</v>
      </c>
      <c r="AB1280" s="9">
        <v>77760</v>
      </c>
      <c r="AC1280" s="9" t="s">
        <v>41</v>
      </c>
      <c r="AD1280" s="9" t="s">
        <v>132</v>
      </c>
      <c r="AE1280" s="9" t="s">
        <v>133</v>
      </c>
      <c r="AF1280" s="9" t="s">
        <v>133</v>
      </c>
      <c r="AG1280" s="14" t="str">
        <f t="shared" si="42"/>
        <v>EXAMENES DE LABORATORIO</v>
      </c>
      <c r="AH1280" s="9" t="s">
        <v>758</v>
      </c>
      <c r="AI1280" s="9">
        <v>0</v>
      </c>
      <c r="AJ1280" s="9">
        <v>88434100</v>
      </c>
      <c r="AK1280" s="9">
        <v>0</v>
      </c>
      <c r="AL1280" s="26" t="s">
        <v>62</v>
      </c>
      <c r="AM1280" s="14" t="s">
        <v>716</v>
      </c>
      <c r="AN1280" s="27" t="str">
        <f t="shared" si="41"/>
        <v>10687543|88434100|921207882|921207882</v>
      </c>
      <c r="AO1280" t="s">
        <v>758</v>
      </c>
      <c r="AP1280" t="b">
        <v>1</v>
      </c>
      <c r="AQ1280" t="s">
        <v>764</v>
      </c>
    </row>
    <row r="1281" spans="1:43" x14ac:dyDescent="0.2">
      <c r="A1281" s="14" t="s">
        <v>500</v>
      </c>
      <c r="B1281" s="17">
        <v>10687543</v>
      </c>
      <c r="C1281" s="14" t="s">
        <v>439</v>
      </c>
      <c r="D1281" s="9">
        <v>21615130</v>
      </c>
      <c r="E1281" s="9" t="s">
        <v>440</v>
      </c>
      <c r="F1281" s="7">
        <v>45717</v>
      </c>
      <c r="G1281" s="20" t="s">
        <v>46</v>
      </c>
      <c r="H1281" s="8">
        <v>921207882</v>
      </c>
      <c r="I1281" s="19">
        <v>65383892</v>
      </c>
      <c r="J1281" s="10">
        <v>20868</v>
      </c>
      <c r="K1281" s="10">
        <v>0</v>
      </c>
      <c r="L1281" s="10">
        <v>20868</v>
      </c>
      <c r="M1281" s="10">
        <v>0</v>
      </c>
      <c r="N1281" s="11">
        <v>20868</v>
      </c>
      <c r="O1281" s="12">
        <v>921207882</v>
      </c>
      <c r="P1281" s="9">
        <v>285123</v>
      </c>
      <c r="Q1281" s="9" t="s">
        <v>37</v>
      </c>
      <c r="R1281" s="13">
        <v>45717</v>
      </c>
      <c r="S1281" s="22">
        <v>45742</v>
      </c>
      <c r="T1281" s="13">
        <v>45716</v>
      </c>
      <c r="U1281" s="13">
        <v>45716</v>
      </c>
      <c r="V1281" s="9" t="s">
        <v>47</v>
      </c>
      <c r="W1281" s="9">
        <v>22770746</v>
      </c>
      <c r="X1281" s="9">
        <v>3311105</v>
      </c>
      <c r="Y1281" s="9">
        <v>69250781</v>
      </c>
      <c r="Z1281" s="9" t="s">
        <v>39</v>
      </c>
      <c r="AA1281" s="9">
        <v>3230767</v>
      </c>
      <c r="AB1281" s="9">
        <v>78070</v>
      </c>
      <c r="AC1281" s="9" t="s">
        <v>41</v>
      </c>
      <c r="AD1281" s="9" t="s">
        <v>132</v>
      </c>
      <c r="AE1281" s="9" t="s">
        <v>133</v>
      </c>
      <c r="AF1281" s="9" t="s">
        <v>133</v>
      </c>
      <c r="AG1281" s="14" t="str">
        <f t="shared" si="42"/>
        <v>EXAMENES DE LABORATORIO</v>
      </c>
      <c r="AH1281" s="9">
        <v>0</v>
      </c>
      <c r="AI1281" s="9">
        <v>0</v>
      </c>
      <c r="AJ1281" s="9">
        <v>88434100</v>
      </c>
      <c r="AK1281" s="9">
        <v>0</v>
      </c>
      <c r="AL1281" s="26" t="s">
        <v>52</v>
      </c>
      <c r="AM1281" s="14" t="s">
        <v>716</v>
      </c>
      <c r="AN1281" s="27" t="str">
        <f t="shared" si="41"/>
        <v>10687543|88434100|921207882|65383892</v>
      </c>
      <c r="AO1281" t="s">
        <v>44</v>
      </c>
      <c r="AP1281" t="b">
        <v>0</v>
      </c>
      <c r="AQ1281" t="s">
        <v>763</v>
      </c>
    </row>
    <row r="1282" spans="1:43" x14ac:dyDescent="0.2">
      <c r="A1282" s="14" t="s">
        <v>500</v>
      </c>
      <c r="B1282" s="17">
        <v>10687543</v>
      </c>
      <c r="C1282" s="14" t="s">
        <v>439</v>
      </c>
      <c r="D1282" s="9">
        <v>21615130</v>
      </c>
      <c r="E1282" s="9" t="s">
        <v>440</v>
      </c>
      <c r="F1282" s="7">
        <v>45689</v>
      </c>
      <c r="G1282" s="20" t="s">
        <v>36</v>
      </c>
      <c r="H1282" s="8">
        <v>921207883</v>
      </c>
      <c r="I1282" s="19">
        <v>921207883</v>
      </c>
      <c r="J1282" s="10">
        <v>15570</v>
      </c>
      <c r="K1282" s="10">
        <v>8764</v>
      </c>
      <c r="L1282" s="10">
        <v>6806</v>
      </c>
      <c r="M1282" s="10">
        <v>0</v>
      </c>
      <c r="N1282" s="11">
        <v>6806</v>
      </c>
      <c r="O1282" s="12">
        <v>921207883</v>
      </c>
      <c r="P1282" s="9">
        <v>285123</v>
      </c>
      <c r="Q1282" s="9" t="s">
        <v>37</v>
      </c>
      <c r="R1282" s="13">
        <v>45716</v>
      </c>
      <c r="S1282" s="22">
        <v>45716</v>
      </c>
      <c r="T1282" s="13">
        <v>45716</v>
      </c>
      <c r="U1282" s="13">
        <v>45716</v>
      </c>
      <c r="V1282" s="9" t="s">
        <v>47</v>
      </c>
      <c r="W1282" s="9">
        <v>22646488</v>
      </c>
      <c r="X1282" s="9">
        <v>3041018</v>
      </c>
      <c r="Y1282" s="9">
        <v>68953554</v>
      </c>
      <c r="Z1282" s="9" t="s">
        <v>39</v>
      </c>
      <c r="AA1282" s="9">
        <v>2032025</v>
      </c>
      <c r="AB1282" s="9">
        <v>77760</v>
      </c>
      <c r="AC1282" s="9" t="s">
        <v>41</v>
      </c>
      <c r="AD1282" s="9" t="s">
        <v>132</v>
      </c>
      <c r="AE1282" s="9" t="s">
        <v>133</v>
      </c>
      <c r="AF1282" s="9" t="s">
        <v>133</v>
      </c>
      <c r="AG1282" s="14" t="str">
        <f t="shared" si="42"/>
        <v>EXAMENES DE LABORATORIO</v>
      </c>
      <c r="AH1282" s="9" t="s">
        <v>758</v>
      </c>
      <c r="AI1282" s="9">
        <v>0</v>
      </c>
      <c r="AJ1282" s="9">
        <v>88434100</v>
      </c>
      <c r="AK1282" s="9">
        <v>0</v>
      </c>
      <c r="AL1282" s="26" t="s">
        <v>62</v>
      </c>
      <c r="AM1282" s="14" t="s">
        <v>716</v>
      </c>
      <c r="AN1282" s="27" t="str">
        <f t="shared" si="41"/>
        <v>10687543|88434100|921207883|921207883</v>
      </c>
      <c r="AO1282" t="s">
        <v>758</v>
      </c>
      <c r="AP1282" t="b">
        <v>1</v>
      </c>
      <c r="AQ1282" t="s">
        <v>764</v>
      </c>
    </row>
    <row r="1283" spans="1:43" x14ac:dyDescent="0.2">
      <c r="A1283" s="14" t="s">
        <v>500</v>
      </c>
      <c r="B1283" s="17">
        <v>10687543</v>
      </c>
      <c r="C1283" s="14" t="s">
        <v>439</v>
      </c>
      <c r="D1283" s="9">
        <v>21615130</v>
      </c>
      <c r="E1283" s="9" t="s">
        <v>440</v>
      </c>
      <c r="F1283" s="7">
        <v>45717</v>
      </c>
      <c r="G1283" s="20" t="s">
        <v>46</v>
      </c>
      <c r="H1283" s="8">
        <v>921207883</v>
      </c>
      <c r="I1283" s="19">
        <v>65383893</v>
      </c>
      <c r="J1283" s="10">
        <v>5020</v>
      </c>
      <c r="K1283" s="10">
        <v>0</v>
      </c>
      <c r="L1283" s="10">
        <v>5020</v>
      </c>
      <c r="M1283" s="10">
        <v>0</v>
      </c>
      <c r="N1283" s="11">
        <v>5020</v>
      </c>
      <c r="O1283" s="12">
        <v>921207883</v>
      </c>
      <c r="P1283" s="9">
        <v>285123</v>
      </c>
      <c r="Q1283" s="9" t="s">
        <v>37</v>
      </c>
      <c r="R1283" s="13">
        <v>45717</v>
      </c>
      <c r="S1283" s="22">
        <v>45742</v>
      </c>
      <c r="T1283" s="13">
        <v>45716</v>
      </c>
      <c r="U1283" s="13">
        <v>45716</v>
      </c>
      <c r="V1283" s="9" t="s">
        <v>47</v>
      </c>
      <c r="W1283" s="9">
        <v>22770746</v>
      </c>
      <c r="X1283" s="9">
        <v>3311105</v>
      </c>
      <c r="Y1283" s="9">
        <v>69250782</v>
      </c>
      <c r="Z1283" s="9" t="s">
        <v>39</v>
      </c>
      <c r="AA1283" s="9">
        <v>3230767</v>
      </c>
      <c r="AB1283" s="9">
        <v>78070</v>
      </c>
      <c r="AC1283" s="9" t="s">
        <v>41</v>
      </c>
      <c r="AD1283" s="9" t="s">
        <v>132</v>
      </c>
      <c r="AE1283" s="9" t="s">
        <v>133</v>
      </c>
      <c r="AF1283" s="9" t="s">
        <v>133</v>
      </c>
      <c r="AG1283" s="14" t="str">
        <f t="shared" si="42"/>
        <v>EXAMENES DE LABORATORIO</v>
      </c>
      <c r="AH1283" s="9">
        <v>0</v>
      </c>
      <c r="AI1283" s="9">
        <v>0</v>
      </c>
      <c r="AJ1283" s="9">
        <v>88434100</v>
      </c>
      <c r="AK1283" s="9">
        <v>0</v>
      </c>
      <c r="AL1283" s="26" t="s">
        <v>52</v>
      </c>
      <c r="AM1283" s="14" t="s">
        <v>716</v>
      </c>
      <c r="AN1283" s="27" t="str">
        <f t="shared" ref="AN1283:AN1346" si="43">B1283&amp;"|"&amp;AJ1283&amp;"|"&amp;H1283&amp;"|"&amp;I1283</f>
        <v>10687543|88434100|921207883|65383893</v>
      </c>
      <c r="AO1283" t="s">
        <v>44</v>
      </c>
      <c r="AP1283" t="b">
        <v>0</v>
      </c>
      <c r="AQ1283" t="s">
        <v>763</v>
      </c>
    </row>
    <row r="1284" spans="1:43" x14ac:dyDescent="0.2">
      <c r="A1284" s="14" t="s">
        <v>500</v>
      </c>
      <c r="B1284" s="17">
        <v>10687543</v>
      </c>
      <c r="C1284" s="14" t="s">
        <v>439</v>
      </c>
      <c r="D1284" s="9">
        <v>21615130</v>
      </c>
      <c r="E1284" s="9" t="s">
        <v>440</v>
      </c>
      <c r="F1284" s="7">
        <v>45689</v>
      </c>
      <c r="G1284" s="20" t="s">
        <v>36</v>
      </c>
      <c r="H1284" s="8">
        <v>921207884</v>
      </c>
      <c r="I1284" s="19">
        <v>921207884</v>
      </c>
      <c r="J1284" s="10">
        <v>1360</v>
      </c>
      <c r="K1284" s="10">
        <v>770</v>
      </c>
      <c r="L1284" s="10">
        <v>590</v>
      </c>
      <c r="M1284" s="10">
        <v>0</v>
      </c>
      <c r="N1284" s="11">
        <v>590</v>
      </c>
      <c r="O1284" s="12">
        <v>921207884</v>
      </c>
      <c r="P1284" s="9">
        <v>285123</v>
      </c>
      <c r="Q1284" s="9" t="s">
        <v>37</v>
      </c>
      <c r="R1284" s="13">
        <v>45716</v>
      </c>
      <c r="S1284" s="22">
        <v>45716</v>
      </c>
      <c r="T1284" s="13">
        <v>45716</v>
      </c>
      <c r="U1284" s="13">
        <v>45716</v>
      </c>
      <c r="V1284" s="9" t="s">
        <v>47</v>
      </c>
      <c r="W1284" s="9">
        <v>22646488</v>
      </c>
      <c r="X1284" s="9">
        <v>3041018</v>
      </c>
      <c r="Y1284" s="9">
        <v>68953553</v>
      </c>
      <c r="Z1284" s="9" t="s">
        <v>39</v>
      </c>
      <c r="AA1284" s="9">
        <v>2032025</v>
      </c>
      <c r="AB1284" s="9">
        <v>77760</v>
      </c>
      <c r="AC1284" s="9" t="s">
        <v>41</v>
      </c>
      <c r="AD1284" s="9" t="s">
        <v>132</v>
      </c>
      <c r="AE1284" s="9" t="s">
        <v>133</v>
      </c>
      <c r="AF1284" s="9" t="s">
        <v>133</v>
      </c>
      <c r="AG1284" s="14" t="str">
        <f t="shared" si="42"/>
        <v>EXAMENES DE LABORATORIO</v>
      </c>
      <c r="AH1284" s="9" t="s">
        <v>758</v>
      </c>
      <c r="AI1284" s="9">
        <v>0</v>
      </c>
      <c r="AJ1284" s="9">
        <v>88434100</v>
      </c>
      <c r="AK1284" s="9">
        <v>0</v>
      </c>
      <c r="AL1284" s="26" t="s">
        <v>62</v>
      </c>
      <c r="AM1284" s="14" t="s">
        <v>716</v>
      </c>
      <c r="AN1284" s="27" t="str">
        <f t="shared" si="43"/>
        <v>10687543|88434100|921207884|921207884</v>
      </c>
      <c r="AO1284" t="s">
        <v>758</v>
      </c>
      <c r="AP1284" t="b">
        <v>1</v>
      </c>
      <c r="AQ1284" t="s">
        <v>764</v>
      </c>
    </row>
    <row r="1285" spans="1:43" x14ac:dyDescent="0.2">
      <c r="A1285" s="14" t="s">
        <v>500</v>
      </c>
      <c r="B1285" s="17">
        <v>10687543</v>
      </c>
      <c r="C1285" s="14" t="s">
        <v>439</v>
      </c>
      <c r="D1285" s="9">
        <v>21615130</v>
      </c>
      <c r="E1285" s="9" t="s">
        <v>440</v>
      </c>
      <c r="F1285" s="7">
        <v>45717</v>
      </c>
      <c r="G1285" s="20" t="s">
        <v>46</v>
      </c>
      <c r="H1285" s="8">
        <v>921207884</v>
      </c>
      <c r="I1285" s="19">
        <v>65383894</v>
      </c>
      <c r="J1285" s="10">
        <v>386</v>
      </c>
      <c r="K1285" s="10">
        <v>0</v>
      </c>
      <c r="L1285" s="10">
        <v>386</v>
      </c>
      <c r="M1285" s="10">
        <v>0</v>
      </c>
      <c r="N1285" s="11">
        <v>386</v>
      </c>
      <c r="O1285" s="12">
        <v>921207884</v>
      </c>
      <c r="P1285" s="9">
        <v>285123</v>
      </c>
      <c r="Q1285" s="9" t="s">
        <v>37</v>
      </c>
      <c r="R1285" s="13">
        <v>45717</v>
      </c>
      <c r="S1285" s="22">
        <v>45742</v>
      </c>
      <c r="T1285" s="13">
        <v>45716</v>
      </c>
      <c r="U1285" s="13">
        <v>45716</v>
      </c>
      <c r="V1285" s="9" t="s">
        <v>47</v>
      </c>
      <c r="W1285" s="9">
        <v>22770746</v>
      </c>
      <c r="X1285" s="9">
        <v>3311105</v>
      </c>
      <c r="Y1285" s="9">
        <v>69250783</v>
      </c>
      <c r="Z1285" s="9" t="s">
        <v>39</v>
      </c>
      <c r="AA1285" s="9">
        <v>3230767</v>
      </c>
      <c r="AB1285" s="9">
        <v>78070</v>
      </c>
      <c r="AC1285" s="9" t="s">
        <v>41</v>
      </c>
      <c r="AD1285" s="9" t="s">
        <v>132</v>
      </c>
      <c r="AE1285" s="9" t="s">
        <v>133</v>
      </c>
      <c r="AF1285" s="9" t="s">
        <v>133</v>
      </c>
      <c r="AG1285" s="14" t="str">
        <f t="shared" si="42"/>
        <v>EXAMENES DE LABORATORIO</v>
      </c>
      <c r="AH1285" s="9">
        <v>0</v>
      </c>
      <c r="AI1285" s="9">
        <v>0</v>
      </c>
      <c r="AJ1285" s="9">
        <v>88434100</v>
      </c>
      <c r="AK1285" s="9">
        <v>0</v>
      </c>
      <c r="AL1285" s="26" t="s">
        <v>52</v>
      </c>
      <c r="AM1285" s="14" t="s">
        <v>716</v>
      </c>
      <c r="AN1285" s="27" t="str">
        <f t="shared" si="43"/>
        <v>10687543|88434100|921207884|65383894</v>
      </c>
      <c r="AO1285" t="s">
        <v>44</v>
      </c>
      <c r="AP1285" t="b">
        <v>0</v>
      </c>
      <c r="AQ1285" t="s">
        <v>763</v>
      </c>
    </row>
    <row r="1286" spans="1:43" x14ac:dyDescent="0.2">
      <c r="A1286" s="14" t="s">
        <v>500</v>
      </c>
      <c r="B1286" s="17">
        <v>18706804</v>
      </c>
      <c r="C1286" s="14" t="s">
        <v>441</v>
      </c>
      <c r="D1286" s="9">
        <v>18706804</v>
      </c>
      <c r="E1286" s="9" t="s">
        <v>441</v>
      </c>
      <c r="F1286" s="7">
        <v>45689</v>
      </c>
      <c r="G1286" s="20" t="s">
        <v>36</v>
      </c>
      <c r="H1286" s="8">
        <v>921222747</v>
      </c>
      <c r="I1286" s="19">
        <v>921222747</v>
      </c>
      <c r="J1286" s="10">
        <v>29810</v>
      </c>
      <c r="K1286" s="10">
        <v>9320</v>
      </c>
      <c r="L1286" s="10">
        <v>20490</v>
      </c>
      <c r="M1286" s="10">
        <v>0</v>
      </c>
      <c r="N1286" s="11">
        <v>20490</v>
      </c>
      <c r="O1286" s="12">
        <v>921222747</v>
      </c>
      <c r="P1286" s="9">
        <v>285123</v>
      </c>
      <c r="Q1286" s="9" t="s">
        <v>37</v>
      </c>
      <c r="R1286" s="13">
        <v>45716</v>
      </c>
      <c r="S1286" s="22">
        <v>45716</v>
      </c>
      <c r="T1286" s="13">
        <v>45716</v>
      </c>
      <c r="U1286" s="13">
        <v>45716</v>
      </c>
      <c r="V1286" s="9" t="s">
        <v>47</v>
      </c>
      <c r="W1286" s="9">
        <v>22646527</v>
      </c>
      <c r="X1286" s="9">
        <v>3041018</v>
      </c>
      <c r="Y1286" s="9">
        <v>68953621</v>
      </c>
      <c r="Z1286" s="9" t="s">
        <v>39</v>
      </c>
      <c r="AA1286" s="9">
        <v>2032025</v>
      </c>
      <c r="AB1286" s="9">
        <v>77760</v>
      </c>
      <c r="AC1286" s="9" t="s">
        <v>41</v>
      </c>
      <c r="AD1286" s="9" t="s">
        <v>132</v>
      </c>
      <c r="AE1286" s="9" t="s">
        <v>133</v>
      </c>
      <c r="AF1286" s="9" t="s">
        <v>133</v>
      </c>
      <c r="AG1286" s="14" t="str">
        <f t="shared" si="42"/>
        <v>EXAMENES DE LABORATORIO</v>
      </c>
      <c r="AH1286" s="9" t="s">
        <v>758</v>
      </c>
      <c r="AI1286" s="9">
        <v>0</v>
      </c>
      <c r="AJ1286" s="9">
        <v>79749170</v>
      </c>
      <c r="AK1286" s="9">
        <v>5</v>
      </c>
      <c r="AL1286" s="26" t="s">
        <v>62</v>
      </c>
      <c r="AM1286" s="14" t="s">
        <v>717</v>
      </c>
      <c r="AN1286" s="27" t="str">
        <f t="shared" si="43"/>
        <v>18706804|79749170|921222747|921222747</v>
      </c>
      <c r="AO1286" t="s">
        <v>758</v>
      </c>
      <c r="AP1286" t="b">
        <v>1</v>
      </c>
      <c r="AQ1286" t="s">
        <v>764</v>
      </c>
    </row>
    <row r="1287" spans="1:43" x14ac:dyDescent="0.2">
      <c r="A1287" s="14" t="s">
        <v>500</v>
      </c>
      <c r="B1287" s="17">
        <v>18706804</v>
      </c>
      <c r="C1287" s="14" t="s">
        <v>441</v>
      </c>
      <c r="D1287" s="9">
        <v>18706804</v>
      </c>
      <c r="E1287" s="9" t="s">
        <v>441</v>
      </c>
      <c r="F1287" s="7">
        <v>45717</v>
      </c>
      <c r="G1287" s="20" t="s">
        <v>46</v>
      </c>
      <c r="H1287" s="8">
        <v>921222747</v>
      </c>
      <c r="I1287" s="19">
        <v>65384467</v>
      </c>
      <c r="J1287" s="10">
        <v>17389</v>
      </c>
      <c r="K1287" s="10">
        <v>0</v>
      </c>
      <c r="L1287" s="10">
        <v>17389</v>
      </c>
      <c r="M1287" s="10">
        <v>0</v>
      </c>
      <c r="N1287" s="11">
        <v>17389</v>
      </c>
      <c r="O1287" s="12">
        <v>921222747</v>
      </c>
      <c r="P1287" s="9">
        <v>285123</v>
      </c>
      <c r="Q1287" s="9" t="s">
        <v>37</v>
      </c>
      <c r="R1287" s="13">
        <v>45717</v>
      </c>
      <c r="S1287" s="22">
        <v>45742</v>
      </c>
      <c r="T1287" s="13">
        <v>45716</v>
      </c>
      <c r="U1287" s="13">
        <v>45716</v>
      </c>
      <c r="V1287" s="9" t="s">
        <v>47</v>
      </c>
      <c r="W1287" s="9">
        <v>22770752</v>
      </c>
      <c r="X1287" s="9">
        <v>3311105</v>
      </c>
      <c r="Y1287" s="9">
        <v>69251333</v>
      </c>
      <c r="Z1287" s="9" t="s">
        <v>39</v>
      </c>
      <c r="AA1287" s="9">
        <v>101023150</v>
      </c>
      <c r="AB1287" s="9">
        <v>78070</v>
      </c>
      <c r="AC1287" s="9" t="s">
        <v>41</v>
      </c>
      <c r="AD1287" s="9" t="s">
        <v>132</v>
      </c>
      <c r="AE1287" s="9" t="s">
        <v>133</v>
      </c>
      <c r="AF1287" s="9" t="s">
        <v>133</v>
      </c>
      <c r="AG1287" s="14" t="str">
        <f t="shared" si="42"/>
        <v>EXAMENES DE LABORATORIO</v>
      </c>
      <c r="AH1287" s="9">
        <v>0</v>
      </c>
      <c r="AI1287" s="9">
        <v>0</v>
      </c>
      <c r="AJ1287" s="9">
        <v>79749170</v>
      </c>
      <c r="AK1287" s="9">
        <v>5</v>
      </c>
      <c r="AL1287" s="26" t="s">
        <v>52</v>
      </c>
      <c r="AM1287" s="14" t="s">
        <v>717</v>
      </c>
      <c r="AN1287" s="27" t="str">
        <f t="shared" si="43"/>
        <v>18706804|79749170|921222747|65384467</v>
      </c>
      <c r="AO1287" t="s">
        <v>44</v>
      </c>
      <c r="AP1287" t="b">
        <v>0</v>
      </c>
      <c r="AQ1287" t="s">
        <v>763</v>
      </c>
    </row>
    <row r="1288" spans="1:43" x14ac:dyDescent="0.2">
      <c r="A1288" s="14" t="s">
        <v>500</v>
      </c>
      <c r="B1288" s="17">
        <v>18706804</v>
      </c>
      <c r="C1288" s="14" t="s">
        <v>441</v>
      </c>
      <c r="D1288" s="9">
        <v>18706804</v>
      </c>
      <c r="E1288" s="9" t="s">
        <v>441</v>
      </c>
      <c r="F1288" s="7">
        <v>45689</v>
      </c>
      <c r="G1288" s="20" t="s">
        <v>36</v>
      </c>
      <c r="H1288" s="8">
        <v>921222748</v>
      </c>
      <c r="I1288" s="19">
        <v>921222748</v>
      </c>
      <c r="J1288" s="10">
        <v>72250</v>
      </c>
      <c r="K1288" s="10">
        <v>22590</v>
      </c>
      <c r="L1288" s="10">
        <v>49660</v>
      </c>
      <c r="M1288" s="10">
        <v>0</v>
      </c>
      <c r="N1288" s="11">
        <v>49660</v>
      </c>
      <c r="O1288" s="12">
        <v>921222748</v>
      </c>
      <c r="P1288" s="9">
        <v>285123</v>
      </c>
      <c r="Q1288" s="9" t="s">
        <v>37</v>
      </c>
      <c r="R1288" s="13">
        <v>45716</v>
      </c>
      <c r="S1288" s="22">
        <v>45716</v>
      </c>
      <c r="T1288" s="13">
        <v>45716</v>
      </c>
      <c r="U1288" s="13">
        <v>45716</v>
      </c>
      <c r="V1288" s="9" t="s">
        <v>47</v>
      </c>
      <c r="W1288" s="9">
        <v>22646527</v>
      </c>
      <c r="X1288" s="9">
        <v>3041018</v>
      </c>
      <c r="Y1288" s="9">
        <v>68953620</v>
      </c>
      <c r="Z1288" s="9" t="s">
        <v>39</v>
      </c>
      <c r="AA1288" s="9">
        <v>2032025</v>
      </c>
      <c r="AB1288" s="9">
        <v>77760</v>
      </c>
      <c r="AC1288" s="9" t="s">
        <v>41</v>
      </c>
      <c r="AD1288" s="9" t="s">
        <v>132</v>
      </c>
      <c r="AE1288" s="9" t="s">
        <v>133</v>
      </c>
      <c r="AF1288" s="9" t="s">
        <v>133</v>
      </c>
      <c r="AG1288" s="14" t="str">
        <f t="shared" si="42"/>
        <v>EXAMENES DE LABORATORIO</v>
      </c>
      <c r="AH1288" s="9" t="s">
        <v>758</v>
      </c>
      <c r="AI1288" s="9">
        <v>0</v>
      </c>
      <c r="AJ1288" s="9">
        <v>79749170</v>
      </c>
      <c r="AK1288" s="9">
        <v>5</v>
      </c>
      <c r="AL1288" s="26" t="s">
        <v>62</v>
      </c>
      <c r="AM1288" s="14" t="s">
        <v>717</v>
      </c>
      <c r="AN1288" s="27" t="str">
        <f t="shared" si="43"/>
        <v>18706804|79749170|921222748|921222748</v>
      </c>
      <c r="AO1288" t="s">
        <v>758</v>
      </c>
      <c r="AP1288" t="b">
        <v>1</v>
      </c>
      <c r="AQ1288" t="s">
        <v>764</v>
      </c>
    </row>
    <row r="1289" spans="1:43" x14ac:dyDescent="0.2">
      <c r="A1289" s="14" t="s">
        <v>500</v>
      </c>
      <c r="B1289" s="17">
        <v>18706804</v>
      </c>
      <c r="C1289" s="14" t="s">
        <v>441</v>
      </c>
      <c r="D1289" s="9">
        <v>18706804</v>
      </c>
      <c r="E1289" s="9" t="s">
        <v>441</v>
      </c>
      <c r="F1289" s="7">
        <v>45717</v>
      </c>
      <c r="G1289" s="20" t="s">
        <v>46</v>
      </c>
      <c r="H1289" s="8">
        <v>921222748</v>
      </c>
      <c r="I1289" s="19">
        <v>65384468</v>
      </c>
      <c r="J1289" s="10">
        <v>42897</v>
      </c>
      <c r="K1289" s="10">
        <v>0</v>
      </c>
      <c r="L1289" s="10">
        <v>42897</v>
      </c>
      <c r="M1289" s="10">
        <v>0</v>
      </c>
      <c r="N1289" s="11">
        <v>42897</v>
      </c>
      <c r="O1289" s="12">
        <v>921222748</v>
      </c>
      <c r="P1289" s="9">
        <v>285123</v>
      </c>
      <c r="Q1289" s="9" t="s">
        <v>37</v>
      </c>
      <c r="R1289" s="13">
        <v>45717</v>
      </c>
      <c r="S1289" s="22">
        <v>45742</v>
      </c>
      <c r="T1289" s="13">
        <v>45716</v>
      </c>
      <c r="U1289" s="13">
        <v>45716</v>
      </c>
      <c r="V1289" s="9" t="s">
        <v>47</v>
      </c>
      <c r="W1289" s="9">
        <v>22770752</v>
      </c>
      <c r="X1289" s="9">
        <v>3311105</v>
      </c>
      <c r="Y1289" s="9">
        <v>69251334</v>
      </c>
      <c r="Z1289" s="9" t="s">
        <v>39</v>
      </c>
      <c r="AA1289" s="9">
        <v>101023150</v>
      </c>
      <c r="AB1289" s="9">
        <v>78070</v>
      </c>
      <c r="AC1289" s="9" t="s">
        <v>41</v>
      </c>
      <c r="AD1289" s="9" t="s">
        <v>132</v>
      </c>
      <c r="AE1289" s="9" t="s">
        <v>133</v>
      </c>
      <c r="AF1289" s="9" t="s">
        <v>133</v>
      </c>
      <c r="AG1289" s="14" t="str">
        <f t="shared" si="42"/>
        <v>EXAMENES DE LABORATORIO</v>
      </c>
      <c r="AH1289" s="9">
        <v>0</v>
      </c>
      <c r="AI1289" s="9">
        <v>0</v>
      </c>
      <c r="AJ1289" s="9">
        <v>79749170</v>
      </c>
      <c r="AK1289" s="9">
        <v>5</v>
      </c>
      <c r="AL1289" s="26" t="s">
        <v>52</v>
      </c>
      <c r="AM1289" s="14" t="s">
        <v>717</v>
      </c>
      <c r="AN1289" s="27" t="str">
        <f t="shared" si="43"/>
        <v>18706804|79749170|921222748|65384468</v>
      </c>
      <c r="AO1289" t="s">
        <v>44</v>
      </c>
      <c r="AP1289" t="b">
        <v>0</v>
      </c>
      <c r="AQ1289" t="s">
        <v>763</v>
      </c>
    </row>
    <row r="1290" spans="1:43" x14ac:dyDescent="0.2">
      <c r="A1290" s="14" t="s">
        <v>500</v>
      </c>
      <c r="B1290" s="17">
        <v>18706804</v>
      </c>
      <c r="C1290" s="14" t="s">
        <v>441</v>
      </c>
      <c r="D1290" s="9">
        <v>18706804</v>
      </c>
      <c r="E1290" s="9" t="s">
        <v>441</v>
      </c>
      <c r="F1290" s="7">
        <v>45689</v>
      </c>
      <c r="G1290" s="20" t="s">
        <v>36</v>
      </c>
      <c r="H1290" s="8">
        <v>921222749</v>
      </c>
      <c r="I1290" s="19">
        <v>921222749</v>
      </c>
      <c r="J1290" s="10">
        <v>16110</v>
      </c>
      <c r="K1290" s="10">
        <v>5040</v>
      </c>
      <c r="L1290" s="10">
        <v>11070</v>
      </c>
      <c r="M1290" s="10">
        <v>0</v>
      </c>
      <c r="N1290" s="11">
        <v>11070</v>
      </c>
      <c r="O1290" s="12">
        <v>921222749</v>
      </c>
      <c r="P1290" s="9">
        <v>285123</v>
      </c>
      <c r="Q1290" s="9" t="s">
        <v>37</v>
      </c>
      <c r="R1290" s="13">
        <v>45716</v>
      </c>
      <c r="S1290" s="22">
        <v>45716</v>
      </c>
      <c r="T1290" s="13">
        <v>45716</v>
      </c>
      <c r="U1290" s="13">
        <v>45716</v>
      </c>
      <c r="V1290" s="9" t="s">
        <v>47</v>
      </c>
      <c r="W1290" s="9">
        <v>22646527</v>
      </c>
      <c r="X1290" s="9">
        <v>3041018</v>
      </c>
      <c r="Y1290" s="9">
        <v>68953619</v>
      </c>
      <c r="Z1290" s="9" t="s">
        <v>39</v>
      </c>
      <c r="AA1290" s="9">
        <v>2032025</v>
      </c>
      <c r="AB1290" s="9">
        <v>77760</v>
      </c>
      <c r="AC1290" s="9" t="s">
        <v>41</v>
      </c>
      <c r="AD1290" s="9" t="s">
        <v>132</v>
      </c>
      <c r="AE1290" s="9" t="s">
        <v>133</v>
      </c>
      <c r="AF1290" s="9" t="s">
        <v>133</v>
      </c>
      <c r="AG1290" s="14" t="str">
        <f t="shared" si="42"/>
        <v>EXAMENES DE LABORATORIO</v>
      </c>
      <c r="AH1290" s="9" t="s">
        <v>758</v>
      </c>
      <c r="AI1290" s="9">
        <v>0</v>
      </c>
      <c r="AJ1290" s="9">
        <v>79749170</v>
      </c>
      <c r="AK1290" s="9">
        <v>5</v>
      </c>
      <c r="AL1290" s="26" t="s">
        <v>62</v>
      </c>
      <c r="AM1290" s="14" t="s">
        <v>717</v>
      </c>
      <c r="AN1290" s="27" t="str">
        <f t="shared" si="43"/>
        <v>18706804|79749170|921222749|921222749</v>
      </c>
      <c r="AO1290" t="s">
        <v>758</v>
      </c>
      <c r="AP1290" t="b">
        <v>1</v>
      </c>
      <c r="AQ1290" t="s">
        <v>764</v>
      </c>
    </row>
    <row r="1291" spans="1:43" x14ac:dyDescent="0.2">
      <c r="A1291" s="14" t="s">
        <v>500</v>
      </c>
      <c r="B1291" s="17">
        <v>18706804</v>
      </c>
      <c r="C1291" s="14" t="s">
        <v>441</v>
      </c>
      <c r="D1291" s="9">
        <v>18706804</v>
      </c>
      <c r="E1291" s="9" t="s">
        <v>441</v>
      </c>
      <c r="F1291" s="7">
        <v>45717</v>
      </c>
      <c r="G1291" s="20" t="s">
        <v>46</v>
      </c>
      <c r="H1291" s="8">
        <v>921222749</v>
      </c>
      <c r="I1291" s="19">
        <v>65384469</v>
      </c>
      <c r="J1291" s="10">
        <v>9660</v>
      </c>
      <c r="K1291" s="10">
        <v>0</v>
      </c>
      <c r="L1291" s="10">
        <v>9660</v>
      </c>
      <c r="M1291" s="10">
        <v>0</v>
      </c>
      <c r="N1291" s="11">
        <v>9660</v>
      </c>
      <c r="O1291" s="12">
        <v>921222749</v>
      </c>
      <c r="P1291" s="9">
        <v>285123</v>
      </c>
      <c r="Q1291" s="9" t="s">
        <v>37</v>
      </c>
      <c r="R1291" s="13">
        <v>45717</v>
      </c>
      <c r="S1291" s="22">
        <v>45742</v>
      </c>
      <c r="T1291" s="13">
        <v>45716</v>
      </c>
      <c r="U1291" s="13">
        <v>45716</v>
      </c>
      <c r="V1291" s="9" t="s">
        <v>47</v>
      </c>
      <c r="W1291" s="9">
        <v>22770752</v>
      </c>
      <c r="X1291" s="9">
        <v>3311105</v>
      </c>
      <c r="Y1291" s="9">
        <v>69251335</v>
      </c>
      <c r="Z1291" s="9" t="s">
        <v>39</v>
      </c>
      <c r="AA1291" s="9">
        <v>101023150</v>
      </c>
      <c r="AB1291" s="9">
        <v>78070</v>
      </c>
      <c r="AC1291" s="9" t="s">
        <v>41</v>
      </c>
      <c r="AD1291" s="9" t="s">
        <v>132</v>
      </c>
      <c r="AE1291" s="9" t="s">
        <v>133</v>
      </c>
      <c r="AF1291" s="9" t="s">
        <v>133</v>
      </c>
      <c r="AG1291" s="14" t="str">
        <f t="shared" si="42"/>
        <v>EXAMENES DE LABORATORIO</v>
      </c>
      <c r="AH1291" s="9">
        <v>0</v>
      </c>
      <c r="AI1291" s="9">
        <v>0</v>
      </c>
      <c r="AJ1291" s="9">
        <v>79749170</v>
      </c>
      <c r="AK1291" s="9">
        <v>5</v>
      </c>
      <c r="AL1291" s="26" t="s">
        <v>52</v>
      </c>
      <c r="AM1291" s="14" t="s">
        <v>717</v>
      </c>
      <c r="AN1291" s="27" t="str">
        <f t="shared" si="43"/>
        <v>18706804|79749170|921222749|65384469</v>
      </c>
      <c r="AO1291" t="s">
        <v>44</v>
      </c>
      <c r="AP1291" t="b">
        <v>0</v>
      </c>
      <c r="AQ1291" t="s">
        <v>763</v>
      </c>
    </row>
    <row r="1292" spans="1:43" x14ac:dyDescent="0.2">
      <c r="A1292" s="14" t="s">
        <v>500</v>
      </c>
      <c r="B1292" s="17">
        <v>10242781</v>
      </c>
      <c r="C1292" s="14" t="s">
        <v>373</v>
      </c>
      <c r="D1292" s="9">
        <v>10242781</v>
      </c>
      <c r="E1292" s="9" t="s">
        <v>373</v>
      </c>
      <c r="F1292" s="7">
        <v>45689</v>
      </c>
      <c r="G1292" s="20" t="s">
        <v>36</v>
      </c>
      <c r="H1292" s="8">
        <v>921256042</v>
      </c>
      <c r="I1292" s="19">
        <v>921256042</v>
      </c>
      <c r="J1292" s="10">
        <v>38520</v>
      </c>
      <c r="K1292" s="10">
        <v>27928</v>
      </c>
      <c r="L1292" s="10">
        <v>10592</v>
      </c>
      <c r="M1292" s="10">
        <v>0</v>
      </c>
      <c r="N1292" s="11">
        <v>10592</v>
      </c>
      <c r="O1292" s="12">
        <v>921256042</v>
      </c>
      <c r="P1292" s="9">
        <v>285123</v>
      </c>
      <c r="Q1292" s="9" t="s">
        <v>37</v>
      </c>
      <c r="R1292" s="13">
        <v>45716</v>
      </c>
      <c r="S1292" s="22">
        <v>45716</v>
      </c>
      <c r="T1292" s="13">
        <v>45716</v>
      </c>
      <c r="U1292" s="13">
        <v>45716</v>
      </c>
      <c r="V1292" s="9" t="s">
        <v>58</v>
      </c>
      <c r="W1292" s="9">
        <v>22646486</v>
      </c>
      <c r="X1292" s="9">
        <v>3041018</v>
      </c>
      <c r="Y1292" s="9">
        <v>68953758</v>
      </c>
      <c r="Z1292" s="9" t="s">
        <v>39</v>
      </c>
      <c r="AA1292" s="9">
        <v>2032025</v>
      </c>
      <c r="AB1292" s="9">
        <v>77760</v>
      </c>
      <c r="AC1292" s="9" t="s">
        <v>41</v>
      </c>
      <c r="AD1292" s="9" t="s">
        <v>71</v>
      </c>
      <c r="AE1292" s="9" t="s">
        <v>72</v>
      </c>
      <c r="AF1292" s="9" t="s">
        <v>73</v>
      </c>
      <c r="AG1292" s="14" t="str">
        <f t="shared" si="42"/>
        <v>CONSULTA PSIQUIATRICA</v>
      </c>
      <c r="AH1292" s="9" t="s">
        <v>758</v>
      </c>
      <c r="AI1292" s="9">
        <v>0</v>
      </c>
      <c r="AJ1292" s="9">
        <v>76416482</v>
      </c>
      <c r="AK1292" s="9">
        <v>2</v>
      </c>
      <c r="AL1292" s="26" t="s">
        <v>62</v>
      </c>
      <c r="AM1292" s="14" t="s">
        <v>668</v>
      </c>
      <c r="AN1292" s="27" t="str">
        <f t="shared" si="43"/>
        <v>10242781|76416482|921256042|921256042</v>
      </c>
      <c r="AO1292" t="s">
        <v>758</v>
      </c>
      <c r="AP1292" t="b">
        <v>1</v>
      </c>
      <c r="AQ1292" t="s">
        <v>764</v>
      </c>
    </row>
    <row r="1293" spans="1:43" x14ac:dyDescent="0.2">
      <c r="A1293" s="14" t="s">
        <v>500</v>
      </c>
      <c r="B1293" s="17">
        <v>10242781</v>
      </c>
      <c r="C1293" s="14" t="s">
        <v>373</v>
      </c>
      <c r="D1293" s="9">
        <v>10242781</v>
      </c>
      <c r="E1293" s="9" t="s">
        <v>373</v>
      </c>
      <c r="F1293" s="7">
        <v>45717</v>
      </c>
      <c r="G1293" s="20" t="s">
        <v>46</v>
      </c>
      <c r="H1293" s="8">
        <v>921256042</v>
      </c>
      <c r="I1293" s="19">
        <v>65383824</v>
      </c>
      <c r="J1293" s="10">
        <v>10821</v>
      </c>
      <c r="K1293" s="10">
        <v>0</v>
      </c>
      <c r="L1293" s="10">
        <v>10821</v>
      </c>
      <c r="M1293" s="10">
        <v>0</v>
      </c>
      <c r="N1293" s="11">
        <v>10821</v>
      </c>
      <c r="O1293" s="12">
        <v>921256042</v>
      </c>
      <c r="P1293" s="9">
        <v>285123</v>
      </c>
      <c r="Q1293" s="9" t="s">
        <v>37</v>
      </c>
      <c r="R1293" s="13">
        <v>45717</v>
      </c>
      <c r="S1293" s="22">
        <v>45742</v>
      </c>
      <c r="T1293" s="13">
        <v>45716</v>
      </c>
      <c r="U1293" s="13">
        <v>45716</v>
      </c>
      <c r="V1293" s="9" t="s">
        <v>58</v>
      </c>
      <c r="W1293" s="9">
        <v>22770744</v>
      </c>
      <c r="X1293" s="9">
        <v>3311105</v>
      </c>
      <c r="Y1293" s="9">
        <v>69250713</v>
      </c>
      <c r="Z1293" s="9" t="s">
        <v>39</v>
      </c>
      <c r="AA1293" s="9">
        <v>45066906</v>
      </c>
      <c r="AB1293" s="9">
        <v>78070</v>
      </c>
      <c r="AC1293" s="9" t="s">
        <v>41</v>
      </c>
      <c r="AD1293" s="9" t="s">
        <v>71</v>
      </c>
      <c r="AE1293" s="9" t="s">
        <v>72</v>
      </c>
      <c r="AF1293" s="9" t="s">
        <v>73</v>
      </c>
      <c r="AG1293" s="14" t="str">
        <f t="shared" si="42"/>
        <v>CONSULTA PSIQUIATRICA</v>
      </c>
      <c r="AH1293" s="9">
        <v>0</v>
      </c>
      <c r="AI1293" s="9">
        <v>0</v>
      </c>
      <c r="AJ1293" s="9">
        <v>76416482</v>
      </c>
      <c r="AK1293" s="9">
        <v>2</v>
      </c>
      <c r="AL1293" s="26" t="s">
        <v>52</v>
      </c>
      <c r="AM1293" s="14" t="s">
        <v>668</v>
      </c>
      <c r="AN1293" s="27" t="str">
        <f t="shared" si="43"/>
        <v>10242781|76416482|921256042|65383824</v>
      </c>
      <c r="AO1293" t="s">
        <v>44</v>
      </c>
      <c r="AP1293" t="b">
        <v>0</v>
      </c>
      <c r="AQ1293" t="s">
        <v>763</v>
      </c>
    </row>
    <row r="1294" spans="1:43" x14ac:dyDescent="0.2">
      <c r="A1294" s="14" t="s">
        <v>500</v>
      </c>
      <c r="B1294" s="17">
        <v>14364605</v>
      </c>
      <c r="C1294" s="14" t="s">
        <v>442</v>
      </c>
      <c r="D1294" s="9">
        <v>14364605</v>
      </c>
      <c r="E1294" s="9" t="s">
        <v>442</v>
      </c>
      <c r="F1294" s="7">
        <v>45689</v>
      </c>
      <c r="G1294" s="20" t="s">
        <v>36</v>
      </c>
      <c r="H1294" s="8">
        <v>921288911</v>
      </c>
      <c r="I1294" s="19">
        <v>921288911</v>
      </c>
      <c r="J1294" s="10">
        <v>41600</v>
      </c>
      <c r="K1294" s="10">
        <v>13000</v>
      </c>
      <c r="L1294" s="10">
        <v>28600</v>
      </c>
      <c r="M1294" s="10">
        <v>0</v>
      </c>
      <c r="N1294" s="11">
        <v>28600</v>
      </c>
      <c r="O1294" s="12">
        <v>921288911</v>
      </c>
      <c r="P1294" s="9">
        <v>285123</v>
      </c>
      <c r="Q1294" s="9" t="s">
        <v>37</v>
      </c>
      <c r="R1294" s="13">
        <v>45716</v>
      </c>
      <c r="S1294" s="22">
        <v>45716</v>
      </c>
      <c r="T1294" s="13">
        <v>45716</v>
      </c>
      <c r="U1294" s="13">
        <v>45716</v>
      </c>
      <c r="V1294" s="9" t="s">
        <v>47</v>
      </c>
      <c r="W1294" s="9">
        <v>22646509</v>
      </c>
      <c r="X1294" s="9">
        <v>3041018</v>
      </c>
      <c r="Y1294" s="9">
        <v>68953890</v>
      </c>
      <c r="Z1294" s="9" t="s">
        <v>39</v>
      </c>
      <c r="AA1294" s="9">
        <v>2032025</v>
      </c>
      <c r="AB1294" s="9">
        <v>77760</v>
      </c>
      <c r="AC1294" s="9" t="s">
        <v>41</v>
      </c>
      <c r="AD1294" s="9" t="s">
        <v>134</v>
      </c>
      <c r="AE1294" s="9" t="s">
        <v>135</v>
      </c>
      <c r="AF1294" s="9" t="s">
        <v>135</v>
      </c>
      <c r="AG1294" s="14" t="str">
        <f t="shared" si="42"/>
        <v>EXAMENES RADIOLOGICOS</v>
      </c>
      <c r="AH1294" s="9" t="s">
        <v>758</v>
      </c>
      <c r="AI1294" s="9">
        <v>0</v>
      </c>
      <c r="AJ1294" s="9">
        <v>96942400</v>
      </c>
      <c r="AK1294" s="9">
        <v>2</v>
      </c>
      <c r="AL1294" s="26" t="s">
        <v>62</v>
      </c>
      <c r="AM1294" s="14" t="s">
        <v>718</v>
      </c>
      <c r="AN1294" s="27" t="str">
        <f t="shared" si="43"/>
        <v>14364605|96942400|921288911|921288911</v>
      </c>
      <c r="AO1294" t="s">
        <v>758</v>
      </c>
      <c r="AP1294" t="b">
        <v>1</v>
      </c>
      <c r="AQ1294" t="s">
        <v>764</v>
      </c>
    </row>
    <row r="1295" spans="1:43" x14ac:dyDescent="0.2">
      <c r="A1295" s="14" t="s">
        <v>500</v>
      </c>
      <c r="B1295" s="17">
        <v>14364605</v>
      </c>
      <c r="C1295" s="14" t="s">
        <v>442</v>
      </c>
      <c r="D1295" s="9">
        <v>14364605</v>
      </c>
      <c r="E1295" s="9" t="s">
        <v>442</v>
      </c>
      <c r="F1295" s="7">
        <v>45717</v>
      </c>
      <c r="G1295" s="20" t="s">
        <v>46</v>
      </c>
      <c r="H1295" s="8">
        <v>921288911</v>
      </c>
      <c r="I1295" s="19">
        <v>65384227</v>
      </c>
      <c r="J1295" s="10">
        <v>24734</v>
      </c>
      <c r="K1295" s="10">
        <v>0</v>
      </c>
      <c r="L1295" s="10">
        <v>24734</v>
      </c>
      <c r="M1295" s="10">
        <v>0</v>
      </c>
      <c r="N1295" s="11">
        <v>24734</v>
      </c>
      <c r="O1295" s="12">
        <v>921288911</v>
      </c>
      <c r="P1295" s="9">
        <v>285123</v>
      </c>
      <c r="Q1295" s="9" t="s">
        <v>37</v>
      </c>
      <c r="R1295" s="13">
        <v>45717</v>
      </c>
      <c r="S1295" s="22">
        <v>45742</v>
      </c>
      <c r="T1295" s="13">
        <v>45716</v>
      </c>
      <c r="U1295" s="13">
        <v>45716</v>
      </c>
      <c r="V1295" s="9" t="s">
        <v>47</v>
      </c>
      <c r="W1295" s="9">
        <v>22770749</v>
      </c>
      <c r="X1295" s="9">
        <v>3311105</v>
      </c>
      <c r="Y1295" s="9">
        <v>69251101</v>
      </c>
      <c r="Z1295" s="9" t="s">
        <v>39</v>
      </c>
      <c r="AA1295" s="9">
        <v>19999161879</v>
      </c>
      <c r="AB1295" s="9">
        <v>78070</v>
      </c>
      <c r="AC1295" s="9" t="s">
        <v>41</v>
      </c>
      <c r="AD1295" s="9" t="s">
        <v>134</v>
      </c>
      <c r="AE1295" s="9" t="s">
        <v>135</v>
      </c>
      <c r="AF1295" s="9" t="s">
        <v>135</v>
      </c>
      <c r="AG1295" s="14" t="str">
        <f t="shared" si="42"/>
        <v>EXAMENES RADIOLOGICOS</v>
      </c>
      <c r="AH1295" s="9">
        <v>0</v>
      </c>
      <c r="AI1295" s="9">
        <v>0</v>
      </c>
      <c r="AJ1295" s="9">
        <v>96942400</v>
      </c>
      <c r="AK1295" s="9">
        <v>2</v>
      </c>
      <c r="AL1295" s="26" t="s">
        <v>52</v>
      </c>
      <c r="AM1295" s="14" t="s">
        <v>718</v>
      </c>
      <c r="AN1295" s="27" t="str">
        <f t="shared" si="43"/>
        <v>14364605|96942400|921288911|65384227</v>
      </c>
      <c r="AO1295" t="s">
        <v>44</v>
      </c>
      <c r="AP1295" t="b">
        <v>0</v>
      </c>
      <c r="AQ1295" t="s">
        <v>763</v>
      </c>
    </row>
    <row r="1296" spans="1:43" x14ac:dyDescent="0.2">
      <c r="A1296" s="14" t="s">
        <v>500</v>
      </c>
      <c r="B1296" s="17">
        <v>14364605</v>
      </c>
      <c r="C1296" s="14" t="s">
        <v>442</v>
      </c>
      <c r="D1296" s="9">
        <v>14364605</v>
      </c>
      <c r="E1296" s="9" t="s">
        <v>442</v>
      </c>
      <c r="F1296" s="7">
        <v>45689</v>
      </c>
      <c r="G1296" s="20" t="s">
        <v>36</v>
      </c>
      <c r="H1296" s="8">
        <v>921290096</v>
      </c>
      <c r="I1296" s="19">
        <v>921290096</v>
      </c>
      <c r="J1296" s="10">
        <v>35460</v>
      </c>
      <c r="K1296" s="10">
        <v>11080</v>
      </c>
      <c r="L1296" s="10">
        <v>24380</v>
      </c>
      <c r="M1296" s="10">
        <v>0</v>
      </c>
      <c r="N1296" s="11">
        <v>24380</v>
      </c>
      <c r="O1296" s="12">
        <v>921290096</v>
      </c>
      <c r="P1296" s="9">
        <v>285123</v>
      </c>
      <c r="Q1296" s="9" t="s">
        <v>37</v>
      </c>
      <c r="R1296" s="13">
        <v>45716</v>
      </c>
      <c r="S1296" s="22">
        <v>45716</v>
      </c>
      <c r="T1296" s="13">
        <v>45716</v>
      </c>
      <c r="U1296" s="13">
        <v>45716</v>
      </c>
      <c r="V1296" s="9" t="s">
        <v>47</v>
      </c>
      <c r="W1296" s="9">
        <v>22646509</v>
      </c>
      <c r="X1296" s="9">
        <v>3041018</v>
      </c>
      <c r="Y1296" s="9">
        <v>68953900</v>
      </c>
      <c r="Z1296" s="9" t="s">
        <v>39</v>
      </c>
      <c r="AA1296" s="9">
        <v>2032025</v>
      </c>
      <c r="AB1296" s="9">
        <v>77760</v>
      </c>
      <c r="AC1296" s="9" t="s">
        <v>41</v>
      </c>
      <c r="AD1296" s="9" t="s">
        <v>134</v>
      </c>
      <c r="AE1296" s="9" t="s">
        <v>135</v>
      </c>
      <c r="AF1296" s="9" t="s">
        <v>135</v>
      </c>
      <c r="AG1296" s="14" t="str">
        <f t="shared" si="42"/>
        <v>EXAMENES RADIOLOGICOS</v>
      </c>
      <c r="AH1296" s="9" t="s">
        <v>758</v>
      </c>
      <c r="AI1296" s="9">
        <v>0</v>
      </c>
      <c r="AJ1296" s="9">
        <v>96942400</v>
      </c>
      <c r="AK1296" s="9">
        <v>2</v>
      </c>
      <c r="AL1296" s="26" t="s">
        <v>62</v>
      </c>
      <c r="AM1296" s="14" t="s">
        <v>718</v>
      </c>
      <c r="AN1296" s="27" t="str">
        <f t="shared" si="43"/>
        <v>14364605|96942400|921290096|921290096</v>
      </c>
      <c r="AO1296" t="s">
        <v>758</v>
      </c>
      <c r="AP1296" t="b">
        <v>1</v>
      </c>
      <c r="AQ1296" t="s">
        <v>764</v>
      </c>
    </row>
    <row r="1297" spans="1:43" x14ac:dyDescent="0.2">
      <c r="A1297" s="14" t="s">
        <v>500</v>
      </c>
      <c r="B1297" s="17">
        <v>14364605</v>
      </c>
      <c r="C1297" s="14" t="s">
        <v>442</v>
      </c>
      <c r="D1297" s="9">
        <v>14364605</v>
      </c>
      <c r="E1297" s="9" t="s">
        <v>442</v>
      </c>
      <c r="F1297" s="7">
        <v>45717</v>
      </c>
      <c r="G1297" s="20" t="s">
        <v>46</v>
      </c>
      <c r="H1297" s="8">
        <v>921290096</v>
      </c>
      <c r="I1297" s="19">
        <v>65384228</v>
      </c>
      <c r="J1297" s="10">
        <v>20869</v>
      </c>
      <c r="K1297" s="10">
        <v>0</v>
      </c>
      <c r="L1297" s="10">
        <v>20869</v>
      </c>
      <c r="M1297" s="10">
        <v>0</v>
      </c>
      <c r="N1297" s="11">
        <v>20869</v>
      </c>
      <c r="O1297" s="12">
        <v>921290096</v>
      </c>
      <c r="P1297" s="9">
        <v>285123</v>
      </c>
      <c r="Q1297" s="9" t="s">
        <v>37</v>
      </c>
      <c r="R1297" s="13">
        <v>45717</v>
      </c>
      <c r="S1297" s="22">
        <v>45742</v>
      </c>
      <c r="T1297" s="13">
        <v>45716</v>
      </c>
      <c r="U1297" s="13">
        <v>45716</v>
      </c>
      <c r="V1297" s="9" t="s">
        <v>47</v>
      </c>
      <c r="W1297" s="9">
        <v>22770749</v>
      </c>
      <c r="X1297" s="9">
        <v>3311105</v>
      </c>
      <c r="Y1297" s="9">
        <v>69251102</v>
      </c>
      <c r="Z1297" s="9" t="s">
        <v>39</v>
      </c>
      <c r="AA1297" s="9">
        <v>19999161879</v>
      </c>
      <c r="AB1297" s="9">
        <v>78070</v>
      </c>
      <c r="AC1297" s="9" t="s">
        <v>41</v>
      </c>
      <c r="AD1297" s="9" t="s">
        <v>134</v>
      </c>
      <c r="AE1297" s="9" t="s">
        <v>135</v>
      </c>
      <c r="AF1297" s="9" t="s">
        <v>135</v>
      </c>
      <c r="AG1297" s="14" t="str">
        <f t="shared" si="42"/>
        <v>EXAMENES RADIOLOGICOS</v>
      </c>
      <c r="AH1297" s="9">
        <v>0</v>
      </c>
      <c r="AI1297" s="9">
        <v>0</v>
      </c>
      <c r="AJ1297" s="9">
        <v>96942400</v>
      </c>
      <c r="AK1297" s="9">
        <v>2</v>
      </c>
      <c r="AL1297" s="26" t="s">
        <v>52</v>
      </c>
      <c r="AM1297" s="14" t="s">
        <v>718</v>
      </c>
      <c r="AN1297" s="27" t="str">
        <f t="shared" si="43"/>
        <v>14364605|96942400|921290096|65384228</v>
      </c>
      <c r="AO1297" t="s">
        <v>44</v>
      </c>
      <c r="AP1297" t="b">
        <v>0</v>
      </c>
      <c r="AQ1297" t="s">
        <v>763</v>
      </c>
    </row>
    <row r="1298" spans="1:43" x14ac:dyDescent="0.2">
      <c r="A1298" s="14" t="s">
        <v>500</v>
      </c>
      <c r="B1298" s="17">
        <v>14364605</v>
      </c>
      <c r="C1298" s="14" t="s">
        <v>442</v>
      </c>
      <c r="D1298" s="9">
        <v>14364605</v>
      </c>
      <c r="E1298" s="9" t="s">
        <v>442</v>
      </c>
      <c r="F1298" s="7">
        <v>45689</v>
      </c>
      <c r="G1298" s="20" t="s">
        <v>36</v>
      </c>
      <c r="H1298" s="8">
        <v>921290192</v>
      </c>
      <c r="I1298" s="19">
        <v>921290192</v>
      </c>
      <c r="J1298" s="10">
        <v>28990</v>
      </c>
      <c r="K1298" s="10">
        <v>9060</v>
      </c>
      <c r="L1298" s="10">
        <v>19930</v>
      </c>
      <c r="M1298" s="10">
        <v>0</v>
      </c>
      <c r="N1298" s="11">
        <v>19930</v>
      </c>
      <c r="O1298" s="12">
        <v>921290192</v>
      </c>
      <c r="P1298" s="9">
        <v>285123</v>
      </c>
      <c r="Q1298" s="9" t="s">
        <v>37</v>
      </c>
      <c r="R1298" s="13">
        <v>45716</v>
      </c>
      <c r="S1298" s="22">
        <v>45716</v>
      </c>
      <c r="T1298" s="13">
        <v>45716</v>
      </c>
      <c r="U1298" s="13">
        <v>45716</v>
      </c>
      <c r="V1298" s="9" t="s">
        <v>47</v>
      </c>
      <c r="W1298" s="9">
        <v>22646509</v>
      </c>
      <c r="X1298" s="9">
        <v>3041018</v>
      </c>
      <c r="Y1298" s="9">
        <v>68953901</v>
      </c>
      <c r="Z1298" s="9" t="s">
        <v>39</v>
      </c>
      <c r="AA1298" s="9">
        <v>2032025</v>
      </c>
      <c r="AB1298" s="9">
        <v>77760</v>
      </c>
      <c r="AC1298" s="9" t="s">
        <v>41</v>
      </c>
      <c r="AD1298" s="9" t="s">
        <v>134</v>
      </c>
      <c r="AE1298" s="9" t="s">
        <v>135</v>
      </c>
      <c r="AF1298" s="9" t="s">
        <v>135</v>
      </c>
      <c r="AG1298" s="14" t="str">
        <f t="shared" si="42"/>
        <v>EXAMENES RADIOLOGICOS</v>
      </c>
      <c r="AH1298" s="9" t="s">
        <v>758</v>
      </c>
      <c r="AI1298" s="9">
        <v>0</v>
      </c>
      <c r="AJ1298" s="9">
        <v>96942400</v>
      </c>
      <c r="AK1298" s="9">
        <v>2</v>
      </c>
      <c r="AL1298" s="26" t="s">
        <v>62</v>
      </c>
      <c r="AM1298" s="14" t="s">
        <v>718</v>
      </c>
      <c r="AN1298" s="27" t="str">
        <f t="shared" si="43"/>
        <v>14364605|96942400|921290192|921290192</v>
      </c>
      <c r="AO1298" t="s">
        <v>758</v>
      </c>
      <c r="AP1298" t="b">
        <v>1</v>
      </c>
      <c r="AQ1298" t="s">
        <v>764</v>
      </c>
    </row>
    <row r="1299" spans="1:43" x14ac:dyDescent="0.2">
      <c r="A1299" s="14" t="s">
        <v>500</v>
      </c>
      <c r="B1299" s="17">
        <v>14364605</v>
      </c>
      <c r="C1299" s="14" t="s">
        <v>442</v>
      </c>
      <c r="D1299" s="9">
        <v>14364605</v>
      </c>
      <c r="E1299" s="9" t="s">
        <v>442</v>
      </c>
      <c r="F1299" s="7">
        <v>45717</v>
      </c>
      <c r="G1299" s="20" t="s">
        <v>46</v>
      </c>
      <c r="H1299" s="8">
        <v>921290192</v>
      </c>
      <c r="I1299" s="19">
        <v>65384229</v>
      </c>
      <c r="J1299" s="10">
        <v>17391</v>
      </c>
      <c r="K1299" s="10">
        <v>0</v>
      </c>
      <c r="L1299" s="10">
        <v>17391</v>
      </c>
      <c r="M1299" s="10">
        <v>0</v>
      </c>
      <c r="N1299" s="11">
        <v>17391</v>
      </c>
      <c r="O1299" s="12">
        <v>921290192</v>
      </c>
      <c r="P1299" s="9">
        <v>285123</v>
      </c>
      <c r="Q1299" s="9" t="s">
        <v>37</v>
      </c>
      <c r="R1299" s="13">
        <v>45717</v>
      </c>
      <c r="S1299" s="22">
        <v>45742</v>
      </c>
      <c r="T1299" s="13">
        <v>45716</v>
      </c>
      <c r="U1299" s="13">
        <v>45716</v>
      </c>
      <c r="V1299" s="9" t="s">
        <v>47</v>
      </c>
      <c r="W1299" s="9">
        <v>22770749</v>
      </c>
      <c r="X1299" s="9">
        <v>3311105</v>
      </c>
      <c r="Y1299" s="9">
        <v>69251103</v>
      </c>
      <c r="Z1299" s="9" t="s">
        <v>39</v>
      </c>
      <c r="AA1299" s="9">
        <v>19999161879</v>
      </c>
      <c r="AB1299" s="9">
        <v>78070</v>
      </c>
      <c r="AC1299" s="9" t="s">
        <v>41</v>
      </c>
      <c r="AD1299" s="9" t="s">
        <v>134</v>
      </c>
      <c r="AE1299" s="9" t="s">
        <v>135</v>
      </c>
      <c r="AF1299" s="9" t="s">
        <v>135</v>
      </c>
      <c r="AG1299" s="14" t="str">
        <f t="shared" si="42"/>
        <v>EXAMENES RADIOLOGICOS</v>
      </c>
      <c r="AH1299" s="9">
        <v>0</v>
      </c>
      <c r="AI1299" s="9">
        <v>0</v>
      </c>
      <c r="AJ1299" s="9">
        <v>96942400</v>
      </c>
      <c r="AK1299" s="9">
        <v>2</v>
      </c>
      <c r="AL1299" s="26" t="s">
        <v>52</v>
      </c>
      <c r="AM1299" s="14" t="s">
        <v>718</v>
      </c>
      <c r="AN1299" s="27" t="str">
        <f t="shared" si="43"/>
        <v>14364605|96942400|921290192|65384229</v>
      </c>
      <c r="AO1299" t="s">
        <v>44</v>
      </c>
      <c r="AP1299" t="b">
        <v>0</v>
      </c>
      <c r="AQ1299" t="s">
        <v>763</v>
      </c>
    </row>
    <row r="1300" spans="1:43" x14ac:dyDescent="0.2">
      <c r="A1300" s="14" t="s">
        <v>500</v>
      </c>
      <c r="B1300" s="17">
        <v>16143311</v>
      </c>
      <c r="C1300" s="14" t="s">
        <v>377</v>
      </c>
      <c r="D1300" s="9">
        <v>16143311</v>
      </c>
      <c r="E1300" s="9" t="s">
        <v>377</v>
      </c>
      <c r="F1300" s="7">
        <v>45689</v>
      </c>
      <c r="G1300" s="20" t="s">
        <v>36</v>
      </c>
      <c r="H1300" s="8">
        <v>921296961</v>
      </c>
      <c r="I1300" s="19">
        <v>921296961</v>
      </c>
      <c r="J1300" s="10">
        <v>41600</v>
      </c>
      <c r="K1300" s="10">
        <v>13000</v>
      </c>
      <c r="L1300" s="10">
        <v>28600</v>
      </c>
      <c r="M1300" s="10">
        <v>0</v>
      </c>
      <c r="N1300" s="11">
        <v>28600</v>
      </c>
      <c r="O1300" s="12">
        <v>921296961</v>
      </c>
      <c r="P1300" s="9">
        <v>285123</v>
      </c>
      <c r="Q1300" s="9" t="s">
        <v>37</v>
      </c>
      <c r="R1300" s="13">
        <v>45716</v>
      </c>
      <c r="S1300" s="22">
        <v>45716</v>
      </c>
      <c r="T1300" s="13">
        <v>45716</v>
      </c>
      <c r="U1300" s="13">
        <v>45716</v>
      </c>
      <c r="V1300" s="9" t="s">
        <v>47</v>
      </c>
      <c r="W1300" s="9">
        <v>22646512</v>
      </c>
      <c r="X1300" s="9">
        <v>3041018</v>
      </c>
      <c r="Y1300" s="9">
        <v>68953938</v>
      </c>
      <c r="Z1300" s="9" t="s">
        <v>39</v>
      </c>
      <c r="AA1300" s="9">
        <v>2032025</v>
      </c>
      <c r="AB1300" s="9">
        <v>77760</v>
      </c>
      <c r="AC1300" s="9" t="s">
        <v>41</v>
      </c>
      <c r="AD1300" s="9" t="s">
        <v>134</v>
      </c>
      <c r="AE1300" s="9" t="s">
        <v>135</v>
      </c>
      <c r="AF1300" s="9" t="s">
        <v>135</v>
      </c>
      <c r="AG1300" s="14" t="str">
        <f t="shared" si="42"/>
        <v>EXAMENES RADIOLOGICOS</v>
      </c>
      <c r="AH1300" s="9" t="s">
        <v>758</v>
      </c>
      <c r="AI1300" s="9">
        <v>0</v>
      </c>
      <c r="AJ1300" s="9">
        <v>96852530</v>
      </c>
      <c r="AK1300" s="9">
        <v>1</v>
      </c>
      <c r="AL1300" s="26" t="s">
        <v>62</v>
      </c>
      <c r="AM1300" s="14" t="s">
        <v>672</v>
      </c>
      <c r="AN1300" s="27" t="str">
        <f t="shared" si="43"/>
        <v>16143311|96852530|921296961|921296961</v>
      </c>
      <c r="AO1300" t="s">
        <v>758</v>
      </c>
      <c r="AP1300" t="b">
        <v>1</v>
      </c>
      <c r="AQ1300" t="s">
        <v>764</v>
      </c>
    </row>
    <row r="1301" spans="1:43" x14ac:dyDescent="0.2">
      <c r="A1301" s="14" t="s">
        <v>500</v>
      </c>
      <c r="B1301" s="17">
        <v>16143311</v>
      </c>
      <c r="C1301" s="14" t="s">
        <v>377</v>
      </c>
      <c r="D1301" s="9">
        <v>16143311</v>
      </c>
      <c r="E1301" s="9" t="s">
        <v>377</v>
      </c>
      <c r="F1301" s="7">
        <v>45717</v>
      </c>
      <c r="G1301" s="20" t="s">
        <v>46</v>
      </c>
      <c r="H1301" s="8">
        <v>921296961</v>
      </c>
      <c r="I1301" s="19">
        <v>65384358</v>
      </c>
      <c r="J1301" s="10">
        <v>24734</v>
      </c>
      <c r="K1301" s="10">
        <v>0</v>
      </c>
      <c r="L1301" s="10">
        <v>24734</v>
      </c>
      <c r="M1301" s="10">
        <v>0</v>
      </c>
      <c r="N1301" s="11">
        <v>24734</v>
      </c>
      <c r="O1301" s="12">
        <v>921296961</v>
      </c>
      <c r="P1301" s="9">
        <v>285123</v>
      </c>
      <c r="Q1301" s="9" t="s">
        <v>37</v>
      </c>
      <c r="R1301" s="13">
        <v>45717</v>
      </c>
      <c r="S1301" s="22">
        <v>45742</v>
      </c>
      <c r="T1301" s="13">
        <v>45716</v>
      </c>
      <c r="U1301" s="13">
        <v>45716</v>
      </c>
      <c r="V1301" s="9" t="s">
        <v>47</v>
      </c>
      <c r="W1301" s="9">
        <v>22770751</v>
      </c>
      <c r="X1301" s="9">
        <v>3311105</v>
      </c>
      <c r="Y1301" s="9">
        <v>69251241</v>
      </c>
      <c r="Z1301" s="9" t="s">
        <v>39</v>
      </c>
      <c r="AA1301" s="9">
        <v>1709850616</v>
      </c>
      <c r="AB1301" s="9">
        <v>78070</v>
      </c>
      <c r="AC1301" s="9" t="s">
        <v>41</v>
      </c>
      <c r="AD1301" s="9" t="s">
        <v>134</v>
      </c>
      <c r="AE1301" s="9" t="s">
        <v>135</v>
      </c>
      <c r="AF1301" s="9" t="s">
        <v>135</v>
      </c>
      <c r="AG1301" s="14" t="str">
        <f t="shared" ref="AG1301:AG1364" si="44">+AF1301</f>
        <v>EXAMENES RADIOLOGICOS</v>
      </c>
      <c r="AH1301" s="9">
        <v>0</v>
      </c>
      <c r="AI1301" s="9">
        <v>0</v>
      </c>
      <c r="AJ1301" s="9">
        <v>96852530</v>
      </c>
      <c r="AK1301" s="9">
        <v>1</v>
      </c>
      <c r="AL1301" s="26" t="s">
        <v>52</v>
      </c>
      <c r="AM1301" s="14" t="s">
        <v>672</v>
      </c>
      <c r="AN1301" s="27" t="str">
        <f t="shared" si="43"/>
        <v>16143311|96852530|921296961|65384358</v>
      </c>
      <c r="AO1301" t="s">
        <v>44</v>
      </c>
      <c r="AP1301" t="b">
        <v>0</v>
      </c>
      <c r="AQ1301" t="s">
        <v>763</v>
      </c>
    </row>
    <row r="1302" spans="1:43" x14ac:dyDescent="0.2">
      <c r="A1302" s="14" t="s">
        <v>500</v>
      </c>
      <c r="B1302" s="17">
        <v>15543105</v>
      </c>
      <c r="C1302" s="14" t="s">
        <v>362</v>
      </c>
      <c r="D1302" s="9">
        <v>22988456</v>
      </c>
      <c r="E1302" s="9" t="s">
        <v>443</v>
      </c>
      <c r="F1302" s="7">
        <v>45717</v>
      </c>
      <c r="G1302" s="20" t="s">
        <v>36</v>
      </c>
      <c r="H1302" s="8">
        <v>921335288</v>
      </c>
      <c r="I1302" s="19">
        <v>921335288</v>
      </c>
      <c r="J1302" s="10">
        <v>30630</v>
      </c>
      <c r="K1302" s="10">
        <v>11780</v>
      </c>
      <c r="L1302" s="10">
        <v>18850</v>
      </c>
      <c r="M1302" s="10">
        <v>0</v>
      </c>
      <c r="N1302" s="11">
        <v>18850</v>
      </c>
      <c r="O1302" s="12">
        <v>921335288</v>
      </c>
      <c r="P1302" s="9">
        <v>285123</v>
      </c>
      <c r="Q1302" s="9" t="s">
        <v>37</v>
      </c>
      <c r="R1302" s="13">
        <v>45717</v>
      </c>
      <c r="S1302" s="22">
        <v>45717</v>
      </c>
      <c r="T1302" s="13">
        <v>45717</v>
      </c>
      <c r="U1302" s="13">
        <v>45717</v>
      </c>
      <c r="V1302" s="9" t="s">
        <v>47</v>
      </c>
      <c r="W1302" s="9">
        <v>22676567</v>
      </c>
      <c r="X1302" s="9">
        <v>3101656</v>
      </c>
      <c r="Y1302" s="9">
        <v>68994293</v>
      </c>
      <c r="Z1302" s="9" t="s">
        <v>39</v>
      </c>
      <c r="AA1302" s="9">
        <v>9032025</v>
      </c>
      <c r="AB1302" s="9">
        <v>77868</v>
      </c>
      <c r="AC1302" s="9" t="s">
        <v>41</v>
      </c>
      <c r="AD1302" s="9" t="s">
        <v>65</v>
      </c>
      <c r="AE1302" s="9" t="s">
        <v>66</v>
      </c>
      <c r="AF1302" s="9" t="s">
        <v>66</v>
      </c>
      <c r="AG1302" s="14" t="str">
        <f t="shared" si="44"/>
        <v>PROCEDIMIENTOS TERAPEUTICOS</v>
      </c>
      <c r="AH1302" s="9" t="s">
        <v>758</v>
      </c>
      <c r="AI1302" s="9">
        <v>0</v>
      </c>
      <c r="AJ1302" s="9">
        <v>76425459</v>
      </c>
      <c r="AK1302" s="9">
        <v>7</v>
      </c>
      <c r="AL1302" s="26" t="s">
        <v>62</v>
      </c>
      <c r="AM1302" s="14" t="s">
        <v>658</v>
      </c>
      <c r="AN1302" s="27" t="str">
        <f t="shared" si="43"/>
        <v>15543105|76425459|921335288|921335288</v>
      </c>
      <c r="AO1302" t="s">
        <v>758</v>
      </c>
      <c r="AP1302" t="b">
        <v>1</v>
      </c>
      <c r="AQ1302" t="s">
        <v>764</v>
      </c>
    </row>
    <row r="1303" spans="1:43" x14ac:dyDescent="0.2">
      <c r="A1303" s="14" t="s">
        <v>500</v>
      </c>
      <c r="B1303" s="17">
        <v>15543105</v>
      </c>
      <c r="C1303" s="14" t="s">
        <v>362</v>
      </c>
      <c r="D1303" s="9">
        <v>22988456</v>
      </c>
      <c r="E1303" s="9" t="s">
        <v>443</v>
      </c>
      <c r="F1303" s="7">
        <v>45717</v>
      </c>
      <c r="G1303" s="20" t="s">
        <v>46</v>
      </c>
      <c r="H1303" s="8">
        <v>921335288</v>
      </c>
      <c r="I1303" s="19">
        <v>65384317</v>
      </c>
      <c r="J1303" s="10">
        <v>17398</v>
      </c>
      <c r="K1303" s="10">
        <v>0</v>
      </c>
      <c r="L1303" s="10">
        <v>17398</v>
      </c>
      <c r="M1303" s="10">
        <v>0</v>
      </c>
      <c r="N1303" s="11">
        <v>17398</v>
      </c>
      <c r="O1303" s="12">
        <v>921335288</v>
      </c>
      <c r="P1303" s="9">
        <v>285123</v>
      </c>
      <c r="Q1303" s="9" t="s">
        <v>37</v>
      </c>
      <c r="R1303" s="13">
        <v>45717</v>
      </c>
      <c r="S1303" s="22">
        <v>45742</v>
      </c>
      <c r="T1303" s="13">
        <v>45717</v>
      </c>
      <c r="U1303" s="13">
        <v>45717</v>
      </c>
      <c r="V1303" s="9" t="s">
        <v>47</v>
      </c>
      <c r="W1303" s="9">
        <v>22772358</v>
      </c>
      <c r="X1303" s="9">
        <v>3311105</v>
      </c>
      <c r="Y1303" s="9">
        <v>69251200</v>
      </c>
      <c r="Z1303" s="9" t="s">
        <v>39</v>
      </c>
      <c r="AA1303" s="9">
        <v>987634170</v>
      </c>
      <c r="AB1303" s="9">
        <v>78070</v>
      </c>
      <c r="AC1303" s="9" t="s">
        <v>41</v>
      </c>
      <c r="AD1303" s="9" t="s">
        <v>65</v>
      </c>
      <c r="AE1303" s="9" t="s">
        <v>66</v>
      </c>
      <c r="AF1303" s="9" t="s">
        <v>66</v>
      </c>
      <c r="AG1303" s="14" t="str">
        <f t="shared" si="44"/>
        <v>PROCEDIMIENTOS TERAPEUTICOS</v>
      </c>
      <c r="AH1303" s="9">
        <v>0</v>
      </c>
      <c r="AI1303" s="9">
        <v>0</v>
      </c>
      <c r="AJ1303" s="9">
        <v>76425459</v>
      </c>
      <c r="AK1303" s="9">
        <v>7</v>
      </c>
      <c r="AL1303" s="26" t="s">
        <v>52</v>
      </c>
      <c r="AM1303" s="14" t="s">
        <v>658</v>
      </c>
      <c r="AN1303" s="27" t="str">
        <f t="shared" si="43"/>
        <v>15543105|76425459|921335288|65384317</v>
      </c>
      <c r="AO1303" t="s">
        <v>44</v>
      </c>
      <c r="AP1303" t="b">
        <v>0</v>
      </c>
      <c r="AQ1303" t="s">
        <v>763</v>
      </c>
    </row>
    <row r="1304" spans="1:43" x14ac:dyDescent="0.2">
      <c r="A1304" s="14" t="s">
        <v>500</v>
      </c>
      <c r="B1304" s="17">
        <v>14364605</v>
      </c>
      <c r="C1304" s="14" t="s">
        <v>442</v>
      </c>
      <c r="D1304" s="9">
        <v>14364605</v>
      </c>
      <c r="E1304" s="9" t="s">
        <v>442</v>
      </c>
      <c r="F1304" s="7">
        <v>45717</v>
      </c>
      <c r="G1304" s="20" t="s">
        <v>36</v>
      </c>
      <c r="H1304" s="8">
        <v>921351426</v>
      </c>
      <c r="I1304" s="19">
        <v>921351426</v>
      </c>
      <c r="J1304" s="10">
        <v>33870</v>
      </c>
      <c r="K1304" s="10">
        <v>10590</v>
      </c>
      <c r="L1304" s="10">
        <v>23280</v>
      </c>
      <c r="M1304" s="10">
        <v>0</v>
      </c>
      <c r="N1304" s="11">
        <v>23280</v>
      </c>
      <c r="O1304" s="12">
        <v>921351426</v>
      </c>
      <c r="P1304" s="9">
        <v>285123</v>
      </c>
      <c r="Q1304" s="9" t="s">
        <v>37</v>
      </c>
      <c r="R1304" s="13">
        <v>45717</v>
      </c>
      <c r="S1304" s="22">
        <v>45717</v>
      </c>
      <c r="T1304" s="13">
        <v>45717</v>
      </c>
      <c r="U1304" s="13">
        <v>45717</v>
      </c>
      <c r="V1304" s="9" t="s">
        <v>47</v>
      </c>
      <c r="W1304" s="9">
        <v>22676563</v>
      </c>
      <c r="X1304" s="9">
        <v>3101656</v>
      </c>
      <c r="Y1304" s="9">
        <v>68997263</v>
      </c>
      <c r="Z1304" s="9" t="s">
        <v>39</v>
      </c>
      <c r="AA1304" s="9">
        <v>9032025</v>
      </c>
      <c r="AB1304" s="9">
        <v>77868</v>
      </c>
      <c r="AC1304" s="9" t="s">
        <v>41</v>
      </c>
      <c r="AD1304" s="9" t="s">
        <v>132</v>
      </c>
      <c r="AE1304" s="9" t="s">
        <v>133</v>
      </c>
      <c r="AF1304" s="9" t="s">
        <v>133</v>
      </c>
      <c r="AG1304" s="14" t="str">
        <f t="shared" si="44"/>
        <v>EXAMENES DE LABORATORIO</v>
      </c>
      <c r="AH1304" s="9" t="s">
        <v>758</v>
      </c>
      <c r="AI1304" s="9">
        <v>0</v>
      </c>
      <c r="AJ1304" s="9">
        <v>96942400</v>
      </c>
      <c r="AK1304" s="9">
        <v>2</v>
      </c>
      <c r="AL1304" s="26" t="s">
        <v>62</v>
      </c>
      <c r="AM1304" s="14" t="s">
        <v>718</v>
      </c>
      <c r="AN1304" s="27" t="str">
        <f t="shared" si="43"/>
        <v>14364605|96942400|921351426|921351426</v>
      </c>
      <c r="AO1304" t="s">
        <v>758</v>
      </c>
      <c r="AP1304" t="b">
        <v>1</v>
      </c>
      <c r="AQ1304" t="s">
        <v>764</v>
      </c>
    </row>
    <row r="1305" spans="1:43" x14ac:dyDescent="0.2">
      <c r="A1305" s="14" t="s">
        <v>500</v>
      </c>
      <c r="B1305" s="17">
        <v>14364605</v>
      </c>
      <c r="C1305" s="14" t="s">
        <v>442</v>
      </c>
      <c r="D1305" s="9">
        <v>14364605</v>
      </c>
      <c r="E1305" s="9" t="s">
        <v>442</v>
      </c>
      <c r="F1305" s="7">
        <v>45717</v>
      </c>
      <c r="G1305" s="20" t="s">
        <v>46</v>
      </c>
      <c r="H1305" s="8">
        <v>921351426</v>
      </c>
      <c r="I1305" s="19">
        <v>65384230</v>
      </c>
      <c r="J1305" s="10">
        <v>19716</v>
      </c>
      <c r="K1305" s="10">
        <v>0</v>
      </c>
      <c r="L1305" s="10">
        <v>19716</v>
      </c>
      <c r="M1305" s="10">
        <v>0</v>
      </c>
      <c r="N1305" s="11">
        <v>19716</v>
      </c>
      <c r="O1305" s="12">
        <v>921351426</v>
      </c>
      <c r="P1305" s="9">
        <v>285123</v>
      </c>
      <c r="Q1305" s="9" t="s">
        <v>37</v>
      </c>
      <c r="R1305" s="13">
        <v>45717</v>
      </c>
      <c r="S1305" s="22">
        <v>45742</v>
      </c>
      <c r="T1305" s="13">
        <v>45717</v>
      </c>
      <c r="U1305" s="13">
        <v>45717</v>
      </c>
      <c r="V1305" s="9" t="s">
        <v>47</v>
      </c>
      <c r="W1305" s="9">
        <v>22772356</v>
      </c>
      <c r="X1305" s="9">
        <v>3311105</v>
      </c>
      <c r="Y1305" s="9">
        <v>69251104</v>
      </c>
      <c r="Z1305" s="9" t="s">
        <v>39</v>
      </c>
      <c r="AA1305" s="9">
        <v>19999161879</v>
      </c>
      <c r="AB1305" s="9">
        <v>78070</v>
      </c>
      <c r="AC1305" s="9" t="s">
        <v>41</v>
      </c>
      <c r="AD1305" s="9" t="s">
        <v>132</v>
      </c>
      <c r="AE1305" s="9" t="s">
        <v>133</v>
      </c>
      <c r="AF1305" s="9" t="s">
        <v>133</v>
      </c>
      <c r="AG1305" s="14" t="str">
        <f t="shared" si="44"/>
        <v>EXAMENES DE LABORATORIO</v>
      </c>
      <c r="AH1305" s="9">
        <v>0</v>
      </c>
      <c r="AI1305" s="9">
        <v>0</v>
      </c>
      <c r="AJ1305" s="9">
        <v>96942400</v>
      </c>
      <c r="AK1305" s="9">
        <v>2</v>
      </c>
      <c r="AL1305" s="26" t="s">
        <v>52</v>
      </c>
      <c r="AM1305" s="14" t="s">
        <v>718</v>
      </c>
      <c r="AN1305" s="27" t="str">
        <f t="shared" si="43"/>
        <v>14364605|96942400|921351426|65384230</v>
      </c>
      <c r="AO1305" t="s">
        <v>44</v>
      </c>
      <c r="AP1305" t="b">
        <v>0</v>
      </c>
      <c r="AQ1305" t="s">
        <v>763</v>
      </c>
    </row>
    <row r="1306" spans="1:43" x14ac:dyDescent="0.2">
      <c r="A1306" s="14" t="s">
        <v>500</v>
      </c>
      <c r="B1306" s="17">
        <v>14364605</v>
      </c>
      <c r="C1306" s="14" t="s">
        <v>442</v>
      </c>
      <c r="D1306" s="9">
        <v>14364605</v>
      </c>
      <c r="E1306" s="9" t="s">
        <v>442</v>
      </c>
      <c r="F1306" s="7">
        <v>45717</v>
      </c>
      <c r="G1306" s="20" t="s">
        <v>36</v>
      </c>
      <c r="H1306" s="8">
        <v>921351427</v>
      </c>
      <c r="I1306" s="19">
        <v>921351427</v>
      </c>
      <c r="J1306" s="10">
        <v>57460</v>
      </c>
      <c r="K1306" s="10">
        <v>17970</v>
      </c>
      <c r="L1306" s="10">
        <v>39490</v>
      </c>
      <c r="M1306" s="10">
        <v>0</v>
      </c>
      <c r="N1306" s="11">
        <v>39490</v>
      </c>
      <c r="O1306" s="12">
        <v>921351427</v>
      </c>
      <c r="P1306" s="9">
        <v>285123</v>
      </c>
      <c r="Q1306" s="9" t="s">
        <v>37</v>
      </c>
      <c r="R1306" s="13">
        <v>45717</v>
      </c>
      <c r="S1306" s="22">
        <v>45717</v>
      </c>
      <c r="T1306" s="13">
        <v>45717</v>
      </c>
      <c r="U1306" s="13">
        <v>45717</v>
      </c>
      <c r="V1306" s="9" t="s">
        <v>47</v>
      </c>
      <c r="W1306" s="9">
        <v>22676563</v>
      </c>
      <c r="X1306" s="9">
        <v>3101656</v>
      </c>
      <c r="Y1306" s="9">
        <v>68995763</v>
      </c>
      <c r="Z1306" s="9" t="s">
        <v>39</v>
      </c>
      <c r="AA1306" s="9">
        <v>9032025</v>
      </c>
      <c r="AB1306" s="9">
        <v>77868</v>
      </c>
      <c r="AC1306" s="9" t="s">
        <v>41</v>
      </c>
      <c r="AD1306" s="9" t="s">
        <v>132</v>
      </c>
      <c r="AE1306" s="9" t="s">
        <v>133</v>
      </c>
      <c r="AF1306" s="9" t="s">
        <v>133</v>
      </c>
      <c r="AG1306" s="14" t="str">
        <f t="shared" si="44"/>
        <v>EXAMENES DE LABORATORIO</v>
      </c>
      <c r="AH1306" s="9" t="s">
        <v>758</v>
      </c>
      <c r="AI1306" s="9">
        <v>0</v>
      </c>
      <c r="AJ1306" s="9">
        <v>96942400</v>
      </c>
      <c r="AK1306" s="9">
        <v>2</v>
      </c>
      <c r="AL1306" s="26" t="s">
        <v>62</v>
      </c>
      <c r="AM1306" s="14" t="s">
        <v>718</v>
      </c>
      <c r="AN1306" s="27" t="str">
        <f t="shared" si="43"/>
        <v>14364605|96942400|921351427|921351427</v>
      </c>
      <c r="AO1306" t="s">
        <v>758</v>
      </c>
      <c r="AP1306" t="b">
        <v>1</v>
      </c>
      <c r="AQ1306" t="s">
        <v>764</v>
      </c>
    </row>
    <row r="1307" spans="1:43" x14ac:dyDescent="0.2">
      <c r="A1307" s="14" t="s">
        <v>500</v>
      </c>
      <c r="B1307" s="17">
        <v>14364605</v>
      </c>
      <c r="C1307" s="14" t="s">
        <v>442</v>
      </c>
      <c r="D1307" s="9">
        <v>14364605</v>
      </c>
      <c r="E1307" s="9" t="s">
        <v>442</v>
      </c>
      <c r="F1307" s="7">
        <v>45717</v>
      </c>
      <c r="G1307" s="20" t="s">
        <v>46</v>
      </c>
      <c r="H1307" s="8">
        <v>921351427</v>
      </c>
      <c r="I1307" s="19">
        <v>65384231</v>
      </c>
      <c r="J1307" s="10">
        <v>34022</v>
      </c>
      <c r="K1307" s="10">
        <v>0</v>
      </c>
      <c r="L1307" s="10">
        <v>34022</v>
      </c>
      <c r="M1307" s="10">
        <v>0</v>
      </c>
      <c r="N1307" s="11">
        <v>34022</v>
      </c>
      <c r="O1307" s="12">
        <v>921351427</v>
      </c>
      <c r="P1307" s="9">
        <v>285123</v>
      </c>
      <c r="Q1307" s="9" t="s">
        <v>37</v>
      </c>
      <c r="R1307" s="13">
        <v>45717</v>
      </c>
      <c r="S1307" s="22">
        <v>45742</v>
      </c>
      <c r="T1307" s="13">
        <v>45717</v>
      </c>
      <c r="U1307" s="13">
        <v>45717</v>
      </c>
      <c r="V1307" s="9" t="s">
        <v>47</v>
      </c>
      <c r="W1307" s="9">
        <v>22772356</v>
      </c>
      <c r="X1307" s="9">
        <v>3311105</v>
      </c>
      <c r="Y1307" s="9">
        <v>69251105</v>
      </c>
      <c r="Z1307" s="9" t="s">
        <v>39</v>
      </c>
      <c r="AA1307" s="9">
        <v>19999161879</v>
      </c>
      <c r="AB1307" s="9">
        <v>78070</v>
      </c>
      <c r="AC1307" s="9" t="s">
        <v>41</v>
      </c>
      <c r="AD1307" s="9" t="s">
        <v>132</v>
      </c>
      <c r="AE1307" s="9" t="s">
        <v>133</v>
      </c>
      <c r="AF1307" s="9" t="s">
        <v>133</v>
      </c>
      <c r="AG1307" s="14" t="str">
        <f t="shared" si="44"/>
        <v>EXAMENES DE LABORATORIO</v>
      </c>
      <c r="AH1307" s="9">
        <v>0</v>
      </c>
      <c r="AI1307" s="9">
        <v>0</v>
      </c>
      <c r="AJ1307" s="9">
        <v>96942400</v>
      </c>
      <c r="AK1307" s="9">
        <v>2</v>
      </c>
      <c r="AL1307" s="26" t="s">
        <v>52</v>
      </c>
      <c r="AM1307" s="14" t="s">
        <v>718</v>
      </c>
      <c r="AN1307" s="27" t="str">
        <f t="shared" si="43"/>
        <v>14364605|96942400|921351427|65384231</v>
      </c>
      <c r="AO1307" t="s">
        <v>44</v>
      </c>
      <c r="AP1307" t="b">
        <v>0</v>
      </c>
      <c r="AQ1307" t="s">
        <v>763</v>
      </c>
    </row>
    <row r="1308" spans="1:43" x14ac:dyDescent="0.2">
      <c r="A1308" s="14" t="s">
        <v>500</v>
      </c>
      <c r="B1308" s="17">
        <v>14364605</v>
      </c>
      <c r="C1308" s="14" t="s">
        <v>442</v>
      </c>
      <c r="D1308" s="9">
        <v>14364605</v>
      </c>
      <c r="E1308" s="9" t="s">
        <v>442</v>
      </c>
      <c r="F1308" s="7">
        <v>45717</v>
      </c>
      <c r="G1308" s="20" t="s">
        <v>36</v>
      </c>
      <c r="H1308" s="8">
        <v>921351583</v>
      </c>
      <c r="I1308" s="19">
        <v>921351583</v>
      </c>
      <c r="J1308" s="10">
        <v>45150</v>
      </c>
      <c r="K1308" s="10">
        <v>14120</v>
      </c>
      <c r="L1308" s="10">
        <v>31030</v>
      </c>
      <c r="M1308" s="10">
        <v>0</v>
      </c>
      <c r="N1308" s="11">
        <v>31030</v>
      </c>
      <c r="O1308" s="12">
        <v>921351583</v>
      </c>
      <c r="P1308" s="9">
        <v>285123</v>
      </c>
      <c r="Q1308" s="9" t="s">
        <v>37</v>
      </c>
      <c r="R1308" s="13">
        <v>45717</v>
      </c>
      <c r="S1308" s="22">
        <v>45717</v>
      </c>
      <c r="T1308" s="13">
        <v>45717</v>
      </c>
      <c r="U1308" s="13">
        <v>45717</v>
      </c>
      <c r="V1308" s="9" t="s">
        <v>47</v>
      </c>
      <c r="W1308" s="9">
        <v>22676563</v>
      </c>
      <c r="X1308" s="9">
        <v>3101656</v>
      </c>
      <c r="Y1308" s="9">
        <v>68997762</v>
      </c>
      <c r="Z1308" s="9" t="s">
        <v>39</v>
      </c>
      <c r="AA1308" s="9">
        <v>9032025</v>
      </c>
      <c r="AB1308" s="9">
        <v>77868</v>
      </c>
      <c r="AC1308" s="9" t="s">
        <v>41</v>
      </c>
      <c r="AD1308" s="9" t="s">
        <v>132</v>
      </c>
      <c r="AE1308" s="9" t="s">
        <v>133</v>
      </c>
      <c r="AF1308" s="9" t="s">
        <v>133</v>
      </c>
      <c r="AG1308" s="14" t="str">
        <f t="shared" si="44"/>
        <v>EXAMENES DE LABORATORIO</v>
      </c>
      <c r="AH1308" s="9" t="s">
        <v>758</v>
      </c>
      <c r="AI1308" s="9">
        <v>0</v>
      </c>
      <c r="AJ1308" s="9">
        <v>96942400</v>
      </c>
      <c r="AK1308" s="9">
        <v>2</v>
      </c>
      <c r="AL1308" s="26" t="s">
        <v>62</v>
      </c>
      <c r="AM1308" s="14" t="s">
        <v>718</v>
      </c>
      <c r="AN1308" s="27" t="str">
        <f t="shared" si="43"/>
        <v>14364605|96942400|921351583|921351583</v>
      </c>
      <c r="AO1308" t="s">
        <v>758</v>
      </c>
      <c r="AP1308" t="b">
        <v>1</v>
      </c>
      <c r="AQ1308" t="s">
        <v>764</v>
      </c>
    </row>
    <row r="1309" spans="1:43" x14ac:dyDescent="0.2">
      <c r="A1309" s="14" t="s">
        <v>500</v>
      </c>
      <c r="B1309" s="17">
        <v>14364605</v>
      </c>
      <c r="C1309" s="14" t="s">
        <v>442</v>
      </c>
      <c r="D1309" s="9">
        <v>14364605</v>
      </c>
      <c r="E1309" s="9" t="s">
        <v>442</v>
      </c>
      <c r="F1309" s="7">
        <v>45717</v>
      </c>
      <c r="G1309" s="20" t="s">
        <v>46</v>
      </c>
      <c r="H1309" s="8">
        <v>921351583</v>
      </c>
      <c r="I1309" s="19">
        <v>65384232</v>
      </c>
      <c r="J1309" s="10">
        <v>26675</v>
      </c>
      <c r="K1309" s="10">
        <v>0</v>
      </c>
      <c r="L1309" s="10">
        <v>26675</v>
      </c>
      <c r="M1309" s="10">
        <v>0</v>
      </c>
      <c r="N1309" s="11">
        <v>26675</v>
      </c>
      <c r="O1309" s="12">
        <v>921351583</v>
      </c>
      <c r="P1309" s="9">
        <v>285123</v>
      </c>
      <c r="Q1309" s="9" t="s">
        <v>37</v>
      </c>
      <c r="R1309" s="13">
        <v>45717</v>
      </c>
      <c r="S1309" s="22">
        <v>45742</v>
      </c>
      <c r="T1309" s="13">
        <v>45717</v>
      </c>
      <c r="U1309" s="13">
        <v>45717</v>
      </c>
      <c r="V1309" s="9" t="s">
        <v>47</v>
      </c>
      <c r="W1309" s="9">
        <v>22772356</v>
      </c>
      <c r="X1309" s="9">
        <v>3311105</v>
      </c>
      <c r="Y1309" s="9">
        <v>69251106</v>
      </c>
      <c r="Z1309" s="9" t="s">
        <v>39</v>
      </c>
      <c r="AA1309" s="9">
        <v>19999161879</v>
      </c>
      <c r="AB1309" s="9">
        <v>78070</v>
      </c>
      <c r="AC1309" s="9" t="s">
        <v>41</v>
      </c>
      <c r="AD1309" s="9" t="s">
        <v>132</v>
      </c>
      <c r="AE1309" s="9" t="s">
        <v>133</v>
      </c>
      <c r="AF1309" s="9" t="s">
        <v>133</v>
      </c>
      <c r="AG1309" s="14" t="str">
        <f t="shared" si="44"/>
        <v>EXAMENES DE LABORATORIO</v>
      </c>
      <c r="AH1309" s="9">
        <v>0</v>
      </c>
      <c r="AI1309" s="9">
        <v>0</v>
      </c>
      <c r="AJ1309" s="9">
        <v>96942400</v>
      </c>
      <c r="AK1309" s="9">
        <v>2</v>
      </c>
      <c r="AL1309" s="26" t="s">
        <v>52</v>
      </c>
      <c r="AM1309" s="14" t="s">
        <v>718</v>
      </c>
      <c r="AN1309" s="27" t="str">
        <f t="shared" si="43"/>
        <v>14364605|96942400|921351583|65384232</v>
      </c>
      <c r="AO1309" t="s">
        <v>44</v>
      </c>
      <c r="AP1309" t="b">
        <v>0</v>
      </c>
      <c r="AQ1309" t="s">
        <v>763</v>
      </c>
    </row>
    <row r="1310" spans="1:43" x14ac:dyDescent="0.2">
      <c r="A1310" s="14" t="s">
        <v>500</v>
      </c>
      <c r="B1310" s="17">
        <v>14591267</v>
      </c>
      <c r="C1310" s="14" t="s">
        <v>444</v>
      </c>
      <c r="D1310" s="9">
        <v>14591267</v>
      </c>
      <c r="E1310" s="9" t="s">
        <v>444</v>
      </c>
      <c r="F1310" s="7">
        <v>45717</v>
      </c>
      <c r="G1310" s="20" t="s">
        <v>36</v>
      </c>
      <c r="H1310" s="8">
        <v>921354738</v>
      </c>
      <c r="I1310" s="19">
        <v>921354738</v>
      </c>
      <c r="J1310" s="10">
        <v>2960</v>
      </c>
      <c r="K1310" s="10">
        <v>930</v>
      </c>
      <c r="L1310" s="10">
        <v>2030</v>
      </c>
      <c r="M1310" s="10">
        <v>0</v>
      </c>
      <c r="N1310" s="11">
        <v>2030</v>
      </c>
      <c r="O1310" s="12">
        <v>921354738</v>
      </c>
      <c r="P1310" s="9">
        <v>285123</v>
      </c>
      <c r="Q1310" s="9" t="s">
        <v>37</v>
      </c>
      <c r="R1310" s="13">
        <v>45717</v>
      </c>
      <c r="S1310" s="22">
        <v>45717</v>
      </c>
      <c r="T1310" s="13">
        <v>45717</v>
      </c>
      <c r="U1310" s="13">
        <v>45717</v>
      </c>
      <c r="V1310" s="9" t="s">
        <v>47</v>
      </c>
      <c r="W1310" s="9">
        <v>22676565</v>
      </c>
      <c r="X1310" s="9">
        <v>3101656</v>
      </c>
      <c r="Y1310" s="9">
        <v>68996528</v>
      </c>
      <c r="Z1310" s="9" t="s">
        <v>39</v>
      </c>
      <c r="AA1310" s="9">
        <v>9032025</v>
      </c>
      <c r="AB1310" s="9">
        <v>77868</v>
      </c>
      <c r="AC1310" s="9" t="s">
        <v>41</v>
      </c>
      <c r="AD1310" s="9" t="s">
        <v>132</v>
      </c>
      <c r="AE1310" s="9" t="s">
        <v>133</v>
      </c>
      <c r="AF1310" s="9" t="s">
        <v>133</v>
      </c>
      <c r="AG1310" s="14" t="str">
        <f t="shared" si="44"/>
        <v>EXAMENES DE LABORATORIO</v>
      </c>
      <c r="AH1310" s="9" t="s">
        <v>758</v>
      </c>
      <c r="AI1310" s="9">
        <v>0</v>
      </c>
      <c r="AJ1310" s="9">
        <v>77786070</v>
      </c>
      <c r="AK1310" s="9">
        <v>4</v>
      </c>
      <c r="AL1310" s="26" t="s">
        <v>62</v>
      </c>
      <c r="AM1310" s="14" t="s">
        <v>719</v>
      </c>
      <c r="AN1310" s="27" t="str">
        <f t="shared" si="43"/>
        <v>14591267|77786070|921354738|921354738</v>
      </c>
      <c r="AO1310" t="s">
        <v>758</v>
      </c>
      <c r="AP1310" t="b">
        <v>1</v>
      </c>
      <c r="AQ1310" t="s">
        <v>764</v>
      </c>
    </row>
    <row r="1311" spans="1:43" x14ac:dyDescent="0.2">
      <c r="A1311" s="14" t="s">
        <v>500</v>
      </c>
      <c r="B1311" s="17">
        <v>14591267</v>
      </c>
      <c r="C1311" s="14" t="s">
        <v>444</v>
      </c>
      <c r="D1311" s="9">
        <v>14591267</v>
      </c>
      <c r="E1311" s="9" t="s">
        <v>444</v>
      </c>
      <c r="F1311" s="7">
        <v>45717</v>
      </c>
      <c r="G1311" s="20" t="s">
        <v>46</v>
      </c>
      <c r="H1311" s="8">
        <v>921354738</v>
      </c>
      <c r="I1311" s="19">
        <v>65384246</v>
      </c>
      <c r="J1311" s="10">
        <v>1546</v>
      </c>
      <c r="K1311" s="10">
        <v>0</v>
      </c>
      <c r="L1311" s="10">
        <v>1546</v>
      </c>
      <c r="M1311" s="10">
        <v>0</v>
      </c>
      <c r="N1311" s="11">
        <v>1546</v>
      </c>
      <c r="O1311" s="12">
        <v>921354738</v>
      </c>
      <c r="P1311" s="9">
        <v>285123</v>
      </c>
      <c r="Q1311" s="9" t="s">
        <v>37</v>
      </c>
      <c r="R1311" s="13">
        <v>45717</v>
      </c>
      <c r="S1311" s="22">
        <v>45742</v>
      </c>
      <c r="T1311" s="13">
        <v>45717</v>
      </c>
      <c r="U1311" s="13">
        <v>45717</v>
      </c>
      <c r="V1311" s="9" t="s">
        <v>47</v>
      </c>
      <c r="W1311" s="9">
        <v>22772357</v>
      </c>
      <c r="X1311" s="9">
        <v>3311105</v>
      </c>
      <c r="Y1311" s="9">
        <v>69251119</v>
      </c>
      <c r="Z1311" s="9" t="s">
        <v>39</v>
      </c>
      <c r="AA1311" s="9">
        <v>1150657401</v>
      </c>
      <c r="AB1311" s="9">
        <v>78070</v>
      </c>
      <c r="AC1311" s="9" t="s">
        <v>41</v>
      </c>
      <c r="AD1311" s="9" t="s">
        <v>132</v>
      </c>
      <c r="AE1311" s="9" t="s">
        <v>133</v>
      </c>
      <c r="AF1311" s="9" t="s">
        <v>133</v>
      </c>
      <c r="AG1311" s="14" t="str">
        <f t="shared" si="44"/>
        <v>EXAMENES DE LABORATORIO</v>
      </c>
      <c r="AH1311" s="9">
        <v>0</v>
      </c>
      <c r="AI1311" s="9">
        <v>0</v>
      </c>
      <c r="AJ1311" s="9">
        <v>77786070</v>
      </c>
      <c r="AK1311" s="9">
        <v>4</v>
      </c>
      <c r="AL1311" s="26" t="s">
        <v>52</v>
      </c>
      <c r="AM1311" s="14" t="s">
        <v>719</v>
      </c>
      <c r="AN1311" s="27" t="str">
        <f t="shared" si="43"/>
        <v>14591267|77786070|921354738|65384246</v>
      </c>
      <c r="AO1311" t="s">
        <v>44</v>
      </c>
      <c r="AP1311" t="b">
        <v>0</v>
      </c>
      <c r="AQ1311" t="s">
        <v>763</v>
      </c>
    </row>
    <row r="1312" spans="1:43" x14ac:dyDescent="0.2">
      <c r="A1312" s="14" t="s">
        <v>500</v>
      </c>
      <c r="B1312" s="17">
        <v>14591267</v>
      </c>
      <c r="C1312" s="14" t="s">
        <v>444</v>
      </c>
      <c r="D1312" s="9">
        <v>14591267</v>
      </c>
      <c r="E1312" s="9" t="s">
        <v>444</v>
      </c>
      <c r="F1312" s="7">
        <v>45717</v>
      </c>
      <c r="G1312" s="20" t="s">
        <v>36</v>
      </c>
      <c r="H1312" s="8">
        <v>921354787</v>
      </c>
      <c r="I1312" s="19">
        <v>921354787</v>
      </c>
      <c r="J1312" s="10">
        <v>11500</v>
      </c>
      <c r="K1312" s="10">
        <v>3600</v>
      </c>
      <c r="L1312" s="10">
        <v>7900</v>
      </c>
      <c r="M1312" s="10">
        <v>0</v>
      </c>
      <c r="N1312" s="11">
        <v>7900</v>
      </c>
      <c r="O1312" s="12">
        <v>921354787</v>
      </c>
      <c r="P1312" s="9">
        <v>285123</v>
      </c>
      <c r="Q1312" s="9" t="s">
        <v>37</v>
      </c>
      <c r="R1312" s="13">
        <v>45717</v>
      </c>
      <c r="S1312" s="22">
        <v>45717</v>
      </c>
      <c r="T1312" s="13">
        <v>45717</v>
      </c>
      <c r="U1312" s="13">
        <v>45717</v>
      </c>
      <c r="V1312" s="9" t="s">
        <v>47</v>
      </c>
      <c r="W1312" s="9">
        <v>22676565</v>
      </c>
      <c r="X1312" s="9">
        <v>3101656</v>
      </c>
      <c r="Y1312" s="9">
        <v>68993620</v>
      </c>
      <c r="Z1312" s="9" t="s">
        <v>39</v>
      </c>
      <c r="AA1312" s="9">
        <v>9032025</v>
      </c>
      <c r="AB1312" s="9">
        <v>77868</v>
      </c>
      <c r="AC1312" s="9" t="s">
        <v>41</v>
      </c>
      <c r="AD1312" s="9" t="s">
        <v>65</v>
      </c>
      <c r="AE1312" s="9" t="s">
        <v>66</v>
      </c>
      <c r="AF1312" s="9" t="s">
        <v>66</v>
      </c>
      <c r="AG1312" s="14" t="str">
        <f t="shared" si="44"/>
        <v>PROCEDIMIENTOS TERAPEUTICOS</v>
      </c>
      <c r="AH1312" s="9" t="s">
        <v>758</v>
      </c>
      <c r="AI1312" s="9">
        <v>0</v>
      </c>
      <c r="AJ1312" s="9">
        <v>77026140</v>
      </c>
      <c r="AK1312" s="9">
        <v>6</v>
      </c>
      <c r="AL1312" s="26" t="s">
        <v>62</v>
      </c>
      <c r="AM1312" s="14" t="s">
        <v>719</v>
      </c>
      <c r="AN1312" s="27" t="str">
        <f t="shared" si="43"/>
        <v>14591267|77026140|921354787|921354787</v>
      </c>
      <c r="AO1312" t="s">
        <v>758</v>
      </c>
      <c r="AP1312" t="b">
        <v>1</v>
      </c>
      <c r="AQ1312" t="s">
        <v>764</v>
      </c>
    </row>
    <row r="1313" spans="1:43" x14ac:dyDescent="0.2">
      <c r="A1313" s="14" t="s">
        <v>500</v>
      </c>
      <c r="B1313" s="17">
        <v>14591267</v>
      </c>
      <c r="C1313" s="14" t="s">
        <v>444</v>
      </c>
      <c r="D1313" s="9">
        <v>14591267</v>
      </c>
      <c r="E1313" s="9" t="s">
        <v>444</v>
      </c>
      <c r="F1313" s="7">
        <v>45717</v>
      </c>
      <c r="G1313" s="20" t="s">
        <v>46</v>
      </c>
      <c r="H1313" s="8">
        <v>921354787</v>
      </c>
      <c r="I1313" s="19">
        <v>65384247</v>
      </c>
      <c r="J1313" s="10">
        <v>6572</v>
      </c>
      <c r="K1313" s="10">
        <v>0</v>
      </c>
      <c r="L1313" s="10">
        <v>6572</v>
      </c>
      <c r="M1313" s="10">
        <v>0</v>
      </c>
      <c r="N1313" s="11">
        <v>6572</v>
      </c>
      <c r="O1313" s="12">
        <v>921354787</v>
      </c>
      <c r="P1313" s="9">
        <v>285123</v>
      </c>
      <c r="Q1313" s="9" t="s">
        <v>37</v>
      </c>
      <c r="R1313" s="13">
        <v>45717</v>
      </c>
      <c r="S1313" s="22">
        <v>45742</v>
      </c>
      <c r="T1313" s="13">
        <v>45717</v>
      </c>
      <c r="U1313" s="13">
        <v>45717</v>
      </c>
      <c r="V1313" s="9" t="s">
        <v>47</v>
      </c>
      <c r="W1313" s="9">
        <v>22772357</v>
      </c>
      <c r="X1313" s="9">
        <v>3311105</v>
      </c>
      <c r="Y1313" s="9">
        <v>69251120</v>
      </c>
      <c r="Z1313" s="9" t="s">
        <v>39</v>
      </c>
      <c r="AA1313" s="9">
        <v>1150657401</v>
      </c>
      <c r="AB1313" s="9">
        <v>78070</v>
      </c>
      <c r="AC1313" s="9" t="s">
        <v>41</v>
      </c>
      <c r="AD1313" s="9" t="s">
        <v>65</v>
      </c>
      <c r="AE1313" s="9" t="s">
        <v>66</v>
      </c>
      <c r="AF1313" s="9" t="s">
        <v>66</v>
      </c>
      <c r="AG1313" s="14" t="str">
        <f t="shared" si="44"/>
        <v>PROCEDIMIENTOS TERAPEUTICOS</v>
      </c>
      <c r="AH1313" s="9">
        <v>0</v>
      </c>
      <c r="AI1313" s="9">
        <v>0</v>
      </c>
      <c r="AJ1313" s="9">
        <v>77026140</v>
      </c>
      <c r="AK1313" s="9">
        <v>6</v>
      </c>
      <c r="AL1313" s="26" t="s">
        <v>52</v>
      </c>
      <c r="AM1313" s="14" t="s">
        <v>719</v>
      </c>
      <c r="AN1313" s="27" t="str">
        <f t="shared" si="43"/>
        <v>14591267|77026140|921354787|65384247</v>
      </c>
      <c r="AO1313" t="s">
        <v>44</v>
      </c>
      <c r="AP1313" t="b">
        <v>0</v>
      </c>
      <c r="AQ1313" t="s">
        <v>763</v>
      </c>
    </row>
    <row r="1314" spans="1:43" x14ac:dyDescent="0.2">
      <c r="A1314" s="14" t="s">
        <v>500</v>
      </c>
      <c r="B1314" s="17">
        <v>14591267</v>
      </c>
      <c r="C1314" s="14" t="s">
        <v>444</v>
      </c>
      <c r="D1314" s="9">
        <v>14591267</v>
      </c>
      <c r="E1314" s="9" t="s">
        <v>444</v>
      </c>
      <c r="F1314" s="7">
        <v>45717</v>
      </c>
      <c r="G1314" s="20" t="s">
        <v>36</v>
      </c>
      <c r="H1314" s="8">
        <v>921356600</v>
      </c>
      <c r="I1314" s="19">
        <v>921356600</v>
      </c>
      <c r="J1314" s="10">
        <v>20810</v>
      </c>
      <c r="K1314" s="10">
        <v>6510</v>
      </c>
      <c r="L1314" s="10">
        <v>14300</v>
      </c>
      <c r="M1314" s="10">
        <v>0</v>
      </c>
      <c r="N1314" s="11">
        <v>14300</v>
      </c>
      <c r="O1314" s="12">
        <v>921356600</v>
      </c>
      <c r="P1314" s="9">
        <v>285123</v>
      </c>
      <c r="Q1314" s="9" t="s">
        <v>37</v>
      </c>
      <c r="R1314" s="13">
        <v>45717</v>
      </c>
      <c r="S1314" s="22">
        <v>45717</v>
      </c>
      <c r="T1314" s="13">
        <v>45717</v>
      </c>
      <c r="U1314" s="13">
        <v>45717</v>
      </c>
      <c r="V1314" s="9" t="s">
        <v>47</v>
      </c>
      <c r="W1314" s="9">
        <v>22676565</v>
      </c>
      <c r="X1314" s="9">
        <v>3101656</v>
      </c>
      <c r="Y1314" s="9">
        <v>68993398</v>
      </c>
      <c r="Z1314" s="9" t="s">
        <v>39</v>
      </c>
      <c r="AA1314" s="9">
        <v>9032025</v>
      </c>
      <c r="AB1314" s="9">
        <v>77868</v>
      </c>
      <c r="AC1314" s="9" t="s">
        <v>41</v>
      </c>
      <c r="AD1314" s="9" t="s">
        <v>132</v>
      </c>
      <c r="AE1314" s="9" t="s">
        <v>133</v>
      </c>
      <c r="AF1314" s="9" t="s">
        <v>133</v>
      </c>
      <c r="AG1314" s="14" t="str">
        <f t="shared" si="44"/>
        <v>EXAMENES DE LABORATORIO</v>
      </c>
      <c r="AH1314" s="9" t="s">
        <v>758</v>
      </c>
      <c r="AI1314" s="9">
        <v>0</v>
      </c>
      <c r="AJ1314" s="9">
        <v>77786070</v>
      </c>
      <c r="AK1314" s="9">
        <v>4</v>
      </c>
      <c r="AL1314" s="26" t="s">
        <v>62</v>
      </c>
      <c r="AM1314" s="14" t="s">
        <v>719</v>
      </c>
      <c r="AN1314" s="27" t="str">
        <f t="shared" si="43"/>
        <v>14591267|77786070|921356600|921356600</v>
      </c>
      <c r="AO1314" t="s">
        <v>758</v>
      </c>
      <c r="AP1314" t="b">
        <v>1</v>
      </c>
      <c r="AQ1314" t="s">
        <v>764</v>
      </c>
    </row>
    <row r="1315" spans="1:43" x14ac:dyDescent="0.2">
      <c r="A1315" s="14" t="s">
        <v>500</v>
      </c>
      <c r="B1315" s="17">
        <v>14591267</v>
      </c>
      <c r="C1315" s="14" t="s">
        <v>444</v>
      </c>
      <c r="D1315" s="9">
        <v>14591267</v>
      </c>
      <c r="E1315" s="9" t="s">
        <v>444</v>
      </c>
      <c r="F1315" s="7">
        <v>45717</v>
      </c>
      <c r="G1315" s="20" t="s">
        <v>46</v>
      </c>
      <c r="H1315" s="8">
        <v>921356600</v>
      </c>
      <c r="I1315" s="19">
        <v>65384248</v>
      </c>
      <c r="J1315" s="10">
        <v>11983</v>
      </c>
      <c r="K1315" s="10">
        <v>0</v>
      </c>
      <c r="L1315" s="10">
        <v>11983</v>
      </c>
      <c r="M1315" s="10">
        <v>0</v>
      </c>
      <c r="N1315" s="11">
        <v>11983</v>
      </c>
      <c r="O1315" s="12">
        <v>921356600</v>
      </c>
      <c r="P1315" s="9">
        <v>285123</v>
      </c>
      <c r="Q1315" s="9" t="s">
        <v>37</v>
      </c>
      <c r="R1315" s="13">
        <v>45717</v>
      </c>
      <c r="S1315" s="22">
        <v>45742</v>
      </c>
      <c r="T1315" s="13">
        <v>45717</v>
      </c>
      <c r="U1315" s="13">
        <v>45717</v>
      </c>
      <c r="V1315" s="9" t="s">
        <v>47</v>
      </c>
      <c r="W1315" s="9">
        <v>22772357</v>
      </c>
      <c r="X1315" s="9">
        <v>3311105</v>
      </c>
      <c r="Y1315" s="9">
        <v>69251121</v>
      </c>
      <c r="Z1315" s="9" t="s">
        <v>39</v>
      </c>
      <c r="AA1315" s="9">
        <v>1150657401</v>
      </c>
      <c r="AB1315" s="9">
        <v>78070</v>
      </c>
      <c r="AC1315" s="9" t="s">
        <v>41</v>
      </c>
      <c r="AD1315" s="9" t="s">
        <v>132</v>
      </c>
      <c r="AE1315" s="9" t="s">
        <v>133</v>
      </c>
      <c r="AF1315" s="9" t="s">
        <v>133</v>
      </c>
      <c r="AG1315" s="14" t="str">
        <f t="shared" si="44"/>
        <v>EXAMENES DE LABORATORIO</v>
      </c>
      <c r="AH1315" s="9">
        <v>0</v>
      </c>
      <c r="AI1315" s="9">
        <v>0</v>
      </c>
      <c r="AJ1315" s="9">
        <v>77786070</v>
      </c>
      <c r="AK1315" s="9">
        <v>4</v>
      </c>
      <c r="AL1315" s="26" t="s">
        <v>52</v>
      </c>
      <c r="AM1315" s="14" t="s">
        <v>719</v>
      </c>
      <c r="AN1315" s="27" t="str">
        <f t="shared" si="43"/>
        <v>14591267|77786070|921356600|65384248</v>
      </c>
      <c r="AO1315" t="s">
        <v>44</v>
      </c>
      <c r="AP1315" t="b">
        <v>0</v>
      </c>
      <c r="AQ1315" t="s">
        <v>763</v>
      </c>
    </row>
    <row r="1316" spans="1:43" x14ac:dyDescent="0.2">
      <c r="A1316" s="14" t="s">
        <v>500</v>
      </c>
      <c r="B1316" s="17">
        <v>14591267</v>
      </c>
      <c r="C1316" s="14" t="s">
        <v>444</v>
      </c>
      <c r="D1316" s="9">
        <v>14591267</v>
      </c>
      <c r="E1316" s="9" t="s">
        <v>444</v>
      </c>
      <c r="F1316" s="7">
        <v>45717</v>
      </c>
      <c r="G1316" s="20" t="s">
        <v>36</v>
      </c>
      <c r="H1316" s="8">
        <v>921356601</v>
      </c>
      <c r="I1316" s="19">
        <v>921356601</v>
      </c>
      <c r="J1316" s="10">
        <v>14050</v>
      </c>
      <c r="K1316" s="10">
        <v>4400</v>
      </c>
      <c r="L1316" s="10">
        <v>9650</v>
      </c>
      <c r="M1316" s="10">
        <v>0</v>
      </c>
      <c r="N1316" s="11">
        <v>9650</v>
      </c>
      <c r="O1316" s="12">
        <v>921356601</v>
      </c>
      <c r="P1316" s="9">
        <v>285123</v>
      </c>
      <c r="Q1316" s="9" t="s">
        <v>37</v>
      </c>
      <c r="R1316" s="13">
        <v>45717</v>
      </c>
      <c r="S1316" s="22">
        <v>45717</v>
      </c>
      <c r="T1316" s="13">
        <v>45717</v>
      </c>
      <c r="U1316" s="13">
        <v>45717</v>
      </c>
      <c r="V1316" s="9" t="s">
        <v>47</v>
      </c>
      <c r="W1316" s="9">
        <v>22676565</v>
      </c>
      <c r="X1316" s="9">
        <v>3101656</v>
      </c>
      <c r="Y1316" s="9">
        <v>68996877</v>
      </c>
      <c r="Z1316" s="9" t="s">
        <v>39</v>
      </c>
      <c r="AA1316" s="9">
        <v>9032025</v>
      </c>
      <c r="AB1316" s="9">
        <v>77868</v>
      </c>
      <c r="AC1316" s="9" t="s">
        <v>41</v>
      </c>
      <c r="AD1316" s="9" t="s">
        <v>132</v>
      </c>
      <c r="AE1316" s="9" t="s">
        <v>133</v>
      </c>
      <c r="AF1316" s="9" t="s">
        <v>133</v>
      </c>
      <c r="AG1316" s="14" t="str">
        <f t="shared" si="44"/>
        <v>EXAMENES DE LABORATORIO</v>
      </c>
      <c r="AH1316" s="9" t="s">
        <v>758</v>
      </c>
      <c r="AI1316" s="9">
        <v>0</v>
      </c>
      <c r="AJ1316" s="9">
        <v>77786070</v>
      </c>
      <c r="AK1316" s="9">
        <v>4</v>
      </c>
      <c r="AL1316" s="26" t="s">
        <v>62</v>
      </c>
      <c r="AM1316" s="14" t="s">
        <v>719</v>
      </c>
      <c r="AN1316" s="27" t="str">
        <f t="shared" si="43"/>
        <v>14591267|77786070|921356601|921356601</v>
      </c>
      <c r="AO1316" t="s">
        <v>758</v>
      </c>
      <c r="AP1316" t="b">
        <v>1</v>
      </c>
      <c r="AQ1316" t="s">
        <v>764</v>
      </c>
    </row>
    <row r="1317" spans="1:43" x14ac:dyDescent="0.2">
      <c r="A1317" s="14" t="s">
        <v>500</v>
      </c>
      <c r="B1317" s="17">
        <v>14591267</v>
      </c>
      <c r="C1317" s="14" t="s">
        <v>444</v>
      </c>
      <c r="D1317" s="9">
        <v>14591267</v>
      </c>
      <c r="E1317" s="9" t="s">
        <v>444</v>
      </c>
      <c r="F1317" s="7">
        <v>45717</v>
      </c>
      <c r="G1317" s="20" t="s">
        <v>46</v>
      </c>
      <c r="H1317" s="8">
        <v>921356601</v>
      </c>
      <c r="I1317" s="19">
        <v>65384249</v>
      </c>
      <c r="J1317" s="10">
        <v>8117</v>
      </c>
      <c r="K1317" s="10">
        <v>0</v>
      </c>
      <c r="L1317" s="10">
        <v>8117</v>
      </c>
      <c r="M1317" s="10">
        <v>0</v>
      </c>
      <c r="N1317" s="11">
        <v>8117</v>
      </c>
      <c r="O1317" s="12">
        <v>921356601</v>
      </c>
      <c r="P1317" s="9">
        <v>285123</v>
      </c>
      <c r="Q1317" s="9" t="s">
        <v>37</v>
      </c>
      <c r="R1317" s="13">
        <v>45717</v>
      </c>
      <c r="S1317" s="22">
        <v>45742</v>
      </c>
      <c r="T1317" s="13">
        <v>45717</v>
      </c>
      <c r="U1317" s="13">
        <v>45717</v>
      </c>
      <c r="V1317" s="9" t="s">
        <v>47</v>
      </c>
      <c r="W1317" s="9">
        <v>22772357</v>
      </c>
      <c r="X1317" s="9">
        <v>3311105</v>
      </c>
      <c r="Y1317" s="9">
        <v>69251122</v>
      </c>
      <c r="Z1317" s="9" t="s">
        <v>39</v>
      </c>
      <c r="AA1317" s="9">
        <v>1150657401</v>
      </c>
      <c r="AB1317" s="9">
        <v>78070</v>
      </c>
      <c r="AC1317" s="9" t="s">
        <v>41</v>
      </c>
      <c r="AD1317" s="9" t="s">
        <v>132</v>
      </c>
      <c r="AE1317" s="9" t="s">
        <v>133</v>
      </c>
      <c r="AF1317" s="9" t="s">
        <v>133</v>
      </c>
      <c r="AG1317" s="14" t="str">
        <f t="shared" si="44"/>
        <v>EXAMENES DE LABORATORIO</v>
      </c>
      <c r="AH1317" s="9">
        <v>0</v>
      </c>
      <c r="AI1317" s="9">
        <v>0</v>
      </c>
      <c r="AJ1317" s="9">
        <v>77786070</v>
      </c>
      <c r="AK1317" s="9">
        <v>4</v>
      </c>
      <c r="AL1317" s="26" t="s">
        <v>52</v>
      </c>
      <c r="AM1317" s="14" t="s">
        <v>719</v>
      </c>
      <c r="AN1317" s="27" t="str">
        <f t="shared" si="43"/>
        <v>14591267|77786070|921356601|65384249</v>
      </c>
      <c r="AO1317" t="s">
        <v>44</v>
      </c>
      <c r="AP1317" t="b">
        <v>0</v>
      </c>
      <c r="AQ1317" t="s">
        <v>763</v>
      </c>
    </row>
    <row r="1318" spans="1:43" x14ac:dyDescent="0.2">
      <c r="A1318" s="14" t="s">
        <v>500</v>
      </c>
      <c r="B1318" s="17">
        <v>15543105</v>
      </c>
      <c r="C1318" s="14" t="s">
        <v>362</v>
      </c>
      <c r="D1318" s="9">
        <v>22988456</v>
      </c>
      <c r="E1318" s="9" t="s">
        <v>443</v>
      </c>
      <c r="F1318" s="7">
        <v>45717</v>
      </c>
      <c r="G1318" s="20" t="s">
        <v>36</v>
      </c>
      <c r="H1318" s="8">
        <v>921418566</v>
      </c>
      <c r="I1318" s="19">
        <v>921418566</v>
      </c>
      <c r="J1318" s="10">
        <v>16990</v>
      </c>
      <c r="K1318" s="10">
        <v>6550</v>
      </c>
      <c r="L1318" s="10">
        <v>10440</v>
      </c>
      <c r="M1318" s="10">
        <v>0</v>
      </c>
      <c r="N1318" s="11">
        <v>10440</v>
      </c>
      <c r="O1318" s="12">
        <v>921418566</v>
      </c>
      <c r="P1318" s="9">
        <v>285123</v>
      </c>
      <c r="Q1318" s="9" t="s">
        <v>37</v>
      </c>
      <c r="R1318" s="13">
        <v>45719</v>
      </c>
      <c r="S1318" s="22">
        <v>45719</v>
      </c>
      <c r="T1318" s="13">
        <v>45719</v>
      </c>
      <c r="U1318" s="13">
        <v>45719</v>
      </c>
      <c r="V1318" s="9" t="s">
        <v>47</v>
      </c>
      <c r="W1318" s="9">
        <v>22676621</v>
      </c>
      <c r="X1318" s="9">
        <v>3101656</v>
      </c>
      <c r="Y1318" s="9">
        <v>68994630</v>
      </c>
      <c r="Z1318" s="9" t="s">
        <v>39</v>
      </c>
      <c r="AA1318" s="9">
        <v>9032025</v>
      </c>
      <c r="AB1318" s="9">
        <v>77868</v>
      </c>
      <c r="AC1318" s="9" t="s">
        <v>41</v>
      </c>
      <c r="AD1318" s="9" t="s">
        <v>132</v>
      </c>
      <c r="AE1318" s="9" t="s">
        <v>133</v>
      </c>
      <c r="AF1318" s="9" t="s">
        <v>133</v>
      </c>
      <c r="AG1318" s="14" t="str">
        <f t="shared" si="44"/>
        <v>EXAMENES DE LABORATORIO</v>
      </c>
      <c r="AH1318" s="9" t="s">
        <v>758</v>
      </c>
      <c r="AI1318" s="9">
        <v>0</v>
      </c>
      <c r="AJ1318" s="9">
        <v>76766044</v>
      </c>
      <c r="AK1318" s="9">
        <v>8</v>
      </c>
      <c r="AL1318" s="26" t="s">
        <v>62</v>
      </c>
      <c r="AM1318" s="14" t="s">
        <v>658</v>
      </c>
      <c r="AN1318" s="27" t="str">
        <f t="shared" si="43"/>
        <v>15543105|76766044|921418566|921418566</v>
      </c>
      <c r="AO1318" t="s">
        <v>758</v>
      </c>
      <c r="AP1318" t="b">
        <v>1</v>
      </c>
      <c r="AQ1318" t="s">
        <v>764</v>
      </c>
    </row>
    <row r="1319" spans="1:43" x14ac:dyDescent="0.2">
      <c r="A1319" s="14" t="s">
        <v>500</v>
      </c>
      <c r="B1319" s="17">
        <v>15543105</v>
      </c>
      <c r="C1319" s="14" t="s">
        <v>362</v>
      </c>
      <c r="D1319" s="9">
        <v>22988456</v>
      </c>
      <c r="E1319" s="9" t="s">
        <v>443</v>
      </c>
      <c r="F1319" s="7">
        <v>45717</v>
      </c>
      <c r="G1319" s="20" t="s">
        <v>46</v>
      </c>
      <c r="H1319" s="8">
        <v>921418566</v>
      </c>
      <c r="I1319" s="19">
        <v>65384318</v>
      </c>
      <c r="J1319" s="10">
        <v>10056</v>
      </c>
      <c r="K1319" s="10">
        <v>0</v>
      </c>
      <c r="L1319" s="10">
        <v>10056</v>
      </c>
      <c r="M1319" s="10">
        <v>0</v>
      </c>
      <c r="N1319" s="11">
        <v>10056</v>
      </c>
      <c r="O1319" s="12">
        <v>921418566</v>
      </c>
      <c r="P1319" s="9">
        <v>285123</v>
      </c>
      <c r="Q1319" s="9" t="s">
        <v>37</v>
      </c>
      <c r="R1319" s="13">
        <v>45719</v>
      </c>
      <c r="S1319" s="22">
        <v>45742</v>
      </c>
      <c r="T1319" s="13">
        <v>45719</v>
      </c>
      <c r="U1319" s="13">
        <v>45719</v>
      </c>
      <c r="V1319" s="9" t="s">
        <v>47</v>
      </c>
      <c r="W1319" s="9">
        <v>22772375</v>
      </c>
      <c r="X1319" s="9">
        <v>3311105</v>
      </c>
      <c r="Y1319" s="9">
        <v>69251201</v>
      </c>
      <c r="Z1319" s="9" t="s">
        <v>39</v>
      </c>
      <c r="AA1319" s="9">
        <v>987634170</v>
      </c>
      <c r="AB1319" s="9">
        <v>78070</v>
      </c>
      <c r="AC1319" s="9" t="s">
        <v>41</v>
      </c>
      <c r="AD1319" s="9" t="s">
        <v>132</v>
      </c>
      <c r="AE1319" s="9" t="s">
        <v>133</v>
      </c>
      <c r="AF1319" s="9" t="s">
        <v>133</v>
      </c>
      <c r="AG1319" s="14" t="str">
        <f t="shared" si="44"/>
        <v>EXAMENES DE LABORATORIO</v>
      </c>
      <c r="AH1319" s="9">
        <v>0</v>
      </c>
      <c r="AI1319" s="9">
        <v>0</v>
      </c>
      <c r="AJ1319" s="9">
        <v>76766044</v>
      </c>
      <c r="AK1319" s="9">
        <v>8</v>
      </c>
      <c r="AL1319" s="26" t="s">
        <v>52</v>
      </c>
      <c r="AM1319" s="14" t="s">
        <v>658</v>
      </c>
      <c r="AN1319" s="27" t="str">
        <f t="shared" si="43"/>
        <v>15543105|76766044|921418566|65384318</v>
      </c>
      <c r="AO1319" t="s">
        <v>44</v>
      </c>
      <c r="AP1319" t="b">
        <v>0</v>
      </c>
      <c r="AQ1319" t="s">
        <v>763</v>
      </c>
    </row>
    <row r="1320" spans="1:43" x14ac:dyDescent="0.2">
      <c r="A1320" s="14" t="s">
        <v>500</v>
      </c>
      <c r="B1320" s="17">
        <v>15543105</v>
      </c>
      <c r="C1320" s="14" t="s">
        <v>362</v>
      </c>
      <c r="D1320" s="9">
        <v>22988456</v>
      </c>
      <c r="E1320" s="9" t="s">
        <v>443</v>
      </c>
      <c r="F1320" s="7">
        <v>45717</v>
      </c>
      <c r="G1320" s="20" t="s">
        <v>36</v>
      </c>
      <c r="H1320" s="8">
        <v>921418567</v>
      </c>
      <c r="I1320" s="19">
        <v>921418567</v>
      </c>
      <c r="J1320" s="10">
        <v>41600</v>
      </c>
      <c r="K1320" s="10">
        <v>16000</v>
      </c>
      <c r="L1320" s="10">
        <v>25600</v>
      </c>
      <c r="M1320" s="10">
        <v>0</v>
      </c>
      <c r="N1320" s="11">
        <v>25600</v>
      </c>
      <c r="O1320" s="12">
        <v>921418567</v>
      </c>
      <c r="P1320" s="9">
        <v>285123</v>
      </c>
      <c r="Q1320" s="9" t="s">
        <v>37</v>
      </c>
      <c r="R1320" s="13">
        <v>45719</v>
      </c>
      <c r="S1320" s="22">
        <v>45719</v>
      </c>
      <c r="T1320" s="13">
        <v>45719</v>
      </c>
      <c r="U1320" s="13">
        <v>45719</v>
      </c>
      <c r="V1320" s="9" t="s">
        <v>47</v>
      </c>
      <c r="W1320" s="9">
        <v>22676621</v>
      </c>
      <c r="X1320" s="9">
        <v>3101656</v>
      </c>
      <c r="Y1320" s="9">
        <v>68997473</v>
      </c>
      <c r="Z1320" s="9" t="s">
        <v>39</v>
      </c>
      <c r="AA1320" s="9">
        <v>9032025</v>
      </c>
      <c r="AB1320" s="9">
        <v>77868</v>
      </c>
      <c r="AC1320" s="9" t="s">
        <v>41</v>
      </c>
      <c r="AD1320" s="9" t="s">
        <v>132</v>
      </c>
      <c r="AE1320" s="9" t="s">
        <v>133</v>
      </c>
      <c r="AF1320" s="9" t="s">
        <v>133</v>
      </c>
      <c r="AG1320" s="14" t="str">
        <f t="shared" si="44"/>
        <v>EXAMENES DE LABORATORIO</v>
      </c>
      <c r="AH1320" s="9" t="s">
        <v>758</v>
      </c>
      <c r="AI1320" s="9">
        <v>0</v>
      </c>
      <c r="AJ1320" s="9">
        <v>76766044</v>
      </c>
      <c r="AK1320" s="9">
        <v>8</v>
      </c>
      <c r="AL1320" s="26" t="s">
        <v>62</v>
      </c>
      <c r="AM1320" s="14" t="s">
        <v>658</v>
      </c>
      <c r="AN1320" s="27" t="str">
        <f t="shared" si="43"/>
        <v>15543105|76766044|921418567|921418567</v>
      </c>
      <c r="AO1320" t="s">
        <v>758</v>
      </c>
      <c r="AP1320" t="b">
        <v>1</v>
      </c>
      <c r="AQ1320" t="s">
        <v>764</v>
      </c>
    </row>
    <row r="1321" spans="1:43" x14ac:dyDescent="0.2">
      <c r="A1321" s="14" t="s">
        <v>500</v>
      </c>
      <c r="B1321" s="17">
        <v>15543105</v>
      </c>
      <c r="C1321" s="14" t="s">
        <v>362</v>
      </c>
      <c r="D1321" s="9">
        <v>22988456</v>
      </c>
      <c r="E1321" s="9" t="s">
        <v>443</v>
      </c>
      <c r="F1321" s="7">
        <v>45717</v>
      </c>
      <c r="G1321" s="20" t="s">
        <v>46</v>
      </c>
      <c r="H1321" s="8">
        <v>921418567</v>
      </c>
      <c r="I1321" s="19">
        <v>65384319</v>
      </c>
      <c r="J1321" s="10">
        <v>23600</v>
      </c>
      <c r="K1321" s="10">
        <v>0</v>
      </c>
      <c r="L1321" s="10">
        <v>23600</v>
      </c>
      <c r="M1321" s="10">
        <v>0</v>
      </c>
      <c r="N1321" s="11">
        <v>23600</v>
      </c>
      <c r="O1321" s="12">
        <v>921418567</v>
      </c>
      <c r="P1321" s="9">
        <v>285123</v>
      </c>
      <c r="Q1321" s="9" t="s">
        <v>37</v>
      </c>
      <c r="R1321" s="13">
        <v>45719</v>
      </c>
      <c r="S1321" s="22">
        <v>45742</v>
      </c>
      <c r="T1321" s="13">
        <v>45719</v>
      </c>
      <c r="U1321" s="13">
        <v>45719</v>
      </c>
      <c r="V1321" s="9" t="s">
        <v>47</v>
      </c>
      <c r="W1321" s="9">
        <v>22772375</v>
      </c>
      <c r="X1321" s="9">
        <v>3311105</v>
      </c>
      <c r="Y1321" s="9">
        <v>69251202</v>
      </c>
      <c r="Z1321" s="9" t="s">
        <v>39</v>
      </c>
      <c r="AA1321" s="9">
        <v>987634170</v>
      </c>
      <c r="AB1321" s="9">
        <v>78070</v>
      </c>
      <c r="AC1321" s="9" t="s">
        <v>41</v>
      </c>
      <c r="AD1321" s="9" t="s">
        <v>132</v>
      </c>
      <c r="AE1321" s="9" t="s">
        <v>133</v>
      </c>
      <c r="AF1321" s="9" t="s">
        <v>133</v>
      </c>
      <c r="AG1321" s="14" t="str">
        <f t="shared" si="44"/>
        <v>EXAMENES DE LABORATORIO</v>
      </c>
      <c r="AH1321" s="9">
        <v>0</v>
      </c>
      <c r="AI1321" s="9">
        <v>0</v>
      </c>
      <c r="AJ1321" s="9">
        <v>76766044</v>
      </c>
      <c r="AK1321" s="9">
        <v>8</v>
      </c>
      <c r="AL1321" s="26" t="s">
        <v>52</v>
      </c>
      <c r="AM1321" s="14" t="s">
        <v>658</v>
      </c>
      <c r="AN1321" s="27" t="str">
        <f t="shared" si="43"/>
        <v>15543105|76766044|921418567|65384319</v>
      </c>
      <c r="AO1321" t="s">
        <v>44</v>
      </c>
      <c r="AP1321" t="b">
        <v>0</v>
      </c>
      <c r="AQ1321" t="s">
        <v>763</v>
      </c>
    </row>
    <row r="1322" spans="1:43" x14ac:dyDescent="0.2">
      <c r="A1322" s="14" t="s">
        <v>500</v>
      </c>
      <c r="B1322" s="17">
        <v>15543105</v>
      </c>
      <c r="C1322" s="14" t="s">
        <v>362</v>
      </c>
      <c r="D1322" s="9">
        <v>22988456</v>
      </c>
      <c r="E1322" s="9" t="s">
        <v>443</v>
      </c>
      <c r="F1322" s="7">
        <v>45717</v>
      </c>
      <c r="G1322" s="20" t="s">
        <v>36</v>
      </c>
      <c r="H1322" s="8">
        <v>921418568</v>
      </c>
      <c r="I1322" s="19">
        <v>921418568</v>
      </c>
      <c r="J1322" s="10">
        <v>40210</v>
      </c>
      <c r="K1322" s="10">
        <v>15480</v>
      </c>
      <c r="L1322" s="10">
        <v>24730</v>
      </c>
      <c r="M1322" s="10">
        <v>0</v>
      </c>
      <c r="N1322" s="11">
        <v>24730</v>
      </c>
      <c r="O1322" s="12">
        <v>921418568</v>
      </c>
      <c r="P1322" s="9">
        <v>285123</v>
      </c>
      <c r="Q1322" s="9" t="s">
        <v>37</v>
      </c>
      <c r="R1322" s="13">
        <v>45719</v>
      </c>
      <c r="S1322" s="22">
        <v>45719</v>
      </c>
      <c r="T1322" s="13">
        <v>45719</v>
      </c>
      <c r="U1322" s="13">
        <v>45719</v>
      </c>
      <c r="V1322" s="9" t="s">
        <v>47</v>
      </c>
      <c r="W1322" s="9">
        <v>22676621</v>
      </c>
      <c r="X1322" s="9">
        <v>3101656</v>
      </c>
      <c r="Y1322" s="9">
        <v>68995601</v>
      </c>
      <c r="Z1322" s="9" t="s">
        <v>39</v>
      </c>
      <c r="AA1322" s="9">
        <v>9032025</v>
      </c>
      <c r="AB1322" s="9">
        <v>77868</v>
      </c>
      <c r="AC1322" s="9" t="s">
        <v>41</v>
      </c>
      <c r="AD1322" s="9" t="s">
        <v>132</v>
      </c>
      <c r="AE1322" s="9" t="s">
        <v>133</v>
      </c>
      <c r="AF1322" s="9" t="s">
        <v>133</v>
      </c>
      <c r="AG1322" s="14" t="str">
        <f t="shared" si="44"/>
        <v>EXAMENES DE LABORATORIO</v>
      </c>
      <c r="AH1322" s="9" t="s">
        <v>758</v>
      </c>
      <c r="AI1322" s="9">
        <v>0</v>
      </c>
      <c r="AJ1322" s="9">
        <v>76766044</v>
      </c>
      <c r="AK1322" s="9">
        <v>8</v>
      </c>
      <c r="AL1322" s="26" t="s">
        <v>62</v>
      </c>
      <c r="AM1322" s="14" t="s">
        <v>658</v>
      </c>
      <c r="AN1322" s="27" t="str">
        <f t="shared" si="43"/>
        <v>15543105|76766044|921418568|921418568</v>
      </c>
      <c r="AO1322" t="s">
        <v>758</v>
      </c>
      <c r="AP1322" t="b">
        <v>1</v>
      </c>
      <c r="AQ1322" t="s">
        <v>764</v>
      </c>
    </row>
    <row r="1323" spans="1:43" x14ac:dyDescent="0.2">
      <c r="A1323" s="14" t="s">
        <v>500</v>
      </c>
      <c r="B1323" s="17">
        <v>15543105</v>
      </c>
      <c r="C1323" s="14" t="s">
        <v>362</v>
      </c>
      <c r="D1323" s="9">
        <v>22988456</v>
      </c>
      <c r="E1323" s="9" t="s">
        <v>443</v>
      </c>
      <c r="F1323" s="7">
        <v>45717</v>
      </c>
      <c r="G1323" s="20" t="s">
        <v>46</v>
      </c>
      <c r="H1323" s="8">
        <v>921418568</v>
      </c>
      <c r="I1323" s="19">
        <v>65384320</v>
      </c>
      <c r="J1323" s="10">
        <v>21666</v>
      </c>
      <c r="K1323" s="10">
        <v>0</v>
      </c>
      <c r="L1323" s="10">
        <v>21666</v>
      </c>
      <c r="M1323" s="10">
        <v>0</v>
      </c>
      <c r="N1323" s="11">
        <v>21666</v>
      </c>
      <c r="O1323" s="12">
        <v>921418568</v>
      </c>
      <c r="P1323" s="9">
        <v>285123</v>
      </c>
      <c r="Q1323" s="9" t="s">
        <v>37</v>
      </c>
      <c r="R1323" s="13">
        <v>45719</v>
      </c>
      <c r="S1323" s="22">
        <v>45742</v>
      </c>
      <c r="T1323" s="13">
        <v>45719</v>
      </c>
      <c r="U1323" s="13">
        <v>45719</v>
      </c>
      <c r="V1323" s="9" t="s">
        <v>47</v>
      </c>
      <c r="W1323" s="9">
        <v>22772375</v>
      </c>
      <c r="X1323" s="9">
        <v>3311105</v>
      </c>
      <c r="Y1323" s="9">
        <v>69251203</v>
      </c>
      <c r="Z1323" s="9" t="s">
        <v>39</v>
      </c>
      <c r="AA1323" s="9">
        <v>987634170</v>
      </c>
      <c r="AB1323" s="9">
        <v>78070</v>
      </c>
      <c r="AC1323" s="9" t="s">
        <v>41</v>
      </c>
      <c r="AD1323" s="9" t="s">
        <v>132</v>
      </c>
      <c r="AE1323" s="9" t="s">
        <v>133</v>
      </c>
      <c r="AF1323" s="9" t="s">
        <v>133</v>
      </c>
      <c r="AG1323" s="14" t="str">
        <f t="shared" si="44"/>
        <v>EXAMENES DE LABORATORIO</v>
      </c>
      <c r="AH1323" s="9">
        <v>0</v>
      </c>
      <c r="AI1323" s="9">
        <v>0</v>
      </c>
      <c r="AJ1323" s="9">
        <v>76766044</v>
      </c>
      <c r="AK1323" s="9">
        <v>8</v>
      </c>
      <c r="AL1323" s="26" t="s">
        <v>52</v>
      </c>
      <c r="AM1323" s="14" t="s">
        <v>658</v>
      </c>
      <c r="AN1323" s="27" t="str">
        <f t="shared" si="43"/>
        <v>15543105|76766044|921418568|65384320</v>
      </c>
      <c r="AO1323" t="s">
        <v>44</v>
      </c>
      <c r="AP1323" t="b">
        <v>0</v>
      </c>
      <c r="AQ1323" t="s">
        <v>763</v>
      </c>
    </row>
    <row r="1324" spans="1:43" x14ac:dyDescent="0.2">
      <c r="A1324" s="14" t="s">
        <v>500</v>
      </c>
      <c r="B1324" s="17">
        <v>11385748</v>
      </c>
      <c r="C1324" s="14" t="s">
        <v>445</v>
      </c>
      <c r="D1324" s="9">
        <v>11385748</v>
      </c>
      <c r="E1324" s="9" t="s">
        <v>445</v>
      </c>
      <c r="F1324" s="7">
        <v>45717</v>
      </c>
      <c r="G1324" s="20" t="s">
        <v>36</v>
      </c>
      <c r="H1324" s="8">
        <v>921431680</v>
      </c>
      <c r="I1324" s="19">
        <v>921431680</v>
      </c>
      <c r="J1324" s="10">
        <v>149920</v>
      </c>
      <c r="K1324" s="10">
        <v>84371</v>
      </c>
      <c r="L1324" s="10">
        <v>65549</v>
      </c>
      <c r="M1324" s="10">
        <v>0</v>
      </c>
      <c r="N1324" s="11">
        <v>65549</v>
      </c>
      <c r="O1324" s="12">
        <v>921431680</v>
      </c>
      <c r="P1324" s="9">
        <v>285123</v>
      </c>
      <c r="Q1324" s="9" t="s">
        <v>37</v>
      </c>
      <c r="R1324" s="13">
        <v>45719</v>
      </c>
      <c r="S1324" s="22">
        <v>45719</v>
      </c>
      <c r="T1324" s="13">
        <v>45719</v>
      </c>
      <c r="U1324" s="13">
        <v>45719</v>
      </c>
      <c r="V1324" s="9" t="s">
        <v>47</v>
      </c>
      <c r="W1324" s="9">
        <v>22676587</v>
      </c>
      <c r="X1324" s="9">
        <v>3101656</v>
      </c>
      <c r="Y1324" s="9">
        <v>68994450</v>
      </c>
      <c r="Z1324" s="9" t="s">
        <v>39</v>
      </c>
      <c r="AA1324" s="9">
        <v>9032025</v>
      </c>
      <c r="AB1324" s="9">
        <v>77868</v>
      </c>
      <c r="AC1324" s="9" t="s">
        <v>41</v>
      </c>
      <c r="AD1324" s="9" t="s">
        <v>132</v>
      </c>
      <c r="AE1324" s="9" t="s">
        <v>133</v>
      </c>
      <c r="AF1324" s="9" t="s">
        <v>133</v>
      </c>
      <c r="AG1324" s="14" t="str">
        <f t="shared" si="44"/>
        <v>EXAMENES DE LABORATORIO</v>
      </c>
      <c r="AH1324" s="9" t="s">
        <v>758</v>
      </c>
      <c r="AI1324" s="9">
        <v>0</v>
      </c>
      <c r="AJ1324" s="9">
        <v>79749170</v>
      </c>
      <c r="AK1324" s="9">
        <v>5</v>
      </c>
      <c r="AL1324" s="26" t="s">
        <v>62</v>
      </c>
      <c r="AM1324" s="14" t="s">
        <v>720</v>
      </c>
      <c r="AN1324" s="27" t="str">
        <f t="shared" si="43"/>
        <v>11385748|79749170|921431680|921431680</v>
      </c>
      <c r="AO1324" t="s">
        <v>758</v>
      </c>
      <c r="AP1324" t="b">
        <v>1</v>
      </c>
      <c r="AQ1324" t="s">
        <v>764</v>
      </c>
    </row>
    <row r="1325" spans="1:43" x14ac:dyDescent="0.2">
      <c r="A1325" s="14" t="s">
        <v>500</v>
      </c>
      <c r="B1325" s="17">
        <v>11385748</v>
      </c>
      <c r="C1325" s="14" t="s">
        <v>445</v>
      </c>
      <c r="D1325" s="9">
        <v>11385748</v>
      </c>
      <c r="E1325" s="9" t="s">
        <v>445</v>
      </c>
      <c r="F1325" s="7">
        <v>45717</v>
      </c>
      <c r="G1325" s="20" t="s">
        <v>46</v>
      </c>
      <c r="H1325" s="8">
        <v>921431680</v>
      </c>
      <c r="I1325" s="19">
        <v>65383929</v>
      </c>
      <c r="J1325" s="10">
        <v>51847</v>
      </c>
      <c r="K1325" s="10">
        <v>0</v>
      </c>
      <c r="L1325" s="10">
        <v>51847</v>
      </c>
      <c r="M1325" s="10">
        <v>0</v>
      </c>
      <c r="N1325" s="11">
        <v>51847</v>
      </c>
      <c r="O1325" s="12">
        <v>921431680</v>
      </c>
      <c r="P1325" s="9">
        <v>285123</v>
      </c>
      <c r="Q1325" s="9" t="s">
        <v>37</v>
      </c>
      <c r="R1325" s="13">
        <v>45719</v>
      </c>
      <c r="S1325" s="22">
        <v>45742</v>
      </c>
      <c r="T1325" s="13">
        <v>45719</v>
      </c>
      <c r="U1325" s="13">
        <v>45719</v>
      </c>
      <c r="V1325" s="9" t="s">
        <v>47</v>
      </c>
      <c r="W1325" s="9">
        <v>22772366</v>
      </c>
      <c r="X1325" s="9">
        <v>3311105</v>
      </c>
      <c r="Y1325" s="9">
        <v>69250818</v>
      </c>
      <c r="Z1325" s="9" t="s">
        <v>39</v>
      </c>
      <c r="AA1325" s="9">
        <v>1470656301</v>
      </c>
      <c r="AB1325" s="9">
        <v>78070</v>
      </c>
      <c r="AC1325" s="9" t="s">
        <v>41</v>
      </c>
      <c r="AD1325" s="9" t="s">
        <v>132</v>
      </c>
      <c r="AE1325" s="9" t="s">
        <v>133</v>
      </c>
      <c r="AF1325" s="9" t="s">
        <v>133</v>
      </c>
      <c r="AG1325" s="14" t="str">
        <f t="shared" si="44"/>
        <v>EXAMENES DE LABORATORIO</v>
      </c>
      <c r="AH1325" s="9">
        <v>0</v>
      </c>
      <c r="AI1325" s="9">
        <v>0</v>
      </c>
      <c r="AJ1325" s="9">
        <v>79749170</v>
      </c>
      <c r="AK1325" s="9">
        <v>5</v>
      </c>
      <c r="AL1325" s="26" t="s">
        <v>52</v>
      </c>
      <c r="AM1325" s="14" t="s">
        <v>720</v>
      </c>
      <c r="AN1325" s="27" t="str">
        <f t="shared" si="43"/>
        <v>11385748|79749170|921431680|65383929</v>
      </c>
      <c r="AO1325" t="s">
        <v>44</v>
      </c>
      <c r="AP1325" t="b">
        <v>0</v>
      </c>
      <c r="AQ1325" t="s">
        <v>763</v>
      </c>
    </row>
    <row r="1326" spans="1:43" x14ac:dyDescent="0.2">
      <c r="A1326" s="14" t="s">
        <v>500</v>
      </c>
      <c r="B1326" s="17">
        <v>11385748</v>
      </c>
      <c r="C1326" s="14" t="s">
        <v>445</v>
      </c>
      <c r="D1326" s="9">
        <v>11385748</v>
      </c>
      <c r="E1326" s="9" t="s">
        <v>445</v>
      </c>
      <c r="F1326" s="7">
        <v>45717</v>
      </c>
      <c r="G1326" s="20" t="s">
        <v>36</v>
      </c>
      <c r="H1326" s="8">
        <v>921431681</v>
      </c>
      <c r="I1326" s="19">
        <v>921431681</v>
      </c>
      <c r="J1326" s="10">
        <v>1360</v>
      </c>
      <c r="K1326" s="10">
        <v>770</v>
      </c>
      <c r="L1326" s="10">
        <v>590</v>
      </c>
      <c r="M1326" s="10">
        <v>0</v>
      </c>
      <c r="N1326" s="11">
        <v>590</v>
      </c>
      <c r="O1326" s="12">
        <v>921431681</v>
      </c>
      <c r="P1326" s="9">
        <v>285123</v>
      </c>
      <c r="Q1326" s="9" t="s">
        <v>37</v>
      </c>
      <c r="R1326" s="13">
        <v>45719</v>
      </c>
      <c r="S1326" s="22">
        <v>45719</v>
      </c>
      <c r="T1326" s="13">
        <v>45719</v>
      </c>
      <c r="U1326" s="13">
        <v>45719</v>
      </c>
      <c r="V1326" s="9" t="s">
        <v>47</v>
      </c>
      <c r="W1326" s="9">
        <v>22676587</v>
      </c>
      <c r="X1326" s="9">
        <v>3101656</v>
      </c>
      <c r="Y1326" s="9">
        <v>68997560</v>
      </c>
      <c r="Z1326" s="9" t="s">
        <v>39</v>
      </c>
      <c r="AA1326" s="9">
        <v>9032025</v>
      </c>
      <c r="AB1326" s="9">
        <v>77868</v>
      </c>
      <c r="AC1326" s="9" t="s">
        <v>41</v>
      </c>
      <c r="AD1326" s="9" t="s">
        <v>132</v>
      </c>
      <c r="AE1326" s="9" t="s">
        <v>133</v>
      </c>
      <c r="AF1326" s="9" t="s">
        <v>133</v>
      </c>
      <c r="AG1326" s="14" t="str">
        <f t="shared" si="44"/>
        <v>EXAMENES DE LABORATORIO</v>
      </c>
      <c r="AH1326" s="9" t="s">
        <v>758</v>
      </c>
      <c r="AI1326" s="9">
        <v>0</v>
      </c>
      <c r="AJ1326" s="9">
        <v>79749170</v>
      </c>
      <c r="AK1326" s="9">
        <v>5</v>
      </c>
      <c r="AL1326" s="26" t="s">
        <v>62</v>
      </c>
      <c r="AM1326" s="14" t="s">
        <v>720</v>
      </c>
      <c r="AN1326" s="27" t="str">
        <f t="shared" si="43"/>
        <v>11385748|79749170|921431681|921431681</v>
      </c>
      <c r="AO1326" t="s">
        <v>758</v>
      </c>
      <c r="AP1326" t="b">
        <v>1</v>
      </c>
      <c r="AQ1326" t="s">
        <v>764</v>
      </c>
    </row>
    <row r="1327" spans="1:43" x14ac:dyDescent="0.2">
      <c r="A1327" s="14" t="s">
        <v>500</v>
      </c>
      <c r="B1327" s="17">
        <v>11385748</v>
      </c>
      <c r="C1327" s="14" t="s">
        <v>445</v>
      </c>
      <c r="D1327" s="9">
        <v>11385748</v>
      </c>
      <c r="E1327" s="9" t="s">
        <v>445</v>
      </c>
      <c r="F1327" s="7">
        <v>45717</v>
      </c>
      <c r="G1327" s="20" t="s">
        <v>46</v>
      </c>
      <c r="H1327" s="8">
        <v>921431681</v>
      </c>
      <c r="I1327" s="19">
        <v>65383930</v>
      </c>
      <c r="J1327" s="10">
        <v>386</v>
      </c>
      <c r="K1327" s="10">
        <v>0</v>
      </c>
      <c r="L1327" s="10">
        <v>386</v>
      </c>
      <c r="M1327" s="10">
        <v>0</v>
      </c>
      <c r="N1327" s="11">
        <v>386</v>
      </c>
      <c r="O1327" s="12">
        <v>921431681</v>
      </c>
      <c r="P1327" s="9">
        <v>285123</v>
      </c>
      <c r="Q1327" s="9" t="s">
        <v>37</v>
      </c>
      <c r="R1327" s="13">
        <v>45719</v>
      </c>
      <c r="S1327" s="22">
        <v>45742</v>
      </c>
      <c r="T1327" s="13">
        <v>45719</v>
      </c>
      <c r="U1327" s="13">
        <v>45719</v>
      </c>
      <c r="V1327" s="9" t="s">
        <v>47</v>
      </c>
      <c r="W1327" s="9">
        <v>22772366</v>
      </c>
      <c r="X1327" s="9">
        <v>3311105</v>
      </c>
      <c r="Y1327" s="9">
        <v>69250819</v>
      </c>
      <c r="Z1327" s="9" t="s">
        <v>39</v>
      </c>
      <c r="AA1327" s="9">
        <v>1470656301</v>
      </c>
      <c r="AB1327" s="9">
        <v>78070</v>
      </c>
      <c r="AC1327" s="9" t="s">
        <v>41</v>
      </c>
      <c r="AD1327" s="9" t="s">
        <v>132</v>
      </c>
      <c r="AE1327" s="9" t="s">
        <v>133</v>
      </c>
      <c r="AF1327" s="9" t="s">
        <v>133</v>
      </c>
      <c r="AG1327" s="14" t="str">
        <f t="shared" si="44"/>
        <v>EXAMENES DE LABORATORIO</v>
      </c>
      <c r="AH1327" s="9">
        <v>0</v>
      </c>
      <c r="AI1327" s="9">
        <v>0</v>
      </c>
      <c r="AJ1327" s="9">
        <v>79749170</v>
      </c>
      <c r="AK1327" s="9">
        <v>5</v>
      </c>
      <c r="AL1327" s="26" t="s">
        <v>52</v>
      </c>
      <c r="AM1327" s="14" t="s">
        <v>720</v>
      </c>
      <c r="AN1327" s="27" t="str">
        <f t="shared" si="43"/>
        <v>11385748|79749170|921431681|65383930</v>
      </c>
      <c r="AO1327" t="s">
        <v>44</v>
      </c>
      <c r="AP1327" t="b">
        <v>0</v>
      </c>
      <c r="AQ1327" t="s">
        <v>763</v>
      </c>
    </row>
    <row r="1328" spans="1:43" x14ac:dyDescent="0.2">
      <c r="A1328" s="14" t="s">
        <v>500</v>
      </c>
      <c r="B1328" s="17">
        <v>16116767</v>
      </c>
      <c r="C1328" s="14" t="s">
        <v>438</v>
      </c>
      <c r="D1328" s="9">
        <v>16116767</v>
      </c>
      <c r="E1328" s="9" t="s">
        <v>438</v>
      </c>
      <c r="F1328" s="7">
        <v>45717</v>
      </c>
      <c r="G1328" s="20" t="s">
        <v>36</v>
      </c>
      <c r="H1328" s="8">
        <v>921453350</v>
      </c>
      <c r="I1328" s="19">
        <v>921453350</v>
      </c>
      <c r="J1328" s="10">
        <v>44310</v>
      </c>
      <c r="K1328" s="10">
        <v>13860</v>
      </c>
      <c r="L1328" s="10">
        <v>30450</v>
      </c>
      <c r="M1328" s="10">
        <v>0</v>
      </c>
      <c r="N1328" s="11">
        <v>30450</v>
      </c>
      <c r="O1328" s="12">
        <v>921453350</v>
      </c>
      <c r="P1328" s="9">
        <v>285123</v>
      </c>
      <c r="Q1328" s="9" t="s">
        <v>37</v>
      </c>
      <c r="R1328" s="13">
        <v>45719</v>
      </c>
      <c r="S1328" s="22">
        <v>45719</v>
      </c>
      <c r="T1328" s="13">
        <v>45719</v>
      </c>
      <c r="U1328" s="13">
        <v>45719</v>
      </c>
      <c r="V1328" s="9" t="s">
        <v>47</v>
      </c>
      <c r="W1328" s="9">
        <v>22676623</v>
      </c>
      <c r="X1328" s="9">
        <v>3101656</v>
      </c>
      <c r="Y1328" s="9">
        <v>68996304</v>
      </c>
      <c r="Z1328" s="9" t="s">
        <v>39</v>
      </c>
      <c r="AA1328" s="9">
        <v>9032025</v>
      </c>
      <c r="AB1328" s="9">
        <v>77868</v>
      </c>
      <c r="AC1328" s="9" t="s">
        <v>41</v>
      </c>
      <c r="AD1328" s="9" t="s">
        <v>132</v>
      </c>
      <c r="AE1328" s="9" t="s">
        <v>133</v>
      </c>
      <c r="AF1328" s="9" t="s">
        <v>133</v>
      </c>
      <c r="AG1328" s="14" t="str">
        <f t="shared" si="44"/>
        <v>EXAMENES DE LABORATORIO</v>
      </c>
      <c r="AH1328" s="9" t="s">
        <v>758</v>
      </c>
      <c r="AI1328" s="9">
        <v>0</v>
      </c>
      <c r="AJ1328" s="9">
        <v>96942400</v>
      </c>
      <c r="AK1328" s="9">
        <v>2</v>
      </c>
      <c r="AL1328" s="26" t="s">
        <v>62</v>
      </c>
      <c r="AM1328" s="14" t="s">
        <v>715</v>
      </c>
      <c r="AN1328" s="27" t="str">
        <f t="shared" si="43"/>
        <v>16116767|96942400|921453350|921453350</v>
      </c>
      <c r="AO1328" t="s">
        <v>758</v>
      </c>
      <c r="AP1328" t="b">
        <v>1</v>
      </c>
      <c r="AQ1328" t="s">
        <v>764</v>
      </c>
    </row>
    <row r="1329" spans="1:43" x14ac:dyDescent="0.2">
      <c r="A1329" s="14" t="s">
        <v>500</v>
      </c>
      <c r="B1329" s="17">
        <v>16116767</v>
      </c>
      <c r="C1329" s="14" t="s">
        <v>438</v>
      </c>
      <c r="D1329" s="9">
        <v>16116767</v>
      </c>
      <c r="E1329" s="9" t="s">
        <v>438</v>
      </c>
      <c r="F1329" s="7">
        <v>45717</v>
      </c>
      <c r="G1329" s="20" t="s">
        <v>46</v>
      </c>
      <c r="H1329" s="8">
        <v>921453350</v>
      </c>
      <c r="I1329" s="19">
        <v>65384354</v>
      </c>
      <c r="J1329" s="10">
        <v>25922</v>
      </c>
      <c r="K1329" s="10">
        <v>0</v>
      </c>
      <c r="L1329" s="10">
        <v>25922</v>
      </c>
      <c r="M1329" s="10">
        <v>0</v>
      </c>
      <c r="N1329" s="11">
        <v>25922</v>
      </c>
      <c r="O1329" s="12">
        <v>921453350</v>
      </c>
      <c r="P1329" s="9">
        <v>285123</v>
      </c>
      <c r="Q1329" s="9" t="s">
        <v>37</v>
      </c>
      <c r="R1329" s="13">
        <v>45719</v>
      </c>
      <c r="S1329" s="22">
        <v>45742</v>
      </c>
      <c r="T1329" s="13">
        <v>45719</v>
      </c>
      <c r="U1329" s="13">
        <v>45719</v>
      </c>
      <c r="V1329" s="9" t="s">
        <v>47</v>
      </c>
      <c r="W1329" s="9">
        <v>22772376</v>
      </c>
      <c r="X1329" s="9">
        <v>3311105</v>
      </c>
      <c r="Y1329" s="9">
        <v>69251237</v>
      </c>
      <c r="Z1329" s="9" t="s">
        <v>39</v>
      </c>
      <c r="AA1329" s="9">
        <v>15200202512</v>
      </c>
      <c r="AB1329" s="9">
        <v>78070</v>
      </c>
      <c r="AC1329" s="9" t="s">
        <v>41</v>
      </c>
      <c r="AD1329" s="9" t="s">
        <v>132</v>
      </c>
      <c r="AE1329" s="9" t="s">
        <v>133</v>
      </c>
      <c r="AF1329" s="9" t="s">
        <v>133</v>
      </c>
      <c r="AG1329" s="14" t="str">
        <f t="shared" si="44"/>
        <v>EXAMENES DE LABORATORIO</v>
      </c>
      <c r="AH1329" s="9">
        <v>0</v>
      </c>
      <c r="AI1329" s="9">
        <v>0</v>
      </c>
      <c r="AJ1329" s="9">
        <v>96942400</v>
      </c>
      <c r="AK1329" s="9">
        <v>2</v>
      </c>
      <c r="AL1329" s="26" t="s">
        <v>52</v>
      </c>
      <c r="AM1329" s="14" t="s">
        <v>715</v>
      </c>
      <c r="AN1329" s="27" t="str">
        <f t="shared" si="43"/>
        <v>16116767|96942400|921453350|65384354</v>
      </c>
      <c r="AO1329" t="s">
        <v>44</v>
      </c>
      <c r="AP1329" t="b">
        <v>0</v>
      </c>
      <c r="AQ1329" t="s">
        <v>763</v>
      </c>
    </row>
    <row r="1330" spans="1:43" x14ac:dyDescent="0.2">
      <c r="A1330" s="14" t="s">
        <v>500</v>
      </c>
      <c r="B1330" s="17">
        <v>16116767</v>
      </c>
      <c r="C1330" s="14" t="s">
        <v>438</v>
      </c>
      <c r="D1330" s="9">
        <v>16116767</v>
      </c>
      <c r="E1330" s="9" t="s">
        <v>438</v>
      </c>
      <c r="F1330" s="7">
        <v>45717</v>
      </c>
      <c r="G1330" s="20" t="s">
        <v>36</v>
      </c>
      <c r="H1330" s="8">
        <v>921453351</v>
      </c>
      <c r="I1330" s="19">
        <v>921453351</v>
      </c>
      <c r="J1330" s="10">
        <v>31550</v>
      </c>
      <c r="K1330" s="10">
        <v>9860</v>
      </c>
      <c r="L1330" s="10">
        <v>21690</v>
      </c>
      <c r="M1330" s="10">
        <v>0</v>
      </c>
      <c r="N1330" s="11">
        <v>21690</v>
      </c>
      <c r="O1330" s="12">
        <v>921453351</v>
      </c>
      <c r="P1330" s="9">
        <v>285123</v>
      </c>
      <c r="Q1330" s="9" t="s">
        <v>37</v>
      </c>
      <c r="R1330" s="13">
        <v>45719</v>
      </c>
      <c r="S1330" s="22">
        <v>45719</v>
      </c>
      <c r="T1330" s="13">
        <v>45719</v>
      </c>
      <c r="U1330" s="13">
        <v>45719</v>
      </c>
      <c r="V1330" s="9" t="s">
        <v>47</v>
      </c>
      <c r="W1330" s="9">
        <v>22676623</v>
      </c>
      <c r="X1330" s="9">
        <v>3101656</v>
      </c>
      <c r="Y1330" s="9">
        <v>68994168</v>
      </c>
      <c r="Z1330" s="9" t="s">
        <v>39</v>
      </c>
      <c r="AA1330" s="9">
        <v>9032025</v>
      </c>
      <c r="AB1330" s="9">
        <v>77868</v>
      </c>
      <c r="AC1330" s="9" t="s">
        <v>41</v>
      </c>
      <c r="AD1330" s="9" t="s">
        <v>132</v>
      </c>
      <c r="AE1330" s="9" t="s">
        <v>133</v>
      </c>
      <c r="AF1330" s="9" t="s">
        <v>133</v>
      </c>
      <c r="AG1330" s="14" t="str">
        <f t="shared" si="44"/>
        <v>EXAMENES DE LABORATORIO</v>
      </c>
      <c r="AH1330" s="9" t="s">
        <v>758</v>
      </c>
      <c r="AI1330" s="9">
        <v>0</v>
      </c>
      <c r="AJ1330" s="9">
        <v>96942400</v>
      </c>
      <c r="AK1330" s="9">
        <v>2</v>
      </c>
      <c r="AL1330" s="26" t="s">
        <v>62</v>
      </c>
      <c r="AM1330" s="14" t="s">
        <v>715</v>
      </c>
      <c r="AN1330" s="27" t="str">
        <f t="shared" si="43"/>
        <v>16116767|96942400|921453351|921453351</v>
      </c>
      <c r="AO1330" t="s">
        <v>758</v>
      </c>
      <c r="AP1330" t="b">
        <v>1</v>
      </c>
      <c r="AQ1330" t="s">
        <v>764</v>
      </c>
    </row>
    <row r="1331" spans="1:43" x14ac:dyDescent="0.2">
      <c r="A1331" s="14" t="s">
        <v>500</v>
      </c>
      <c r="B1331" s="17">
        <v>16116767</v>
      </c>
      <c r="C1331" s="14" t="s">
        <v>438</v>
      </c>
      <c r="D1331" s="9">
        <v>16116767</v>
      </c>
      <c r="E1331" s="9" t="s">
        <v>438</v>
      </c>
      <c r="F1331" s="7">
        <v>45717</v>
      </c>
      <c r="G1331" s="20" t="s">
        <v>46</v>
      </c>
      <c r="H1331" s="8">
        <v>921453351</v>
      </c>
      <c r="I1331" s="19">
        <v>65384355</v>
      </c>
      <c r="J1331" s="10">
        <v>18184</v>
      </c>
      <c r="K1331" s="10">
        <v>0</v>
      </c>
      <c r="L1331" s="10">
        <v>18184</v>
      </c>
      <c r="M1331" s="10">
        <v>0</v>
      </c>
      <c r="N1331" s="11">
        <v>18184</v>
      </c>
      <c r="O1331" s="12">
        <v>921453351</v>
      </c>
      <c r="P1331" s="9">
        <v>285123</v>
      </c>
      <c r="Q1331" s="9" t="s">
        <v>37</v>
      </c>
      <c r="R1331" s="13">
        <v>45719</v>
      </c>
      <c r="S1331" s="22">
        <v>45742</v>
      </c>
      <c r="T1331" s="13">
        <v>45719</v>
      </c>
      <c r="U1331" s="13">
        <v>45719</v>
      </c>
      <c r="V1331" s="9" t="s">
        <v>47</v>
      </c>
      <c r="W1331" s="9">
        <v>22772376</v>
      </c>
      <c r="X1331" s="9">
        <v>3311105</v>
      </c>
      <c r="Y1331" s="9">
        <v>69251238</v>
      </c>
      <c r="Z1331" s="9" t="s">
        <v>39</v>
      </c>
      <c r="AA1331" s="9">
        <v>15200202512</v>
      </c>
      <c r="AB1331" s="9">
        <v>78070</v>
      </c>
      <c r="AC1331" s="9" t="s">
        <v>41</v>
      </c>
      <c r="AD1331" s="9" t="s">
        <v>132</v>
      </c>
      <c r="AE1331" s="9" t="s">
        <v>133</v>
      </c>
      <c r="AF1331" s="9" t="s">
        <v>133</v>
      </c>
      <c r="AG1331" s="14" t="str">
        <f t="shared" si="44"/>
        <v>EXAMENES DE LABORATORIO</v>
      </c>
      <c r="AH1331" s="9">
        <v>0</v>
      </c>
      <c r="AI1331" s="9">
        <v>0</v>
      </c>
      <c r="AJ1331" s="9">
        <v>96942400</v>
      </c>
      <c r="AK1331" s="9">
        <v>2</v>
      </c>
      <c r="AL1331" s="26" t="s">
        <v>52</v>
      </c>
      <c r="AM1331" s="14" t="s">
        <v>715</v>
      </c>
      <c r="AN1331" s="27" t="str">
        <f t="shared" si="43"/>
        <v>16116767|96942400|921453351|65384355</v>
      </c>
      <c r="AO1331" t="s">
        <v>44</v>
      </c>
      <c r="AP1331" t="b">
        <v>0</v>
      </c>
      <c r="AQ1331" t="s">
        <v>763</v>
      </c>
    </row>
    <row r="1332" spans="1:43" x14ac:dyDescent="0.2">
      <c r="A1332" s="14" t="s">
        <v>500</v>
      </c>
      <c r="B1332" s="17">
        <v>11385748</v>
      </c>
      <c r="C1332" s="14" t="s">
        <v>445</v>
      </c>
      <c r="D1332" s="9">
        <v>11385748</v>
      </c>
      <c r="E1332" s="9" t="s">
        <v>445</v>
      </c>
      <c r="F1332" s="7">
        <v>45717</v>
      </c>
      <c r="G1332" s="20" t="s">
        <v>36</v>
      </c>
      <c r="H1332" s="8">
        <v>921460482</v>
      </c>
      <c r="I1332" s="19">
        <v>921460482</v>
      </c>
      <c r="J1332" s="10">
        <v>156060</v>
      </c>
      <c r="K1332" s="10">
        <v>87785</v>
      </c>
      <c r="L1332" s="10">
        <v>68275</v>
      </c>
      <c r="M1332" s="10">
        <v>0</v>
      </c>
      <c r="N1332" s="11">
        <v>68275</v>
      </c>
      <c r="O1332" s="12">
        <v>921460482</v>
      </c>
      <c r="P1332" s="9">
        <v>285123</v>
      </c>
      <c r="Q1332" s="9" t="s">
        <v>37</v>
      </c>
      <c r="R1332" s="13">
        <v>45719</v>
      </c>
      <c r="S1332" s="22">
        <v>45719</v>
      </c>
      <c r="T1332" s="13">
        <v>45719</v>
      </c>
      <c r="U1332" s="13">
        <v>45719</v>
      </c>
      <c r="V1332" s="9" t="s">
        <v>47</v>
      </c>
      <c r="W1332" s="9">
        <v>22676587</v>
      </c>
      <c r="X1332" s="9">
        <v>3101656</v>
      </c>
      <c r="Y1332" s="9">
        <v>68993703</v>
      </c>
      <c r="Z1332" s="9" t="s">
        <v>39</v>
      </c>
      <c r="AA1332" s="9">
        <v>9032025</v>
      </c>
      <c r="AB1332" s="9">
        <v>77868</v>
      </c>
      <c r="AC1332" s="9" t="s">
        <v>41</v>
      </c>
      <c r="AD1332" s="9" t="s">
        <v>134</v>
      </c>
      <c r="AE1332" s="9" t="s">
        <v>135</v>
      </c>
      <c r="AF1332" s="9" t="s">
        <v>135</v>
      </c>
      <c r="AG1332" s="14" t="str">
        <f t="shared" si="44"/>
        <v>EXAMENES RADIOLOGICOS</v>
      </c>
      <c r="AH1332" s="9" t="s">
        <v>758</v>
      </c>
      <c r="AI1332" s="9">
        <v>0</v>
      </c>
      <c r="AJ1332" s="9">
        <v>77026140</v>
      </c>
      <c r="AK1332" s="9">
        <v>6</v>
      </c>
      <c r="AL1332" s="26" t="s">
        <v>62</v>
      </c>
      <c r="AM1332" s="14" t="s">
        <v>720</v>
      </c>
      <c r="AN1332" s="27" t="str">
        <f t="shared" si="43"/>
        <v>11385748|77026140|921460482|921460482</v>
      </c>
      <c r="AO1332" t="s">
        <v>758</v>
      </c>
      <c r="AP1332" t="b">
        <v>1</v>
      </c>
      <c r="AQ1332" t="s">
        <v>764</v>
      </c>
    </row>
    <row r="1333" spans="1:43" x14ac:dyDescent="0.2">
      <c r="A1333" s="14" t="s">
        <v>500</v>
      </c>
      <c r="B1333" s="17">
        <v>11385748</v>
      </c>
      <c r="C1333" s="14" t="s">
        <v>445</v>
      </c>
      <c r="D1333" s="9">
        <v>11385748</v>
      </c>
      <c r="E1333" s="9" t="s">
        <v>445</v>
      </c>
      <c r="F1333" s="7">
        <v>45717</v>
      </c>
      <c r="G1333" s="20" t="s">
        <v>46</v>
      </c>
      <c r="H1333" s="8">
        <v>921460482</v>
      </c>
      <c r="I1333" s="19">
        <v>65383931</v>
      </c>
      <c r="J1333" s="10">
        <v>53396</v>
      </c>
      <c r="K1333" s="10">
        <v>0</v>
      </c>
      <c r="L1333" s="10">
        <v>53396</v>
      </c>
      <c r="M1333" s="10">
        <v>0</v>
      </c>
      <c r="N1333" s="11">
        <v>53396</v>
      </c>
      <c r="O1333" s="12">
        <v>921460482</v>
      </c>
      <c r="P1333" s="9">
        <v>285123</v>
      </c>
      <c r="Q1333" s="9" t="s">
        <v>37</v>
      </c>
      <c r="R1333" s="13">
        <v>45719</v>
      </c>
      <c r="S1333" s="22">
        <v>45742</v>
      </c>
      <c r="T1333" s="13">
        <v>45719</v>
      </c>
      <c r="U1333" s="13">
        <v>45719</v>
      </c>
      <c r="V1333" s="9" t="s">
        <v>47</v>
      </c>
      <c r="W1333" s="9">
        <v>22772366</v>
      </c>
      <c r="X1333" s="9">
        <v>3311105</v>
      </c>
      <c r="Y1333" s="9">
        <v>69250820</v>
      </c>
      <c r="Z1333" s="9" t="s">
        <v>39</v>
      </c>
      <c r="AA1333" s="9">
        <v>1470656301</v>
      </c>
      <c r="AB1333" s="9">
        <v>78070</v>
      </c>
      <c r="AC1333" s="9" t="s">
        <v>41</v>
      </c>
      <c r="AD1333" s="9" t="s">
        <v>134</v>
      </c>
      <c r="AE1333" s="9" t="s">
        <v>135</v>
      </c>
      <c r="AF1333" s="9" t="s">
        <v>135</v>
      </c>
      <c r="AG1333" s="14" t="str">
        <f t="shared" si="44"/>
        <v>EXAMENES RADIOLOGICOS</v>
      </c>
      <c r="AH1333" s="9">
        <v>0</v>
      </c>
      <c r="AI1333" s="9">
        <v>0</v>
      </c>
      <c r="AJ1333" s="9">
        <v>77026140</v>
      </c>
      <c r="AK1333" s="9">
        <v>6</v>
      </c>
      <c r="AL1333" s="26" t="s">
        <v>52</v>
      </c>
      <c r="AM1333" s="14" t="s">
        <v>720</v>
      </c>
      <c r="AN1333" s="27" t="str">
        <f t="shared" si="43"/>
        <v>11385748|77026140|921460482|65383931</v>
      </c>
      <c r="AO1333" t="s">
        <v>44</v>
      </c>
      <c r="AP1333" t="b">
        <v>0</v>
      </c>
      <c r="AQ1333" t="s">
        <v>763</v>
      </c>
    </row>
    <row r="1334" spans="1:43" x14ac:dyDescent="0.2">
      <c r="A1334" s="14" t="s">
        <v>500</v>
      </c>
      <c r="B1334" s="17">
        <v>11266109</v>
      </c>
      <c r="C1334" s="14" t="s">
        <v>446</v>
      </c>
      <c r="D1334" s="9">
        <v>11266109</v>
      </c>
      <c r="E1334" s="9" t="s">
        <v>446</v>
      </c>
      <c r="F1334" s="7">
        <v>45717</v>
      </c>
      <c r="G1334" s="20" t="s">
        <v>36</v>
      </c>
      <c r="H1334" s="8">
        <v>921552450</v>
      </c>
      <c r="I1334" s="19">
        <v>921552450</v>
      </c>
      <c r="J1334" s="10">
        <v>114720</v>
      </c>
      <c r="K1334" s="10">
        <v>35850</v>
      </c>
      <c r="L1334" s="10">
        <v>78870</v>
      </c>
      <c r="M1334" s="10">
        <v>0</v>
      </c>
      <c r="N1334" s="11">
        <v>78870</v>
      </c>
      <c r="O1334" s="12">
        <v>921552450</v>
      </c>
      <c r="P1334" s="9">
        <v>285123</v>
      </c>
      <c r="Q1334" s="9" t="s">
        <v>37</v>
      </c>
      <c r="R1334" s="13">
        <v>45719</v>
      </c>
      <c r="S1334" s="22">
        <v>45719</v>
      </c>
      <c r="T1334" s="13">
        <v>45719</v>
      </c>
      <c r="U1334" s="13">
        <v>45719</v>
      </c>
      <c r="V1334" s="9" t="s">
        <v>47</v>
      </c>
      <c r="W1334" s="9">
        <v>22676586</v>
      </c>
      <c r="X1334" s="9">
        <v>3101656</v>
      </c>
      <c r="Y1334" s="9">
        <v>68995766</v>
      </c>
      <c r="Z1334" s="9" t="s">
        <v>39</v>
      </c>
      <c r="AA1334" s="9">
        <v>9032025</v>
      </c>
      <c r="AB1334" s="9">
        <v>77868</v>
      </c>
      <c r="AC1334" s="9" t="s">
        <v>41</v>
      </c>
      <c r="AD1334" s="9" t="s">
        <v>65</v>
      </c>
      <c r="AE1334" s="9" t="s">
        <v>66</v>
      </c>
      <c r="AF1334" s="9" t="s">
        <v>66</v>
      </c>
      <c r="AG1334" s="14" t="str">
        <f t="shared" si="44"/>
        <v>PROCEDIMIENTOS TERAPEUTICOS</v>
      </c>
      <c r="AH1334" s="9" t="s">
        <v>758</v>
      </c>
      <c r="AI1334" s="9">
        <v>0</v>
      </c>
      <c r="AJ1334" s="9">
        <v>76098454</v>
      </c>
      <c r="AK1334" s="9" t="s">
        <v>161</v>
      </c>
      <c r="AL1334" s="26" t="s">
        <v>62</v>
      </c>
      <c r="AM1334" s="14" t="s">
        <v>721</v>
      </c>
      <c r="AN1334" s="27" t="str">
        <f t="shared" si="43"/>
        <v>11266109|76098454|921552450|921552450</v>
      </c>
      <c r="AO1334" t="s">
        <v>758</v>
      </c>
      <c r="AP1334" t="b">
        <v>1</v>
      </c>
      <c r="AQ1334" t="s">
        <v>764</v>
      </c>
    </row>
    <row r="1335" spans="1:43" x14ac:dyDescent="0.2">
      <c r="A1335" s="14" t="s">
        <v>500</v>
      </c>
      <c r="B1335" s="17">
        <v>11266109</v>
      </c>
      <c r="C1335" s="14" t="s">
        <v>446</v>
      </c>
      <c r="D1335" s="9">
        <v>11266109</v>
      </c>
      <c r="E1335" s="9" t="s">
        <v>446</v>
      </c>
      <c r="F1335" s="7">
        <v>45717</v>
      </c>
      <c r="G1335" s="20" t="s">
        <v>46</v>
      </c>
      <c r="H1335" s="8">
        <v>921552450</v>
      </c>
      <c r="I1335" s="19">
        <v>65383923</v>
      </c>
      <c r="J1335" s="10">
        <v>68100</v>
      </c>
      <c r="K1335" s="10">
        <v>0</v>
      </c>
      <c r="L1335" s="10">
        <v>68100</v>
      </c>
      <c r="M1335" s="10">
        <v>0</v>
      </c>
      <c r="N1335" s="11">
        <v>68100</v>
      </c>
      <c r="O1335" s="12">
        <v>921552450</v>
      </c>
      <c r="P1335" s="9">
        <v>285123</v>
      </c>
      <c r="Q1335" s="9" t="s">
        <v>37</v>
      </c>
      <c r="R1335" s="13">
        <v>45719</v>
      </c>
      <c r="S1335" s="22">
        <v>45742</v>
      </c>
      <c r="T1335" s="13">
        <v>45719</v>
      </c>
      <c r="U1335" s="13">
        <v>45719</v>
      </c>
      <c r="V1335" s="9" t="s">
        <v>47</v>
      </c>
      <c r="W1335" s="9">
        <v>22772365</v>
      </c>
      <c r="X1335" s="9">
        <v>3311105</v>
      </c>
      <c r="Y1335" s="9">
        <v>69250812</v>
      </c>
      <c r="Z1335" s="9" t="s">
        <v>39</v>
      </c>
      <c r="AA1335" s="9">
        <v>89037107</v>
      </c>
      <c r="AB1335" s="9">
        <v>78070</v>
      </c>
      <c r="AC1335" s="9" t="s">
        <v>41</v>
      </c>
      <c r="AD1335" s="9" t="s">
        <v>65</v>
      </c>
      <c r="AE1335" s="9" t="s">
        <v>66</v>
      </c>
      <c r="AF1335" s="9" t="s">
        <v>66</v>
      </c>
      <c r="AG1335" s="14" t="str">
        <f t="shared" si="44"/>
        <v>PROCEDIMIENTOS TERAPEUTICOS</v>
      </c>
      <c r="AH1335" s="9">
        <v>0</v>
      </c>
      <c r="AI1335" s="9">
        <v>0</v>
      </c>
      <c r="AJ1335" s="9">
        <v>76098454</v>
      </c>
      <c r="AK1335" s="9" t="s">
        <v>161</v>
      </c>
      <c r="AL1335" s="26" t="s">
        <v>52</v>
      </c>
      <c r="AM1335" s="14" t="s">
        <v>721</v>
      </c>
      <c r="AN1335" s="27" t="str">
        <f t="shared" si="43"/>
        <v>11266109|76098454|921552450|65383923</v>
      </c>
      <c r="AO1335" t="s">
        <v>44</v>
      </c>
      <c r="AP1335" t="b">
        <v>0</v>
      </c>
      <c r="AQ1335" t="s">
        <v>763</v>
      </c>
    </row>
    <row r="1336" spans="1:43" x14ac:dyDescent="0.2">
      <c r="A1336" s="14" t="s">
        <v>500</v>
      </c>
      <c r="B1336" s="17">
        <v>14011130</v>
      </c>
      <c r="C1336" s="14" t="s">
        <v>226</v>
      </c>
      <c r="D1336" s="9">
        <v>21966358</v>
      </c>
      <c r="E1336" s="9" t="s">
        <v>447</v>
      </c>
      <c r="F1336" s="7">
        <v>45717</v>
      </c>
      <c r="G1336" s="20" t="s">
        <v>36</v>
      </c>
      <c r="H1336" s="8">
        <v>921574375</v>
      </c>
      <c r="I1336" s="19">
        <v>921574375</v>
      </c>
      <c r="J1336" s="10">
        <v>9440</v>
      </c>
      <c r="K1336" s="10">
        <v>7499</v>
      </c>
      <c r="L1336" s="10">
        <v>1941</v>
      </c>
      <c r="M1336" s="10">
        <v>0</v>
      </c>
      <c r="N1336" s="11">
        <v>1941</v>
      </c>
      <c r="O1336" s="12">
        <v>921574375</v>
      </c>
      <c r="P1336" s="9">
        <v>285123</v>
      </c>
      <c r="Q1336" s="9" t="s">
        <v>37</v>
      </c>
      <c r="R1336" s="13">
        <v>45720</v>
      </c>
      <c r="S1336" s="22">
        <v>45720</v>
      </c>
      <c r="T1336" s="13">
        <v>45720</v>
      </c>
      <c r="U1336" s="13">
        <v>45720</v>
      </c>
      <c r="V1336" s="9" t="s">
        <v>47</v>
      </c>
      <c r="W1336" s="9">
        <v>22676664</v>
      </c>
      <c r="X1336" s="9">
        <v>3101656</v>
      </c>
      <c r="Y1336" s="9">
        <v>68992994</v>
      </c>
      <c r="Z1336" s="9" t="s">
        <v>39</v>
      </c>
      <c r="AA1336" s="9">
        <v>9032025</v>
      </c>
      <c r="AB1336" s="9">
        <v>77868</v>
      </c>
      <c r="AC1336" s="9" t="s">
        <v>41</v>
      </c>
      <c r="AD1336" s="9" t="s">
        <v>132</v>
      </c>
      <c r="AE1336" s="9" t="s">
        <v>133</v>
      </c>
      <c r="AF1336" s="9" t="s">
        <v>133</v>
      </c>
      <c r="AG1336" s="14" t="str">
        <f t="shared" si="44"/>
        <v>EXAMENES DE LABORATORIO</v>
      </c>
      <c r="AH1336" s="9" t="s">
        <v>758</v>
      </c>
      <c r="AI1336" s="9">
        <v>0</v>
      </c>
      <c r="AJ1336" s="9">
        <v>99573490</v>
      </c>
      <c r="AK1336" s="9">
        <v>7</v>
      </c>
      <c r="AL1336" s="26" t="s">
        <v>62</v>
      </c>
      <c r="AM1336" s="14" t="s">
        <v>568</v>
      </c>
      <c r="AN1336" s="27" t="str">
        <f t="shared" si="43"/>
        <v>14011130|99573490|921574375|921574375</v>
      </c>
      <c r="AO1336" t="s">
        <v>758</v>
      </c>
      <c r="AP1336" t="b">
        <v>1</v>
      </c>
      <c r="AQ1336" t="s">
        <v>764</v>
      </c>
    </row>
    <row r="1337" spans="1:43" x14ac:dyDescent="0.2">
      <c r="A1337" s="14" t="s">
        <v>500</v>
      </c>
      <c r="B1337" s="17">
        <v>14011130</v>
      </c>
      <c r="C1337" s="14" t="s">
        <v>226</v>
      </c>
      <c r="D1337" s="9">
        <v>21966358</v>
      </c>
      <c r="E1337" s="9" t="s">
        <v>447</v>
      </c>
      <c r="F1337" s="7">
        <v>45717</v>
      </c>
      <c r="G1337" s="20" t="s">
        <v>46</v>
      </c>
      <c r="H1337" s="8">
        <v>921574375</v>
      </c>
      <c r="I1337" s="19">
        <v>65384188</v>
      </c>
      <c r="J1337" s="10">
        <v>1935</v>
      </c>
      <c r="K1337" s="10">
        <v>0</v>
      </c>
      <c r="L1337" s="10">
        <v>1935</v>
      </c>
      <c r="M1337" s="10">
        <v>0</v>
      </c>
      <c r="N1337" s="11">
        <v>1935</v>
      </c>
      <c r="O1337" s="12">
        <v>921574375</v>
      </c>
      <c r="P1337" s="9">
        <v>285123</v>
      </c>
      <c r="Q1337" s="9" t="s">
        <v>37</v>
      </c>
      <c r="R1337" s="13">
        <v>45720</v>
      </c>
      <c r="S1337" s="22">
        <v>45742</v>
      </c>
      <c r="T1337" s="13">
        <v>45720</v>
      </c>
      <c r="U1337" s="13">
        <v>45720</v>
      </c>
      <c r="V1337" s="9" t="s">
        <v>47</v>
      </c>
      <c r="W1337" s="9">
        <v>22772395</v>
      </c>
      <c r="X1337" s="9">
        <v>3311105</v>
      </c>
      <c r="Y1337" s="9">
        <v>69251064</v>
      </c>
      <c r="Z1337" s="9" t="s">
        <v>39</v>
      </c>
      <c r="AA1337" s="9">
        <v>68951852</v>
      </c>
      <c r="AB1337" s="9">
        <v>78070</v>
      </c>
      <c r="AC1337" s="9" t="s">
        <v>41</v>
      </c>
      <c r="AD1337" s="9" t="s">
        <v>132</v>
      </c>
      <c r="AE1337" s="9" t="s">
        <v>133</v>
      </c>
      <c r="AF1337" s="9" t="s">
        <v>133</v>
      </c>
      <c r="AG1337" s="14" t="str">
        <f t="shared" si="44"/>
        <v>EXAMENES DE LABORATORIO</v>
      </c>
      <c r="AH1337" s="9">
        <v>0</v>
      </c>
      <c r="AI1337" s="9">
        <v>0</v>
      </c>
      <c r="AJ1337" s="9">
        <v>99573490</v>
      </c>
      <c r="AK1337" s="9">
        <v>7</v>
      </c>
      <c r="AL1337" s="26" t="s">
        <v>52</v>
      </c>
      <c r="AM1337" s="14" t="s">
        <v>568</v>
      </c>
      <c r="AN1337" s="27" t="str">
        <f t="shared" si="43"/>
        <v>14011130|99573490|921574375|65384188</v>
      </c>
      <c r="AO1337" t="s">
        <v>44</v>
      </c>
      <c r="AP1337" t="b">
        <v>0</v>
      </c>
      <c r="AQ1337" t="s">
        <v>763</v>
      </c>
    </row>
    <row r="1338" spans="1:43" x14ac:dyDescent="0.2">
      <c r="A1338" s="14" t="s">
        <v>500</v>
      </c>
      <c r="B1338" s="17">
        <v>14011130</v>
      </c>
      <c r="C1338" s="14" t="s">
        <v>226</v>
      </c>
      <c r="D1338" s="9">
        <v>21966358</v>
      </c>
      <c r="E1338" s="9" t="s">
        <v>447</v>
      </c>
      <c r="F1338" s="7">
        <v>45717</v>
      </c>
      <c r="G1338" s="20" t="s">
        <v>36</v>
      </c>
      <c r="H1338" s="8">
        <v>921574376</v>
      </c>
      <c r="I1338" s="19">
        <v>921574376</v>
      </c>
      <c r="J1338" s="10">
        <v>35270</v>
      </c>
      <c r="K1338" s="10">
        <v>27998</v>
      </c>
      <c r="L1338" s="10">
        <v>7272</v>
      </c>
      <c r="M1338" s="10">
        <v>0</v>
      </c>
      <c r="N1338" s="11">
        <v>7272</v>
      </c>
      <c r="O1338" s="12">
        <v>921574376</v>
      </c>
      <c r="P1338" s="9">
        <v>285123</v>
      </c>
      <c r="Q1338" s="9" t="s">
        <v>37</v>
      </c>
      <c r="R1338" s="13">
        <v>45720</v>
      </c>
      <c r="S1338" s="22">
        <v>45720</v>
      </c>
      <c r="T1338" s="13">
        <v>45720</v>
      </c>
      <c r="U1338" s="13">
        <v>45720</v>
      </c>
      <c r="V1338" s="9" t="s">
        <v>47</v>
      </c>
      <c r="W1338" s="9">
        <v>22676664</v>
      </c>
      <c r="X1338" s="9">
        <v>3101656</v>
      </c>
      <c r="Y1338" s="9">
        <v>68997164</v>
      </c>
      <c r="Z1338" s="9" t="s">
        <v>39</v>
      </c>
      <c r="AA1338" s="9">
        <v>9032025</v>
      </c>
      <c r="AB1338" s="9">
        <v>77868</v>
      </c>
      <c r="AC1338" s="9" t="s">
        <v>41</v>
      </c>
      <c r="AD1338" s="9" t="s">
        <v>132</v>
      </c>
      <c r="AE1338" s="9" t="s">
        <v>133</v>
      </c>
      <c r="AF1338" s="9" t="s">
        <v>133</v>
      </c>
      <c r="AG1338" s="14" t="str">
        <f t="shared" si="44"/>
        <v>EXAMENES DE LABORATORIO</v>
      </c>
      <c r="AH1338" s="9" t="s">
        <v>758</v>
      </c>
      <c r="AI1338" s="9">
        <v>0</v>
      </c>
      <c r="AJ1338" s="9">
        <v>99573490</v>
      </c>
      <c r="AK1338" s="9">
        <v>7</v>
      </c>
      <c r="AL1338" s="26" t="s">
        <v>62</v>
      </c>
      <c r="AM1338" s="14" t="s">
        <v>568</v>
      </c>
      <c r="AN1338" s="27" t="str">
        <f t="shared" si="43"/>
        <v>14011130|99573490|921574376|921574376</v>
      </c>
      <c r="AO1338" t="s">
        <v>758</v>
      </c>
      <c r="AP1338" t="b">
        <v>1</v>
      </c>
      <c r="AQ1338" t="s">
        <v>764</v>
      </c>
    </row>
    <row r="1339" spans="1:43" x14ac:dyDescent="0.2">
      <c r="A1339" s="14" t="s">
        <v>500</v>
      </c>
      <c r="B1339" s="17">
        <v>14011130</v>
      </c>
      <c r="C1339" s="14" t="s">
        <v>226</v>
      </c>
      <c r="D1339" s="9">
        <v>21966358</v>
      </c>
      <c r="E1339" s="9" t="s">
        <v>447</v>
      </c>
      <c r="F1339" s="7">
        <v>45717</v>
      </c>
      <c r="G1339" s="20" t="s">
        <v>46</v>
      </c>
      <c r="H1339" s="8">
        <v>921574376</v>
      </c>
      <c r="I1339" s="19">
        <v>65384189</v>
      </c>
      <c r="J1339" s="10">
        <v>7740</v>
      </c>
      <c r="K1339" s="10">
        <v>0</v>
      </c>
      <c r="L1339" s="10">
        <v>7740</v>
      </c>
      <c r="M1339" s="10">
        <v>0</v>
      </c>
      <c r="N1339" s="11">
        <v>7740</v>
      </c>
      <c r="O1339" s="12">
        <v>921574376</v>
      </c>
      <c r="P1339" s="9">
        <v>285123</v>
      </c>
      <c r="Q1339" s="9" t="s">
        <v>37</v>
      </c>
      <c r="R1339" s="13">
        <v>45720</v>
      </c>
      <c r="S1339" s="22">
        <v>45742</v>
      </c>
      <c r="T1339" s="13">
        <v>45720</v>
      </c>
      <c r="U1339" s="13">
        <v>45720</v>
      </c>
      <c r="V1339" s="9" t="s">
        <v>47</v>
      </c>
      <c r="W1339" s="9">
        <v>22772395</v>
      </c>
      <c r="X1339" s="9">
        <v>3311105</v>
      </c>
      <c r="Y1339" s="9">
        <v>69251065</v>
      </c>
      <c r="Z1339" s="9" t="s">
        <v>39</v>
      </c>
      <c r="AA1339" s="9">
        <v>68951852</v>
      </c>
      <c r="AB1339" s="9">
        <v>78070</v>
      </c>
      <c r="AC1339" s="9" t="s">
        <v>41</v>
      </c>
      <c r="AD1339" s="9" t="s">
        <v>132</v>
      </c>
      <c r="AE1339" s="9" t="s">
        <v>133</v>
      </c>
      <c r="AF1339" s="9" t="s">
        <v>133</v>
      </c>
      <c r="AG1339" s="14" t="str">
        <f t="shared" si="44"/>
        <v>EXAMENES DE LABORATORIO</v>
      </c>
      <c r="AH1339" s="9">
        <v>0</v>
      </c>
      <c r="AI1339" s="9">
        <v>0</v>
      </c>
      <c r="AJ1339" s="9">
        <v>99573490</v>
      </c>
      <c r="AK1339" s="9">
        <v>7</v>
      </c>
      <c r="AL1339" s="26" t="s">
        <v>52</v>
      </c>
      <c r="AM1339" s="14" t="s">
        <v>568</v>
      </c>
      <c r="AN1339" s="27" t="str">
        <f t="shared" si="43"/>
        <v>14011130|99573490|921574376|65384189</v>
      </c>
      <c r="AO1339" t="s">
        <v>44</v>
      </c>
      <c r="AP1339" t="b">
        <v>0</v>
      </c>
      <c r="AQ1339" t="s">
        <v>763</v>
      </c>
    </row>
    <row r="1340" spans="1:43" x14ac:dyDescent="0.2">
      <c r="A1340" s="14" t="s">
        <v>500</v>
      </c>
      <c r="B1340" s="17">
        <v>14011130</v>
      </c>
      <c r="C1340" s="14" t="s">
        <v>226</v>
      </c>
      <c r="D1340" s="9">
        <v>21966358</v>
      </c>
      <c r="E1340" s="9" t="s">
        <v>447</v>
      </c>
      <c r="F1340" s="7">
        <v>45717</v>
      </c>
      <c r="G1340" s="20" t="s">
        <v>36</v>
      </c>
      <c r="H1340" s="8">
        <v>921574377</v>
      </c>
      <c r="I1340" s="19">
        <v>921574377</v>
      </c>
      <c r="J1340" s="10">
        <v>37710</v>
      </c>
      <c r="K1340" s="10">
        <v>29934</v>
      </c>
      <c r="L1340" s="10">
        <v>7776</v>
      </c>
      <c r="M1340" s="10">
        <v>0</v>
      </c>
      <c r="N1340" s="11">
        <v>7776</v>
      </c>
      <c r="O1340" s="12">
        <v>921574377</v>
      </c>
      <c r="P1340" s="9">
        <v>285123</v>
      </c>
      <c r="Q1340" s="9" t="s">
        <v>37</v>
      </c>
      <c r="R1340" s="13">
        <v>45720</v>
      </c>
      <c r="S1340" s="22">
        <v>45720</v>
      </c>
      <c r="T1340" s="13">
        <v>45720</v>
      </c>
      <c r="U1340" s="13">
        <v>45720</v>
      </c>
      <c r="V1340" s="9" t="s">
        <v>47</v>
      </c>
      <c r="W1340" s="9">
        <v>22676664</v>
      </c>
      <c r="X1340" s="9">
        <v>3101656</v>
      </c>
      <c r="Y1340" s="9">
        <v>68995287</v>
      </c>
      <c r="Z1340" s="9" t="s">
        <v>39</v>
      </c>
      <c r="AA1340" s="9">
        <v>9032025</v>
      </c>
      <c r="AB1340" s="9">
        <v>77868</v>
      </c>
      <c r="AC1340" s="9" t="s">
        <v>41</v>
      </c>
      <c r="AD1340" s="9" t="s">
        <v>132</v>
      </c>
      <c r="AE1340" s="9" t="s">
        <v>133</v>
      </c>
      <c r="AF1340" s="9" t="s">
        <v>133</v>
      </c>
      <c r="AG1340" s="14" t="str">
        <f t="shared" si="44"/>
        <v>EXAMENES DE LABORATORIO</v>
      </c>
      <c r="AH1340" s="9" t="s">
        <v>758</v>
      </c>
      <c r="AI1340" s="9">
        <v>0</v>
      </c>
      <c r="AJ1340" s="9">
        <v>99573490</v>
      </c>
      <c r="AK1340" s="9">
        <v>7</v>
      </c>
      <c r="AL1340" s="26" t="s">
        <v>62</v>
      </c>
      <c r="AM1340" s="14" t="s">
        <v>568</v>
      </c>
      <c r="AN1340" s="27" t="str">
        <f t="shared" si="43"/>
        <v>14011130|99573490|921574377|921574377</v>
      </c>
      <c r="AO1340" t="s">
        <v>758</v>
      </c>
      <c r="AP1340" t="b">
        <v>1</v>
      </c>
      <c r="AQ1340" t="s">
        <v>764</v>
      </c>
    </row>
    <row r="1341" spans="1:43" x14ac:dyDescent="0.2">
      <c r="A1341" s="14" t="s">
        <v>500</v>
      </c>
      <c r="B1341" s="17">
        <v>14011130</v>
      </c>
      <c r="C1341" s="14" t="s">
        <v>226</v>
      </c>
      <c r="D1341" s="9">
        <v>21966358</v>
      </c>
      <c r="E1341" s="9" t="s">
        <v>447</v>
      </c>
      <c r="F1341" s="7">
        <v>45717</v>
      </c>
      <c r="G1341" s="20" t="s">
        <v>46</v>
      </c>
      <c r="H1341" s="8">
        <v>921574377</v>
      </c>
      <c r="I1341" s="19">
        <v>65384190</v>
      </c>
      <c r="J1341" s="10">
        <v>7740</v>
      </c>
      <c r="K1341" s="10">
        <v>0</v>
      </c>
      <c r="L1341" s="10">
        <v>7740</v>
      </c>
      <c r="M1341" s="10">
        <v>0</v>
      </c>
      <c r="N1341" s="11">
        <v>7740</v>
      </c>
      <c r="O1341" s="12">
        <v>921574377</v>
      </c>
      <c r="P1341" s="9">
        <v>285123</v>
      </c>
      <c r="Q1341" s="9" t="s">
        <v>37</v>
      </c>
      <c r="R1341" s="13">
        <v>45720</v>
      </c>
      <c r="S1341" s="22">
        <v>45742</v>
      </c>
      <c r="T1341" s="13">
        <v>45720</v>
      </c>
      <c r="U1341" s="13">
        <v>45720</v>
      </c>
      <c r="V1341" s="9" t="s">
        <v>47</v>
      </c>
      <c r="W1341" s="9">
        <v>22772395</v>
      </c>
      <c r="X1341" s="9">
        <v>3311105</v>
      </c>
      <c r="Y1341" s="9">
        <v>69251066</v>
      </c>
      <c r="Z1341" s="9" t="s">
        <v>39</v>
      </c>
      <c r="AA1341" s="9">
        <v>68951852</v>
      </c>
      <c r="AB1341" s="9">
        <v>78070</v>
      </c>
      <c r="AC1341" s="9" t="s">
        <v>41</v>
      </c>
      <c r="AD1341" s="9" t="s">
        <v>132</v>
      </c>
      <c r="AE1341" s="9" t="s">
        <v>133</v>
      </c>
      <c r="AF1341" s="9" t="s">
        <v>133</v>
      </c>
      <c r="AG1341" s="14" t="str">
        <f t="shared" si="44"/>
        <v>EXAMENES DE LABORATORIO</v>
      </c>
      <c r="AH1341" s="9">
        <v>0</v>
      </c>
      <c r="AI1341" s="9">
        <v>0</v>
      </c>
      <c r="AJ1341" s="9">
        <v>99573490</v>
      </c>
      <c r="AK1341" s="9">
        <v>7</v>
      </c>
      <c r="AL1341" s="26" t="s">
        <v>52</v>
      </c>
      <c r="AM1341" s="14" t="s">
        <v>568</v>
      </c>
      <c r="AN1341" s="27" t="str">
        <f t="shared" si="43"/>
        <v>14011130|99573490|921574377|65384190</v>
      </c>
      <c r="AO1341" t="s">
        <v>44</v>
      </c>
      <c r="AP1341" t="b">
        <v>0</v>
      </c>
      <c r="AQ1341" t="s">
        <v>763</v>
      </c>
    </row>
    <row r="1342" spans="1:43" x14ac:dyDescent="0.2">
      <c r="A1342" s="14" t="s">
        <v>500</v>
      </c>
      <c r="B1342" s="17">
        <v>14011130</v>
      </c>
      <c r="C1342" s="14" t="s">
        <v>226</v>
      </c>
      <c r="D1342" s="9">
        <v>21966358</v>
      </c>
      <c r="E1342" s="9" t="s">
        <v>447</v>
      </c>
      <c r="F1342" s="7">
        <v>45717</v>
      </c>
      <c r="G1342" s="20" t="s">
        <v>36</v>
      </c>
      <c r="H1342" s="8">
        <v>921574378</v>
      </c>
      <c r="I1342" s="19">
        <v>921574378</v>
      </c>
      <c r="J1342" s="10">
        <v>41900</v>
      </c>
      <c r="K1342" s="10">
        <v>33260</v>
      </c>
      <c r="L1342" s="10">
        <v>8640</v>
      </c>
      <c r="M1342" s="10">
        <v>0</v>
      </c>
      <c r="N1342" s="11">
        <v>8640</v>
      </c>
      <c r="O1342" s="12">
        <v>921574378</v>
      </c>
      <c r="P1342" s="9">
        <v>285123</v>
      </c>
      <c r="Q1342" s="9" t="s">
        <v>37</v>
      </c>
      <c r="R1342" s="13">
        <v>45720</v>
      </c>
      <c r="S1342" s="22">
        <v>45720</v>
      </c>
      <c r="T1342" s="13">
        <v>45720</v>
      </c>
      <c r="U1342" s="13">
        <v>45720</v>
      </c>
      <c r="V1342" s="9" t="s">
        <v>47</v>
      </c>
      <c r="W1342" s="9">
        <v>22676664</v>
      </c>
      <c r="X1342" s="9">
        <v>3101656</v>
      </c>
      <c r="Y1342" s="9">
        <v>68992810</v>
      </c>
      <c r="Z1342" s="9" t="s">
        <v>39</v>
      </c>
      <c r="AA1342" s="9">
        <v>9032025</v>
      </c>
      <c r="AB1342" s="9">
        <v>77868</v>
      </c>
      <c r="AC1342" s="9" t="s">
        <v>41</v>
      </c>
      <c r="AD1342" s="9" t="s">
        <v>132</v>
      </c>
      <c r="AE1342" s="9" t="s">
        <v>133</v>
      </c>
      <c r="AF1342" s="9" t="s">
        <v>133</v>
      </c>
      <c r="AG1342" s="14" t="str">
        <f t="shared" si="44"/>
        <v>EXAMENES DE LABORATORIO</v>
      </c>
      <c r="AH1342" s="9" t="s">
        <v>758</v>
      </c>
      <c r="AI1342" s="9">
        <v>0</v>
      </c>
      <c r="AJ1342" s="9">
        <v>99573490</v>
      </c>
      <c r="AK1342" s="9">
        <v>7</v>
      </c>
      <c r="AL1342" s="26" t="s">
        <v>62</v>
      </c>
      <c r="AM1342" s="14" t="s">
        <v>568</v>
      </c>
      <c r="AN1342" s="27" t="str">
        <f t="shared" si="43"/>
        <v>14011130|99573490|921574378|921574378</v>
      </c>
      <c r="AO1342" t="s">
        <v>758</v>
      </c>
      <c r="AP1342" t="b">
        <v>1</v>
      </c>
      <c r="AQ1342" t="s">
        <v>764</v>
      </c>
    </row>
    <row r="1343" spans="1:43" x14ac:dyDescent="0.2">
      <c r="A1343" s="14" t="s">
        <v>500</v>
      </c>
      <c r="B1343" s="17">
        <v>14011130</v>
      </c>
      <c r="C1343" s="14" t="s">
        <v>226</v>
      </c>
      <c r="D1343" s="9">
        <v>21966358</v>
      </c>
      <c r="E1343" s="9" t="s">
        <v>447</v>
      </c>
      <c r="F1343" s="7">
        <v>45717</v>
      </c>
      <c r="G1343" s="20" t="s">
        <v>46</v>
      </c>
      <c r="H1343" s="8">
        <v>921574378</v>
      </c>
      <c r="I1343" s="19">
        <v>65384191</v>
      </c>
      <c r="J1343" s="10">
        <v>8515</v>
      </c>
      <c r="K1343" s="10">
        <v>0</v>
      </c>
      <c r="L1343" s="10">
        <v>8515</v>
      </c>
      <c r="M1343" s="10">
        <v>0</v>
      </c>
      <c r="N1343" s="11">
        <v>8515</v>
      </c>
      <c r="O1343" s="12">
        <v>921574378</v>
      </c>
      <c r="P1343" s="9">
        <v>285123</v>
      </c>
      <c r="Q1343" s="9" t="s">
        <v>37</v>
      </c>
      <c r="R1343" s="13">
        <v>45720</v>
      </c>
      <c r="S1343" s="22">
        <v>45742</v>
      </c>
      <c r="T1343" s="13">
        <v>45720</v>
      </c>
      <c r="U1343" s="13">
        <v>45720</v>
      </c>
      <c r="V1343" s="9" t="s">
        <v>47</v>
      </c>
      <c r="W1343" s="9">
        <v>22772395</v>
      </c>
      <c r="X1343" s="9">
        <v>3311105</v>
      </c>
      <c r="Y1343" s="9">
        <v>69251067</v>
      </c>
      <c r="Z1343" s="9" t="s">
        <v>39</v>
      </c>
      <c r="AA1343" s="9">
        <v>68951852</v>
      </c>
      <c r="AB1343" s="9">
        <v>78070</v>
      </c>
      <c r="AC1343" s="9" t="s">
        <v>41</v>
      </c>
      <c r="AD1343" s="9" t="s">
        <v>132</v>
      </c>
      <c r="AE1343" s="9" t="s">
        <v>133</v>
      </c>
      <c r="AF1343" s="9" t="s">
        <v>133</v>
      </c>
      <c r="AG1343" s="14" t="str">
        <f t="shared" si="44"/>
        <v>EXAMENES DE LABORATORIO</v>
      </c>
      <c r="AH1343" s="9">
        <v>0</v>
      </c>
      <c r="AI1343" s="9">
        <v>0</v>
      </c>
      <c r="AJ1343" s="9">
        <v>99573490</v>
      </c>
      <c r="AK1343" s="9">
        <v>7</v>
      </c>
      <c r="AL1343" s="26" t="s">
        <v>52</v>
      </c>
      <c r="AM1343" s="14" t="s">
        <v>568</v>
      </c>
      <c r="AN1343" s="27" t="str">
        <f t="shared" si="43"/>
        <v>14011130|99573490|921574378|65384191</v>
      </c>
      <c r="AO1343" t="s">
        <v>44</v>
      </c>
      <c r="AP1343" t="b">
        <v>0</v>
      </c>
      <c r="AQ1343" t="s">
        <v>763</v>
      </c>
    </row>
    <row r="1344" spans="1:43" x14ac:dyDescent="0.2">
      <c r="A1344" s="14" t="s">
        <v>500</v>
      </c>
      <c r="B1344" s="17">
        <v>13831839</v>
      </c>
      <c r="C1344" s="14" t="s">
        <v>423</v>
      </c>
      <c r="D1344" s="9">
        <v>13831839</v>
      </c>
      <c r="E1344" s="9" t="s">
        <v>423</v>
      </c>
      <c r="F1344" s="7">
        <v>45717</v>
      </c>
      <c r="G1344" s="20" t="s">
        <v>36</v>
      </c>
      <c r="H1344" s="8">
        <v>921600310</v>
      </c>
      <c r="I1344" s="19">
        <v>921600310</v>
      </c>
      <c r="J1344" s="10">
        <v>35460</v>
      </c>
      <c r="K1344" s="10">
        <v>11080</v>
      </c>
      <c r="L1344" s="10">
        <v>24380</v>
      </c>
      <c r="M1344" s="10">
        <v>0</v>
      </c>
      <c r="N1344" s="11">
        <v>24380</v>
      </c>
      <c r="O1344" s="12">
        <v>921600310</v>
      </c>
      <c r="P1344" s="9">
        <v>285123</v>
      </c>
      <c r="Q1344" s="9" t="s">
        <v>37</v>
      </c>
      <c r="R1344" s="13">
        <v>45720</v>
      </c>
      <c r="S1344" s="22">
        <v>45720</v>
      </c>
      <c r="T1344" s="13">
        <v>45720</v>
      </c>
      <c r="U1344" s="13">
        <v>45720</v>
      </c>
      <c r="V1344" s="9" t="s">
        <v>47</v>
      </c>
      <c r="W1344" s="9">
        <v>22676660</v>
      </c>
      <c r="X1344" s="9">
        <v>3101656</v>
      </c>
      <c r="Y1344" s="9">
        <v>68994019</v>
      </c>
      <c r="Z1344" s="9" t="s">
        <v>39</v>
      </c>
      <c r="AA1344" s="9">
        <v>9032025</v>
      </c>
      <c r="AB1344" s="9">
        <v>77868</v>
      </c>
      <c r="AC1344" s="9" t="s">
        <v>41</v>
      </c>
      <c r="AD1344" s="9" t="s">
        <v>134</v>
      </c>
      <c r="AE1344" s="9" t="s">
        <v>135</v>
      </c>
      <c r="AF1344" s="9" t="s">
        <v>135</v>
      </c>
      <c r="AG1344" s="14" t="str">
        <f t="shared" si="44"/>
        <v>EXAMENES RADIOLOGICOS</v>
      </c>
      <c r="AH1344" s="9" t="s">
        <v>758</v>
      </c>
      <c r="AI1344" s="9">
        <v>0</v>
      </c>
      <c r="AJ1344" s="9">
        <v>96942400</v>
      </c>
      <c r="AK1344" s="9">
        <v>2</v>
      </c>
      <c r="AL1344" s="26" t="s">
        <v>62</v>
      </c>
      <c r="AM1344" s="14" t="s">
        <v>705</v>
      </c>
      <c r="AN1344" s="27" t="str">
        <f t="shared" si="43"/>
        <v>13831839|96942400|921600310|921600310</v>
      </c>
      <c r="AO1344" t="s">
        <v>758</v>
      </c>
      <c r="AP1344" t="b">
        <v>1</v>
      </c>
      <c r="AQ1344" t="s">
        <v>764</v>
      </c>
    </row>
    <row r="1345" spans="1:43" x14ac:dyDescent="0.2">
      <c r="A1345" s="14" t="s">
        <v>500</v>
      </c>
      <c r="B1345" s="17">
        <v>13831839</v>
      </c>
      <c r="C1345" s="14" t="s">
        <v>423</v>
      </c>
      <c r="D1345" s="9">
        <v>13831839</v>
      </c>
      <c r="E1345" s="9" t="s">
        <v>423</v>
      </c>
      <c r="F1345" s="7">
        <v>45717</v>
      </c>
      <c r="G1345" s="20" t="s">
        <v>46</v>
      </c>
      <c r="H1345" s="8">
        <v>921600310</v>
      </c>
      <c r="I1345" s="19">
        <v>65384148</v>
      </c>
      <c r="J1345" s="10">
        <v>21289</v>
      </c>
      <c r="K1345" s="10">
        <v>0</v>
      </c>
      <c r="L1345" s="10">
        <v>21289</v>
      </c>
      <c r="M1345" s="10">
        <v>0</v>
      </c>
      <c r="N1345" s="11">
        <v>21289</v>
      </c>
      <c r="O1345" s="12">
        <v>921600310</v>
      </c>
      <c r="P1345" s="9">
        <v>285123</v>
      </c>
      <c r="Q1345" s="9" t="s">
        <v>37</v>
      </c>
      <c r="R1345" s="13">
        <v>45720</v>
      </c>
      <c r="S1345" s="22">
        <v>45742</v>
      </c>
      <c r="T1345" s="13">
        <v>45720</v>
      </c>
      <c r="U1345" s="13">
        <v>45720</v>
      </c>
      <c r="V1345" s="9" t="s">
        <v>47</v>
      </c>
      <c r="W1345" s="9">
        <v>22772393</v>
      </c>
      <c r="X1345" s="9">
        <v>3311105</v>
      </c>
      <c r="Y1345" s="9">
        <v>69251028</v>
      </c>
      <c r="Z1345" s="9" t="s">
        <v>39</v>
      </c>
      <c r="AA1345" s="9">
        <v>1702839250</v>
      </c>
      <c r="AB1345" s="9">
        <v>78070</v>
      </c>
      <c r="AC1345" s="9" t="s">
        <v>41</v>
      </c>
      <c r="AD1345" s="9" t="s">
        <v>134</v>
      </c>
      <c r="AE1345" s="9" t="s">
        <v>135</v>
      </c>
      <c r="AF1345" s="9" t="s">
        <v>135</v>
      </c>
      <c r="AG1345" s="14" t="str">
        <f t="shared" si="44"/>
        <v>EXAMENES RADIOLOGICOS</v>
      </c>
      <c r="AH1345" s="9">
        <v>0</v>
      </c>
      <c r="AI1345" s="9">
        <v>0</v>
      </c>
      <c r="AJ1345" s="9">
        <v>96942400</v>
      </c>
      <c r="AK1345" s="9">
        <v>2</v>
      </c>
      <c r="AL1345" s="26" t="s">
        <v>52</v>
      </c>
      <c r="AM1345" s="14" t="s">
        <v>705</v>
      </c>
      <c r="AN1345" s="27" t="str">
        <f t="shared" si="43"/>
        <v>13831839|96942400|921600310|65384148</v>
      </c>
      <c r="AO1345" t="s">
        <v>44</v>
      </c>
      <c r="AP1345" t="b">
        <v>0</v>
      </c>
      <c r="AQ1345" t="s">
        <v>763</v>
      </c>
    </row>
    <row r="1346" spans="1:43" x14ac:dyDescent="0.2">
      <c r="A1346" s="14" t="s">
        <v>500</v>
      </c>
      <c r="B1346" s="17">
        <v>13831839</v>
      </c>
      <c r="C1346" s="14" t="s">
        <v>423</v>
      </c>
      <c r="D1346" s="9">
        <v>13831839</v>
      </c>
      <c r="E1346" s="9" t="s">
        <v>423</v>
      </c>
      <c r="F1346" s="7">
        <v>45717</v>
      </c>
      <c r="G1346" s="20" t="s">
        <v>36</v>
      </c>
      <c r="H1346" s="8">
        <v>921608771</v>
      </c>
      <c r="I1346" s="19">
        <v>921608771</v>
      </c>
      <c r="J1346" s="10">
        <v>28990</v>
      </c>
      <c r="K1346" s="10">
        <v>9060</v>
      </c>
      <c r="L1346" s="10">
        <v>19930</v>
      </c>
      <c r="M1346" s="10">
        <v>0</v>
      </c>
      <c r="N1346" s="11">
        <v>19930</v>
      </c>
      <c r="O1346" s="12">
        <v>921608771</v>
      </c>
      <c r="P1346" s="9">
        <v>285123</v>
      </c>
      <c r="Q1346" s="9" t="s">
        <v>37</v>
      </c>
      <c r="R1346" s="13">
        <v>45720</v>
      </c>
      <c r="S1346" s="22">
        <v>45720</v>
      </c>
      <c r="T1346" s="13">
        <v>45720</v>
      </c>
      <c r="U1346" s="13">
        <v>45720</v>
      </c>
      <c r="V1346" s="9" t="s">
        <v>47</v>
      </c>
      <c r="W1346" s="9">
        <v>22676660</v>
      </c>
      <c r="X1346" s="9">
        <v>3101656</v>
      </c>
      <c r="Y1346" s="9">
        <v>68993166</v>
      </c>
      <c r="Z1346" s="9" t="s">
        <v>39</v>
      </c>
      <c r="AA1346" s="9">
        <v>9032025</v>
      </c>
      <c r="AB1346" s="9">
        <v>77868</v>
      </c>
      <c r="AC1346" s="9" t="s">
        <v>41</v>
      </c>
      <c r="AD1346" s="9" t="s">
        <v>134</v>
      </c>
      <c r="AE1346" s="9" t="s">
        <v>135</v>
      </c>
      <c r="AF1346" s="9" t="s">
        <v>135</v>
      </c>
      <c r="AG1346" s="14" t="str">
        <f t="shared" si="44"/>
        <v>EXAMENES RADIOLOGICOS</v>
      </c>
      <c r="AH1346" s="9" t="s">
        <v>758</v>
      </c>
      <c r="AI1346" s="9">
        <v>0</v>
      </c>
      <c r="AJ1346" s="9">
        <v>96942400</v>
      </c>
      <c r="AK1346" s="9">
        <v>2</v>
      </c>
      <c r="AL1346" s="26" t="s">
        <v>62</v>
      </c>
      <c r="AM1346" s="14" t="s">
        <v>705</v>
      </c>
      <c r="AN1346" s="27" t="str">
        <f t="shared" si="43"/>
        <v>13831839|96942400|921608771|921608771</v>
      </c>
      <c r="AO1346" t="s">
        <v>758</v>
      </c>
      <c r="AP1346" t="b">
        <v>1</v>
      </c>
      <c r="AQ1346" t="s">
        <v>764</v>
      </c>
    </row>
    <row r="1347" spans="1:43" x14ac:dyDescent="0.2">
      <c r="A1347" s="14" t="s">
        <v>500</v>
      </c>
      <c r="B1347" s="17">
        <v>13831839</v>
      </c>
      <c r="C1347" s="14" t="s">
        <v>423</v>
      </c>
      <c r="D1347" s="9">
        <v>13831839</v>
      </c>
      <c r="E1347" s="9" t="s">
        <v>423</v>
      </c>
      <c r="F1347" s="7">
        <v>45717</v>
      </c>
      <c r="G1347" s="20" t="s">
        <v>46</v>
      </c>
      <c r="H1347" s="8">
        <v>921608771</v>
      </c>
      <c r="I1347" s="19">
        <v>65384149</v>
      </c>
      <c r="J1347" s="10">
        <v>17031</v>
      </c>
      <c r="K1347" s="10">
        <v>0</v>
      </c>
      <c r="L1347" s="10">
        <v>17031</v>
      </c>
      <c r="M1347" s="10">
        <v>0</v>
      </c>
      <c r="N1347" s="11">
        <v>17031</v>
      </c>
      <c r="O1347" s="12">
        <v>921608771</v>
      </c>
      <c r="P1347" s="9">
        <v>285123</v>
      </c>
      <c r="Q1347" s="9" t="s">
        <v>37</v>
      </c>
      <c r="R1347" s="13">
        <v>45720</v>
      </c>
      <c r="S1347" s="22">
        <v>45742</v>
      </c>
      <c r="T1347" s="13">
        <v>45720</v>
      </c>
      <c r="U1347" s="13">
        <v>45720</v>
      </c>
      <c r="V1347" s="9" t="s">
        <v>47</v>
      </c>
      <c r="W1347" s="9">
        <v>22772393</v>
      </c>
      <c r="X1347" s="9">
        <v>3311105</v>
      </c>
      <c r="Y1347" s="9">
        <v>69251029</v>
      </c>
      <c r="Z1347" s="9" t="s">
        <v>39</v>
      </c>
      <c r="AA1347" s="9">
        <v>1702839250</v>
      </c>
      <c r="AB1347" s="9">
        <v>78070</v>
      </c>
      <c r="AC1347" s="9" t="s">
        <v>41</v>
      </c>
      <c r="AD1347" s="9" t="s">
        <v>134</v>
      </c>
      <c r="AE1347" s="9" t="s">
        <v>135</v>
      </c>
      <c r="AF1347" s="9" t="s">
        <v>135</v>
      </c>
      <c r="AG1347" s="14" t="str">
        <f t="shared" si="44"/>
        <v>EXAMENES RADIOLOGICOS</v>
      </c>
      <c r="AH1347" s="9">
        <v>0</v>
      </c>
      <c r="AI1347" s="9">
        <v>0</v>
      </c>
      <c r="AJ1347" s="9">
        <v>96942400</v>
      </c>
      <c r="AK1347" s="9">
        <v>2</v>
      </c>
      <c r="AL1347" s="26" t="s">
        <v>52</v>
      </c>
      <c r="AM1347" s="14" t="s">
        <v>705</v>
      </c>
      <c r="AN1347" s="27" t="str">
        <f t="shared" ref="AN1347:AN1410" si="45">B1347&amp;"|"&amp;AJ1347&amp;"|"&amp;H1347&amp;"|"&amp;I1347</f>
        <v>13831839|96942400|921608771|65384149</v>
      </c>
      <c r="AO1347" t="s">
        <v>44</v>
      </c>
      <c r="AP1347" t="b">
        <v>0</v>
      </c>
      <c r="AQ1347" t="s">
        <v>763</v>
      </c>
    </row>
    <row r="1348" spans="1:43" x14ac:dyDescent="0.2">
      <c r="A1348" s="14" t="s">
        <v>500</v>
      </c>
      <c r="B1348" s="17">
        <v>13831839</v>
      </c>
      <c r="C1348" s="14" t="s">
        <v>423</v>
      </c>
      <c r="D1348" s="9">
        <v>13831839</v>
      </c>
      <c r="E1348" s="9" t="s">
        <v>423</v>
      </c>
      <c r="F1348" s="7">
        <v>45717</v>
      </c>
      <c r="G1348" s="20" t="s">
        <v>36</v>
      </c>
      <c r="H1348" s="8">
        <v>921609841</v>
      </c>
      <c r="I1348" s="19">
        <v>921609841</v>
      </c>
      <c r="J1348" s="10">
        <v>10740</v>
      </c>
      <c r="K1348" s="10">
        <v>3360</v>
      </c>
      <c r="L1348" s="10">
        <v>7380</v>
      </c>
      <c r="M1348" s="10">
        <v>0</v>
      </c>
      <c r="N1348" s="11">
        <v>7380</v>
      </c>
      <c r="O1348" s="12">
        <v>921609841</v>
      </c>
      <c r="P1348" s="9">
        <v>285123</v>
      </c>
      <c r="Q1348" s="9" t="s">
        <v>37</v>
      </c>
      <c r="R1348" s="13">
        <v>45720</v>
      </c>
      <c r="S1348" s="22">
        <v>45720</v>
      </c>
      <c r="T1348" s="13">
        <v>45720</v>
      </c>
      <c r="U1348" s="13">
        <v>45720</v>
      </c>
      <c r="V1348" s="9" t="s">
        <v>47</v>
      </c>
      <c r="W1348" s="9">
        <v>22676660</v>
      </c>
      <c r="X1348" s="9">
        <v>3101656</v>
      </c>
      <c r="Y1348" s="9">
        <v>68997598</v>
      </c>
      <c r="Z1348" s="9" t="s">
        <v>39</v>
      </c>
      <c r="AA1348" s="9">
        <v>9032025</v>
      </c>
      <c r="AB1348" s="9">
        <v>77868</v>
      </c>
      <c r="AC1348" s="9" t="s">
        <v>41</v>
      </c>
      <c r="AD1348" s="9" t="s">
        <v>65</v>
      </c>
      <c r="AE1348" s="9" t="s">
        <v>66</v>
      </c>
      <c r="AF1348" s="9" t="s">
        <v>66</v>
      </c>
      <c r="AG1348" s="14" t="str">
        <f t="shared" si="44"/>
        <v>PROCEDIMIENTOS TERAPEUTICOS</v>
      </c>
      <c r="AH1348" s="9" t="s">
        <v>758</v>
      </c>
      <c r="AI1348" s="9">
        <v>0</v>
      </c>
      <c r="AJ1348" s="9">
        <v>96942400</v>
      </c>
      <c r="AK1348" s="9">
        <v>2</v>
      </c>
      <c r="AL1348" s="26" t="s">
        <v>62</v>
      </c>
      <c r="AM1348" s="14" t="s">
        <v>705</v>
      </c>
      <c r="AN1348" s="27" t="str">
        <f t="shared" si="45"/>
        <v>13831839|96942400|921609841|921609841</v>
      </c>
      <c r="AO1348" t="s">
        <v>758</v>
      </c>
      <c r="AP1348" t="b">
        <v>1</v>
      </c>
      <c r="AQ1348" t="s">
        <v>764</v>
      </c>
    </row>
    <row r="1349" spans="1:43" x14ac:dyDescent="0.2">
      <c r="A1349" s="14" t="s">
        <v>500</v>
      </c>
      <c r="B1349" s="17">
        <v>13831839</v>
      </c>
      <c r="C1349" s="14" t="s">
        <v>423</v>
      </c>
      <c r="D1349" s="9">
        <v>13831839</v>
      </c>
      <c r="E1349" s="9" t="s">
        <v>423</v>
      </c>
      <c r="F1349" s="7">
        <v>45717</v>
      </c>
      <c r="G1349" s="20" t="s">
        <v>46</v>
      </c>
      <c r="H1349" s="8">
        <v>921609841</v>
      </c>
      <c r="I1349" s="19">
        <v>65384150</v>
      </c>
      <c r="J1349" s="10">
        <v>6193</v>
      </c>
      <c r="K1349" s="10">
        <v>0</v>
      </c>
      <c r="L1349" s="10">
        <v>6193</v>
      </c>
      <c r="M1349" s="10">
        <v>0</v>
      </c>
      <c r="N1349" s="11">
        <v>6193</v>
      </c>
      <c r="O1349" s="12">
        <v>921609841</v>
      </c>
      <c r="P1349" s="9">
        <v>285123</v>
      </c>
      <c r="Q1349" s="9" t="s">
        <v>37</v>
      </c>
      <c r="R1349" s="13">
        <v>45720</v>
      </c>
      <c r="S1349" s="22">
        <v>45742</v>
      </c>
      <c r="T1349" s="13">
        <v>45720</v>
      </c>
      <c r="U1349" s="13">
        <v>45720</v>
      </c>
      <c r="V1349" s="9" t="s">
        <v>47</v>
      </c>
      <c r="W1349" s="9">
        <v>22772393</v>
      </c>
      <c r="X1349" s="9">
        <v>3311105</v>
      </c>
      <c r="Y1349" s="9">
        <v>69251030</v>
      </c>
      <c r="Z1349" s="9" t="s">
        <v>39</v>
      </c>
      <c r="AA1349" s="9">
        <v>1702839250</v>
      </c>
      <c r="AB1349" s="9">
        <v>78070</v>
      </c>
      <c r="AC1349" s="9" t="s">
        <v>41</v>
      </c>
      <c r="AD1349" s="9" t="s">
        <v>65</v>
      </c>
      <c r="AE1349" s="9" t="s">
        <v>66</v>
      </c>
      <c r="AF1349" s="9" t="s">
        <v>66</v>
      </c>
      <c r="AG1349" s="14" t="str">
        <f t="shared" si="44"/>
        <v>PROCEDIMIENTOS TERAPEUTICOS</v>
      </c>
      <c r="AH1349" s="9">
        <v>0</v>
      </c>
      <c r="AI1349" s="9">
        <v>0</v>
      </c>
      <c r="AJ1349" s="9">
        <v>96942400</v>
      </c>
      <c r="AK1349" s="9">
        <v>2</v>
      </c>
      <c r="AL1349" s="26" t="s">
        <v>52</v>
      </c>
      <c r="AM1349" s="14" t="s">
        <v>705</v>
      </c>
      <c r="AN1349" s="27" t="str">
        <f t="shared" si="45"/>
        <v>13831839|96942400|921609841|65384150</v>
      </c>
      <c r="AO1349" t="s">
        <v>44</v>
      </c>
      <c r="AP1349" t="b">
        <v>0</v>
      </c>
      <c r="AQ1349" t="s">
        <v>763</v>
      </c>
    </row>
    <row r="1350" spans="1:43" x14ac:dyDescent="0.2">
      <c r="A1350" s="14" t="s">
        <v>500</v>
      </c>
      <c r="B1350" s="17">
        <v>11394861</v>
      </c>
      <c r="C1350" s="14" t="s">
        <v>448</v>
      </c>
      <c r="D1350" s="9">
        <v>26186541</v>
      </c>
      <c r="E1350" s="9" t="s">
        <v>449</v>
      </c>
      <c r="F1350" s="7">
        <v>45717</v>
      </c>
      <c r="G1350" s="20" t="s">
        <v>36</v>
      </c>
      <c r="H1350" s="8">
        <v>921673247</v>
      </c>
      <c r="I1350" s="19">
        <v>921673247</v>
      </c>
      <c r="J1350" s="10">
        <v>12130</v>
      </c>
      <c r="K1350" s="10">
        <v>3790</v>
      </c>
      <c r="L1350" s="10">
        <v>8340</v>
      </c>
      <c r="M1350" s="10">
        <v>0</v>
      </c>
      <c r="N1350" s="11">
        <v>8340</v>
      </c>
      <c r="O1350" s="12">
        <v>921673247</v>
      </c>
      <c r="P1350" s="9">
        <v>285123</v>
      </c>
      <c r="Q1350" s="9" t="s">
        <v>37</v>
      </c>
      <c r="R1350" s="13">
        <v>45720</v>
      </c>
      <c r="S1350" s="22">
        <v>45720</v>
      </c>
      <c r="T1350" s="13">
        <v>45720</v>
      </c>
      <c r="U1350" s="13">
        <v>45720</v>
      </c>
      <c r="V1350" s="9" t="s">
        <v>47</v>
      </c>
      <c r="W1350" s="9">
        <v>22676648</v>
      </c>
      <c r="X1350" s="9">
        <v>3101656</v>
      </c>
      <c r="Y1350" s="9">
        <v>68997805</v>
      </c>
      <c r="Z1350" s="9" t="s">
        <v>39</v>
      </c>
      <c r="AA1350" s="9">
        <v>9032025</v>
      </c>
      <c r="AB1350" s="9">
        <v>77868</v>
      </c>
      <c r="AC1350" s="9" t="s">
        <v>41</v>
      </c>
      <c r="AD1350" s="9" t="s">
        <v>134</v>
      </c>
      <c r="AE1350" s="9" t="s">
        <v>135</v>
      </c>
      <c r="AF1350" s="9" t="s">
        <v>135</v>
      </c>
      <c r="AG1350" s="14" t="str">
        <f t="shared" si="44"/>
        <v>EXAMENES RADIOLOGICOS</v>
      </c>
      <c r="AH1350" s="9" t="s">
        <v>758</v>
      </c>
      <c r="AI1350" s="9">
        <v>0</v>
      </c>
      <c r="AJ1350" s="9">
        <v>76098454</v>
      </c>
      <c r="AK1350" s="9" t="s">
        <v>161</v>
      </c>
      <c r="AL1350" s="26" t="s">
        <v>62</v>
      </c>
      <c r="AM1350" s="14" t="s">
        <v>722</v>
      </c>
      <c r="AN1350" s="27" t="str">
        <f t="shared" si="45"/>
        <v>11394861|76098454|921673247|921673247</v>
      </c>
      <c r="AO1350" t="s">
        <v>758</v>
      </c>
      <c r="AP1350" t="b">
        <v>1</v>
      </c>
      <c r="AQ1350" t="s">
        <v>764</v>
      </c>
    </row>
    <row r="1351" spans="1:43" x14ac:dyDescent="0.2">
      <c r="A1351" s="14" t="s">
        <v>500</v>
      </c>
      <c r="B1351" s="17">
        <v>11394861</v>
      </c>
      <c r="C1351" s="14" t="s">
        <v>448</v>
      </c>
      <c r="D1351" s="9">
        <v>26186541</v>
      </c>
      <c r="E1351" s="9" t="s">
        <v>449</v>
      </c>
      <c r="F1351" s="7">
        <v>45717</v>
      </c>
      <c r="G1351" s="20" t="s">
        <v>46</v>
      </c>
      <c r="H1351" s="8">
        <v>921673247</v>
      </c>
      <c r="I1351" s="19">
        <v>65383932</v>
      </c>
      <c r="J1351" s="10">
        <v>7354</v>
      </c>
      <c r="K1351" s="10">
        <v>0</v>
      </c>
      <c r="L1351" s="10">
        <v>7354</v>
      </c>
      <c r="M1351" s="10">
        <v>0</v>
      </c>
      <c r="N1351" s="11">
        <v>7354</v>
      </c>
      <c r="O1351" s="12">
        <v>921673247</v>
      </c>
      <c r="P1351" s="9">
        <v>285123</v>
      </c>
      <c r="Q1351" s="9" t="s">
        <v>37</v>
      </c>
      <c r="R1351" s="13">
        <v>45720</v>
      </c>
      <c r="S1351" s="22">
        <v>45742</v>
      </c>
      <c r="T1351" s="13">
        <v>45720</v>
      </c>
      <c r="U1351" s="13">
        <v>45720</v>
      </c>
      <c r="V1351" s="9" t="s">
        <v>47</v>
      </c>
      <c r="W1351" s="9">
        <v>22772390</v>
      </c>
      <c r="X1351" s="9">
        <v>3311105</v>
      </c>
      <c r="Y1351" s="9">
        <v>69250821</v>
      </c>
      <c r="Z1351" s="9" t="s">
        <v>39</v>
      </c>
      <c r="AA1351" s="9">
        <v>29870070878</v>
      </c>
      <c r="AB1351" s="9">
        <v>78070</v>
      </c>
      <c r="AC1351" s="9" t="s">
        <v>41</v>
      </c>
      <c r="AD1351" s="9" t="s">
        <v>134</v>
      </c>
      <c r="AE1351" s="9" t="s">
        <v>135</v>
      </c>
      <c r="AF1351" s="9" t="s">
        <v>135</v>
      </c>
      <c r="AG1351" s="14" t="str">
        <f t="shared" si="44"/>
        <v>EXAMENES RADIOLOGICOS</v>
      </c>
      <c r="AH1351" s="9">
        <v>0</v>
      </c>
      <c r="AI1351" s="9">
        <v>0</v>
      </c>
      <c r="AJ1351" s="9">
        <v>76098454</v>
      </c>
      <c r="AK1351" s="9" t="s">
        <v>161</v>
      </c>
      <c r="AL1351" s="26" t="s">
        <v>52</v>
      </c>
      <c r="AM1351" s="14" t="s">
        <v>722</v>
      </c>
      <c r="AN1351" s="27" t="str">
        <f t="shared" si="45"/>
        <v>11394861|76098454|921673247|65383932</v>
      </c>
      <c r="AO1351" t="s">
        <v>44</v>
      </c>
      <c r="AP1351" t="b">
        <v>0</v>
      </c>
      <c r="AQ1351" t="s">
        <v>763</v>
      </c>
    </row>
    <row r="1352" spans="1:43" x14ac:dyDescent="0.2">
      <c r="A1352" s="14" t="s">
        <v>500</v>
      </c>
      <c r="B1352" s="17">
        <v>8656744</v>
      </c>
      <c r="C1352" s="14" t="s">
        <v>450</v>
      </c>
      <c r="D1352" s="9">
        <v>8656744</v>
      </c>
      <c r="E1352" s="9" t="s">
        <v>450</v>
      </c>
      <c r="F1352" s="7">
        <v>45717</v>
      </c>
      <c r="G1352" s="20" t="s">
        <v>36</v>
      </c>
      <c r="H1352" s="8">
        <v>921687531</v>
      </c>
      <c r="I1352" s="19">
        <v>921687531</v>
      </c>
      <c r="J1352" s="10">
        <v>166500</v>
      </c>
      <c r="K1352" s="10">
        <v>83250</v>
      </c>
      <c r="L1352" s="10">
        <v>83250</v>
      </c>
      <c r="M1352" s="10">
        <v>0</v>
      </c>
      <c r="N1352" s="11">
        <v>83250</v>
      </c>
      <c r="O1352" s="12">
        <v>921687531</v>
      </c>
      <c r="P1352" s="9">
        <v>285123</v>
      </c>
      <c r="Q1352" s="9" t="s">
        <v>37</v>
      </c>
      <c r="R1352" s="13">
        <v>45720</v>
      </c>
      <c r="S1352" s="22">
        <v>45720</v>
      </c>
      <c r="T1352" s="13">
        <v>45720</v>
      </c>
      <c r="U1352" s="13">
        <v>45720</v>
      </c>
      <c r="V1352" s="9" t="s">
        <v>47</v>
      </c>
      <c r="W1352" s="9">
        <v>22676637</v>
      </c>
      <c r="X1352" s="9">
        <v>3101656</v>
      </c>
      <c r="Y1352" s="9">
        <v>68994132</v>
      </c>
      <c r="Z1352" s="9" t="s">
        <v>39</v>
      </c>
      <c r="AA1352" s="9">
        <v>9032025</v>
      </c>
      <c r="AB1352" s="9">
        <v>77868</v>
      </c>
      <c r="AC1352" s="9" t="s">
        <v>41</v>
      </c>
      <c r="AD1352" s="9" t="s">
        <v>134</v>
      </c>
      <c r="AE1352" s="9" t="s">
        <v>135</v>
      </c>
      <c r="AF1352" s="9" t="s">
        <v>135</v>
      </c>
      <c r="AG1352" s="14" t="str">
        <f t="shared" si="44"/>
        <v>EXAMENES RADIOLOGICOS</v>
      </c>
      <c r="AH1352" s="9" t="s">
        <v>758</v>
      </c>
      <c r="AI1352" s="9">
        <v>0</v>
      </c>
      <c r="AJ1352" s="9">
        <v>78471820</v>
      </c>
      <c r="AK1352" s="9">
        <v>4</v>
      </c>
      <c r="AL1352" s="26" t="s">
        <v>62</v>
      </c>
      <c r="AM1352" s="14" t="s">
        <v>723</v>
      </c>
      <c r="AN1352" s="27" t="str">
        <f t="shared" si="45"/>
        <v>8656744|78471820|921687531|921687531</v>
      </c>
      <c r="AO1352" t="s">
        <v>758</v>
      </c>
      <c r="AP1352" t="b">
        <v>1</v>
      </c>
      <c r="AQ1352" t="s">
        <v>764</v>
      </c>
    </row>
    <row r="1353" spans="1:43" x14ac:dyDescent="0.2">
      <c r="A1353" s="14" t="s">
        <v>500</v>
      </c>
      <c r="B1353" s="17">
        <v>8656744</v>
      </c>
      <c r="C1353" s="14" t="s">
        <v>450</v>
      </c>
      <c r="D1353" s="9">
        <v>8656744</v>
      </c>
      <c r="E1353" s="9" t="s">
        <v>450</v>
      </c>
      <c r="F1353" s="7">
        <v>45717</v>
      </c>
      <c r="G1353" s="20" t="s">
        <v>46</v>
      </c>
      <c r="H1353" s="8">
        <v>921687531</v>
      </c>
      <c r="I1353" s="19">
        <v>65383689</v>
      </c>
      <c r="J1353" s="10">
        <v>83223</v>
      </c>
      <c r="K1353" s="10">
        <v>0</v>
      </c>
      <c r="L1353" s="10">
        <v>83223</v>
      </c>
      <c r="M1353" s="10">
        <v>0</v>
      </c>
      <c r="N1353" s="11">
        <v>83223</v>
      </c>
      <c r="O1353" s="12">
        <v>921687531</v>
      </c>
      <c r="P1353" s="9">
        <v>285123</v>
      </c>
      <c r="Q1353" s="9" t="s">
        <v>37</v>
      </c>
      <c r="R1353" s="13">
        <v>45720</v>
      </c>
      <c r="S1353" s="22">
        <v>45742</v>
      </c>
      <c r="T1353" s="13">
        <v>45720</v>
      </c>
      <c r="U1353" s="13">
        <v>45720</v>
      </c>
      <c r="V1353" s="9" t="s">
        <v>47</v>
      </c>
      <c r="W1353" s="9">
        <v>22772382</v>
      </c>
      <c r="X1353" s="9">
        <v>3311105</v>
      </c>
      <c r="Y1353" s="9">
        <v>69250580</v>
      </c>
      <c r="Z1353" s="9" t="s">
        <v>39</v>
      </c>
      <c r="AA1353" s="9">
        <v>61847022</v>
      </c>
      <c r="AB1353" s="9">
        <v>78070</v>
      </c>
      <c r="AC1353" s="9" t="s">
        <v>41</v>
      </c>
      <c r="AD1353" s="9" t="s">
        <v>134</v>
      </c>
      <c r="AE1353" s="9" t="s">
        <v>135</v>
      </c>
      <c r="AF1353" s="9" t="s">
        <v>135</v>
      </c>
      <c r="AG1353" s="14" t="str">
        <f t="shared" si="44"/>
        <v>EXAMENES RADIOLOGICOS</v>
      </c>
      <c r="AH1353" s="9">
        <v>0</v>
      </c>
      <c r="AI1353" s="9">
        <v>0</v>
      </c>
      <c r="AJ1353" s="9">
        <v>78471820</v>
      </c>
      <c r="AK1353" s="9">
        <v>4</v>
      </c>
      <c r="AL1353" s="26" t="s">
        <v>52</v>
      </c>
      <c r="AM1353" s="14" t="s">
        <v>723</v>
      </c>
      <c r="AN1353" s="27" t="str">
        <f t="shared" si="45"/>
        <v>8656744|78471820|921687531|65383689</v>
      </c>
      <c r="AO1353" t="s">
        <v>44</v>
      </c>
      <c r="AP1353" t="b">
        <v>0</v>
      </c>
      <c r="AQ1353" t="s">
        <v>763</v>
      </c>
    </row>
    <row r="1354" spans="1:43" x14ac:dyDescent="0.2">
      <c r="A1354" s="14" t="s">
        <v>500</v>
      </c>
      <c r="B1354" s="17">
        <v>10586495</v>
      </c>
      <c r="C1354" s="14" t="s">
        <v>401</v>
      </c>
      <c r="D1354" s="9">
        <v>10586495</v>
      </c>
      <c r="E1354" s="9" t="s">
        <v>401</v>
      </c>
      <c r="F1354" s="7">
        <v>45717</v>
      </c>
      <c r="G1354" s="20" t="s">
        <v>36</v>
      </c>
      <c r="H1354" s="8">
        <v>921688570</v>
      </c>
      <c r="I1354" s="19">
        <v>921688570</v>
      </c>
      <c r="J1354" s="10">
        <v>28990</v>
      </c>
      <c r="K1354" s="10">
        <v>16308</v>
      </c>
      <c r="L1354" s="10">
        <v>12682</v>
      </c>
      <c r="M1354" s="10">
        <v>0</v>
      </c>
      <c r="N1354" s="11">
        <v>12682</v>
      </c>
      <c r="O1354" s="12">
        <v>921688570</v>
      </c>
      <c r="P1354" s="9">
        <v>285123</v>
      </c>
      <c r="Q1354" s="9" t="s">
        <v>37</v>
      </c>
      <c r="R1354" s="13">
        <v>45720</v>
      </c>
      <c r="S1354" s="22">
        <v>45720</v>
      </c>
      <c r="T1354" s="13">
        <v>45720</v>
      </c>
      <c r="U1354" s="13">
        <v>45720</v>
      </c>
      <c r="V1354" s="9" t="s">
        <v>47</v>
      </c>
      <c r="W1354" s="9">
        <v>22676646</v>
      </c>
      <c r="X1354" s="9">
        <v>3101656</v>
      </c>
      <c r="Y1354" s="9">
        <v>68997034</v>
      </c>
      <c r="Z1354" s="9" t="s">
        <v>39</v>
      </c>
      <c r="AA1354" s="9">
        <v>9032025</v>
      </c>
      <c r="AB1354" s="9">
        <v>77868</v>
      </c>
      <c r="AC1354" s="9" t="s">
        <v>41</v>
      </c>
      <c r="AD1354" s="9" t="s">
        <v>134</v>
      </c>
      <c r="AE1354" s="9" t="s">
        <v>135</v>
      </c>
      <c r="AF1354" s="9" t="s">
        <v>135</v>
      </c>
      <c r="AG1354" s="14" t="str">
        <f t="shared" si="44"/>
        <v>EXAMENES RADIOLOGICOS</v>
      </c>
      <c r="AH1354" s="9" t="s">
        <v>758</v>
      </c>
      <c r="AI1354" s="9">
        <v>0</v>
      </c>
      <c r="AJ1354" s="9">
        <v>76098454</v>
      </c>
      <c r="AK1354" s="9" t="s">
        <v>161</v>
      </c>
      <c r="AL1354" s="26" t="s">
        <v>62</v>
      </c>
      <c r="AM1354" s="14" t="s">
        <v>689</v>
      </c>
      <c r="AN1354" s="27" t="str">
        <f t="shared" si="45"/>
        <v>10586495|76098454|921688570|921688570</v>
      </c>
      <c r="AO1354" t="s">
        <v>758</v>
      </c>
      <c r="AP1354" t="b">
        <v>1</v>
      </c>
      <c r="AQ1354" t="s">
        <v>764</v>
      </c>
    </row>
    <row r="1355" spans="1:43" x14ac:dyDescent="0.2">
      <c r="A1355" s="14" t="s">
        <v>500</v>
      </c>
      <c r="B1355" s="17">
        <v>10586495</v>
      </c>
      <c r="C1355" s="14" t="s">
        <v>401</v>
      </c>
      <c r="D1355" s="9">
        <v>10586495</v>
      </c>
      <c r="E1355" s="9" t="s">
        <v>401</v>
      </c>
      <c r="F1355" s="7">
        <v>45717</v>
      </c>
      <c r="G1355" s="20" t="s">
        <v>46</v>
      </c>
      <c r="H1355" s="8">
        <v>921688570</v>
      </c>
      <c r="I1355" s="19">
        <v>65383886</v>
      </c>
      <c r="J1355" s="10">
        <v>9677</v>
      </c>
      <c r="K1355" s="10">
        <v>0</v>
      </c>
      <c r="L1355" s="10">
        <v>9677</v>
      </c>
      <c r="M1355" s="10">
        <v>0</v>
      </c>
      <c r="N1355" s="11">
        <v>9677</v>
      </c>
      <c r="O1355" s="12">
        <v>921688570</v>
      </c>
      <c r="P1355" s="9">
        <v>285123</v>
      </c>
      <c r="Q1355" s="9" t="s">
        <v>37</v>
      </c>
      <c r="R1355" s="13">
        <v>45720</v>
      </c>
      <c r="S1355" s="22">
        <v>45742</v>
      </c>
      <c r="T1355" s="13">
        <v>45720</v>
      </c>
      <c r="U1355" s="13">
        <v>45720</v>
      </c>
      <c r="V1355" s="9" t="s">
        <v>47</v>
      </c>
      <c r="W1355" s="9">
        <v>22772389</v>
      </c>
      <c r="X1355" s="9">
        <v>3311105</v>
      </c>
      <c r="Y1355" s="9">
        <v>69250775</v>
      </c>
      <c r="Z1355" s="9" t="s">
        <v>39</v>
      </c>
      <c r="AA1355" s="9">
        <v>50964119</v>
      </c>
      <c r="AB1355" s="9">
        <v>78070</v>
      </c>
      <c r="AC1355" s="9" t="s">
        <v>41</v>
      </c>
      <c r="AD1355" s="9" t="s">
        <v>134</v>
      </c>
      <c r="AE1355" s="9" t="s">
        <v>135</v>
      </c>
      <c r="AF1355" s="9" t="s">
        <v>135</v>
      </c>
      <c r="AG1355" s="14" t="str">
        <f t="shared" si="44"/>
        <v>EXAMENES RADIOLOGICOS</v>
      </c>
      <c r="AH1355" s="9">
        <v>0</v>
      </c>
      <c r="AI1355" s="9">
        <v>0</v>
      </c>
      <c r="AJ1355" s="9">
        <v>76098454</v>
      </c>
      <c r="AK1355" s="9" t="s">
        <v>161</v>
      </c>
      <c r="AL1355" s="26" t="s">
        <v>52</v>
      </c>
      <c r="AM1355" s="14" t="s">
        <v>689</v>
      </c>
      <c r="AN1355" s="27" t="str">
        <f t="shared" si="45"/>
        <v>10586495|76098454|921688570|65383886</v>
      </c>
      <c r="AO1355" t="s">
        <v>44</v>
      </c>
      <c r="AP1355" t="b">
        <v>0</v>
      </c>
      <c r="AQ1355" t="s">
        <v>763</v>
      </c>
    </row>
    <row r="1356" spans="1:43" x14ac:dyDescent="0.2">
      <c r="A1356" s="14" t="s">
        <v>500</v>
      </c>
      <c r="B1356" s="17">
        <v>10586495</v>
      </c>
      <c r="C1356" s="14" t="s">
        <v>401</v>
      </c>
      <c r="D1356" s="9">
        <v>10586495</v>
      </c>
      <c r="E1356" s="9" t="s">
        <v>401</v>
      </c>
      <c r="F1356" s="7">
        <v>45717</v>
      </c>
      <c r="G1356" s="20" t="s">
        <v>36</v>
      </c>
      <c r="H1356" s="8">
        <v>921688758</v>
      </c>
      <c r="I1356" s="19">
        <v>921688758</v>
      </c>
      <c r="J1356" s="10">
        <v>28990</v>
      </c>
      <c r="K1356" s="10">
        <v>16308</v>
      </c>
      <c r="L1356" s="10">
        <v>12682</v>
      </c>
      <c r="M1356" s="10">
        <v>0</v>
      </c>
      <c r="N1356" s="11">
        <v>12682</v>
      </c>
      <c r="O1356" s="12">
        <v>921688758</v>
      </c>
      <c r="P1356" s="9">
        <v>285123</v>
      </c>
      <c r="Q1356" s="9" t="s">
        <v>37</v>
      </c>
      <c r="R1356" s="13">
        <v>45720</v>
      </c>
      <c r="S1356" s="22">
        <v>45720</v>
      </c>
      <c r="T1356" s="13">
        <v>45720</v>
      </c>
      <c r="U1356" s="13">
        <v>45720</v>
      </c>
      <c r="V1356" s="9" t="s">
        <v>47</v>
      </c>
      <c r="W1356" s="9">
        <v>22676646</v>
      </c>
      <c r="X1356" s="9">
        <v>3101656</v>
      </c>
      <c r="Y1356" s="9">
        <v>68996626</v>
      </c>
      <c r="Z1356" s="9" t="s">
        <v>39</v>
      </c>
      <c r="AA1356" s="9">
        <v>9032025</v>
      </c>
      <c r="AB1356" s="9">
        <v>77868</v>
      </c>
      <c r="AC1356" s="9" t="s">
        <v>41</v>
      </c>
      <c r="AD1356" s="9" t="s">
        <v>134</v>
      </c>
      <c r="AE1356" s="9" t="s">
        <v>135</v>
      </c>
      <c r="AF1356" s="9" t="s">
        <v>135</v>
      </c>
      <c r="AG1356" s="14" t="str">
        <f t="shared" si="44"/>
        <v>EXAMENES RADIOLOGICOS</v>
      </c>
      <c r="AH1356" s="9" t="s">
        <v>758</v>
      </c>
      <c r="AI1356" s="9">
        <v>0</v>
      </c>
      <c r="AJ1356" s="9">
        <v>76098454</v>
      </c>
      <c r="AK1356" s="9" t="s">
        <v>161</v>
      </c>
      <c r="AL1356" s="26" t="s">
        <v>62</v>
      </c>
      <c r="AM1356" s="14" t="s">
        <v>689</v>
      </c>
      <c r="AN1356" s="27" t="str">
        <f t="shared" si="45"/>
        <v>10586495|76098454|921688758|921688758</v>
      </c>
      <c r="AO1356" t="s">
        <v>758</v>
      </c>
      <c r="AP1356" t="b">
        <v>1</v>
      </c>
      <c r="AQ1356" t="s">
        <v>764</v>
      </c>
    </row>
    <row r="1357" spans="1:43" x14ac:dyDescent="0.2">
      <c r="A1357" s="14" t="s">
        <v>500</v>
      </c>
      <c r="B1357" s="17">
        <v>10586495</v>
      </c>
      <c r="C1357" s="14" t="s">
        <v>401</v>
      </c>
      <c r="D1357" s="9">
        <v>10586495</v>
      </c>
      <c r="E1357" s="9" t="s">
        <v>401</v>
      </c>
      <c r="F1357" s="7">
        <v>45717</v>
      </c>
      <c r="G1357" s="20" t="s">
        <v>46</v>
      </c>
      <c r="H1357" s="8">
        <v>921688758</v>
      </c>
      <c r="I1357" s="19">
        <v>65383887</v>
      </c>
      <c r="J1357" s="10">
        <v>9677</v>
      </c>
      <c r="K1357" s="10">
        <v>0</v>
      </c>
      <c r="L1357" s="10">
        <v>9677</v>
      </c>
      <c r="M1357" s="10">
        <v>0</v>
      </c>
      <c r="N1357" s="11">
        <v>9677</v>
      </c>
      <c r="O1357" s="12">
        <v>921688758</v>
      </c>
      <c r="P1357" s="9">
        <v>285123</v>
      </c>
      <c r="Q1357" s="9" t="s">
        <v>37</v>
      </c>
      <c r="R1357" s="13">
        <v>45720</v>
      </c>
      <c r="S1357" s="22">
        <v>45742</v>
      </c>
      <c r="T1357" s="13">
        <v>45720</v>
      </c>
      <c r="U1357" s="13">
        <v>45720</v>
      </c>
      <c r="V1357" s="9" t="s">
        <v>47</v>
      </c>
      <c r="W1357" s="9">
        <v>22772389</v>
      </c>
      <c r="X1357" s="9">
        <v>3311105</v>
      </c>
      <c r="Y1357" s="9">
        <v>69250776</v>
      </c>
      <c r="Z1357" s="9" t="s">
        <v>39</v>
      </c>
      <c r="AA1357" s="9">
        <v>50964119</v>
      </c>
      <c r="AB1357" s="9">
        <v>78070</v>
      </c>
      <c r="AC1357" s="9" t="s">
        <v>41</v>
      </c>
      <c r="AD1357" s="9" t="s">
        <v>134</v>
      </c>
      <c r="AE1357" s="9" t="s">
        <v>135</v>
      </c>
      <c r="AF1357" s="9" t="s">
        <v>135</v>
      </c>
      <c r="AG1357" s="14" t="str">
        <f t="shared" si="44"/>
        <v>EXAMENES RADIOLOGICOS</v>
      </c>
      <c r="AH1357" s="9">
        <v>0</v>
      </c>
      <c r="AI1357" s="9">
        <v>0</v>
      </c>
      <c r="AJ1357" s="9">
        <v>76098454</v>
      </c>
      <c r="AK1357" s="9" t="s">
        <v>161</v>
      </c>
      <c r="AL1357" s="26" t="s">
        <v>52</v>
      </c>
      <c r="AM1357" s="14" t="s">
        <v>689</v>
      </c>
      <c r="AN1357" s="27" t="str">
        <f t="shared" si="45"/>
        <v>10586495|76098454|921688758|65383887</v>
      </c>
      <c r="AO1357" t="s">
        <v>44</v>
      </c>
      <c r="AP1357" t="b">
        <v>0</v>
      </c>
      <c r="AQ1357" t="s">
        <v>763</v>
      </c>
    </row>
    <row r="1358" spans="1:43" x14ac:dyDescent="0.2">
      <c r="A1358" s="14" t="s">
        <v>500</v>
      </c>
      <c r="B1358" s="17">
        <v>18706804</v>
      </c>
      <c r="C1358" s="14" t="s">
        <v>441</v>
      </c>
      <c r="D1358" s="9">
        <v>18706804</v>
      </c>
      <c r="E1358" s="9" t="s">
        <v>441</v>
      </c>
      <c r="F1358" s="7">
        <v>45717</v>
      </c>
      <c r="G1358" s="20" t="s">
        <v>36</v>
      </c>
      <c r="H1358" s="8">
        <v>921726195</v>
      </c>
      <c r="I1358" s="19">
        <v>921726195</v>
      </c>
      <c r="J1358" s="10">
        <v>21360</v>
      </c>
      <c r="K1358" s="10">
        <v>6680</v>
      </c>
      <c r="L1358" s="10">
        <v>14680</v>
      </c>
      <c r="M1358" s="10">
        <v>0</v>
      </c>
      <c r="N1358" s="11">
        <v>14680</v>
      </c>
      <c r="O1358" s="12">
        <v>921726195</v>
      </c>
      <c r="P1358" s="9">
        <v>285123</v>
      </c>
      <c r="Q1358" s="9" t="s">
        <v>37</v>
      </c>
      <c r="R1358" s="13">
        <v>45721</v>
      </c>
      <c r="S1358" s="22">
        <v>45721</v>
      </c>
      <c r="T1358" s="13">
        <v>45721</v>
      </c>
      <c r="U1358" s="13">
        <v>45721</v>
      </c>
      <c r="V1358" s="9" t="s">
        <v>47</v>
      </c>
      <c r="W1358" s="9">
        <v>22676740</v>
      </c>
      <c r="X1358" s="9">
        <v>3101656</v>
      </c>
      <c r="Y1358" s="9">
        <v>68997888</v>
      </c>
      <c r="Z1358" s="9" t="s">
        <v>39</v>
      </c>
      <c r="AA1358" s="9">
        <v>9032025</v>
      </c>
      <c r="AB1358" s="9">
        <v>77868</v>
      </c>
      <c r="AC1358" s="9" t="s">
        <v>41</v>
      </c>
      <c r="AD1358" s="9" t="s">
        <v>132</v>
      </c>
      <c r="AE1358" s="9" t="s">
        <v>133</v>
      </c>
      <c r="AF1358" s="9" t="s">
        <v>133</v>
      </c>
      <c r="AG1358" s="14" t="str">
        <f t="shared" si="44"/>
        <v>EXAMENES DE LABORATORIO</v>
      </c>
      <c r="AH1358" s="9" t="s">
        <v>758</v>
      </c>
      <c r="AI1358" s="9">
        <v>0</v>
      </c>
      <c r="AJ1358" s="9">
        <v>79749170</v>
      </c>
      <c r="AK1358" s="9">
        <v>5</v>
      </c>
      <c r="AL1358" s="26" t="s">
        <v>62</v>
      </c>
      <c r="AM1358" s="14" t="s">
        <v>717</v>
      </c>
      <c r="AN1358" s="27" t="str">
        <f t="shared" si="45"/>
        <v>18706804|79749170|921726195|921726195</v>
      </c>
      <c r="AO1358" t="s">
        <v>758</v>
      </c>
      <c r="AP1358" t="b">
        <v>1</v>
      </c>
      <c r="AQ1358" t="s">
        <v>764</v>
      </c>
    </row>
    <row r="1359" spans="1:43" x14ac:dyDescent="0.2">
      <c r="A1359" s="14" t="s">
        <v>500</v>
      </c>
      <c r="B1359" s="17">
        <v>18706804</v>
      </c>
      <c r="C1359" s="14" t="s">
        <v>441</v>
      </c>
      <c r="D1359" s="9">
        <v>18706804</v>
      </c>
      <c r="E1359" s="9" t="s">
        <v>441</v>
      </c>
      <c r="F1359" s="7">
        <v>45717</v>
      </c>
      <c r="G1359" s="20" t="s">
        <v>46</v>
      </c>
      <c r="H1359" s="8">
        <v>921726195</v>
      </c>
      <c r="I1359" s="19">
        <v>65384470</v>
      </c>
      <c r="J1359" s="10">
        <v>12778</v>
      </c>
      <c r="K1359" s="10">
        <v>0</v>
      </c>
      <c r="L1359" s="10">
        <v>12778</v>
      </c>
      <c r="M1359" s="10">
        <v>0</v>
      </c>
      <c r="N1359" s="11">
        <v>12778</v>
      </c>
      <c r="O1359" s="12">
        <v>921726195</v>
      </c>
      <c r="P1359" s="9">
        <v>285123</v>
      </c>
      <c r="Q1359" s="9" t="s">
        <v>37</v>
      </c>
      <c r="R1359" s="13">
        <v>45721</v>
      </c>
      <c r="S1359" s="22">
        <v>45742</v>
      </c>
      <c r="T1359" s="13">
        <v>45721</v>
      </c>
      <c r="U1359" s="13">
        <v>45721</v>
      </c>
      <c r="V1359" s="9" t="s">
        <v>47</v>
      </c>
      <c r="W1359" s="9">
        <v>22772417</v>
      </c>
      <c r="X1359" s="9">
        <v>3311105</v>
      </c>
      <c r="Y1359" s="9">
        <v>69251336</v>
      </c>
      <c r="Z1359" s="9" t="s">
        <v>39</v>
      </c>
      <c r="AA1359" s="9">
        <v>101023150</v>
      </c>
      <c r="AB1359" s="9">
        <v>78070</v>
      </c>
      <c r="AC1359" s="9" t="s">
        <v>41</v>
      </c>
      <c r="AD1359" s="9" t="s">
        <v>132</v>
      </c>
      <c r="AE1359" s="9" t="s">
        <v>133</v>
      </c>
      <c r="AF1359" s="9" t="s">
        <v>133</v>
      </c>
      <c r="AG1359" s="14" t="str">
        <f t="shared" si="44"/>
        <v>EXAMENES DE LABORATORIO</v>
      </c>
      <c r="AH1359" s="9">
        <v>0</v>
      </c>
      <c r="AI1359" s="9">
        <v>0</v>
      </c>
      <c r="AJ1359" s="9">
        <v>79749170</v>
      </c>
      <c r="AK1359" s="9">
        <v>5</v>
      </c>
      <c r="AL1359" s="26" t="s">
        <v>52</v>
      </c>
      <c r="AM1359" s="14" t="s">
        <v>717</v>
      </c>
      <c r="AN1359" s="27" t="str">
        <f t="shared" si="45"/>
        <v>18706804|79749170|921726195|65384470</v>
      </c>
      <c r="AO1359" t="s">
        <v>44</v>
      </c>
      <c r="AP1359" t="b">
        <v>0</v>
      </c>
      <c r="AQ1359" t="s">
        <v>763</v>
      </c>
    </row>
    <row r="1360" spans="1:43" x14ac:dyDescent="0.2">
      <c r="A1360" s="14" t="s">
        <v>500</v>
      </c>
      <c r="B1360" s="17">
        <v>26246811</v>
      </c>
      <c r="C1360" s="14" t="s">
        <v>186</v>
      </c>
      <c r="D1360" s="9">
        <v>26246811</v>
      </c>
      <c r="E1360" s="9" t="s">
        <v>186</v>
      </c>
      <c r="F1360" s="7">
        <v>45717</v>
      </c>
      <c r="G1360" s="20" t="s">
        <v>36</v>
      </c>
      <c r="H1360" s="8">
        <v>921756523</v>
      </c>
      <c r="I1360" s="19">
        <v>921756523</v>
      </c>
      <c r="J1360" s="10">
        <v>64450</v>
      </c>
      <c r="K1360" s="10">
        <v>36253</v>
      </c>
      <c r="L1360" s="10">
        <v>28197</v>
      </c>
      <c r="M1360" s="10">
        <v>0</v>
      </c>
      <c r="N1360" s="11">
        <v>28197</v>
      </c>
      <c r="O1360" s="12">
        <v>921756523</v>
      </c>
      <c r="P1360" s="9">
        <v>285123</v>
      </c>
      <c r="Q1360" s="9" t="s">
        <v>37</v>
      </c>
      <c r="R1360" s="13">
        <v>45721</v>
      </c>
      <c r="S1360" s="22">
        <v>45721</v>
      </c>
      <c r="T1360" s="13">
        <v>45721</v>
      </c>
      <c r="U1360" s="13">
        <v>45721</v>
      </c>
      <c r="V1360" s="9" t="s">
        <v>47</v>
      </c>
      <c r="W1360" s="9">
        <v>22676749</v>
      </c>
      <c r="X1360" s="9">
        <v>3101656</v>
      </c>
      <c r="Y1360" s="9">
        <v>68997059</v>
      </c>
      <c r="Z1360" s="9" t="s">
        <v>39</v>
      </c>
      <c r="AA1360" s="9">
        <v>9032025</v>
      </c>
      <c r="AB1360" s="9">
        <v>77868</v>
      </c>
      <c r="AC1360" s="9" t="s">
        <v>41</v>
      </c>
      <c r="AD1360" s="9" t="s">
        <v>134</v>
      </c>
      <c r="AE1360" s="9" t="s">
        <v>135</v>
      </c>
      <c r="AF1360" s="9" t="s">
        <v>135</v>
      </c>
      <c r="AG1360" s="14" t="str">
        <f t="shared" si="44"/>
        <v>EXAMENES RADIOLOGICOS</v>
      </c>
      <c r="AH1360" s="9" t="s">
        <v>758</v>
      </c>
      <c r="AI1360" s="9">
        <v>0</v>
      </c>
      <c r="AJ1360" s="9">
        <v>79980070</v>
      </c>
      <c r="AK1360" s="9">
        <v>5</v>
      </c>
      <c r="AL1360" s="26" t="s">
        <v>62</v>
      </c>
      <c r="AM1360" s="14" t="s">
        <v>536</v>
      </c>
      <c r="AN1360" s="27" t="str">
        <f t="shared" si="45"/>
        <v>26246811|79980070|921756523|921756523</v>
      </c>
      <c r="AO1360" t="s">
        <v>758</v>
      </c>
      <c r="AP1360" t="b">
        <v>1</v>
      </c>
      <c r="AQ1360" t="s">
        <v>764</v>
      </c>
    </row>
    <row r="1361" spans="1:43" x14ac:dyDescent="0.2">
      <c r="A1361" s="14" t="s">
        <v>500</v>
      </c>
      <c r="B1361" s="17">
        <v>26246811</v>
      </c>
      <c r="C1361" s="14" t="s">
        <v>186</v>
      </c>
      <c r="D1361" s="9">
        <v>26246811</v>
      </c>
      <c r="E1361" s="9" t="s">
        <v>186</v>
      </c>
      <c r="F1361" s="7">
        <v>45717</v>
      </c>
      <c r="G1361" s="20" t="s">
        <v>46</v>
      </c>
      <c r="H1361" s="8">
        <v>921756523</v>
      </c>
      <c r="I1361" s="19">
        <v>65384542</v>
      </c>
      <c r="J1361" s="10">
        <v>22071</v>
      </c>
      <c r="K1361" s="10">
        <v>0</v>
      </c>
      <c r="L1361" s="10">
        <v>22071</v>
      </c>
      <c r="M1361" s="10">
        <v>0</v>
      </c>
      <c r="N1361" s="11">
        <v>22071</v>
      </c>
      <c r="O1361" s="12">
        <v>921756523</v>
      </c>
      <c r="P1361" s="9">
        <v>285123</v>
      </c>
      <c r="Q1361" s="9" t="s">
        <v>37</v>
      </c>
      <c r="R1361" s="13">
        <v>45721</v>
      </c>
      <c r="S1361" s="22">
        <v>45742</v>
      </c>
      <c r="T1361" s="13">
        <v>45721</v>
      </c>
      <c r="U1361" s="13">
        <v>45721</v>
      </c>
      <c r="V1361" s="9" t="s">
        <v>47</v>
      </c>
      <c r="W1361" s="9">
        <v>22772418</v>
      </c>
      <c r="X1361" s="9">
        <v>3311105</v>
      </c>
      <c r="Y1361" s="9">
        <v>69251405</v>
      </c>
      <c r="Z1361" s="9" t="s">
        <v>39</v>
      </c>
      <c r="AA1361" s="9">
        <v>83503556</v>
      </c>
      <c r="AB1361" s="9">
        <v>78070</v>
      </c>
      <c r="AC1361" s="9" t="s">
        <v>41</v>
      </c>
      <c r="AD1361" s="9" t="s">
        <v>134</v>
      </c>
      <c r="AE1361" s="9" t="s">
        <v>135</v>
      </c>
      <c r="AF1361" s="9" t="s">
        <v>135</v>
      </c>
      <c r="AG1361" s="14" t="str">
        <f t="shared" si="44"/>
        <v>EXAMENES RADIOLOGICOS</v>
      </c>
      <c r="AH1361" s="9">
        <v>0</v>
      </c>
      <c r="AI1361" s="9">
        <v>0</v>
      </c>
      <c r="AJ1361" s="9">
        <v>79980070</v>
      </c>
      <c r="AK1361" s="9">
        <v>5</v>
      </c>
      <c r="AL1361" s="26" t="s">
        <v>52</v>
      </c>
      <c r="AM1361" s="14" t="s">
        <v>536</v>
      </c>
      <c r="AN1361" s="27" t="str">
        <f t="shared" si="45"/>
        <v>26246811|79980070|921756523|65384542</v>
      </c>
      <c r="AO1361" t="s">
        <v>44</v>
      </c>
      <c r="AP1361" t="b">
        <v>0</v>
      </c>
      <c r="AQ1361" t="s">
        <v>763</v>
      </c>
    </row>
    <row r="1362" spans="1:43" x14ac:dyDescent="0.2">
      <c r="A1362" s="14" t="s">
        <v>500</v>
      </c>
      <c r="B1362" s="17">
        <v>14364605</v>
      </c>
      <c r="C1362" s="14" t="s">
        <v>442</v>
      </c>
      <c r="D1362" s="9">
        <v>22167842</v>
      </c>
      <c r="E1362" s="9" t="s">
        <v>451</v>
      </c>
      <c r="F1362" s="7">
        <v>45717</v>
      </c>
      <c r="G1362" s="20" t="s">
        <v>36</v>
      </c>
      <c r="H1362" s="8">
        <v>921767687</v>
      </c>
      <c r="I1362" s="19">
        <v>921767687</v>
      </c>
      <c r="J1362" s="10">
        <v>39500</v>
      </c>
      <c r="K1362" s="10">
        <v>22246</v>
      </c>
      <c r="L1362" s="10">
        <v>17254</v>
      </c>
      <c r="M1362" s="10">
        <v>0</v>
      </c>
      <c r="N1362" s="11">
        <v>17254</v>
      </c>
      <c r="O1362" s="12">
        <v>921767687</v>
      </c>
      <c r="P1362" s="9">
        <v>285123</v>
      </c>
      <c r="Q1362" s="9" t="s">
        <v>37</v>
      </c>
      <c r="R1362" s="13">
        <v>45721</v>
      </c>
      <c r="S1362" s="22">
        <v>45721</v>
      </c>
      <c r="T1362" s="13">
        <v>45721</v>
      </c>
      <c r="U1362" s="13">
        <v>45721</v>
      </c>
      <c r="V1362" s="9" t="s">
        <v>47</v>
      </c>
      <c r="W1362" s="9">
        <v>22676725</v>
      </c>
      <c r="X1362" s="9">
        <v>3101656</v>
      </c>
      <c r="Y1362" s="9">
        <v>68996650</v>
      </c>
      <c r="Z1362" s="9" t="s">
        <v>39</v>
      </c>
      <c r="AA1362" s="9">
        <v>9032025</v>
      </c>
      <c r="AB1362" s="9">
        <v>77868</v>
      </c>
      <c r="AC1362" s="9" t="s">
        <v>41</v>
      </c>
      <c r="AD1362" s="9" t="s">
        <v>132</v>
      </c>
      <c r="AE1362" s="9" t="s">
        <v>133</v>
      </c>
      <c r="AF1362" s="9" t="s">
        <v>133</v>
      </c>
      <c r="AG1362" s="14" t="str">
        <f t="shared" si="44"/>
        <v>EXAMENES DE LABORATORIO</v>
      </c>
      <c r="AH1362" s="9" t="s">
        <v>758</v>
      </c>
      <c r="AI1362" s="9">
        <v>0</v>
      </c>
      <c r="AJ1362" s="9">
        <v>96986050</v>
      </c>
      <c r="AK1362" s="9">
        <v>3</v>
      </c>
      <c r="AL1362" s="26" t="s">
        <v>62</v>
      </c>
      <c r="AM1362" s="14" t="s">
        <v>718</v>
      </c>
      <c r="AN1362" s="27" t="str">
        <f t="shared" si="45"/>
        <v>14364605|96986050|921767687|921767687</v>
      </c>
      <c r="AO1362" t="s">
        <v>758</v>
      </c>
      <c r="AP1362" t="b">
        <v>1</v>
      </c>
      <c r="AQ1362" t="s">
        <v>764</v>
      </c>
    </row>
    <row r="1363" spans="1:43" x14ac:dyDescent="0.2">
      <c r="A1363" s="14" t="s">
        <v>500</v>
      </c>
      <c r="B1363" s="17">
        <v>14364605</v>
      </c>
      <c r="C1363" s="14" t="s">
        <v>442</v>
      </c>
      <c r="D1363" s="9">
        <v>22167842</v>
      </c>
      <c r="E1363" s="9" t="s">
        <v>451</v>
      </c>
      <c r="F1363" s="7">
        <v>45717</v>
      </c>
      <c r="G1363" s="20" t="s">
        <v>46</v>
      </c>
      <c r="H1363" s="8">
        <v>921767687</v>
      </c>
      <c r="I1363" s="19">
        <v>65384233</v>
      </c>
      <c r="J1363" s="10">
        <v>13550</v>
      </c>
      <c r="K1363" s="10">
        <v>0</v>
      </c>
      <c r="L1363" s="10">
        <v>13550</v>
      </c>
      <c r="M1363" s="10">
        <v>0</v>
      </c>
      <c r="N1363" s="11">
        <v>13550</v>
      </c>
      <c r="O1363" s="12">
        <v>921767687</v>
      </c>
      <c r="P1363" s="9">
        <v>285123</v>
      </c>
      <c r="Q1363" s="9" t="s">
        <v>37</v>
      </c>
      <c r="R1363" s="13">
        <v>45721</v>
      </c>
      <c r="S1363" s="22">
        <v>45742</v>
      </c>
      <c r="T1363" s="13">
        <v>45721</v>
      </c>
      <c r="U1363" s="13">
        <v>45721</v>
      </c>
      <c r="V1363" s="9" t="s">
        <v>47</v>
      </c>
      <c r="W1363" s="9">
        <v>22772413</v>
      </c>
      <c r="X1363" s="9">
        <v>3311105</v>
      </c>
      <c r="Y1363" s="9">
        <v>69251107</v>
      </c>
      <c r="Z1363" s="9" t="s">
        <v>39</v>
      </c>
      <c r="AA1363" s="9">
        <v>19999161879</v>
      </c>
      <c r="AB1363" s="9">
        <v>78070</v>
      </c>
      <c r="AC1363" s="9" t="s">
        <v>41</v>
      </c>
      <c r="AD1363" s="9" t="s">
        <v>132</v>
      </c>
      <c r="AE1363" s="9" t="s">
        <v>133</v>
      </c>
      <c r="AF1363" s="9" t="s">
        <v>133</v>
      </c>
      <c r="AG1363" s="14" t="str">
        <f t="shared" si="44"/>
        <v>EXAMENES DE LABORATORIO</v>
      </c>
      <c r="AH1363" s="9">
        <v>0</v>
      </c>
      <c r="AI1363" s="9">
        <v>0</v>
      </c>
      <c r="AJ1363" s="9">
        <v>96986050</v>
      </c>
      <c r="AK1363" s="9">
        <v>3</v>
      </c>
      <c r="AL1363" s="26" t="s">
        <v>52</v>
      </c>
      <c r="AM1363" s="14" t="s">
        <v>718</v>
      </c>
      <c r="AN1363" s="27" t="str">
        <f t="shared" si="45"/>
        <v>14364605|96986050|921767687|65384233</v>
      </c>
      <c r="AO1363" t="s">
        <v>44</v>
      </c>
      <c r="AP1363" t="b">
        <v>0</v>
      </c>
      <c r="AQ1363" t="s">
        <v>763</v>
      </c>
    </row>
    <row r="1364" spans="1:43" x14ac:dyDescent="0.2">
      <c r="A1364" s="14" t="s">
        <v>500</v>
      </c>
      <c r="B1364" s="17">
        <v>14364605</v>
      </c>
      <c r="C1364" s="14" t="s">
        <v>442</v>
      </c>
      <c r="D1364" s="9">
        <v>22167842</v>
      </c>
      <c r="E1364" s="9" t="s">
        <v>451</v>
      </c>
      <c r="F1364" s="7">
        <v>45717</v>
      </c>
      <c r="G1364" s="20" t="s">
        <v>36</v>
      </c>
      <c r="H1364" s="8">
        <v>921767942</v>
      </c>
      <c r="I1364" s="19">
        <v>921767942</v>
      </c>
      <c r="J1364" s="10">
        <v>8480</v>
      </c>
      <c r="K1364" s="10">
        <v>4770</v>
      </c>
      <c r="L1364" s="10">
        <v>3710</v>
      </c>
      <c r="M1364" s="10">
        <v>0</v>
      </c>
      <c r="N1364" s="11">
        <v>3710</v>
      </c>
      <c r="O1364" s="12">
        <v>921767942</v>
      </c>
      <c r="P1364" s="9">
        <v>285123</v>
      </c>
      <c r="Q1364" s="9" t="s">
        <v>37</v>
      </c>
      <c r="R1364" s="13">
        <v>45721</v>
      </c>
      <c r="S1364" s="22">
        <v>45721</v>
      </c>
      <c r="T1364" s="13">
        <v>45721</v>
      </c>
      <c r="U1364" s="13">
        <v>45721</v>
      </c>
      <c r="V1364" s="9" t="s">
        <v>47</v>
      </c>
      <c r="W1364" s="9">
        <v>22676725</v>
      </c>
      <c r="X1364" s="9">
        <v>3101656</v>
      </c>
      <c r="Y1364" s="9">
        <v>68996252</v>
      </c>
      <c r="Z1364" s="9" t="s">
        <v>39</v>
      </c>
      <c r="AA1364" s="9">
        <v>9032025</v>
      </c>
      <c r="AB1364" s="9">
        <v>77868</v>
      </c>
      <c r="AC1364" s="9" t="s">
        <v>41</v>
      </c>
      <c r="AD1364" s="9" t="s">
        <v>132</v>
      </c>
      <c r="AE1364" s="9" t="s">
        <v>133</v>
      </c>
      <c r="AF1364" s="9" t="s">
        <v>133</v>
      </c>
      <c r="AG1364" s="14" t="str">
        <f t="shared" si="44"/>
        <v>EXAMENES DE LABORATORIO</v>
      </c>
      <c r="AH1364" s="9" t="s">
        <v>758</v>
      </c>
      <c r="AI1364" s="9">
        <v>0</v>
      </c>
      <c r="AJ1364" s="9">
        <v>96986050</v>
      </c>
      <c r="AK1364" s="9">
        <v>3</v>
      </c>
      <c r="AL1364" s="26" t="s">
        <v>62</v>
      </c>
      <c r="AM1364" s="14" t="s">
        <v>718</v>
      </c>
      <c r="AN1364" s="27" t="str">
        <f t="shared" si="45"/>
        <v>14364605|96986050|921767942|921767942</v>
      </c>
      <c r="AO1364" t="s">
        <v>758</v>
      </c>
      <c r="AP1364" t="b">
        <v>1</v>
      </c>
      <c r="AQ1364" t="s">
        <v>764</v>
      </c>
    </row>
    <row r="1365" spans="1:43" x14ac:dyDescent="0.2">
      <c r="A1365" s="14" t="s">
        <v>500</v>
      </c>
      <c r="B1365" s="17">
        <v>14364605</v>
      </c>
      <c r="C1365" s="14" t="s">
        <v>442</v>
      </c>
      <c r="D1365" s="9">
        <v>22167842</v>
      </c>
      <c r="E1365" s="9" t="s">
        <v>451</v>
      </c>
      <c r="F1365" s="7">
        <v>45717</v>
      </c>
      <c r="G1365" s="20" t="s">
        <v>46</v>
      </c>
      <c r="H1365" s="8">
        <v>921767942</v>
      </c>
      <c r="I1365" s="19">
        <v>65384234</v>
      </c>
      <c r="J1365" s="10">
        <v>2710</v>
      </c>
      <c r="K1365" s="10">
        <v>0</v>
      </c>
      <c r="L1365" s="10">
        <v>2710</v>
      </c>
      <c r="M1365" s="10">
        <v>0</v>
      </c>
      <c r="N1365" s="11">
        <v>2710</v>
      </c>
      <c r="O1365" s="12">
        <v>921767942</v>
      </c>
      <c r="P1365" s="9">
        <v>285123</v>
      </c>
      <c r="Q1365" s="9" t="s">
        <v>37</v>
      </c>
      <c r="R1365" s="13">
        <v>45721</v>
      </c>
      <c r="S1365" s="22">
        <v>45742</v>
      </c>
      <c r="T1365" s="13">
        <v>45721</v>
      </c>
      <c r="U1365" s="13">
        <v>45721</v>
      </c>
      <c r="V1365" s="9" t="s">
        <v>47</v>
      </c>
      <c r="W1365" s="9">
        <v>22772413</v>
      </c>
      <c r="X1365" s="9">
        <v>3311105</v>
      </c>
      <c r="Y1365" s="9">
        <v>69251108</v>
      </c>
      <c r="Z1365" s="9" t="s">
        <v>39</v>
      </c>
      <c r="AA1365" s="9">
        <v>19999161879</v>
      </c>
      <c r="AB1365" s="9">
        <v>78070</v>
      </c>
      <c r="AC1365" s="9" t="s">
        <v>41</v>
      </c>
      <c r="AD1365" s="9" t="s">
        <v>132</v>
      </c>
      <c r="AE1365" s="9" t="s">
        <v>133</v>
      </c>
      <c r="AF1365" s="9" t="s">
        <v>133</v>
      </c>
      <c r="AG1365" s="14" t="str">
        <f t="shared" ref="AG1365:AG1428" si="46">+AF1365</f>
        <v>EXAMENES DE LABORATORIO</v>
      </c>
      <c r="AH1365" s="9">
        <v>0</v>
      </c>
      <c r="AI1365" s="9">
        <v>0</v>
      </c>
      <c r="AJ1365" s="9">
        <v>96986050</v>
      </c>
      <c r="AK1365" s="9">
        <v>3</v>
      </c>
      <c r="AL1365" s="26" t="s">
        <v>52</v>
      </c>
      <c r="AM1365" s="14" t="s">
        <v>718</v>
      </c>
      <c r="AN1365" s="27" t="str">
        <f t="shared" si="45"/>
        <v>14364605|96986050|921767942|65384234</v>
      </c>
      <c r="AO1365" t="s">
        <v>44</v>
      </c>
      <c r="AP1365" t="b">
        <v>0</v>
      </c>
      <c r="AQ1365" t="s">
        <v>763</v>
      </c>
    </row>
    <row r="1366" spans="1:43" x14ac:dyDescent="0.2">
      <c r="A1366" s="14" t="s">
        <v>500</v>
      </c>
      <c r="B1366" s="17">
        <v>13071799</v>
      </c>
      <c r="C1366" s="14" t="s">
        <v>371</v>
      </c>
      <c r="D1366" s="9">
        <v>13071799</v>
      </c>
      <c r="E1366" s="9" t="s">
        <v>371</v>
      </c>
      <c r="F1366" s="7">
        <v>45717</v>
      </c>
      <c r="G1366" s="20" t="s">
        <v>36</v>
      </c>
      <c r="H1366" s="8">
        <v>921865832</v>
      </c>
      <c r="I1366" s="19">
        <v>921865832</v>
      </c>
      <c r="J1366" s="10">
        <v>9730</v>
      </c>
      <c r="K1366" s="10">
        <v>3050</v>
      </c>
      <c r="L1366" s="10">
        <v>6680</v>
      </c>
      <c r="M1366" s="10">
        <v>0</v>
      </c>
      <c r="N1366" s="11">
        <v>6680</v>
      </c>
      <c r="O1366" s="12">
        <v>921865832</v>
      </c>
      <c r="P1366" s="9">
        <v>285123</v>
      </c>
      <c r="Q1366" s="9" t="s">
        <v>37</v>
      </c>
      <c r="R1366" s="13">
        <v>45722</v>
      </c>
      <c r="S1366" s="22">
        <v>45722</v>
      </c>
      <c r="T1366" s="13">
        <v>45722</v>
      </c>
      <c r="U1366" s="13">
        <v>45722</v>
      </c>
      <c r="V1366" s="9" t="s">
        <v>47</v>
      </c>
      <c r="W1366" s="9">
        <v>22676775</v>
      </c>
      <c r="X1366" s="9">
        <v>3101656</v>
      </c>
      <c r="Y1366" s="9">
        <v>68995364</v>
      </c>
      <c r="Z1366" s="9" t="s">
        <v>39</v>
      </c>
      <c r="AA1366" s="9">
        <v>9032025</v>
      </c>
      <c r="AB1366" s="9">
        <v>77868</v>
      </c>
      <c r="AC1366" s="9" t="s">
        <v>41</v>
      </c>
      <c r="AD1366" s="9" t="s">
        <v>132</v>
      </c>
      <c r="AE1366" s="9" t="s">
        <v>133</v>
      </c>
      <c r="AF1366" s="9" t="s">
        <v>133</v>
      </c>
      <c r="AG1366" s="14" t="str">
        <f t="shared" si="46"/>
        <v>EXAMENES DE LABORATORIO</v>
      </c>
      <c r="AH1366" s="9" t="s">
        <v>758</v>
      </c>
      <c r="AI1366" s="9">
        <v>0</v>
      </c>
      <c r="AJ1366" s="9">
        <v>96942400</v>
      </c>
      <c r="AK1366" s="9">
        <v>2</v>
      </c>
      <c r="AL1366" s="26" t="s">
        <v>62</v>
      </c>
      <c r="AM1366" s="14" t="s">
        <v>666</v>
      </c>
      <c r="AN1366" s="27" t="str">
        <f t="shared" si="45"/>
        <v>13071799|96942400|921865832|921865832</v>
      </c>
      <c r="AO1366" t="s">
        <v>758</v>
      </c>
      <c r="AP1366" t="b">
        <v>1</v>
      </c>
      <c r="AQ1366" t="s">
        <v>764</v>
      </c>
    </row>
    <row r="1367" spans="1:43" x14ac:dyDescent="0.2">
      <c r="A1367" s="14" t="s">
        <v>500</v>
      </c>
      <c r="B1367" s="17">
        <v>13071799</v>
      </c>
      <c r="C1367" s="14" t="s">
        <v>371</v>
      </c>
      <c r="D1367" s="9">
        <v>13071799</v>
      </c>
      <c r="E1367" s="9" t="s">
        <v>371</v>
      </c>
      <c r="F1367" s="7">
        <v>45717</v>
      </c>
      <c r="G1367" s="20" t="s">
        <v>46</v>
      </c>
      <c r="H1367" s="8">
        <v>921865832</v>
      </c>
      <c r="I1367" s="19">
        <v>65384070</v>
      </c>
      <c r="J1367" s="10">
        <v>5810</v>
      </c>
      <c r="K1367" s="10">
        <v>0</v>
      </c>
      <c r="L1367" s="10">
        <v>5810</v>
      </c>
      <c r="M1367" s="10">
        <v>0</v>
      </c>
      <c r="N1367" s="11">
        <v>5810</v>
      </c>
      <c r="O1367" s="12">
        <v>921865832</v>
      </c>
      <c r="P1367" s="9">
        <v>285123</v>
      </c>
      <c r="Q1367" s="9" t="s">
        <v>37</v>
      </c>
      <c r="R1367" s="13">
        <v>45722</v>
      </c>
      <c r="S1367" s="22">
        <v>45742</v>
      </c>
      <c r="T1367" s="13">
        <v>45722</v>
      </c>
      <c r="U1367" s="13">
        <v>45722</v>
      </c>
      <c r="V1367" s="9" t="s">
        <v>47</v>
      </c>
      <c r="W1367" s="9">
        <v>22772431</v>
      </c>
      <c r="X1367" s="9">
        <v>3311105</v>
      </c>
      <c r="Y1367" s="9">
        <v>69250958</v>
      </c>
      <c r="Z1367" s="9" t="s">
        <v>39</v>
      </c>
      <c r="AA1367" s="9">
        <v>55130002921</v>
      </c>
      <c r="AB1367" s="9">
        <v>78070</v>
      </c>
      <c r="AC1367" s="9" t="s">
        <v>41</v>
      </c>
      <c r="AD1367" s="9" t="s">
        <v>132</v>
      </c>
      <c r="AE1367" s="9" t="s">
        <v>133</v>
      </c>
      <c r="AF1367" s="9" t="s">
        <v>133</v>
      </c>
      <c r="AG1367" s="14" t="str">
        <f t="shared" si="46"/>
        <v>EXAMENES DE LABORATORIO</v>
      </c>
      <c r="AH1367" s="9">
        <v>0</v>
      </c>
      <c r="AI1367" s="9">
        <v>0</v>
      </c>
      <c r="AJ1367" s="9">
        <v>96942400</v>
      </c>
      <c r="AK1367" s="9">
        <v>2</v>
      </c>
      <c r="AL1367" s="26" t="s">
        <v>52</v>
      </c>
      <c r="AM1367" s="14" t="s">
        <v>666</v>
      </c>
      <c r="AN1367" s="27" t="str">
        <f t="shared" si="45"/>
        <v>13071799|96942400|921865832|65384070</v>
      </c>
      <c r="AO1367" t="s">
        <v>44</v>
      </c>
      <c r="AP1367" t="b">
        <v>0</v>
      </c>
      <c r="AQ1367" t="s">
        <v>763</v>
      </c>
    </row>
    <row r="1368" spans="1:43" x14ac:dyDescent="0.2">
      <c r="A1368" s="14" t="s">
        <v>500</v>
      </c>
      <c r="B1368" s="17">
        <v>15733515</v>
      </c>
      <c r="C1368" s="14" t="s">
        <v>452</v>
      </c>
      <c r="D1368" s="9">
        <v>23470283</v>
      </c>
      <c r="E1368" s="9" t="s">
        <v>453</v>
      </c>
      <c r="F1368" s="7">
        <v>45717</v>
      </c>
      <c r="G1368" s="20" t="s">
        <v>36</v>
      </c>
      <c r="H1368" s="8">
        <v>921935629</v>
      </c>
      <c r="I1368" s="19">
        <v>921935629</v>
      </c>
      <c r="J1368" s="10">
        <v>14410</v>
      </c>
      <c r="K1368" s="10">
        <v>11443</v>
      </c>
      <c r="L1368" s="10">
        <v>2967</v>
      </c>
      <c r="M1368" s="10">
        <v>0</v>
      </c>
      <c r="N1368" s="11">
        <v>2967</v>
      </c>
      <c r="O1368" s="12">
        <v>921935629</v>
      </c>
      <c r="P1368" s="9">
        <v>285123</v>
      </c>
      <c r="Q1368" s="9" t="s">
        <v>37</v>
      </c>
      <c r="R1368" s="13">
        <v>45722</v>
      </c>
      <c r="S1368" s="22">
        <v>45722</v>
      </c>
      <c r="T1368" s="13">
        <v>45722</v>
      </c>
      <c r="U1368" s="13">
        <v>45722</v>
      </c>
      <c r="V1368" s="9" t="s">
        <v>47</v>
      </c>
      <c r="W1368" s="9">
        <v>22676789</v>
      </c>
      <c r="X1368" s="9">
        <v>3101656</v>
      </c>
      <c r="Y1368" s="9">
        <v>68997748</v>
      </c>
      <c r="Z1368" s="9" t="s">
        <v>39</v>
      </c>
      <c r="AA1368" s="9">
        <v>9032025</v>
      </c>
      <c r="AB1368" s="9">
        <v>77868</v>
      </c>
      <c r="AC1368" s="9" t="s">
        <v>41</v>
      </c>
      <c r="AD1368" s="9" t="s">
        <v>132</v>
      </c>
      <c r="AE1368" s="9" t="s">
        <v>133</v>
      </c>
      <c r="AF1368" s="9" t="s">
        <v>133</v>
      </c>
      <c r="AG1368" s="14" t="str">
        <f t="shared" si="46"/>
        <v>EXAMENES DE LABORATORIO</v>
      </c>
      <c r="AH1368" s="9" t="s">
        <v>758</v>
      </c>
      <c r="AI1368" s="9">
        <v>0</v>
      </c>
      <c r="AJ1368" s="9">
        <v>78918290</v>
      </c>
      <c r="AK1368" s="9">
        <v>6</v>
      </c>
      <c r="AL1368" s="26" t="s">
        <v>62</v>
      </c>
      <c r="AM1368" s="14" t="s">
        <v>724</v>
      </c>
      <c r="AN1368" s="27" t="str">
        <f t="shared" si="45"/>
        <v>15733515|78918290|921935629|921935629</v>
      </c>
      <c r="AO1368" t="s">
        <v>758</v>
      </c>
      <c r="AP1368" t="b">
        <v>1</v>
      </c>
      <c r="AQ1368" t="s">
        <v>764</v>
      </c>
    </row>
    <row r="1369" spans="1:43" x14ac:dyDescent="0.2">
      <c r="A1369" s="14" t="s">
        <v>500</v>
      </c>
      <c r="B1369" s="17">
        <v>15733515</v>
      </c>
      <c r="C1369" s="14" t="s">
        <v>452</v>
      </c>
      <c r="D1369" s="9">
        <v>23470283</v>
      </c>
      <c r="E1369" s="9" t="s">
        <v>453</v>
      </c>
      <c r="F1369" s="7">
        <v>45717</v>
      </c>
      <c r="G1369" s="20" t="s">
        <v>46</v>
      </c>
      <c r="H1369" s="8">
        <v>921935629</v>
      </c>
      <c r="I1369" s="19">
        <v>65384336</v>
      </c>
      <c r="J1369" s="10">
        <v>3098</v>
      </c>
      <c r="K1369" s="10">
        <v>0</v>
      </c>
      <c r="L1369" s="10">
        <v>3098</v>
      </c>
      <c r="M1369" s="10">
        <v>0</v>
      </c>
      <c r="N1369" s="11">
        <v>3098</v>
      </c>
      <c r="O1369" s="12">
        <v>921935629</v>
      </c>
      <c r="P1369" s="9">
        <v>285123</v>
      </c>
      <c r="Q1369" s="9" t="s">
        <v>37</v>
      </c>
      <c r="R1369" s="13">
        <v>45722</v>
      </c>
      <c r="S1369" s="22">
        <v>45742</v>
      </c>
      <c r="T1369" s="13">
        <v>45722</v>
      </c>
      <c r="U1369" s="13">
        <v>45722</v>
      </c>
      <c r="V1369" s="9" t="s">
        <v>47</v>
      </c>
      <c r="W1369" s="9">
        <v>22772439</v>
      </c>
      <c r="X1369" s="9">
        <v>3311105</v>
      </c>
      <c r="Y1369" s="9">
        <v>69251219</v>
      </c>
      <c r="Z1369" s="9" t="s">
        <v>39</v>
      </c>
      <c r="AA1369" s="9">
        <v>39900009384</v>
      </c>
      <c r="AB1369" s="9">
        <v>78070</v>
      </c>
      <c r="AC1369" s="9" t="s">
        <v>41</v>
      </c>
      <c r="AD1369" s="9" t="s">
        <v>132</v>
      </c>
      <c r="AE1369" s="9" t="s">
        <v>133</v>
      </c>
      <c r="AF1369" s="9" t="s">
        <v>133</v>
      </c>
      <c r="AG1369" s="14" t="str">
        <f t="shared" si="46"/>
        <v>EXAMENES DE LABORATORIO</v>
      </c>
      <c r="AH1369" s="9">
        <v>0</v>
      </c>
      <c r="AI1369" s="9">
        <v>0</v>
      </c>
      <c r="AJ1369" s="9">
        <v>78918290</v>
      </c>
      <c r="AK1369" s="9">
        <v>6</v>
      </c>
      <c r="AL1369" s="26" t="s">
        <v>52</v>
      </c>
      <c r="AM1369" s="14" t="s">
        <v>724</v>
      </c>
      <c r="AN1369" s="27" t="str">
        <f t="shared" si="45"/>
        <v>15733515|78918290|921935629|65384336</v>
      </c>
      <c r="AO1369" t="s">
        <v>44</v>
      </c>
      <c r="AP1369" t="b">
        <v>0</v>
      </c>
      <c r="AQ1369" t="s">
        <v>763</v>
      </c>
    </row>
    <row r="1370" spans="1:43" x14ac:dyDescent="0.2">
      <c r="A1370" s="14" t="s">
        <v>500</v>
      </c>
      <c r="B1370" s="17">
        <v>13071799</v>
      </c>
      <c r="C1370" s="14" t="s">
        <v>371</v>
      </c>
      <c r="D1370" s="9">
        <v>13071799</v>
      </c>
      <c r="E1370" s="9" t="s">
        <v>371</v>
      </c>
      <c r="F1370" s="7">
        <v>45717</v>
      </c>
      <c r="G1370" s="20" t="s">
        <v>36</v>
      </c>
      <c r="H1370" s="8">
        <v>921942896</v>
      </c>
      <c r="I1370" s="19">
        <v>921942896</v>
      </c>
      <c r="J1370" s="10">
        <v>23230</v>
      </c>
      <c r="K1370" s="10">
        <v>7260</v>
      </c>
      <c r="L1370" s="10">
        <v>15970</v>
      </c>
      <c r="M1370" s="10">
        <v>0</v>
      </c>
      <c r="N1370" s="11">
        <v>15970</v>
      </c>
      <c r="O1370" s="12">
        <v>921942896</v>
      </c>
      <c r="P1370" s="9">
        <v>285123</v>
      </c>
      <c r="Q1370" s="9" t="s">
        <v>37</v>
      </c>
      <c r="R1370" s="13">
        <v>45722</v>
      </c>
      <c r="S1370" s="22">
        <v>45722</v>
      </c>
      <c r="T1370" s="13">
        <v>45722</v>
      </c>
      <c r="U1370" s="13">
        <v>45722</v>
      </c>
      <c r="V1370" s="9" t="s">
        <v>47</v>
      </c>
      <c r="W1370" s="9">
        <v>22676775</v>
      </c>
      <c r="X1370" s="9">
        <v>3101656</v>
      </c>
      <c r="Y1370" s="9">
        <v>68994229</v>
      </c>
      <c r="Z1370" s="9" t="s">
        <v>39</v>
      </c>
      <c r="AA1370" s="9">
        <v>9032025</v>
      </c>
      <c r="AB1370" s="9">
        <v>77868</v>
      </c>
      <c r="AC1370" s="9" t="s">
        <v>41</v>
      </c>
      <c r="AD1370" s="9" t="s">
        <v>134</v>
      </c>
      <c r="AE1370" s="9" t="s">
        <v>135</v>
      </c>
      <c r="AF1370" s="9" t="s">
        <v>135</v>
      </c>
      <c r="AG1370" s="14" t="str">
        <f t="shared" si="46"/>
        <v>EXAMENES RADIOLOGICOS</v>
      </c>
      <c r="AH1370" s="9" t="s">
        <v>758</v>
      </c>
      <c r="AI1370" s="9">
        <v>0</v>
      </c>
      <c r="AJ1370" s="9">
        <v>96942400</v>
      </c>
      <c r="AK1370" s="9">
        <v>2</v>
      </c>
      <c r="AL1370" s="26" t="s">
        <v>62</v>
      </c>
      <c r="AM1370" s="14" t="s">
        <v>666</v>
      </c>
      <c r="AN1370" s="27" t="str">
        <f t="shared" si="45"/>
        <v>13071799|96942400|921942896|921942896</v>
      </c>
      <c r="AO1370" t="s">
        <v>758</v>
      </c>
      <c r="AP1370" t="b">
        <v>1</v>
      </c>
      <c r="AQ1370" t="s">
        <v>764</v>
      </c>
    </row>
    <row r="1371" spans="1:43" x14ac:dyDescent="0.2">
      <c r="A1371" s="14" t="s">
        <v>500</v>
      </c>
      <c r="B1371" s="17">
        <v>13071799</v>
      </c>
      <c r="C1371" s="14" t="s">
        <v>371</v>
      </c>
      <c r="D1371" s="9">
        <v>13071799</v>
      </c>
      <c r="E1371" s="9" t="s">
        <v>371</v>
      </c>
      <c r="F1371" s="7">
        <v>45717</v>
      </c>
      <c r="G1371" s="20" t="s">
        <v>46</v>
      </c>
      <c r="H1371" s="8">
        <v>921942896</v>
      </c>
      <c r="I1371" s="19">
        <v>65384071</v>
      </c>
      <c r="J1371" s="10">
        <v>13558</v>
      </c>
      <c r="K1371" s="10">
        <v>0</v>
      </c>
      <c r="L1371" s="10">
        <v>13558</v>
      </c>
      <c r="M1371" s="10">
        <v>0</v>
      </c>
      <c r="N1371" s="11">
        <v>13558</v>
      </c>
      <c r="O1371" s="12">
        <v>921942896</v>
      </c>
      <c r="P1371" s="9">
        <v>285123</v>
      </c>
      <c r="Q1371" s="9" t="s">
        <v>37</v>
      </c>
      <c r="R1371" s="13">
        <v>45722</v>
      </c>
      <c r="S1371" s="22">
        <v>45742</v>
      </c>
      <c r="T1371" s="13">
        <v>45722</v>
      </c>
      <c r="U1371" s="13">
        <v>45722</v>
      </c>
      <c r="V1371" s="9" t="s">
        <v>47</v>
      </c>
      <c r="W1371" s="9">
        <v>22772431</v>
      </c>
      <c r="X1371" s="9">
        <v>3311105</v>
      </c>
      <c r="Y1371" s="9">
        <v>69250959</v>
      </c>
      <c r="Z1371" s="9" t="s">
        <v>39</v>
      </c>
      <c r="AA1371" s="9">
        <v>55130002921</v>
      </c>
      <c r="AB1371" s="9">
        <v>78070</v>
      </c>
      <c r="AC1371" s="9" t="s">
        <v>41</v>
      </c>
      <c r="AD1371" s="9" t="s">
        <v>134</v>
      </c>
      <c r="AE1371" s="9" t="s">
        <v>135</v>
      </c>
      <c r="AF1371" s="9" t="s">
        <v>135</v>
      </c>
      <c r="AG1371" s="14" t="str">
        <f t="shared" si="46"/>
        <v>EXAMENES RADIOLOGICOS</v>
      </c>
      <c r="AH1371" s="9">
        <v>0</v>
      </c>
      <c r="AI1371" s="9">
        <v>0</v>
      </c>
      <c r="AJ1371" s="9">
        <v>96942400</v>
      </c>
      <c r="AK1371" s="9">
        <v>2</v>
      </c>
      <c r="AL1371" s="26" t="s">
        <v>52</v>
      </c>
      <c r="AM1371" s="14" t="s">
        <v>666</v>
      </c>
      <c r="AN1371" s="27" t="str">
        <f t="shared" si="45"/>
        <v>13071799|96942400|921942896|65384071</v>
      </c>
      <c r="AO1371" t="s">
        <v>44</v>
      </c>
      <c r="AP1371" t="b">
        <v>0</v>
      </c>
      <c r="AQ1371" t="s">
        <v>763</v>
      </c>
    </row>
    <row r="1372" spans="1:43" x14ac:dyDescent="0.2">
      <c r="A1372" s="14" t="s">
        <v>500</v>
      </c>
      <c r="B1372" s="17">
        <v>13071799</v>
      </c>
      <c r="C1372" s="14" t="s">
        <v>371</v>
      </c>
      <c r="D1372" s="9">
        <v>13071799</v>
      </c>
      <c r="E1372" s="9" t="s">
        <v>371</v>
      </c>
      <c r="F1372" s="7">
        <v>45717</v>
      </c>
      <c r="G1372" s="20" t="s">
        <v>36</v>
      </c>
      <c r="H1372" s="8">
        <v>921943448</v>
      </c>
      <c r="I1372" s="19">
        <v>921943448</v>
      </c>
      <c r="J1372" s="10">
        <v>10740</v>
      </c>
      <c r="K1372" s="10">
        <v>3360</v>
      </c>
      <c r="L1372" s="10">
        <v>7380</v>
      </c>
      <c r="M1372" s="10">
        <v>0</v>
      </c>
      <c r="N1372" s="11">
        <v>7380</v>
      </c>
      <c r="O1372" s="12">
        <v>921943448</v>
      </c>
      <c r="P1372" s="9">
        <v>285123</v>
      </c>
      <c r="Q1372" s="9" t="s">
        <v>37</v>
      </c>
      <c r="R1372" s="13">
        <v>45722</v>
      </c>
      <c r="S1372" s="22">
        <v>45722</v>
      </c>
      <c r="T1372" s="13">
        <v>45722</v>
      </c>
      <c r="U1372" s="13">
        <v>45722</v>
      </c>
      <c r="V1372" s="9" t="s">
        <v>47</v>
      </c>
      <c r="W1372" s="9">
        <v>22676775</v>
      </c>
      <c r="X1372" s="9">
        <v>3101656</v>
      </c>
      <c r="Y1372" s="9">
        <v>68995348</v>
      </c>
      <c r="Z1372" s="9" t="s">
        <v>39</v>
      </c>
      <c r="AA1372" s="9">
        <v>9032025</v>
      </c>
      <c r="AB1372" s="9">
        <v>77868</v>
      </c>
      <c r="AC1372" s="9" t="s">
        <v>41</v>
      </c>
      <c r="AD1372" s="9" t="s">
        <v>65</v>
      </c>
      <c r="AE1372" s="9" t="s">
        <v>66</v>
      </c>
      <c r="AF1372" s="9" t="s">
        <v>66</v>
      </c>
      <c r="AG1372" s="14" t="str">
        <f t="shared" si="46"/>
        <v>PROCEDIMIENTOS TERAPEUTICOS</v>
      </c>
      <c r="AH1372" s="9" t="s">
        <v>758</v>
      </c>
      <c r="AI1372" s="9">
        <v>0</v>
      </c>
      <c r="AJ1372" s="9">
        <v>96942400</v>
      </c>
      <c r="AK1372" s="9">
        <v>2</v>
      </c>
      <c r="AL1372" s="26" t="s">
        <v>62</v>
      </c>
      <c r="AM1372" s="14" t="s">
        <v>666</v>
      </c>
      <c r="AN1372" s="27" t="str">
        <f t="shared" si="45"/>
        <v>13071799|96942400|921943448|921943448</v>
      </c>
      <c r="AO1372" t="s">
        <v>758</v>
      </c>
      <c r="AP1372" t="b">
        <v>1</v>
      </c>
      <c r="AQ1372" t="s">
        <v>764</v>
      </c>
    </row>
    <row r="1373" spans="1:43" x14ac:dyDescent="0.2">
      <c r="A1373" s="14" t="s">
        <v>500</v>
      </c>
      <c r="B1373" s="17">
        <v>13071799</v>
      </c>
      <c r="C1373" s="14" t="s">
        <v>371</v>
      </c>
      <c r="D1373" s="9">
        <v>13071799</v>
      </c>
      <c r="E1373" s="9" t="s">
        <v>371</v>
      </c>
      <c r="F1373" s="7">
        <v>45717</v>
      </c>
      <c r="G1373" s="20" t="s">
        <v>46</v>
      </c>
      <c r="H1373" s="8">
        <v>921943448</v>
      </c>
      <c r="I1373" s="19">
        <v>65384072</v>
      </c>
      <c r="J1373" s="10">
        <v>6198</v>
      </c>
      <c r="K1373" s="10">
        <v>0</v>
      </c>
      <c r="L1373" s="10">
        <v>6198</v>
      </c>
      <c r="M1373" s="10">
        <v>0</v>
      </c>
      <c r="N1373" s="11">
        <v>6198</v>
      </c>
      <c r="O1373" s="12">
        <v>921943448</v>
      </c>
      <c r="P1373" s="9">
        <v>285123</v>
      </c>
      <c r="Q1373" s="9" t="s">
        <v>37</v>
      </c>
      <c r="R1373" s="13">
        <v>45722</v>
      </c>
      <c r="S1373" s="22">
        <v>45742</v>
      </c>
      <c r="T1373" s="13">
        <v>45722</v>
      </c>
      <c r="U1373" s="13">
        <v>45722</v>
      </c>
      <c r="V1373" s="9" t="s">
        <v>47</v>
      </c>
      <c r="W1373" s="9">
        <v>22772431</v>
      </c>
      <c r="X1373" s="9">
        <v>3311105</v>
      </c>
      <c r="Y1373" s="9">
        <v>69250960</v>
      </c>
      <c r="Z1373" s="9" t="s">
        <v>39</v>
      </c>
      <c r="AA1373" s="9">
        <v>55130002921</v>
      </c>
      <c r="AB1373" s="9">
        <v>78070</v>
      </c>
      <c r="AC1373" s="9" t="s">
        <v>41</v>
      </c>
      <c r="AD1373" s="9" t="s">
        <v>65</v>
      </c>
      <c r="AE1373" s="9" t="s">
        <v>66</v>
      </c>
      <c r="AF1373" s="9" t="s">
        <v>66</v>
      </c>
      <c r="AG1373" s="14" t="str">
        <f t="shared" si="46"/>
        <v>PROCEDIMIENTOS TERAPEUTICOS</v>
      </c>
      <c r="AH1373" s="9">
        <v>0</v>
      </c>
      <c r="AI1373" s="9">
        <v>0</v>
      </c>
      <c r="AJ1373" s="9">
        <v>96942400</v>
      </c>
      <c r="AK1373" s="9">
        <v>2</v>
      </c>
      <c r="AL1373" s="26" t="s">
        <v>52</v>
      </c>
      <c r="AM1373" s="14" t="s">
        <v>666</v>
      </c>
      <c r="AN1373" s="27" t="str">
        <f t="shared" si="45"/>
        <v>13071799|96942400|921943448|65384072</v>
      </c>
      <c r="AO1373" t="s">
        <v>44</v>
      </c>
      <c r="AP1373" t="b">
        <v>0</v>
      </c>
      <c r="AQ1373" t="s">
        <v>763</v>
      </c>
    </row>
    <row r="1374" spans="1:43" x14ac:dyDescent="0.2">
      <c r="A1374" s="14" t="s">
        <v>500</v>
      </c>
      <c r="B1374" s="17">
        <v>12956502</v>
      </c>
      <c r="C1374" s="14" t="s">
        <v>127</v>
      </c>
      <c r="D1374" s="9">
        <v>22035883</v>
      </c>
      <c r="E1374" s="9" t="s">
        <v>454</v>
      </c>
      <c r="F1374" s="7">
        <v>45717</v>
      </c>
      <c r="G1374" s="20" t="s">
        <v>36</v>
      </c>
      <c r="H1374" s="8">
        <v>922040971</v>
      </c>
      <c r="I1374" s="19">
        <v>922040971</v>
      </c>
      <c r="J1374" s="10">
        <v>13280</v>
      </c>
      <c r="K1374" s="10">
        <v>4150</v>
      </c>
      <c r="L1374" s="10">
        <v>9130</v>
      </c>
      <c r="M1374" s="10">
        <v>0</v>
      </c>
      <c r="N1374" s="11">
        <v>9130</v>
      </c>
      <c r="O1374" s="12">
        <v>922040971</v>
      </c>
      <c r="P1374" s="9">
        <v>285123</v>
      </c>
      <c r="Q1374" s="9" t="s">
        <v>37</v>
      </c>
      <c r="R1374" s="13">
        <v>45723</v>
      </c>
      <c r="S1374" s="22">
        <v>45723</v>
      </c>
      <c r="T1374" s="13">
        <v>45723</v>
      </c>
      <c r="U1374" s="13">
        <v>45723</v>
      </c>
      <c r="V1374" s="9" t="s">
        <v>47</v>
      </c>
      <c r="W1374" s="9">
        <v>22676822</v>
      </c>
      <c r="X1374" s="9">
        <v>3101656</v>
      </c>
      <c r="Y1374" s="9">
        <v>68996099</v>
      </c>
      <c r="Z1374" s="9" t="s">
        <v>39</v>
      </c>
      <c r="AA1374" s="9">
        <v>9032025</v>
      </c>
      <c r="AB1374" s="9">
        <v>77868</v>
      </c>
      <c r="AC1374" s="9" t="s">
        <v>41</v>
      </c>
      <c r="AD1374" s="9" t="s">
        <v>65</v>
      </c>
      <c r="AE1374" s="9" t="s">
        <v>66</v>
      </c>
      <c r="AF1374" s="9" t="s">
        <v>66</v>
      </c>
      <c r="AG1374" s="14" t="str">
        <f t="shared" si="46"/>
        <v>PROCEDIMIENTOS TERAPEUTICOS</v>
      </c>
      <c r="AH1374" s="9" t="s">
        <v>758</v>
      </c>
      <c r="AI1374" s="9">
        <v>0</v>
      </c>
      <c r="AJ1374" s="9">
        <v>77404437</v>
      </c>
      <c r="AK1374" s="9" t="s">
        <v>161</v>
      </c>
      <c r="AL1374" s="26" t="s">
        <v>62</v>
      </c>
      <c r="AM1374" s="14" t="s">
        <v>519</v>
      </c>
      <c r="AN1374" s="27" t="str">
        <f t="shared" si="45"/>
        <v>12956502|77404437|922040971|922040971</v>
      </c>
      <c r="AO1374" t="s">
        <v>758</v>
      </c>
      <c r="AP1374" t="b">
        <v>1</v>
      </c>
      <c r="AQ1374" t="s">
        <v>764</v>
      </c>
    </row>
    <row r="1375" spans="1:43" x14ac:dyDescent="0.2">
      <c r="A1375" s="14" t="s">
        <v>500</v>
      </c>
      <c r="B1375" s="17">
        <v>12956502</v>
      </c>
      <c r="C1375" s="14" t="s">
        <v>127</v>
      </c>
      <c r="D1375" s="9">
        <v>22035883</v>
      </c>
      <c r="E1375" s="9" t="s">
        <v>454</v>
      </c>
      <c r="F1375" s="7">
        <v>45717</v>
      </c>
      <c r="G1375" s="20" t="s">
        <v>46</v>
      </c>
      <c r="H1375" s="8">
        <v>922040971</v>
      </c>
      <c r="I1375" s="19">
        <v>65384061</v>
      </c>
      <c r="J1375" s="10">
        <v>8138</v>
      </c>
      <c r="K1375" s="10">
        <v>0</v>
      </c>
      <c r="L1375" s="10">
        <v>8138</v>
      </c>
      <c r="M1375" s="10">
        <v>0</v>
      </c>
      <c r="N1375" s="11">
        <v>8138</v>
      </c>
      <c r="O1375" s="12">
        <v>922040971</v>
      </c>
      <c r="P1375" s="9">
        <v>285123</v>
      </c>
      <c r="Q1375" s="9" t="s">
        <v>37</v>
      </c>
      <c r="R1375" s="13">
        <v>45723</v>
      </c>
      <c r="S1375" s="22">
        <v>45742</v>
      </c>
      <c r="T1375" s="13">
        <v>45723</v>
      </c>
      <c r="U1375" s="13">
        <v>45723</v>
      </c>
      <c r="V1375" s="9" t="s">
        <v>47</v>
      </c>
      <c r="W1375" s="9">
        <v>22772451</v>
      </c>
      <c r="X1375" s="9">
        <v>3311105</v>
      </c>
      <c r="Y1375" s="9">
        <v>69250949</v>
      </c>
      <c r="Z1375" s="9" t="s">
        <v>39</v>
      </c>
      <c r="AA1375" s="9">
        <v>4041021424</v>
      </c>
      <c r="AB1375" s="9">
        <v>78070</v>
      </c>
      <c r="AC1375" s="9" t="s">
        <v>41</v>
      </c>
      <c r="AD1375" s="9" t="s">
        <v>65</v>
      </c>
      <c r="AE1375" s="9" t="s">
        <v>66</v>
      </c>
      <c r="AF1375" s="9" t="s">
        <v>66</v>
      </c>
      <c r="AG1375" s="14" t="str">
        <f t="shared" si="46"/>
        <v>PROCEDIMIENTOS TERAPEUTICOS</v>
      </c>
      <c r="AH1375" s="9">
        <v>0</v>
      </c>
      <c r="AI1375" s="9">
        <v>0</v>
      </c>
      <c r="AJ1375" s="9">
        <v>77404437</v>
      </c>
      <c r="AK1375" s="9" t="s">
        <v>161</v>
      </c>
      <c r="AL1375" s="26" t="s">
        <v>52</v>
      </c>
      <c r="AM1375" s="14" t="s">
        <v>519</v>
      </c>
      <c r="AN1375" s="27" t="str">
        <f t="shared" si="45"/>
        <v>12956502|77404437|922040971|65384061</v>
      </c>
      <c r="AO1375" t="s">
        <v>44</v>
      </c>
      <c r="AP1375" t="b">
        <v>0</v>
      </c>
      <c r="AQ1375" t="s">
        <v>763</v>
      </c>
    </row>
    <row r="1376" spans="1:43" x14ac:dyDescent="0.2">
      <c r="A1376" s="14" t="s">
        <v>500</v>
      </c>
      <c r="B1376" s="17">
        <v>13245307</v>
      </c>
      <c r="C1376" s="14" t="s">
        <v>390</v>
      </c>
      <c r="D1376" s="9">
        <v>13245307</v>
      </c>
      <c r="E1376" s="9" t="s">
        <v>390</v>
      </c>
      <c r="F1376" s="7">
        <v>45717</v>
      </c>
      <c r="G1376" s="20" t="s">
        <v>36</v>
      </c>
      <c r="H1376" s="8">
        <v>922175487</v>
      </c>
      <c r="I1376" s="19">
        <v>922175487</v>
      </c>
      <c r="J1376" s="10">
        <v>28990</v>
      </c>
      <c r="K1376" s="10">
        <v>9060</v>
      </c>
      <c r="L1376" s="10">
        <v>19930</v>
      </c>
      <c r="M1376" s="10">
        <v>0</v>
      </c>
      <c r="N1376" s="11">
        <v>19930</v>
      </c>
      <c r="O1376" s="12">
        <v>922175487</v>
      </c>
      <c r="P1376" s="9">
        <v>285123</v>
      </c>
      <c r="Q1376" s="9" t="s">
        <v>37</v>
      </c>
      <c r="R1376" s="13">
        <v>45724</v>
      </c>
      <c r="S1376" s="22">
        <v>45724</v>
      </c>
      <c r="T1376" s="13">
        <v>45724</v>
      </c>
      <c r="U1376" s="13">
        <v>45724</v>
      </c>
      <c r="V1376" s="9" t="s">
        <v>47</v>
      </c>
      <c r="W1376" s="9">
        <v>22676866</v>
      </c>
      <c r="X1376" s="9">
        <v>3101656</v>
      </c>
      <c r="Y1376" s="9">
        <v>68994481</v>
      </c>
      <c r="Z1376" s="9" t="s">
        <v>39</v>
      </c>
      <c r="AA1376" s="9">
        <v>9032025</v>
      </c>
      <c r="AB1376" s="9">
        <v>77868</v>
      </c>
      <c r="AC1376" s="9" t="s">
        <v>41</v>
      </c>
      <c r="AD1376" s="9" t="s">
        <v>134</v>
      </c>
      <c r="AE1376" s="9" t="s">
        <v>135</v>
      </c>
      <c r="AF1376" s="9" t="s">
        <v>135</v>
      </c>
      <c r="AG1376" s="14" t="str">
        <f t="shared" si="46"/>
        <v>EXAMENES RADIOLOGICOS</v>
      </c>
      <c r="AH1376" s="9" t="s">
        <v>758</v>
      </c>
      <c r="AI1376" s="9">
        <v>0</v>
      </c>
      <c r="AJ1376" s="9">
        <v>96789430</v>
      </c>
      <c r="AK1376" s="9">
        <v>3</v>
      </c>
      <c r="AL1376" s="26" t="s">
        <v>62</v>
      </c>
      <c r="AM1376" s="14" t="s">
        <v>681</v>
      </c>
      <c r="AN1376" s="27" t="str">
        <f t="shared" si="45"/>
        <v>13245307|96789430|922175487|922175487</v>
      </c>
      <c r="AO1376" t="s">
        <v>758</v>
      </c>
      <c r="AP1376" t="b">
        <v>1</v>
      </c>
      <c r="AQ1376" t="s">
        <v>764</v>
      </c>
    </row>
    <row r="1377" spans="1:43" x14ac:dyDescent="0.2">
      <c r="A1377" s="14" t="s">
        <v>500</v>
      </c>
      <c r="B1377" s="17">
        <v>13245307</v>
      </c>
      <c r="C1377" s="14" t="s">
        <v>390</v>
      </c>
      <c r="D1377" s="9">
        <v>13245307</v>
      </c>
      <c r="E1377" s="9" t="s">
        <v>390</v>
      </c>
      <c r="F1377" s="7">
        <v>45717</v>
      </c>
      <c r="G1377" s="20" t="s">
        <v>46</v>
      </c>
      <c r="H1377" s="8">
        <v>922175487</v>
      </c>
      <c r="I1377" s="19">
        <v>65384093</v>
      </c>
      <c r="J1377" s="10">
        <v>17058</v>
      </c>
      <c r="K1377" s="10">
        <v>0</v>
      </c>
      <c r="L1377" s="10">
        <v>17058</v>
      </c>
      <c r="M1377" s="10">
        <v>0</v>
      </c>
      <c r="N1377" s="11">
        <v>17058</v>
      </c>
      <c r="O1377" s="12">
        <v>922175487</v>
      </c>
      <c r="P1377" s="9">
        <v>285123</v>
      </c>
      <c r="Q1377" s="9" t="s">
        <v>37</v>
      </c>
      <c r="R1377" s="13">
        <v>45724</v>
      </c>
      <c r="S1377" s="22">
        <v>45742</v>
      </c>
      <c r="T1377" s="13">
        <v>45724</v>
      </c>
      <c r="U1377" s="13">
        <v>45724</v>
      </c>
      <c r="V1377" s="9" t="s">
        <v>47</v>
      </c>
      <c r="W1377" s="9">
        <v>22772462</v>
      </c>
      <c r="X1377" s="9">
        <v>3311105</v>
      </c>
      <c r="Y1377" s="9">
        <v>69250980</v>
      </c>
      <c r="Z1377" s="9" t="s">
        <v>39</v>
      </c>
      <c r="AA1377" s="9">
        <v>66209008</v>
      </c>
      <c r="AB1377" s="9">
        <v>78070</v>
      </c>
      <c r="AC1377" s="9" t="s">
        <v>41</v>
      </c>
      <c r="AD1377" s="9" t="s">
        <v>134</v>
      </c>
      <c r="AE1377" s="9" t="s">
        <v>135</v>
      </c>
      <c r="AF1377" s="9" t="s">
        <v>135</v>
      </c>
      <c r="AG1377" s="14" t="str">
        <f t="shared" si="46"/>
        <v>EXAMENES RADIOLOGICOS</v>
      </c>
      <c r="AH1377" s="9">
        <v>0</v>
      </c>
      <c r="AI1377" s="9">
        <v>0</v>
      </c>
      <c r="AJ1377" s="9">
        <v>96789430</v>
      </c>
      <c r="AK1377" s="9">
        <v>3</v>
      </c>
      <c r="AL1377" s="26" t="s">
        <v>52</v>
      </c>
      <c r="AM1377" s="14" t="s">
        <v>681</v>
      </c>
      <c r="AN1377" s="27" t="str">
        <f t="shared" si="45"/>
        <v>13245307|96789430|922175487|65384093</v>
      </c>
      <c r="AO1377" t="s">
        <v>44</v>
      </c>
      <c r="AP1377" t="b">
        <v>0</v>
      </c>
      <c r="AQ1377" t="s">
        <v>763</v>
      </c>
    </row>
    <row r="1378" spans="1:43" x14ac:dyDescent="0.2">
      <c r="A1378" s="14" t="s">
        <v>500</v>
      </c>
      <c r="B1378" s="17">
        <v>7820720</v>
      </c>
      <c r="C1378" s="14" t="s">
        <v>455</v>
      </c>
      <c r="D1378" s="9">
        <v>7820720</v>
      </c>
      <c r="E1378" s="9" t="s">
        <v>455</v>
      </c>
      <c r="F1378" s="7">
        <v>45717</v>
      </c>
      <c r="G1378" s="20" t="s">
        <v>36</v>
      </c>
      <c r="H1378" s="8">
        <v>929666151</v>
      </c>
      <c r="I1378" s="19">
        <v>929666151</v>
      </c>
      <c r="J1378" s="10">
        <v>10202</v>
      </c>
      <c r="K1378" s="10">
        <v>9182</v>
      </c>
      <c r="L1378" s="10">
        <v>1020</v>
      </c>
      <c r="M1378" s="10">
        <v>0</v>
      </c>
      <c r="N1378" s="11">
        <v>1020</v>
      </c>
      <c r="O1378" s="12">
        <v>929666151</v>
      </c>
      <c r="P1378" s="9">
        <v>285123</v>
      </c>
      <c r="Q1378" s="9" t="s">
        <v>37</v>
      </c>
      <c r="R1378" s="13">
        <v>45721</v>
      </c>
      <c r="S1378" s="22">
        <v>45721</v>
      </c>
      <c r="T1378" s="13">
        <v>45721</v>
      </c>
      <c r="U1378" s="13">
        <v>45721</v>
      </c>
      <c r="V1378" s="9" t="s">
        <v>47</v>
      </c>
      <c r="W1378" s="9">
        <v>22676692</v>
      </c>
      <c r="X1378" s="9">
        <v>3101656</v>
      </c>
      <c r="Y1378" s="9">
        <v>68996496</v>
      </c>
      <c r="Z1378" s="9" t="s">
        <v>39</v>
      </c>
      <c r="AA1378" s="9">
        <v>9032025</v>
      </c>
      <c r="AB1378" s="9">
        <v>77868</v>
      </c>
      <c r="AC1378" s="9" t="s">
        <v>41</v>
      </c>
      <c r="AD1378" s="9" t="s">
        <v>132</v>
      </c>
      <c r="AE1378" s="9" t="s">
        <v>133</v>
      </c>
      <c r="AF1378" s="9" t="s">
        <v>133</v>
      </c>
      <c r="AG1378" s="14" t="str">
        <f t="shared" si="46"/>
        <v>EXAMENES DE LABORATORIO</v>
      </c>
      <c r="AH1378" s="9" t="s">
        <v>758</v>
      </c>
      <c r="AI1378" s="9">
        <v>0</v>
      </c>
      <c r="AJ1378" s="9">
        <v>96986050</v>
      </c>
      <c r="AK1378" s="9">
        <v>3</v>
      </c>
      <c r="AL1378" s="26" t="s">
        <v>83</v>
      </c>
      <c r="AM1378" s="14" t="s">
        <v>725</v>
      </c>
      <c r="AN1378" s="27" t="str">
        <f t="shared" si="45"/>
        <v>7820720|96986050|929666151|929666151</v>
      </c>
      <c r="AO1378" t="s">
        <v>758</v>
      </c>
      <c r="AP1378" t="b">
        <v>1</v>
      </c>
      <c r="AQ1378" t="s">
        <v>764</v>
      </c>
    </row>
    <row r="1379" spans="1:43" x14ac:dyDescent="0.2">
      <c r="A1379" s="14" t="s">
        <v>500</v>
      </c>
      <c r="B1379" s="17">
        <v>7820720</v>
      </c>
      <c r="C1379" s="14" t="s">
        <v>455</v>
      </c>
      <c r="D1379" s="9">
        <v>7820720</v>
      </c>
      <c r="E1379" s="9" t="s">
        <v>455</v>
      </c>
      <c r="F1379" s="7">
        <v>45717</v>
      </c>
      <c r="G1379" s="20" t="s">
        <v>46</v>
      </c>
      <c r="H1379" s="8">
        <v>929666151</v>
      </c>
      <c r="I1379" s="19">
        <v>65383632</v>
      </c>
      <c r="J1379" s="10">
        <v>1161</v>
      </c>
      <c r="K1379" s="10">
        <v>0</v>
      </c>
      <c r="L1379" s="10">
        <v>1161</v>
      </c>
      <c r="M1379" s="10">
        <v>0</v>
      </c>
      <c r="N1379" s="11">
        <v>1161</v>
      </c>
      <c r="O1379" s="12">
        <v>929666151</v>
      </c>
      <c r="P1379" s="9">
        <v>285123</v>
      </c>
      <c r="Q1379" s="9" t="s">
        <v>37</v>
      </c>
      <c r="R1379" s="13">
        <v>45721</v>
      </c>
      <c r="S1379" s="22">
        <v>45742</v>
      </c>
      <c r="T1379" s="13">
        <v>45721</v>
      </c>
      <c r="U1379" s="13">
        <v>45721</v>
      </c>
      <c r="V1379" s="9" t="s">
        <v>47</v>
      </c>
      <c r="W1379" s="9">
        <v>22772402</v>
      </c>
      <c r="X1379" s="9">
        <v>3311105</v>
      </c>
      <c r="Y1379" s="9">
        <v>69250523</v>
      </c>
      <c r="Z1379" s="9" t="s">
        <v>39</v>
      </c>
      <c r="AA1379" s="9">
        <v>13463609</v>
      </c>
      <c r="AB1379" s="9">
        <v>78070</v>
      </c>
      <c r="AC1379" s="9" t="s">
        <v>41</v>
      </c>
      <c r="AD1379" s="9" t="s">
        <v>132</v>
      </c>
      <c r="AE1379" s="9" t="s">
        <v>133</v>
      </c>
      <c r="AF1379" s="9" t="s">
        <v>133</v>
      </c>
      <c r="AG1379" s="14" t="str">
        <f t="shared" si="46"/>
        <v>EXAMENES DE LABORATORIO</v>
      </c>
      <c r="AH1379" s="9">
        <v>0</v>
      </c>
      <c r="AI1379" s="9">
        <v>0</v>
      </c>
      <c r="AJ1379" s="9">
        <v>96986050</v>
      </c>
      <c r="AK1379" s="9">
        <v>3</v>
      </c>
      <c r="AL1379" s="26" t="s">
        <v>52</v>
      </c>
      <c r="AM1379" s="14" t="s">
        <v>725</v>
      </c>
      <c r="AN1379" s="27" t="str">
        <f t="shared" si="45"/>
        <v>7820720|96986050|929666151|65383632</v>
      </c>
      <c r="AO1379" t="s">
        <v>44</v>
      </c>
      <c r="AP1379" t="b">
        <v>0</v>
      </c>
      <c r="AQ1379" t="s">
        <v>763</v>
      </c>
    </row>
    <row r="1380" spans="1:43" x14ac:dyDescent="0.2">
      <c r="A1380" s="14" t="s">
        <v>500</v>
      </c>
      <c r="B1380" s="17">
        <v>7820720</v>
      </c>
      <c r="C1380" s="14" t="s">
        <v>455</v>
      </c>
      <c r="D1380" s="9">
        <v>7820720</v>
      </c>
      <c r="E1380" s="9" t="s">
        <v>455</v>
      </c>
      <c r="F1380" s="7">
        <v>45717</v>
      </c>
      <c r="G1380" s="20" t="s">
        <v>36</v>
      </c>
      <c r="H1380" s="8">
        <v>929666152</v>
      </c>
      <c r="I1380" s="19">
        <v>929666152</v>
      </c>
      <c r="J1380" s="10">
        <v>27099</v>
      </c>
      <c r="K1380" s="10">
        <v>24389</v>
      </c>
      <c r="L1380" s="10">
        <v>2710</v>
      </c>
      <c r="M1380" s="10">
        <v>0</v>
      </c>
      <c r="N1380" s="11">
        <v>2710</v>
      </c>
      <c r="O1380" s="12">
        <v>929666152</v>
      </c>
      <c r="P1380" s="9">
        <v>285123</v>
      </c>
      <c r="Q1380" s="9" t="s">
        <v>37</v>
      </c>
      <c r="R1380" s="13">
        <v>45721</v>
      </c>
      <c r="S1380" s="22">
        <v>45721</v>
      </c>
      <c r="T1380" s="13">
        <v>45721</v>
      </c>
      <c r="U1380" s="13">
        <v>45721</v>
      </c>
      <c r="V1380" s="9" t="s">
        <v>47</v>
      </c>
      <c r="W1380" s="9">
        <v>22676692</v>
      </c>
      <c r="X1380" s="9">
        <v>3101656</v>
      </c>
      <c r="Y1380" s="9">
        <v>68998007</v>
      </c>
      <c r="Z1380" s="9" t="s">
        <v>39</v>
      </c>
      <c r="AA1380" s="9">
        <v>9032025</v>
      </c>
      <c r="AB1380" s="9">
        <v>77868</v>
      </c>
      <c r="AC1380" s="9" t="s">
        <v>41</v>
      </c>
      <c r="AD1380" s="9" t="s">
        <v>132</v>
      </c>
      <c r="AE1380" s="9" t="s">
        <v>133</v>
      </c>
      <c r="AF1380" s="9" t="s">
        <v>133</v>
      </c>
      <c r="AG1380" s="14" t="str">
        <f t="shared" si="46"/>
        <v>EXAMENES DE LABORATORIO</v>
      </c>
      <c r="AH1380" s="9" t="s">
        <v>758</v>
      </c>
      <c r="AI1380" s="9">
        <v>0</v>
      </c>
      <c r="AJ1380" s="9">
        <v>96986050</v>
      </c>
      <c r="AK1380" s="9">
        <v>3</v>
      </c>
      <c r="AL1380" s="26" t="s">
        <v>83</v>
      </c>
      <c r="AM1380" s="14" t="s">
        <v>725</v>
      </c>
      <c r="AN1380" s="27" t="str">
        <f t="shared" si="45"/>
        <v>7820720|96986050|929666152|929666152</v>
      </c>
      <c r="AO1380" t="s">
        <v>758</v>
      </c>
      <c r="AP1380" t="b">
        <v>1</v>
      </c>
      <c r="AQ1380" t="s">
        <v>764</v>
      </c>
    </row>
    <row r="1381" spans="1:43" x14ac:dyDescent="0.2">
      <c r="A1381" s="14" t="s">
        <v>500</v>
      </c>
      <c r="B1381" s="17">
        <v>7820720</v>
      </c>
      <c r="C1381" s="14" t="s">
        <v>455</v>
      </c>
      <c r="D1381" s="9">
        <v>7820720</v>
      </c>
      <c r="E1381" s="9" t="s">
        <v>455</v>
      </c>
      <c r="F1381" s="7">
        <v>45717</v>
      </c>
      <c r="G1381" s="20" t="s">
        <v>46</v>
      </c>
      <c r="H1381" s="8">
        <v>929666152</v>
      </c>
      <c r="I1381" s="19">
        <v>65383633</v>
      </c>
      <c r="J1381" s="10">
        <v>2323</v>
      </c>
      <c r="K1381" s="10">
        <v>0</v>
      </c>
      <c r="L1381" s="10">
        <v>2323</v>
      </c>
      <c r="M1381" s="10">
        <v>0</v>
      </c>
      <c r="N1381" s="11">
        <v>2323</v>
      </c>
      <c r="O1381" s="12">
        <v>929666152</v>
      </c>
      <c r="P1381" s="9">
        <v>285123</v>
      </c>
      <c r="Q1381" s="9" t="s">
        <v>37</v>
      </c>
      <c r="R1381" s="13">
        <v>45721</v>
      </c>
      <c r="S1381" s="22">
        <v>45742</v>
      </c>
      <c r="T1381" s="13">
        <v>45721</v>
      </c>
      <c r="U1381" s="13">
        <v>45721</v>
      </c>
      <c r="V1381" s="9" t="s">
        <v>47</v>
      </c>
      <c r="W1381" s="9">
        <v>22772402</v>
      </c>
      <c r="X1381" s="9">
        <v>3311105</v>
      </c>
      <c r="Y1381" s="9">
        <v>69250524</v>
      </c>
      <c r="Z1381" s="9" t="s">
        <v>39</v>
      </c>
      <c r="AA1381" s="9">
        <v>13463609</v>
      </c>
      <c r="AB1381" s="9">
        <v>78070</v>
      </c>
      <c r="AC1381" s="9" t="s">
        <v>41</v>
      </c>
      <c r="AD1381" s="9" t="s">
        <v>132</v>
      </c>
      <c r="AE1381" s="9" t="s">
        <v>133</v>
      </c>
      <c r="AF1381" s="9" t="s">
        <v>133</v>
      </c>
      <c r="AG1381" s="14" t="str">
        <f t="shared" si="46"/>
        <v>EXAMENES DE LABORATORIO</v>
      </c>
      <c r="AH1381" s="9">
        <v>0</v>
      </c>
      <c r="AI1381" s="9">
        <v>0</v>
      </c>
      <c r="AJ1381" s="9">
        <v>96986050</v>
      </c>
      <c r="AK1381" s="9">
        <v>3</v>
      </c>
      <c r="AL1381" s="26" t="s">
        <v>52</v>
      </c>
      <c r="AM1381" s="14" t="s">
        <v>725</v>
      </c>
      <c r="AN1381" s="27" t="str">
        <f t="shared" si="45"/>
        <v>7820720|96986050|929666152|65383633</v>
      </c>
      <c r="AO1381" t="s">
        <v>44</v>
      </c>
      <c r="AP1381" t="b">
        <v>0</v>
      </c>
      <c r="AQ1381" t="s">
        <v>763</v>
      </c>
    </row>
    <row r="1382" spans="1:43" x14ac:dyDescent="0.2">
      <c r="A1382" s="14" t="s">
        <v>500</v>
      </c>
      <c r="B1382" s="17">
        <v>7820720</v>
      </c>
      <c r="C1382" s="14" t="s">
        <v>455</v>
      </c>
      <c r="D1382" s="9">
        <v>7820720</v>
      </c>
      <c r="E1382" s="9" t="s">
        <v>455</v>
      </c>
      <c r="F1382" s="7">
        <v>45717</v>
      </c>
      <c r="G1382" s="20" t="s">
        <v>36</v>
      </c>
      <c r="H1382" s="8">
        <v>929666153</v>
      </c>
      <c r="I1382" s="19">
        <v>929666153</v>
      </c>
      <c r="J1382" s="10">
        <v>16939</v>
      </c>
      <c r="K1382" s="10">
        <v>15245</v>
      </c>
      <c r="L1382" s="10">
        <v>1694</v>
      </c>
      <c r="M1382" s="10">
        <v>0</v>
      </c>
      <c r="N1382" s="11">
        <v>1694</v>
      </c>
      <c r="O1382" s="12">
        <v>929666153</v>
      </c>
      <c r="P1382" s="9">
        <v>285123</v>
      </c>
      <c r="Q1382" s="9" t="s">
        <v>37</v>
      </c>
      <c r="R1382" s="13">
        <v>45721</v>
      </c>
      <c r="S1382" s="22">
        <v>45721</v>
      </c>
      <c r="T1382" s="13">
        <v>45721</v>
      </c>
      <c r="U1382" s="13">
        <v>45721</v>
      </c>
      <c r="V1382" s="9" t="s">
        <v>47</v>
      </c>
      <c r="W1382" s="9">
        <v>22676692</v>
      </c>
      <c r="X1382" s="9">
        <v>3101656</v>
      </c>
      <c r="Y1382" s="9">
        <v>68994193</v>
      </c>
      <c r="Z1382" s="9" t="s">
        <v>39</v>
      </c>
      <c r="AA1382" s="9">
        <v>9032025</v>
      </c>
      <c r="AB1382" s="9">
        <v>77868</v>
      </c>
      <c r="AC1382" s="9" t="s">
        <v>41</v>
      </c>
      <c r="AD1382" s="9" t="s">
        <v>132</v>
      </c>
      <c r="AE1382" s="9" t="s">
        <v>133</v>
      </c>
      <c r="AF1382" s="9" t="s">
        <v>133</v>
      </c>
      <c r="AG1382" s="14" t="str">
        <f t="shared" si="46"/>
        <v>EXAMENES DE LABORATORIO</v>
      </c>
      <c r="AH1382" s="9" t="s">
        <v>758</v>
      </c>
      <c r="AI1382" s="9">
        <v>0</v>
      </c>
      <c r="AJ1382" s="9">
        <v>96986050</v>
      </c>
      <c r="AK1382" s="9">
        <v>3</v>
      </c>
      <c r="AL1382" s="26" t="s">
        <v>83</v>
      </c>
      <c r="AM1382" s="14" t="s">
        <v>725</v>
      </c>
      <c r="AN1382" s="27" t="str">
        <f t="shared" si="45"/>
        <v>7820720|96986050|929666153|929666153</v>
      </c>
      <c r="AO1382" t="s">
        <v>758</v>
      </c>
      <c r="AP1382" t="b">
        <v>1</v>
      </c>
      <c r="AQ1382" t="s">
        <v>764</v>
      </c>
    </row>
    <row r="1383" spans="1:43" x14ac:dyDescent="0.2">
      <c r="A1383" s="14" t="s">
        <v>500</v>
      </c>
      <c r="B1383" s="17">
        <v>7820720</v>
      </c>
      <c r="C1383" s="14" t="s">
        <v>455</v>
      </c>
      <c r="D1383" s="9">
        <v>7820720</v>
      </c>
      <c r="E1383" s="9" t="s">
        <v>455</v>
      </c>
      <c r="F1383" s="7">
        <v>45717</v>
      </c>
      <c r="G1383" s="20" t="s">
        <v>46</v>
      </c>
      <c r="H1383" s="8">
        <v>929666153</v>
      </c>
      <c r="I1383" s="19">
        <v>65383634</v>
      </c>
      <c r="J1383" s="10">
        <v>1161</v>
      </c>
      <c r="K1383" s="10">
        <v>0</v>
      </c>
      <c r="L1383" s="10">
        <v>1161</v>
      </c>
      <c r="M1383" s="10">
        <v>0</v>
      </c>
      <c r="N1383" s="11">
        <v>1161</v>
      </c>
      <c r="O1383" s="12">
        <v>929666153</v>
      </c>
      <c r="P1383" s="9">
        <v>285123</v>
      </c>
      <c r="Q1383" s="9" t="s">
        <v>37</v>
      </c>
      <c r="R1383" s="13">
        <v>45721</v>
      </c>
      <c r="S1383" s="22">
        <v>45742</v>
      </c>
      <c r="T1383" s="13">
        <v>45721</v>
      </c>
      <c r="U1383" s="13">
        <v>45721</v>
      </c>
      <c r="V1383" s="9" t="s">
        <v>47</v>
      </c>
      <c r="W1383" s="9">
        <v>22772402</v>
      </c>
      <c r="X1383" s="9">
        <v>3311105</v>
      </c>
      <c r="Y1383" s="9">
        <v>69250525</v>
      </c>
      <c r="Z1383" s="9" t="s">
        <v>39</v>
      </c>
      <c r="AA1383" s="9">
        <v>13463609</v>
      </c>
      <c r="AB1383" s="9">
        <v>78070</v>
      </c>
      <c r="AC1383" s="9" t="s">
        <v>41</v>
      </c>
      <c r="AD1383" s="9" t="s">
        <v>132</v>
      </c>
      <c r="AE1383" s="9" t="s">
        <v>133</v>
      </c>
      <c r="AF1383" s="9" t="s">
        <v>133</v>
      </c>
      <c r="AG1383" s="14" t="str">
        <f t="shared" si="46"/>
        <v>EXAMENES DE LABORATORIO</v>
      </c>
      <c r="AH1383" s="9">
        <v>0</v>
      </c>
      <c r="AI1383" s="9">
        <v>0</v>
      </c>
      <c r="AJ1383" s="9">
        <v>96986050</v>
      </c>
      <c r="AK1383" s="9">
        <v>3</v>
      </c>
      <c r="AL1383" s="26" t="s">
        <v>52</v>
      </c>
      <c r="AM1383" s="14" t="s">
        <v>725</v>
      </c>
      <c r="AN1383" s="27" t="str">
        <f t="shared" si="45"/>
        <v>7820720|96986050|929666153|65383634</v>
      </c>
      <c r="AO1383" t="s">
        <v>44</v>
      </c>
      <c r="AP1383" t="b">
        <v>0</v>
      </c>
      <c r="AQ1383" t="s">
        <v>763</v>
      </c>
    </row>
    <row r="1384" spans="1:43" x14ac:dyDescent="0.2">
      <c r="A1384" s="14" t="s">
        <v>500</v>
      </c>
      <c r="B1384" s="17">
        <v>10315539</v>
      </c>
      <c r="C1384" s="14" t="s">
        <v>456</v>
      </c>
      <c r="D1384" s="9">
        <v>10315539</v>
      </c>
      <c r="E1384" s="9" t="s">
        <v>456</v>
      </c>
      <c r="F1384" s="7">
        <v>45717</v>
      </c>
      <c r="G1384" s="20" t="s">
        <v>36</v>
      </c>
      <c r="H1384" s="8">
        <v>929666759</v>
      </c>
      <c r="I1384" s="19">
        <v>929666759</v>
      </c>
      <c r="J1384" s="10">
        <v>11277</v>
      </c>
      <c r="K1384" s="10">
        <v>7894</v>
      </c>
      <c r="L1384" s="10">
        <v>3383</v>
      </c>
      <c r="M1384" s="10">
        <v>0</v>
      </c>
      <c r="N1384" s="11">
        <v>3383</v>
      </c>
      <c r="O1384" s="12">
        <v>929666759</v>
      </c>
      <c r="P1384" s="9">
        <v>285123</v>
      </c>
      <c r="Q1384" s="9" t="s">
        <v>37</v>
      </c>
      <c r="R1384" s="13">
        <v>45721</v>
      </c>
      <c r="S1384" s="22">
        <v>45721</v>
      </c>
      <c r="T1384" s="13">
        <v>45721</v>
      </c>
      <c r="U1384" s="13">
        <v>45721</v>
      </c>
      <c r="V1384" s="9" t="s">
        <v>47</v>
      </c>
      <c r="W1384" s="9">
        <v>22676703</v>
      </c>
      <c r="X1384" s="9">
        <v>3101656</v>
      </c>
      <c r="Y1384" s="9">
        <v>68993581</v>
      </c>
      <c r="Z1384" s="9" t="s">
        <v>39</v>
      </c>
      <c r="AA1384" s="9">
        <v>9032025</v>
      </c>
      <c r="AB1384" s="9">
        <v>77868</v>
      </c>
      <c r="AC1384" s="9" t="s">
        <v>41</v>
      </c>
      <c r="AD1384" s="9" t="s">
        <v>132</v>
      </c>
      <c r="AE1384" s="9" t="s">
        <v>133</v>
      </c>
      <c r="AF1384" s="9" t="s">
        <v>133</v>
      </c>
      <c r="AG1384" s="14" t="str">
        <f t="shared" si="46"/>
        <v>EXAMENES DE LABORATORIO</v>
      </c>
      <c r="AH1384" s="9" t="s">
        <v>758</v>
      </c>
      <c r="AI1384" s="9">
        <v>0</v>
      </c>
      <c r="AJ1384" s="9">
        <v>96986050</v>
      </c>
      <c r="AK1384" s="9">
        <v>3</v>
      </c>
      <c r="AL1384" s="26" t="s">
        <v>83</v>
      </c>
      <c r="AM1384" s="14" t="s">
        <v>726</v>
      </c>
      <c r="AN1384" s="27" t="str">
        <f t="shared" si="45"/>
        <v>10315539|96986050|929666759|929666759</v>
      </c>
      <c r="AO1384" t="s">
        <v>758</v>
      </c>
      <c r="AP1384" t="b">
        <v>1</v>
      </c>
      <c r="AQ1384" t="s">
        <v>764</v>
      </c>
    </row>
    <row r="1385" spans="1:43" x14ac:dyDescent="0.2">
      <c r="A1385" s="14" t="s">
        <v>500</v>
      </c>
      <c r="B1385" s="17">
        <v>10315539</v>
      </c>
      <c r="C1385" s="14" t="s">
        <v>456</v>
      </c>
      <c r="D1385" s="9">
        <v>10315539</v>
      </c>
      <c r="E1385" s="9" t="s">
        <v>456</v>
      </c>
      <c r="F1385" s="7">
        <v>45717</v>
      </c>
      <c r="G1385" s="20" t="s">
        <v>46</v>
      </c>
      <c r="H1385" s="8">
        <v>929666759</v>
      </c>
      <c r="I1385" s="19">
        <v>65383840</v>
      </c>
      <c r="J1385" s="10">
        <v>3484</v>
      </c>
      <c r="K1385" s="10">
        <v>0</v>
      </c>
      <c r="L1385" s="10">
        <v>3484</v>
      </c>
      <c r="M1385" s="10">
        <v>0</v>
      </c>
      <c r="N1385" s="11">
        <v>3484</v>
      </c>
      <c r="O1385" s="12">
        <v>929666759</v>
      </c>
      <c r="P1385" s="9">
        <v>285123</v>
      </c>
      <c r="Q1385" s="9" t="s">
        <v>37</v>
      </c>
      <c r="R1385" s="13">
        <v>45721</v>
      </c>
      <c r="S1385" s="22">
        <v>45742</v>
      </c>
      <c r="T1385" s="13">
        <v>45721</v>
      </c>
      <c r="U1385" s="13">
        <v>45721</v>
      </c>
      <c r="V1385" s="9" t="s">
        <v>47</v>
      </c>
      <c r="W1385" s="9">
        <v>22772406</v>
      </c>
      <c r="X1385" s="9">
        <v>3311105</v>
      </c>
      <c r="Y1385" s="9">
        <v>69250729</v>
      </c>
      <c r="Z1385" s="9" t="s">
        <v>39</v>
      </c>
      <c r="AA1385" s="9">
        <v>1592519203</v>
      </c>
      <c r="AB1385" s="9">
        <v>78070</v>
      </c>
      <c r="AC1385" s="9" t="s">
        <v>41</v>
      </c>
      <c r="AD1385" s="9" t="s">
        <v>132</v>
      </c>
      <c r="AE1385" s="9" t="s">
        <v>133</v>
      </c>
      <c r="AF1385" s="9" t="s">
        <v>133</v>
      </c>
      <c r="AG1385" s="14" t="str">
        <f t="shared" si="46"/>
        <v>EXAMENES DE LABORATORIO</v>
      </c>
      <c r="AH1385" s="9">
        <v>0</v>
      </c>
      <c r="AI1385" s="9">
        <v>0</v>
      </c>
      <c r="AJ1385" s="9">
        <v>96986050</v>
      </c>
      <c r="AK1385" s="9">
        <v>3</v>
      </c>
      <c r="AL1385" s="26" t="s">
        <v>52</v>
      </c>
      <c r="AM1385" s="14" t="s">
        <v>726</v>
      </c>
      <c r="AN1385" s="27" t="str">
        <f t="shared" si="45"/>
        <v>10315539|96986050|929666759|65383840</v>
      </c>
      <c r="AO1385" t="s">
        <v>44</v>
      </c>
      <c r="AP1385" t="b">
        <v>0</v>
      </c>
      <c r="AQ1385" t="s">
        <v>763</v>
      </c>
    </row>
    <row r="1386" spans="1:43" x14ac:dyDescent="0.2">
      <c r="A1386" s="14" t="s">
        <v>500</v>
      </c>
      <c r="B1386" s="17">
        <v>10315539</v>
      </c>
      <c r="C1386" s="14" t="s">
        <v>456</v>
      </c>
      <c r="D1386" s="9">
        <v>10315539</v>
      </c>
      <c r="E1386" s="9" t="s">
        <v>456</v>
      </c>
      <c r="F1386" s="7">
        <v>45717</v>
      </c>
      <c r="G1386" s="20" t="s">
        <v>36</v>
      </c>
      <c r="H1386" s="8">
        <v>929666760</v>
      </c>
      <c r="I1386" s="19">
        <v>929666760</v>
      </c>
      <c r="J1386" s="10">
        <v>31106</v>
      </c>
      <c r="K1386" s="10">
        <v>21775</v>
      </c>
      <c r="L1386" s="10">
        <v>9331</v>
      </c>
      <c r="M1386" s="10">
        <v>0</v>
      </c>
      <c r="N1386" s="11">
        <v>9331</v>
      </c>
      <c r="O1386" s="12">
        <v>929666760</v>
      </c>
      <c r="P1386" s="9">
        <v>285123</v>
      </c>
      <c r="Q1386" s="9" t="s">
        <v>37</v>
      </c>
      <c r="R1386" s="13">
        <v>45721</v>
      </c>
      <c r="S1386" s="22">
        <v>45721</v>
      </c>
      <c r="T1386" s="13">
        <v>45721</v>
      </c>
      <c r="U1386" s="13">
        <v>45721</v>
      </c>
      <c r="V1386" s="9" t="s">
        <v>47</v>
      </c>
      <c r="W1386" s="9">
        <v>22676703</v>
      </c>
      <c r="X1386" s="9">
        <v>3101656</v>
      </c>
      <c r="Y1386" s="9">
        <v>68995758</v>
      </c>
      <c r="Z1386" s="9" t="s">
        <v>39</v>
      </c>
      <c r="AA1386" s="9">
        <v>9032025</v>
      </c>
      <c r="AB1386" s="9">
        <v>77868</v>
      </c>
      <c r="AC1386" s="9" t="s">
        <v>41</v>
      </c>
      <c r="AD1386" s="9" t="s">
        <v>132</v>
      </c>
      <c r="AE1386" s="9" t="s">
        <v>133</v>
      </c>
      <c r="AF1386" s="9" t="s">
        <v>133</v>
      </c>
      <c r="AG1386" s="14" t="str">
        <f t="shared" si="46"/>
        <v>EXAMENES DE LABORATORIO</v>
      </c>
      <c r="AH1386" s="9" t="s">
        <v>758</v>
      </c>
      <c r="AI1386" s="9">
        <v>0</v>
      </c>
      <c r="AJ1386" s="9">
        <v>96986050</v>
      </c>
      <c r="AK1386" s="9">
        <v>3</v>
      </c>
      <c r="AL1386" s="26" t="s">
        <v>83</v>
      </c>
      <c r="AM1386" s="14" t="s">
        <v>726</v>
      </c>
      <c r="AN1386" s="27" t="str">
        <f t="shared" si="45"/>
        <v>10315539|96986050|929666760|929666760</v>
      </c>
      <c r="AO1386" t="s">
        <v>758</v>
      </c>
      <c r="AP1386" t="b">
        <v>1</v>
      </c>
      <c r="AQ1386" t="s">
        <v>764</v>
      </c>
    </row>
    <row r="1387" spans="1:43" x14ac:dyDescent="0.2">
      <c r="A1387" s="14" t="s">
        <v>500</v>
      </c>
      <c r="B1387" s="17">
        <v>10315539</v>
      </c>
      <c r="C1387" s="14" t="s">
        <v>456</v>
      </c>
      <c r="D1387" s="9">
        <v>10315539</v>
      </c>
      <c r="E1387" s="9" t="s">
        <v>456</v>
      </c>
      <c r="F1387" s="7">
        <v>45717</v>
      </c>
      <c r="G1387" s="20" t="s">
        <v>46</v>
      </c>
      <c r="H1387" s="8">
        <v>929666760</v>
      </c>
      <c r="I1387" s="19">
        <v>65383841</v>
      </c>
      <c r="J1387" s="10">
        <v>9292</v>
      </c>
      <c r="K1387" s="10">
        <v>0</v>
      </c>
      <c r="L1387" s="10">
        <v>9292</v>
      </c>
      <c r="M1387" s="10">
        <v>0</v>
      </c>
      <c r="N1387" s="11">
        <v>9292</v>
      </c>
      <c r="O1387" s="12">
        <v>929666760</v>
      </c>
      <c r="P1387" s="9">
        <v>285123</v>
      </c>
      <c r="Q1387" s="9" t="s">
        <v>37</v>
      </c>
      <c r="R1387" s="13">
        <v>45721</v>
      </c>
      <c r="S1387" s="22">
        <v>45742</v>
      </c>
      <c r="T1387" s="13">
        <v>45721</v>
      </c>
      <c r="U1387" s="13">
        <v>45721</v>
      </c>
      <c r="V1387" s="9" t="s">
        <v>47</v>
      </c>
      <c r="W1387" s="9">
        <v>22772406</v>
      </c>
      <c r="X1387" s="9">
        <v>3311105</v>
      </c>
      <c r="Y1387" s="9">
        <v>69250730</v>
      </c>
      <c r="Z1387" s="9" t="s">
        <v>39</v>
      </c>
      <c r="AA1387" s="9">
        <v>1592519203</v>
      </c>
      <c r="AB1387" s="9">
        <v>78070</v>
      </c>
      <c r="AC1387" s="9" t="s">
        <v>41</v>
      </c>
      <c r="AD1387" s="9" t="s">
        <v>132</v>
      </c>
      <c r="AE1387" s="9" t="s">
        <v>133</v>
      </c>
      <c r="AF1387" s="9" t="s">
        <v>133</v>
      </c>
      <c r="AG1387" s="14" t="str">
        <f t="shared" si="46"/>
        <v>EXAMENES DE LABORATORIO</v>
      </c>
      <c r="AH1387" s="9">
        <v>0</v>
      </c>
      <c r="AI1387" s="9">
        <v>0</v>
      </c>
      <c r="AJ1387" s="9">
        <v>96986050</v>
      </c>
      <c r="AK1387" s="9">
        <v>3</v>
      </c>
      <c r="AL1387" s="26" t="s">
        <v>52</v>
      </c>
      <c r="AM1387" s="14" t="s">
        <v>726</v>
      </c>
      <c r="AN1387" s="27" t="str">
        <f t="shared" si="45"/>
        <v>10315539|96986050|929666760|65383841</v>
      </c>
      <c r="AO1387" t="s">
        <v>44</v>
      </c>
      <c r="AP1387" t="b">
        <v>0</v>
      </c>
      <c r="AQ1387" t="s">
        <v>763</v>
      </c>
    </row>
    <row r="1388" spans="1:43" x14ac:dyDescent="0.2">
      <c r="A1388" s="14" t="s">
        <v>500</v>
      </c>
      <c r="B1388" s="17">
        <v>10315539</v>
      </c>
      <c r="C1388" s="14" t="s">
        <v>456</v>
      </c>
      <c r="D1388" s="9">
        <v>10315539</v>
      </c>
      <c r="E1388" s="9" t="s">
        <v>456</v>
      </c>
      <c r="F1388" s="7">
        <v>45717</v>
      </c>
      <c r="G1388" s="20" t="s">
        <v>36</v>
      </c>
      <c r="H1388" s="8">
        <v>929666761</v>
      </c>
      <c r="I1388" s="19">
        <v>929666761</v>
      </c>
      <c r="J1388" s="10">
        <v>29413</v>
      </c>
      <c r="K1388" s="10">
        <v>20591</v>
      </c>
      <c r="L1388" s="10">
        <v>8822</v>
      </c>
      <c r="M1388" s="10">
        <v>0</v>
      </c>
      <c r="N1388" s="11">
        <v>8822</v>
      </c>
      <c r="O1388" s="12">
        <v>929666761</v>
      </c>
      <c r="P1388" s="9">
        <v>285123</v>
      </c>
      <c r="Q1388" s="9" t="s">
        <v>37</v>
      </c>
      <c r="R1388" s="13">
        <v>45721</v>
      </c>
      <c r="S1388" s="22">
        <v>45721</v>
      </c>
      <c r="T1388" s="13">
        <v>45721</v>
      </c>
      <c r="U1388" s="13">
        <v>45721</v>
      </c>
      <c r="V1388" s="9" t="s">
        <v>47</v>
      </c>
      <c r="W1388" s="9">
        <v>22676703</v>
      </c>
      <c r="X1388" s="9">
        <v>3101656</v>
      </c>
      <c r="Y1388" s="9">
        <v>68997948</v>
      </c>
      <c r="Z1388" s="9" t="s">
        <v>39</v>
      </c>
      <c r="AA1388" s="9">
        <v>9032025</v>
      </c>
      <c r="AB1388" s="9">
        <v>77868</v>
      </c>
      <c r="AC1388" s="9" t="s">
        <v>41</v>
      </c>
      <c r="AD1388" s="9" t="s">
        <v>132</v>
      </c>
      <c r="AE1388" s="9" t="s">
        <v>133</v>
      </c>
      <c r="AF1388" s="9" t="s">
        <v>133</v>
      </c>
      <c r="AG1388" s="14" t="str">
        <f t="shared" si="46"/>
        <v>EXAMENES DE LABORATORIO</v>
      </c>
      <c r="AH1388" s="9" t="s">
        <v>758</v>
      </c>
      <c r="AI1388" s="9">
        <v>0</v>
      </c>
      <c r="AJ1388" s="9">
        <v>96986050</v>
      </c>
      <c r="AK1388" s="9">
        <v>3</v>
      </c>
      <c r="AL1388" s="26" t="s">
        <v>83</v>
      </c>
      <c r="AM1388" s="14" t="s">
        <v>726</v>
      </c>
      <c r="AN1388" s="27" t="str">
        <f t="shared" si="45"/>
        <v>10315539|96986050|929666761|929666761</v>
      </c>
      <c r="AO1388" t="s">
        <v>758</v>
      </c>
      <c r="AP1388" t="b">
        <v>1</v>
      </c>
      <c r="AQ1388" t="s">
        <v>764</v>
      </c>
    </row>
    <row r="1389" spans="1:43" x14ac:dyDescent="0.2">
      <c r="A1389" s="14" t="s">
        <v>500</v>
      </c>
      <c r="B1389" s="17">
        <v>10315539</v>
      </c>
      <c r="C1389" s="14" t="s">
        <v>456</v>
      </c>
      <c r="D1389" s="9">
        <v>10315539</v>
      </c>
      <c r="E1389" s="9" t="s">
        <v>456</v>
      </c>
      <c r="F1389" s="7">
        <v>45717</v>
      </c>
      <c r="G1389" s="20" t="s">
        <v>46</v>
      </c>
      <c r="H1389" s="8">
        <v>929666761</v>
      </c>
      <c r="I1389" s="19">
        <v>65383842</v>
      </c>
      <c r="J1389" s="10">
        <v>8904</v>
      </c>
      <c r="K1389" s="10">
        <v>0</v>
      </c>
      <c r="L1389" s="10">
        <v>8904</v>
      </c>
      <c r="M1389" s="10">
        <v>0</v>
      </c>
      <c r="N1389" s="11">
        <v>8904</v>
      </c>
      <c r="O1389" s="12">
        <v>929666761</v>
      </c>
      <c r="P1389" s="9">
        <v>285123</v>
      </c>
      <c r="Q1389" s="9" t="s">
        <v>37</v>
      </c>
      <c r="R1389" s="13">
        <v>45721</v>
      </c>
      <c r="S1389" s="22">
        <v>45742</v>
      </c>
      <c r="T1389" s="13">
        <v>45721</v>
      </c>
      <c r="U1389" s="13">
        <v>45721</v>
      </c>
      <c r="V1389" s="9" t="s">
        <v>47</v>
      </c>
      <c r="W1389" s="9">
        <v>22772406</v>
      </c>
      <c r="X1389" s="9">
        <v>3311105</v>
      </c>
      <c r="Y1389" s="9">
        <v>69250731</v>
      </c>
      <c r="Z1389" s="9" t="s">
        <v>39</v>
      </c>
      <c r="AA1389" s="9">
        <v>1592519203</v>
      </c>
      <c r="AB1389" s="9">
        <v>78070</v>
      </c>
      <c r="AC1389" s="9" t="s">
        <v>41</v>
      </c>
      <c r="AD1389" s="9" t="s">
        <v>132</v>
      </c>
      <c r="AE1389" s="9" t="s">
        <v>133</v>
      </c>
      <c r="AF1389" s="9" t="s">
        <v>133</v>
      </c>
      <c r="AG1389" s="14" t="str">
        <f t="shared" si="46"/>
        <v>EXAMENES DE LABORATORIO</v>
      </c>
      <c r="AH1389" s="9">
        <v>0</v>
      </c>
      <c r="AI1389" s="9">
        <v>0</v>
      </c>
      <c r="AJ1389" s="9">
        <v>96986050</v>
      </c>
      <c r="AK1389" s="9">
        <v>3</v>
      </c>
      <c r="AL1389" s="26" t="s">
        <v>52</v>
      </c>
      <c r="AM1389" s="14" t="s">
        <v>726</v>
      </c>
      <c r="AN1389" s="27" t="str">
        <f t="shared" si="45"/>
        <v>10315539|96986050|929666761|65383842</v>
      </c>
      <c r="AO1389" t="s">
        <v>44</v>
      </c>
      <c r="AP1389" t="b">
        <v>0</v>
      </c>
      <c r="AQ1389" t="s">
        <v>763</v>
      </c>
    </row>
    <row r="1390" spans="1:43" x14ac:dyDescent="0.2">
      <c r="A1390" s="14" t="s">
        <v>500</v>
      </c>
      <c r="B1390" s="17">
        <v>9942550</v>
      </c>
      <c r="C1390" s="14" t="s">
        <v>457</v>
      </c>
      <c r="D1390" s="9">
        <v>9942550</v>
      </c>
      <c r="E1390" s="9" t="s">
        <v>457</v>
      </c>
      <c r="F1390" s="7">
        <v>45717</v>
      </c>
      <c r="G1390" s="20" t="s">
        <v>36</v>
      </c>
      <c r="H1390" s="8">
        <v>929666897</v>
      </c>
      <c r="I1390" s="19">
        <v>929666897</v>
      </c>
      <c r="J1390" s="10">
        <v>14120</v>
      </c>
      <c r="K1390" s="10">
        <v>11296</v>
      </c>
      <c r="L1390" s="10">
        <v>2824</v>
      </c>
      <c r="M1390" s="10">
        <v>0</v>
      </c>
      <c r="N1390" s="11">
        <v>2824</v>
      </c>
      <c r="O1390" s="12">
        <v>929666897</v>
      </c>
      <c r="P1390" s="9">
        <v>285123</v>
      </c>
      <c r="Q1390" s="9" t="s">
        <v>37</v>
      </c>
      <c r="R1390" s="13">
        <v>45721</v>
      </c>
      <c r="S1390" s="22">
        <v>45721</v>
      </c>
      <c r="T1390" s="13">
        <v>45721</v>
      </c>
      <c r="U1390" s="13">
        <v>45721</v>
      </c>
      <c r="V1390" s="9" t="s">
        <v>47</v>
      </c>
      <c r="W1390" s="9">
        <v>22676700</v>
      </c>
      <c r="X1390" s="9">
        <v>3101656</v>
      </c>
      <c r="Y1390" s="9">
        <v>68992731</v>
      </c>
      <c r="Z1390" s="9" t="s">
        <v>39</v>
      </c>
      <c r="AA1390" s="9">
        <v>9032025</v>
      </c>
      <c r="AB1390" s="9">
        <v>77868</v>
      </c>
      <c r="AC1390" s="9" t="s">
        <v>41</v>
      </c>
      <c r="AD1390" s="9" t="s">
        <v>132</v>
      </c>
      <c r="AE1390" s="9" t="s">
        <v>133</v>
      </c>
      <c r="AF1390" s="9" t="s">
        <v>133</v>
      </c>
      <c r="AG1390" s="14" t="str">
        <f t="shared" si="46"/>
        <v>EXAMENES DE LABORATORIO</v>
      </c>
      <c r="AH1390" s="9" t="s">
        <v>758</v>
      </c>
      <c r="AI1390" s="9">
        <v>0</v>
      </c>
      <c r="AJ1390" s="9">
        <v>76018992</v>
      </c>
      <c r="AK1390" s="9">
        <v>8</v>
      </c>
      <c r="AL1390" s="26" t="s">
        <v>83</v>
      </c>
      <c r="AM1390" s="14" t="s">
        <v>727</v>
      </c>
      <c r="AN1390" s="27" t="str">
        <f t="shared" si="45"/>
        <v>9942550|76018992|929666897|929666897</v>
      </c>
      <c r="AO1390" t="s">
        <v>758</v>
      </c>
      <c r="AP1390" t="b">
        <v>1</v>
      </c>
      <c r="AQ1390" t="s">
        <v>764</v>
      </c>
    </row>
    <row r="1391" spans="1:43" x14ac:dyDescent="0.2">
      <c r="A1391" s="14" t="s">
        <v>500</v>
      </c>
      <c r="B1391" s="17">
        <v>9942550</v>
      </c>
      <c r="C1391" s="14" t="s">
        <v>457</v>
      </c>
      <c r="D1391" s="9">
        <v>9942550</v>
      </c>
      <c r="E1391" s="9" t="s">
        <v>457</v>
      </c>
      <c r="F1391" s="7">
        <v>45717</v>
      </c>
      <c r="G1391" s="20" t="s">
        <v>46</v>
      </c>
      <c r="H1391" s="8">
        <v>929666897</v>
      </c>
      <c r="I1391" s="19">
        <v>65383774</v>
      </c>
      <c r="J1391" s="10">
        <v>2710</v>
      </c>
      <c r="K1391" s="10">
        <v>0</v>
      </c>
      <c r="L1391" s="10">
        <v>2710</v>
      </c>
      <c r="M1391" s="10">
        <v>0</v>
      </c>
      <c r="N1391" s="11">
        <v>2710</v>
      </c>
      <c r="O1391" s="12">
        <v>929666897</v>
      </c>
      <c r="P1391" s="9">
        <v>285123</v>
      </c>
      <c r="Q1391" s="9" t="s">
        <v>37</v>
      </c>
      <c r="R1391" s="13">
        <v>45721</v>
      </c>
      <c r="S1391" s="22">
        <v>45742</v>
      </c>
      <c r="T1391" s="13">
        <v>45721</v>
      </c>
      <c r="U1391" s="13">
        <v>45721</v>
      </c>
      <c r="V1391" s="9" t="s">
        <v>47</v>
      </c>
      <c r="W1391" s="9">
        <v>22772405</v>
      </c>
      <c r="X1391" s="9">
        <v>3311105</v>
      </c>
      <c r="Y1391" s="9">
        <v>69250663</v>
      </c>
      <c r="Z1391" s="9" t="s">
        <v>39</v>
      </c>
      <c r="AA1391" s="9">
        <v>918631630</v>
      </c>
      <c r="AB1391" s="9">
        <v>78070</v>
      </c>
      <c r="AC1391" s="9" t="s">
        <v>41</v>
      </c>
      <c r="AD1391" s="9" t="s">
        <v>132</v>
      </c>
      <c r="AE1391" s="9" t="s">
        <v>133</v>
      </c>
      <c r="AF1391" s="9" t="s">
        <v>133</v>
      </c>
      <c r="AG1391" s="14" t="str">
        <f t="shared" si="46"/>
        <v>EXAMENES DE LABORATORIO</v>
      </c>
      <c r="AH1391" s="9">
        <v>0</v>
      </c>
      <c r="AI1391" s="9">
        <v>0</v>
      </c>
      <c r="AJ1391" s="9">
        <v>76018992</v>
      </c>
      <c r="AK1391" s="9">
        <v>8</v>
      </c>
      <c r="AL1391" s="26" t="s">
        <v>52</v>
      </c>
      <c r="AM1391" s="14" t="s">
        <v>727</v>
      </c>
      <c r="AN1391" s="27" t="str">
        <f t="shared" si="45"/>
        <v>9942550|76018992|929666897|65383774</v>
      </c>
      <c r="AO1391" t="s">
        <v>44</v>
      </c>
      <c r="AP1391" t="b">
        <v>0</v>
      </c>
      <c r="AQ1391" t="s">
        <v>763</v>
      </c>
    </row>
    <row r="1392" spans="1:43" x14ac:dyDescent="0.2">
      <c r="A1392" s="14" t="s">
        <v>500</v>
      </c>
      <c r="B1392" s="17">
        <v>9942550</v>
      </c>
      <c r="C1392" s="14" t="s">
        <v>457</v>
      </c>
      <c r="D1392" s="9">
        <v>9942550</v>
      </c>
      <c r="E1392" s="9" t="s">
        <v>457</v>
      </c>
      <c r="F1392" s="7">
        <v>45717</v>
      </c>
      <c r="G1392" s="20" t="s">
        <v>36</v>
      </c>
      <c r="H1392" s="8">
        <v>929666898</v>
      </c>
      <c r="I1392" s="19">
        <v>929666898</v>
      </c>
      <c r="J1392" s="10">
        <v>20060</v>
      </c>
      <c r="K1392" s="10">
        <v>16048</v>
      </c>
      <c r="L1392" s="10">
        <v>4012</v>
      </c>
      <c r="M1392" s="10">
        <v>0</v>
      </c>
      <c r="N1392" s="11">
        <v>4012</v>
      </c>
      <c r="O1392" s="12">
        <v>929666898</v>
      </c>
      <c r="P1392" s="9">
        <v>285123</v>
      </c>
      <c r="Q1392" s="9" t="s">
        <v>37</v>
      </c>
      <c r="R1392" s="13">
        <v>45721</v>
      </c>
      <c r="S1392" s="22">
        <v>45721</v>
      </c>
      <c r="T1392" s="13">
        <v>45721</v>
      </c>
      <c r="U1392" s="13">
        <v>45721</v>
      </c>
      <c r="V1392" s="9" t="s">
        <v>47</v>
      </c>
      <c r="W1392" s="9">
        <v>22676700</v>
      </c>
      <c r="X1392" s="9">
        <v>3101656</v>
      </c>
      <c r="Y1392" s="9">
        <v>68994952</v>
      </c>
      <c r="Z1392" s="9" t="s">
        <v>39</v>
      </c>
      <c r="AA1392" s="9">
        <v>9032025</v>
      </c>
      <c r="AB1392" s="9">
        <v>77868</v>
      </c>
      <c r="AC1392" s="9" t="s">
        <v>41</v>
      </c>
      <c r="AD1392" s="9" t="s">
        <v>132</v>
      </c>
      <c r="AE1392" s="9" t="s">
        <v>133</v>
      </c>
      <c r="AF1392" s="9" t="s">
        <v>133</v>
      </c>
      <c r="AG1392" s="14" t="str">
        <f t="shared" si="46"/>
        <v>EXAMENES DE LABORATORIO</v>
      </c>
      <c r="AH1392" s="9" t="s">
        <v>758</v>
      </c>
      <c r="AI1392" s="9">
        <v>0</v>
      </c>
      <c r="AJ1392" s="9">
        <v>76018992</v>
      </c>
      <c r="AK1392" s="9">
        <v>8</v>
      </c>
      <c r="AL1392" s="26" t="s">
        <v>83</v>
      </c>
      <c r="AM1392" s="14" t="s">
        <v>727</v>
      </c>
      <c r="AN1392" s="27" t="str">
        <f t="shared" si="45"/>
        <v>9942550|76018992|929666898|929666898</v>
      </c>
      <c r="AO1392" t="s">
        <v>758</v>
      </c>
      <c r="AP1392" t="b">
        <v>1</v>
      </c>
      <c r="AQ1392" t="s">
        <v>764</v>
      </c>
    </row>
    <row r="1393" spans="1:43" x14ac:dyDescent="0.2">
      <c r="A1393" s="14" t="s">
        <v>500</v>
      </c>
      <c r="B1393" s="17">
        <v>9942550</v>
      </c>
      <c r="C1393" s="14" t="s">
        <v>457</v>
      </c>
      <c r="D1393" s="9">
        <v>9942550</v>
      </c>
      <c r="E1393" s="9" t="s">
        <v>457</v>
      </c>
      <c r="F1393" s="7">
        <v>45717</v>
      </c>
      <c r="G1393" s="20" t="s">
        <v>46</v>
      </c>
      <c r="H1393" s="8">
        <v>929666898</v>
      </c>
      <c r="I1393" s="19">
        <v>65383775</v>
      </c>
      <c r="J1393" s="10">
        <v>3870</v>
      </c>
      <c r="K1393" s="10">
        <v>0</v>
      </c>
      <c r="L1393" s="10">
        <v>3870</v>
      </c>
      <c r="M1393" s="10">
        <v>0</v>
      </c>
      <c r="N1393" s="11">
        <v>3870</v>
      </c>
      <c r="O1393" s="12">
        <v>929666898</v>
      </c>
      <c r="P1393" s="9">
        <v>285123</v>
      </c>
      <c r="Q1393" s="9" t="s">
        <v>37</v>
      </c>
      <c r="R1393" s="13">
        <v>45721</v>
      </c>
      <c r="S1393" s="22">
        <v>45742</v>
      </c>
      <c r="T1393" s="13">
        <v>45721</v>
      </c>
      <c r="U1393" s="13">
        <v>45721</v>
      </c>
      <c r="V1393" s="9" t="s">
        <v>47</v>
      </c>
      <c r="W1393" s="9">
        <v>22772405</v>
      </c>
      <c r="X1393" s="9">
        <v>3311105</v>
      </c>
      <c r="Y1393" s="9">
        <v>69250664</v>
      </c>
      <c r="Z1393" s="9" t="s">
        <v>39</v>
      </c>
      <c r="AA1393" s="9">
        <v>918631630</v>
      </c>
      <c r="AB1393" s="9">
        <v>78070</v>
      </c>
      <c r="AC1393" s="9" t="s">
        <v>41</v>
      </c>
      <c r="AD1393" s="9" t="s">
        <v>132</v>
      </c>
      <c r="AE1393" s="9" t="s">
        <v>133</v>
      </c>
      <c r="AF1393" s="9" t="s">
        <v>133</v>
      </c>
      <c r="AG1393" s="14" t="str">
        <f t="shared" si="46"/>
        <v>EXAMENES DE LABORATORIO</v>
      </c>
      <c r="AH1393" s="9">
        <v>0</v>
      </c>
      <c r="AI1393" s="9">
        <v>0</v>
      </c>
      <c r="AJ1393" s="9">
        <v>76018992</v>
      </c>
      <c r="AK1393" s="9">
        <v>8</v>
      </c>
      <c r="AL1393" s="26" t="s">
        <v>52</v>
      </c>
      <c r="AM1393" s="14" t="s">
        <v>727</v>
      </c>
      <c r="AN1393" s="27" t="str">
        <f t="shared" si="45"/>
        <v>9942550|76018992|929666898|65383775</v>
      </c>
      <c r="AO1393" t="s">
        <v>44</v>
      </c>
      <c r="AP1393" t="b">
        <v>0</v>
      </c>
      <c r="AQ1393" t="s">
        <v>763</v>
      </c>
    </row>
    <row r="1394" spans="1:43" x14ac:dyDescent="0.2">
      <c r="A1394" s="14" t="s">
        <v>500</v>
      </c>
      <c r="B1394" s="17">
        <v>10315539</v>
      </c>
      <c r="C1394" s="14" t="s">
        <v>456</v>
      </c>
      <c r="D1394" s="9">
        <v>10315539</v>
      </c>
      <c r="E1394" s="9" t="s">
        <v>456</v>
      </c>
      <c r="F1394" s="7">
        <v>45717</v>
      </c>
      <c r="G1394" s="20" t="s">
        <v>36</v>
      </c>
      <c r="H1394" s="8">
        <v>929678352</v>
      </c>
      <c r="I1394" s="19">
        <v>929678352</v>
      </c>
      <c r="J1394" s="10">
        <v>10740</v>
      </c>
      <c r="K1394" s="10">
        <v>7518</v>
      </c>
      <c r="L1394" s="10">
        <v>3222</v>
      </c>
      <c r="M1394" s="10">
        <v>0</v>
      </c>
      <c r="N1394" s="11">
        <v>3222</v>
      </c>
      <c r="O1394" s="12">
        <v>929678352</v>
      </c>
      <c r="P1394" s="9">
        <v>285123</v>
      </c>
      <c r="Q1394" s="9" t="s">
        <v>37</v>
      </c>
      <c r="R1394" s="13">
        <v>45720</v>
      </c>
      <c r="S1394" s="22">
        <v>45720</v>
      </c>
      <c r="T1394" s="13">
        <v>45720</v>
      </c>
      <c r="U1394" s="13">
        <v>45720</v>
      </c>
      <c r="V1394" s="9" t="s">
        <v>47</v>
      </c>
      <c r="W1394" s="9">
        <v>22676644</v>
      </c>
      <c r="X1394" s="9">
        <v>3101656</v>
      </c>
      <c r="Y1394" s="9">
        <v>68992774</v>
      </c>
      <c r="Z1394" s="9" t="s">
        <v>39</v>
      </c>
      <c r="AA1394" s="9">
        <v>9032025</v>
      </c>
      <c r="AB1394" s="9">
        <v>77868</v>
      </c>
      <c r="AC1394" s="9" t="s">
        <v>41</v>
      </c>
      <c r="AD1394" s="9" t="s">
        <v>65</v>
      </c>
      <c r="AE1394" s="9" t="s">
        <v>66</v>
      </c>
      <c r="AF1394" s="9" t="s">
        <v>66</v>
      </c>
      <c r="AG1394" s="14" t="str">
        <f t="shared" si="46"/>
        <v>PROCEDIMIENTOS TERAPEUTICOS</v>
      </c>
      <c r="AH1394" s="9" t="s">
        <v>758</v>
      </c>
      <c r="AI1394" s="9">
        <v>0</v>
      </c>
      <c r="AJ1394" s="9">
        <v>96942400</v>
      </c>
      <c r="AK1394" s="9">
        <v>2</v>
      </c>
      <c r="AL1394" s="26" t="s">
        <v>83</v>
      </c>
      <c r="AM1394" s="14" t="s">
        <v>726</v>
      </c>
      <c r="AN1394" s="27" t="str">
        <f t="shared" si="45"/>
        <v>10315539|96942400|929678352|929678352</v>
      </c>
      <c r="AO1394" t="s">
        <v>758</v>
      </c>
      <c r="AP1394" t="b">
        <v>1</v>
      </c>
      <c r="AQ1394" t="s">
        <v>764</v>
      </c>
    </row>
    <row r="1395" spans="1:43" x14ac:dyDescent="0.2">
      <c r="A1395" s="14" t="s">
        <v>500</v>
      </c>
      <c r="B1395" s="17">
        <v>10315539</v>
      </c>
      <c r="C1395" s="14" t="s">
        <v>456</v>
      </c>
      <c r="D1395" s="9">
        <v>10315539</v>
      </c>
      <c r="E1395" s="9" t="s">
        <v>456</v>
      </c>
      <c r="F1395" s="7">
        <v>45717</v>
      </c>
      <c r="G1395" s="20" t="s">
        <v>46</v>
      </c>
      <c r="H1395" s="8">
        <v>929678352</v>
      </c>
      <c r="I1395" s="19">
        <v>65383843</v>
      </c>
      <c r="J1395" s="10">
        <v>3096</v>
      </c>
      <c r="K1395" s="10">
        <v>0</v>
      </c>
      <c r="L1395" s="10">
        <v>3096</v>
      </c>
      <c r="M1395" s="10">
        <v>0</v>
      </c>
      <c r="N1395" s="11">
        <v>3096</v>
      </c>
      <c r="O1395" s="12">
        <v>929678352</v>
      </c>
      <c r="P1395" s="9">
        <v>285123</v>
      </c>
      <c r="Q1395" s="9" t="s">
        <v>37</v>
      </c>
      <c r="R1395" s="13">
        <v>45720</v>
      </c>
      <c r="S1395" s="22">
        <v>45742</v>
      </c>
      <c r="T1395" s="13">
        <v>45720</v>
      </c>
      <c r="U1395" s="13">
        <v>45720</v>
      </c>
      <c r="V1395" s="9" t="s">
        <v>47</v>
      </c>
      <c r="W1395" s="9">
        <v>22772388</v>
      </c>
      <c r="X1395" s="9">
        <v>3311105</v>
      </c>
      <c r="Y1395" s="9">
        <v>69250732</v>
      </c>
      <c r="Z1395" s="9" t="s">
        <v>39</v>
      </c>
      <c r="AA1395" s="9">
        <v>1592519203</v>
      </c>
      <c r="AB1395" s="9">
        <v>78070</v>
      </c>
      <c r="AC1395" s="9" t="s">
        <v>41</v>
      </c>
      <c r="AD1395" s="9" t="s">
        <v>65</v>
      </c>
      <c r="AE1395" s="9" t="s">
        <v>66</v>
      </c>
      <c r="AF1395" s="9" t="s">
        <v>66</v>
      </c>
      <c r="AG1395" s="14" t="str">
        <f t="shared" si="46"/>
        <v>PROCEDIMIENTOS TERAPEUTICOS</v>
      </c>
      <c r="AH1395" s="9">
        <v>0</v>
      </c>
      <c r="AI1395" s="9">
        <v>0</v>
      </c>
      <c r="AJ1395" s="9">
        <v>96942400</v>
      </c>
      <c r="AK1395" s="9">
        <v>2</v>
      </c>
      <c r="AL1395" s="26" t="s">
        <v>52</v>
      </c>
      <c r="AM1395" s="14" t="s">
        <v>726</v>
      </c>
      <c r="AN1395" s="27" t="str">
        <f t="shared" si="45"/>
        <v>10315539|96942400|929678352|65383843</v>
      </c>
      <c r="AO1395" t="s">
        <v>44</v>
      </c>
      <c r="AP1395" t="b">
        <v>0</v>
      </c>
      <c r="AQ1395" t="s">
        <v>763</v>
      </c>
    </row>
    <row r="1396" spans="1:43" x14ac:dyDescent="0.2">
      <c r="A1396" s="14" t="s">
        <v>500</v>
      </c>
      <c r="B1396" s="17">
        <v>14266557</v>
      </c>
      <c r="C1396" s="14" t="s">
        <v>458</v>
      </c>
      <c r="D1396" s="9">
        <v>14266557</v>
      </c>
      <c r="E1396" s="9" t="s">
        <v>458</v>
      </c>
      <c r="F1396" s="7">
        <v>45689</v>
      </c>
      <c r="G1396" s="20" t="s">
        <v>36</v>
      </c>
      <c r="H1396" s="8">
        <v>929708684</v>
      </c>
      <c r="I1396" s="19">
        <v>929708684</v>
      </c>
      <c r="J1396" s="10">
        <v>14100</v>
      </c>
      <c r="K1396" s="10">
        <v>9870</v>
      </c>
      <c r="L1396" s="10">
        <v>4230</v>
      </c>
      <c r="M1396" s="10">
        <v>0</v>
      </c>
      <c r="N1396" s="11">
        <v>4230</v>
      </c>
      <c r="O1396" s="12">
        <v>929708684</v>
      </c>
      <c r="P1396" s="9">
        <v>285123</v>
      </c>
      <c r="Q1396" s="9" t="s">
        <v>37</v>
      </c>
      <c r="R1396" s="13">
        <v>45716</v>
      </c>
      <c r="S1396" s="22">
        <v>45716</v>
      </c>
      <c r="T1396" s="13">
        <v>45716</v>
      </c>
      <c r="U1396" s="13">
        <v>45716</v>
      </c>
      <c r="V1396" s="9" t="s">
        <v>47</v>
      </c>
      <c r="W1396" s="9">
        <v>22646508</v>
      </c>
      <c r="X1396" s="9">
        <v>3041018</v>
      </c>
      <c r="Y1396" s="9">
        <v>68953597</v>
      </c>
      <c r="Z1396" s="9" t="s">
        <v>39</v>
      </c>
      <c r="AA1396" s="9">
        <v>2032025</v>
      </c>
      <c r="AB1396" s="9">
        <v>77760</v>
      </c>
      <c r="AC1396" s="9" t="s">
        <v>41</v>
      </c>
      <c r="AD1396" s="9" t="s">
        <v>132</v>
      </c>
      <c r="AE1396" s="9" t="s">
        <v>133</v>
      </c>
      <c r="AF1396" s="9" t="s">
        <v>133</v>
      </c>
      <c r="AG1396" s="14" t="str">
        <f t="shared" si="46"/>
        <v>EXAMENES DE LABORATORIO</v>
      </c>
      <c r="AH1396" s="9" t="s">
        <v>758</v>
      </c>
      <c r="AI1396" s="9">
        <v>0</v>
      </c>
      <c r="AJ1396" s="9">
        <v>78918290</v>
      </c>
      <c r="AK1396" s="9">
        <v>6</v>
      </c>
      <c r="AL1396" s="26" t="s">
        <v>83</v>
      </c>
      <c r="AM1396" s="14" t="s">
        <v>728</v>
      </c>
      <c r="AN1396" s="27" t="str">
        <f t="shared" si="45"/>
        <v>14266557|78918290|929708684|929708684</v>
      </c>
      <c r="AO1396" t="s">
        <v>758</v>
      </c>
      <c r="AP1396" t="b">
        <v>1</v>
      </c>
      <c r="AQ1396" t="s">
        <v>764</v>
      </c>
    </row>
    <row r="1397" spans="1:43" x14ac:dyDescent="0.2">
      <c r="A1397" s="14" t="s">
        <v>500</v>
      </c>
      <c r="B1397" s="17">
        <v>14266557</v>
      </c>
      <c r="C1397" s="14" t="s">
        <v>458</v>
      </c>
      <c r="D1397" s="9">
        <v>14266557</v>
      </c>
      <c r="E1397" s="9" t="s">
        <v>458</v>
      </c>
      <c r="F1397" s="7">
        <v>45717</v>
      </c>
      <c r="G1397" s="20" t="s">
        <v>46</v>
      </c>
      <c r="H1397" s="8">
        <v>929708684</v>
      </c>
      <c r="I1397" s="19">
        <v>65384221</v>
      </c>
      <c r="J1397" s="10">
        <v>4251</v>
      </c>
      <c r="K1397" s="10">
        <v>0</v>
      </c>
      <c r="L1397" s="10">
        <v>4251</v>
      </c>
      <c r="M1397" s="10">
        <v>0</v>
      </c>
      <c r="N1397" s="11">
        <v>4251</v>
      </c>
      <c r="O1397" s="12">
        <v>929708684</v>
      </c>
      <c r="P1397" s="9">
        <v>285123</v>
      </c>
      <c r="Q1397" s="9" t="s">
        <v>37</v>
      </c>
      <c r="R1397" s="13">
        <v>45717</v>
      </c>
      <c r="S1397" s="22">
        <v>45742</v>
      </c>
      <c r="T1397" s="13">
        <v>45716</v>
      </c>
      <c r="U1397" s="13">
        <v>45716</v>
      </c>
      <c r="V1397" s="9" t="s">
        <v>47</v>
      </c>
      <c r="W1397" s="9">
        <v>22770748</v>
      </c>
      <c r="X1397" s="9">
        <v>3311105</v>
      </c>
      <c r="Y1397" s="9">
        <v>69251096</v>
      </c>
      <c r="Z1397" s="9" t="s">
        <v>39</v>
      </c>
      <c r="AA1397" s="9">
        <v>14266557</v>
      </c>
      <c r="AB1397" s="9">
        <v>78070</v>
      </c>
      <c r="AC1397" s="9" t="s">
        <v>41</v>
      </c>
      <c r="AD1397" s="9" t="s">
        <v>132</v>
      </c>
      <c r="AE1397" s="9" t="s">
        <v>133</v>
      </c>
      <c r="AF1397" s="9" t="s">
        <v>133</v>
      </c>
      <c r="AG1397" s="14" t="str">
        <f t="shared" si="46"/>
        <v>EXAMENES DE LABORATORIO</v>
      </c>
      <c r="AH1397" s="9">
        <v>0</v>
      </c>
      <c r="AI1397" s="9">
        <v>0</v>
      </c>
      <c r="AJ1397" s="9">
        <v>78918290</v>
      </c>
      <c r="AK1397" s="9">
        <v>6</v>
      </c>
      <c r="AL1397" s="26" t="s">
        <v>52</v>
      </c>
      <c r="AM1397" s="14" t="s">
        <v>728</v>
      </c>
      <c r="AN1397" s="27" t="str">
        <f t="shared" si="45"/>
        <v>14266557|78918290|929708684|65384221</v>
      </c>
      <c r="AO1397" t="s">
        <v>44</v>
      </c>
      <c r="AP1397" t="b">
        <v>0</v>
      </c>
      <c r="AQ1397" t="s">
        <v>763</v>
      </c>
    </row>
    <row r="1398" spans="1:43" x14ac:dyDescent="0.2">
      <c r="A1398" s="14" t="s">
        <v>500</v>
      </c>
      <c r="B1398" s="17">
        <v>14266557</v>
      </c>
      <c r="C1398" s="14" t="s">
        <v>458</v>
      </c>
      <c r="D1398" s="9">
        <v>14266557</v>
      </c>
      <c r="E1398" s="9" t="s">
        <v>458</v>
      </c>
      <c r="F1398" s="7">
        <v>45689</v>
      </c>
      <c r="G1398" s="20" t="s">
        <v>36</v>
      </c>
      <c r="H1398" s="8">
        <v>929708685</v>
      </c>
      <c r="I1398" s="19">
        <v>929708685</v>
      </c>
      <c r="J1398" s="10">
        <v>51980</v>
      </c>
      <c r="K1398" s="10">
        <v>36386</v>
      </c>
      <c r="L1398" s="10">
        <v>15594</v>
      </c>
      <c r="M1398" s="10">
        <v>0</v>
      </c>
      <c r="N1398" s="11">
        <v>15594</v>
      </c>
      <c r="O1398" s="12">
        <v>929708685</v>
      </c>
      <c r="P1398" s="9">
        <v>285123</v>
      </c>
      <c r="Q1398" s="9" t="s">
        <v>37</v>
      </c>
      <c r="R1398" s="13">
        <v>45716</v>
      </c>
      <c r="S1398" s="22">
        <v>45716</v>
      </c>
      <c r="T1398" s="13">
        <v>45716</v>
      </c>
      <c r="U1398" s="13">
        <v>45716</v>
      </c>
      <c r="V1398" s="9" t="s">
        <v>47</v>
      </c>
      <c r="W1398" s="9">
        <v>22646508</v>
      </c>
      <c r="X1398" s="9">
        <v>3041018</v>
      </c>
      <c r="Y1398" s="9">
        <v>68953598</v>
      </c>
      <c r="Z1398" s="9" t="s">
        <v>39</v>
      </c>
      <c r="AA1398" s="9">
        <v>2032025</v>
      </c>
      <c r="AB1398" s="9">
        <v>77760</v>
      </c>
      <c r="AC1398" s="9" t="s">
        <v>41</v>
      </c>
      <c r="AD1398" s="9" t="s">
        <v>132</v>
      </c>
      <c r="AE1398" s="9" t="s">
        <v>133</v>
      </c>
      <c r="AF1398" s="9" t="s">
        <v>133</v>
      </c>
      <c r="AG1398" s="14" t="str">
        <f t="shared" si="46"/>
        <v>EXAMENES DE LABORATORIO</v>
      </c>
      <c r="AH1398" s="9" t="s">
        <v>758</v>
      </c>
      <c r="AI1398" s="9">
        <v>0</v>
      </c>
      <c r="AJ1398" s="9">
        <v>78918290</v>
      </c>
      <c r="AK1398" s="9">
        <v>6</v>
      </c>
      <c r="AL1398" s="26" t="s">
        <v>83</v>
      </c>
      <c r="AM1398" s="14" t="s">
        <v>728</v>
      </c>
      <c r="AN1398" s="27" t="str">
        <f t="shared" si="45"/>
        <v>14266557|78918290|929708685|929708685</v>
      </c>
      <c r="AO1398" t="s">
        <v>758</v>
      </c>
      <c r="AP1398" t="b">
        <v>1</v>
      </c>
      <c r="AQ1398" t="s">
        <v>764</v>
      </c>
    </row>
    <row r="1399" spans="1:43" x14ac:dyDescent="0.2">
      <c r="A1399" s="14" t="s">
        <v>500</v>
      </c>
      <c r="B1399" s="17">
        <v>14266557</v>
      </c>
      <c r="C1399" s="14" t="s">
        <v>458</v>
      </c>
      <c r="D1399" s="9">
        <v>14266557</v>
      </c>
      <c r="E1399" s="9" t="s">
        <v>458</v>
      </c>
      <c r="F1399" s="7">
        <v>45717</v>
      </c>
      <c r="G1399" s="20" t="s">
        <v>46</v>
      </c>
      <c r="H1399" s="8">
        <v>929708685</v>
      </c>
      <c r="I1399" s="19">
        <v>65384222</v>
      </c>
      <c r="J1399" s="10">
        <v>15070</v>
      </c>
      <c r="K1399" s="10">
        <v>0</v>
      </c>
      <c r="L1399" s="10">
        <v>15070</v>
      </c>
      <c r="M1399" s="10">
        <v>0</v>
      </c>
      <c r="N1399" s="11">
        <v>15070</v>
      </c>
      <c r="O1399" s="12">
        <v>929708685</v>
      </c>
      <c r="P1399" s="9">
        <v>285123</v>
      </c>
      <c r="Q1399" s="9" t="s">
        <v>37</v>
      </c>
      <c r="R1399" s="13">
        <v>45717</v>
      </c>
      <c r="S1399" s="22">
        <v>45742</v>
      </c>
      <c r="T1399" s="13">
        <v>45716</v>
      </c>
      <c r="U1399" s="13">
        <v>45716</v>
      </c>
      <c r="V1399" s="9" t="s">
        <v>47</v>
      </c>
      <c r="W1399" s="9">
        <v>22770748</v>
      </c>
      <c r="X1399" s="9">
        <v>3311105</v>
      </c>
      <c r="Y1399" s="9">
        <v>69251097</v>
      </c>
      <c r="Z1399" s="9" t="s">
        <v>39</v>
      </c>
      <c r="AA1399" s="9">
        <v>14266557</v>
      </c>
      <c r="AB1399" s="9">
        <v>78070</v>
      </c>
      <c r="AC1399" s="9" t="s">
        <v>41</v>
      </c>
      <c r="AD1399" s="9" t="s">
        <v>132</v>
      </c>
      <c r="AE1399" s="9" t="s">
        <v>133</v>
      </c>
      <c r="AF1399" s="9" t="s">
        <v>133</v>
      </c>
      <c r="AG1399" s="14" t="str">
        <f t="shared" si="46"/>
        <v>EXAMENES DE LABORATORIO</v>
      </c>
      <c r="AH1399" s="9">
        <v>0</v>
      </c>
      <c r="AI1399" s="9">
        <v>0</v>
      </c>
      <c r="AJ1399" s="9">
        <v>78918290</v>
      </c>
      <c r="AK1399" s="9">
        <v>6</v>
      </c>
      <c r="AL1399" s="26" t="s">
        <v>52</v>
      </c>
      <c r="AM1399" s="14" t="s">
        <v>728</v>
      </c>
      <c r="AN1399" s="27" t="str">
        <f t="shared" si="45"/>
        <v>14266557|78918290|929708685|65384222</v>
      </c>
      <c r="AO1399" t="s">
        <v>44</v>
      </c>
      <c r="AP1399" t="b">
        <v>0</v>
      </c>
      <c r="AQ1399" t="s">
        <v>763</v>
      </c>
    </row>
    <row r="1400" spans="1:43" x14ac:dyDescent="0.2">
      <c r="A1400" s="14" t="s">
        <v>500</v>
      </c>
      <c r="B1400" s="17">
        <v>14266557</v>
      </c>
      <c r="C1400" s="14" t="s">
        <v>458</v>
      </c>
      <c r="D1400" s="9">
        <v>14266557</v>
      </c>
      <c r="E1400" s="9" t="s">
        <v>458</v>
      </c>
      <c r="F1400" s="7">
        <v>45689</v>
      </c>
      <c r="G1400" s="20" t="s">
        <v>36</v>
      </c>
      <c r="H1400" s="8">
        <v>929708686</v>
      </c>
      <c r="I1400" s="19">
        <v>929708686</v>
      </c>
      <c r="J1400" s="10">
        <v>31330</v>
      </c>
      <c r="K1400" s="10">
        <v>21931</v>
      </c>
      <c r="L1400" s="10">
        <v>9399</v>
      </c>
      <c r="M1400" s="10">
        <v>0</v>
      </c>
      <c r="N1400" s="11">
        <v>9399</v>
      </c>
      <c r="O1400" s="12">
        <v>929708686</v>
      </c>
      <c r="P1400" s="9">
        <v>285123</v>
      </c>
      <c r="Q1400" s="9" t="s">
        <v>37</v>
      </c>
      <c r="R1400" s="13">
        <v>45716</v>
      </c>
      <c r="S1400" s="22">
        <v>45716</v>
      </c>
      <c r="T1400" s="13">
        <v>45716</v>
      </c>
      <c r="U1400" s="13">
        <v>45716</v>
      </c>
      <c r="V1400" s="9" t="s">
        <v>47</v>
      </c>
      <c r="W1400" s="9">
        <v>22646508</v>
      </c>
      <c r="X1400" s="9">
        <v>3041018</v>
      </c>
      <c r="Y1400" s="9">
        <v>68953599</v>
      </c>
      <c r="Z1400" s="9" t="s">
        <v>39</v>
      </c>
      <c r="AA1400" s="9">
        <v>2032025</v>
      </c>
      <c r="AB1400" s="9">
        <v>77760</v>
      </c>
      <c r="AC1400" s="9" t="s">
        <v>41</v>
      </c>
      <c r="AD1400" s="9" t="s">
        <v>132</v>
      </c>
      <c r="AE1400" s="9" t="s">
        <v>133</v>
      </c>
      <c r="AF1400" s="9" t="s">
        <v>133</v>
      </c>
      <c r="AG1400" s="14" t="str">
        <f t="shared" si="46"/>
        <v>EXAMENES DE LABORATORIO</v>
      </c>
      <c r="AH1400" s="9" t="s">
        <v>758</v>
      </c>
      <c r="AI1400" s="9">
        <v>0</v>
      </c>
      <c r="AJ1400" s="9">
        <v>78918290</v>
      </c>
      <c r="AK1400" s="9">
        <v>6</v>
      </c>
      <c r="AL1400" s="26" t="s">
        <v>83</v>
      </c>
      <c r="AM1400" s="14" t="s">
        <v>728</v>
      </c>
      <c r="AN1400" s="27" t="str">
        <f t="shared" si="45"/>
        <v>14266557|78918290|929708686|929708686</v>
      </c>
      <c r="AO1400" t="s">
        <v>758</v>
      </c>
      <c r="AP1400" t="b">
        <v>1</v>
      </c>
      <c r="AQ1400" t="s">
        <v>764</v>
      </c>
    </row>
    <row r="1401" spans="1:43" x14ac:dyDescent="0.2">
      <c r="A1401" s="14" t="s">
        <v>500</v>
      </c>
      <c r="B1401" s="17">
        <v>14266557</v>
      </c>
      <c r="C1401" s="14" t="s">
        <v>458</v>
      </c>
      <c r="D1401" s="9">
        <v>14266557</v>
      </c>
      <c r="E1401" s="9" t="s">
        <v>458</v>
      </c>
      <c r="F1401" s="7">
        <v>45717</v>
      </c>
      <c r="G1401" s="20" t="s">
        <v>46</v>
      </c>
      <c r="H1401" s="8">
        <v>929708686</v>
      </c>
      <c r="I1401" s="19">
        <v>65384223</v>
      </c>
      <c r="J1401" s="10">
        <v>9272</v>
      </c>
      <c r="K1401" s="10">
        <v>0</v>
      </c>
      <c r="L1401" s="10">
        <v>9272</v>
      </c>
      <c r="M1401" s="10">
        <v>0</v>
      </c>
      <c r="N1401" s="11">
        <v>9272</v>
      </c>
      <c r="O1401" s="12">
        <v>929708686</v>
      </c>
      <c r="P1401" s="9">
        <v>285123</v>
      </c>
      <c r="Q1401" s="9" t="s">
        <v>37</v>
      </c>
      <c r="R1401" s="13">
        <v>45717</v>
      </c>
      <c r="S1401" s="22">
        <v>45742</v>
      </c>
      <c r="T1401" s="13">
        <v>45716</v>
      </c>
      <c r="U1401" s="13">
        <v>45716</v>
      </c>
      <c r="V1401" s="9" t="s">
        <v>47</v>
      </c>
      <c r="W1401" s="9">
        <v>22770748</v>
      </c>
      <c r="X1401" s="9">
        <v>3311105</v>
      </c>
      <c r="Y1401" s="9">
        <v>69251098</v>
      </c>
      <c r="Z1401" s="9" t="s">
        <v>39</v>
      </c>
      <c r="AA1401" s="9">
        <v>14266557</v>
      </c>
      <c r="AB1401" s="9">
        <v>78070</v>
      </c>
      <c r="AC1401" s="9" t="s">
        <v>41</v>
      </c>
      <c r="AD1401" s="9" t="s">
        <v>132</v>
      </c>
      <c r="AE1401" s="9" t="s">
        <v>133</v>
      </c>
      <c r="AF1401" s="9" t="s">
        <v>133</v>
      </c>
      <c r="AG1401" s="14" t="str">
        <f t="shared" si="46"/>
        <v>EXAMENES DE LABORATORIO</v>
      </c>
      <c r="AH1401" s="9">
        <v>0</v>
      </c>
      <c r="AI1401" s="9">
        <v>0</v>
      </c>
      <c r="AJ1401" s="9">
        <v>78918290</v>
      </c>
      <c r="AK1401" s="9">
        <v>6</v>
      </c>
      <c r="AL1401" s="26" t="s">
        <v>52</v>
      </c>
      <c r="AM1401" s="14" t="s">
        <v>728</v>
      </c>
      <c r="AN1401" s="27" t="str">
        <f t="shared" si="45"/>
        <v>14266557|78918290|929708686|65384223</v>
      </c>
      <c r="AO1401" t="s">
        <v>44</v>
      </c>
      <c r="AP1401" t="b">
        <v>0</v>
      </c>
      <c r="AQ1401" t="s">
        <v>763</v>
      </c>
    </row>
    <row r="1402" spans="1:43" x14ac:dyDescent="0.2">
      <c r="A1402" s="14" t="s">
        <v>500</v>
      </c>
      <c r="B1402" s="17">
        <v>10553575</v>
      </c>
      <c r="C1402" s="14" t="s">
        <v>459</v>
      </c>
      <c r="D1402" s="9">
        <v>10553575</v>
      </c>
      <c r="E1402" s="9" t="s">
        <v>459</v>
      </c>
      <c r="F1402" s="7">
        <v>45689</v>
      </c>
      <c r="G1402" s="20" t="s">
        <v>36</v>
      </c>
      <c r="H1402" s="8">
        <v>929714669</v>
      </c>
      <c r="I1402" s="19">
        <v>929714669</v>
      </c>
      <c r="J1402" s="10">
        <v>11814</v>
      </c>
      <c r="K1402" s="10">
        <v>8270</v>
      </c>
      <c r="L1402" s="10">
        <v>3544</v>
      </c>
      <c r="M1402" s="10">
        <v>0</v>
      </c>
      <c r="N1402" s="11">
        <v>3544</v>
      </c>
      <c r="O1402" s="12">
        <v>929714669</v>
      </c>
      <c r="P1402" s="9">
        <v>285123</v>
      </c>
      <c r="Q1402" s="9" t="s">
        <v>37</v>
      </c>
      <c r="R1402" s="13">
        <v>45715</v>
      </c>
      <c r="S1402" s="22">
        <v>45715</v>
      </c>
      <c r="T1402" s="13">
        <v>45715</v>
      </c>
      <c r="U1402" s="13">
        <v>45715</v>
      </c>
      <c r="V1402" s="9" t="s">
        <v>47</v>
      </c>
      <c r="W1402" s="9">
        <v>22646435</v>
      </c>
      <c r="X1402" s="9">
        <v>3041018</v>
      </c>
      <c r="Y1402" s="9">
        <v>68953228</v>
      </c>
      <c r="Z1402" s="9" t="s">
        <v>39</v>
      </c>
      <c r="AA1402" s="9">
        <v>2032025</v>
      </c>
      <c r="AB1402" s="9">
        <v>77760</v>
      </c>
      <c r="AC1402" s="9" t="s">
        <v>41</v>
      </c>
      <c r="AD1402" s="9" t="s">
        <v>132</v>
      </c>
      <c r="AE1402" s="9" t="s">
        <v>133</v>
      </c>
      <c r="AF1402" s="9" t="s">
        <v>133</v>
      </c>
      <c r="AG1402" s="14" t="str">
        <f t="shared" si="46"/>
        <v>EXAMENES DE LABORATORIO</v>
      </c>
      <c r="AH1402" s="9" t="s">
        <v>758</v>
      </c>
      <c r="AI1402" s="9">
        <v>0</v>
      </c>
      <c r="AJ1402" s="9">
        <v>78040520</v>
      </c>
      <c r="AK1402" s="9">
        <v>1</v>
      </c>
      <c r="AL1402" s="26" t="s">
        <v>83</v>
      </c>
      <c r="AM1402" s="14" t="s">
        <v>729</v>
      </c>
      <c r="AN1402" s="27" t="str">
        <f t="shared" si="45"/>
        <v>10553575|78040520|929714669|929714669</v>
      </c>
      <c r="AO1402" t="s">
        <v>758</v>
      </c>
      <c r="AP1402" t="b">
        <v>1</v>
      </c>
      <c r="AQ1402" t="s">
        <v>764</v>
      </c>
    </row>
    <row r="1403" spans="1:43" x14ac:dyDescent="0.2">
      <c r="A1403" s="14" t="s">
        <v>500</v>
      </c>
      <c r="B1403" s="17">
        <v>10553575</v>
      </c>
      <c r="C1403" s="14" t="s">
        <v>459</v>
      </c>
      <c r="D1403" s="9">
        <v>10553575</v>
      </c>
      <c r="E1403" s="9" t="s">
        <v>459</v>
      </c>
      <c r="F1403" s="7">
        <v>45717</v>
      </c>
      <c r="G1403" s="20" t="s">
        <v>46</v>
      </c>
      <c r="H1403" s="8">
        <v>929714669</v>
      </c>
      <c r="I1403" s="19">
        <v>65383862</v>
      </c>
      <c r="J1403" s="10">
        <v>3476</v>
      </c>
      <c r="K1403" s="10">
        <v>0</v>
      </c>
      <c r="L1403" s="10">
        <v>3476</v>
      </c>
      <c r="M1403" s="10">
        <v>0</v>
      </c>
      <c r="N1403" s="11">
        <v>3476</v>
      </c>
      <c r="O1403" s="12">
        <v>929714669</v>
      </c>
      <c r="P1403" s="9">
        <v>285123</v>
      </c>
      <c r="Q1403" s="9" t="s">
        <v>37</v>
      </c>
      <c r="R1403" s="13">
        <v>45717</v>
      </c>
      <c r="S1403" s="22">
        <v>45742</v>
      </c>
      <c r="T1403" s="13">
        <v>45715</v>
      </c>
      <c r="U1403" s="13">
        <v>45715</v>
      </c>
      <c r="V1403" s="9" t="s">
        <v>47</v>
      </c>
      <c r="W1403" s="9">
        <v>22770733</v>
      </c>
      <c r="X1403" s="9">
        <v>3311105</v>
      </c>
      <c r="Y1403" s="9">
        <v>69250751</v>
      </c>
      <c r="Z1403" s="9" t="s">
        <v>39</v>
      </c>
      <c r="AA1403" s="9">
        <v>6325157</v>
      </c>
      <c r="AB1403" s="9">
        <v>78070</v>
      </c>
      <c r="AC1403" s="9" t="s">
        <v>41</v>
      </c>
      <c r="AD1403" s="9" t="s">
        <v>132</v>
      </c>
      <c r="AE1403" s="9" t="s">
        <v>133</v>
      </c>
      <c r="AF1403" s="9" t="s">
        <v>133</v>
      </c>
      <c r="AG1403" s="14" t="str">
        <f t="shared" si="46"/>
        <v>EXAMENES DE LABORATORIO</v>
      </c>
      <c r="AH1403" s="9">
        <v>0</v>
      </c>
      <c r="AI1403" s="9">
        <v>0</v>
      </c>
      <c r="AJ1403" s="9">
        <v>78040520</v>
      </c>
      <c r="AK1403" s="9">
        <v>1</v>
      </c>
      <c r="AL1403" s="26" t="s">
        <v>52</v>
      </c>
      <c r="AM1403" s="14" t="s">
        <v>729</v>
      </c>
      <c r="AN1403" s="27" t="str">
        <f t="shared" si="45"/>
        <v>10553575|78040520|929714669|65383862</v>
      </c>
      <c r="AO1403" t="s">
        <v>44</v>
      </c>
      <c r="AP1403" t="b">
        <v>0</v>
      </c>
      <c r="AQ1403" t="s">
        <v>763</v>
      </c>
    </row>
    <row r="1404" spans="1:43" x14ac:dyDescent="0.2">
      <c r="A1404" s="14" t="s">
        <v>500</v>
      </c>
      <c r="B1404" s="17">
        <v>10553575</v>
      </c>
      <c r="C1404" s="14" t="s">
        <v>459</v>
      </c>
      <c r="D1404" s="9">
        <v>10553575</v>
      </c>
      <c r="E1404" s="9" t="s">
        <v>459</v>
      </c>
      <c r="F1404" s="7">
        <v>45689</v>
      </c>
      <c r="G1404" s="20" t="s">
        <v>36</v>
      </c>
      <c r="H1404" s="8">
        <v>929715303</v>
      </c>
      <c r="I1404" s="19">
        <v>929715303</v>
      </c>
      <c r="J1404" s="10">
        <v>153360</v>
      </c>
      <c r="K1404" s="10">
        <v>107352</v>
      </c>
      <c r="L1404" s="10">
        <v>46008</v>
      </c>
      <c r="M1404" s="10">
        <v>0</v>
      </c>
      <c r="N1404" s="11">
        <v>46008</v>
      </c>
      <c r="O1404" s="12">
        <v>929715303</v>
      </c>
      <c r="P1404" s="9">
        <v>285123</v>
      </c>
      <c r="Q1404" s="9" t="s">
        <v>37</v>
      </c>
      <c r="R1404" s="13">
        <v>45715</v>
      </c>
      <c r="S1404" s="22">
        <v>45715</v>
      </c>
      <c r="T1404" s="13">
        <v>45715</v>
      </c>
      <c r="U1404" s="13">
        <v>45715</v>
      </c>
      <c r="V1404" s="9" t="s">
        <v>47</v>
      </c>
      <c r="W1404" s="9">
        <v>22646435</v>
      </c>
      <c r="X1404" s="9">
        <v>3041018</v>
      </c>
      <c r="Y1404" s="9">
        <v>68953177</v>
      </c>
      <c r="Z1404" s="9" t="s">
        <v>39</v>
      </c>
      <c r="AA1404" s="9">
        <v>2032025</v>
      </c>
      <c r="AB1404" s="9">
        <v>77760</v>
      </c>
      <c r="AC1404" s="9" t="s">
        <v>41</v>
      </c>
      <c r="AD1404" s="9" t="s">
        <v>134</v>
      </c>
      <c r="AE1404" s="9" t="s">
        <v>135</v>
      </c>
      <c r="AF1404" s="9" t="s">
        <v>135</v>
      </c>
      <c r="AG1404" s="14" t="str">
        <f t="shared" si="46"/>
        <v>EXAMENES RADIOLOGICOS</v>
      </c>
      <c r="AH1404" s="9" t="s">
        <v>758</v>
      </c>
      <c r="AI1404" s="9">
        <v>0</v>
      </c>
      <c r="AJ1404" s="9">
        <v>78040520</v>
      </c>
      <c r="AK1404" s="9">
        <v>1</v>
      </c>
      <c r="AL1404" s="26" t="s">
        <v>83</v>
      </c>
      <c r="AM1404" s="14" t="s">
        <v>729</v>
      </c>
      <c r="AN1404" s="27" t="str">
        <f t="shared" si="45"/>
        <v>10553575|78040520|929715303|929715303</v>
      </c>
      <c r="AO1404" t="s">
        <v>758</v>
      </c>
      <c r="AP1404" t="b">
        <v>1</v>
      </c>
      <c r="AQ1404" t="s">
        <v>764</v>
      </c>
    </row>
    <row r="1405" spans="1:43" x14ac:dyDescent="0.2">
      <c r="A1405" s="14" t="s">
        <v>500</v>
      </c>
      <c r="B1405" s="17">
        <v>10553575</v>
      </c>
      <c r="C1405" s="14" t="s">
        <v>459</v>
      </c>
      <c r="D1405" s="9">
        <v>10553575</v>
      </c>
      <c r="E1405" s="9" t="s">
        <v>459</v>
      </c>
      <c r="F1405" s="7">
        <v>45717</v>
      </c>
      <c r="G1405" s="20" t="s">
        <v>46</v>
      </c>
      <c r="H1405" s="8">
        <v>929715303</v>
      </c>
      <c r="I1405" s="19">
        <v>65383863</v>
      </c>
      <c r="J1405" s="10">
        <v>45973</v>
      </c>
      <c r="K1405" s="10">
        <v>0</v>
      </c>
      <c r="L1405" s="10">
        <v>45973</v>
      </c>
      <c r="M1405" s="10">
        <v>0</v>
      </c>
      <c r="N1405" s="11">
        <v>45973</v>
      </c>
      <c r="O1405" s="12">
        <v>929715303</v>
      </c>
      <c r="P1405" s="9">
        <v>285123</v>
      </c>
      <c r="Q1405" s="9" t="s">
        <v>37</v>
      </c>
      <c r="R1405" s="13">
        <v>45717</v>
      </c>
      <c r="S1405" s="22">
        <v>45742</v>
      </c>
      <c r="T1405" s="13">
        <v>45715</v>
      </c>
      <c r="U1405" s="13">
        <v>45715</v>
      </c>
      <c r="V1405" s="9" t="s">
        <v>47</v>
      </c>
      <c r="W1405" s="9">
        <v>22770733</v>
      </c>
      <c r="X1405" s="9">
        <v>3311105</v>
      </c>
      <c r="Y1405" s="9">
        <v>69250752</v>
      </c>
      <c r="Z1405" s="9" t="s">
        <v>39</v>
      </c>
      <c r="AA1405" s="9">
        <v>6325157</v>
      </c>
      <c r="AB1405" s="9">
        <v>78070</v>
      </c>
      <c r="AC1405" s="9" t="s">
        <v>41</v>
      </c>
      <c r="AD1405" s="9" t="s">
        <v>134</v>
      </c>
      <c r="AE1405" s="9" t="s">
        <v>135</v>
      </c>
      <c r="AF1405" s="9" t="s">
        <v>135</v>
      </c>
      <c r="AG1405" s="14" t="str">
        <f t="shared" si="46"/>
        <v>EXAMENES RADIOLOGICOS</v>
      </c>
      <c r="AH1405" s="9">
        <v>0</v>
      </c>
      <c r="AI1405" s="9">
        <v>0</v>
      </c>
      <c r="AJ1405" s="9">
        <v>78040520</v>
      </c>
      <c r="AK1405" s="9">
        <v>1</v>
      </c>
      <c r="AL1405" s="26" t="s">
        <v>52</v>
      </c>
      <c r="AM1405" s="14" t="s">
        <v>729</v>
      </c>
      <c r="AN1405" s="27" t="str">
        <f t="shared" si="45"/>
        <v>10553575|78040520|929715303|65383863</v>
      </c>
      <c r="AO1405" t="s">
        <v>44</v>
      </c>
      <c r="AP1405" t="b">
        <v>0</v>
      </c>
      <c r="AQ1405" t="s">
        <v>763</v>
      </c>
    </row>
    <row r="1406" spans="1:43" x14ac:dyDescent="0.2">
      <c r="A1406" s="14" t="s">
        <v>500</v>
      </c>
      <c r="B1406" s="17">
        <v>10014102</v>
      </c>
      <c r="C1406" s="14" t="s">
        <v>460</v>
      </c>
      <c r="D1406" s="9">
        <v>10014102</v>
      </c>
      <c r="E1406" s="9" t="s">
        <v>460</v>
      </c>
      <c r="F1406" s="7">
        <v>45689</v>
      </c>
      <c r="G1406" s="20" t="s">
        <v>36</v>
      </c>
      <c r="H1406" s="8">
        <v>929747549</v>
      </c>
      <c r="I1406" s="19">
        <v>929747549</v>
      </c>
      <c r="J1406" s="10">
        <v>203070</v>
      </c>
      <c r="K1406" s="10">
        <v>162456</v>
      </c>
      <c r="L1406" s="10">
        <v>40614</v>
      </c>
      <c r="M1406" s="10">
        <v>0</v>
      </c>
      <c r="N1406" s="11">
        <v>40614</v>
      </c>
      <c r="O1406" s="12">
        <v>929747549</v>
      </c>
      <c r="P1406" s="9">
        <v>285123</v>
      </c>
      <c r="Q1406" s="9" t="s">
        <v>37</v>
      </c>
      <c r="R1406" s="13">
        <v>45712</v>
      </c>
      <c r="S1406" s="22">
        <v>45712</v>
      </c>
      <c r="T1406" s="13">
        <v>45712</v>
      </c>
      <c r="U1406" s="13">
        <v>45712</v>
      </c>
      <c r="V1406" s="9" t="s">
        <v>47</v>
      </c>
      <c r="W1406" s="9">
        <v>22646308</v>
      </c>
      <c r="X1406" s="9">
        <v>3041018</v>
      </c>
      <c r="Y1406" s="9">
        <v>68951106</v>
      </c>
      <c r="Z1406" s="9" t="s">
        <v>39</v>
      </c>
      <c r="AA1406" s="9">
        <v>2032025</v>
      </c>
      <c r="AB1406" s="9">
        <v>77760</v>
      </c>
      <c r="AC1406" s="9" t="s">
        <v>41</v>
      </c>
      <c r="AD1406" s="9" t="s">
        <v>134</v>
      </c>
      <c r="AE1406" s="9" t="s">
        <v>135</v>
      </c>
      <c r="AF1406" s="9" t="s">
        <v>135</v>
      </c>
      <c r="AG1406" s="14" t="str">
        <f t="shared" si="46"/>
        <v>EXAMENES RADIOLOGICOS</v>
      </c>
      <c r="AH1406" s="9" t="s">
        <v>758</v>
      </c>
      <c r="AI1406" s="9">
        <v>0</v>
      </c>
      <c r="AJ1406" s="9">
        <v>76166543</v>
      </c>
      <c r="AK1406" s="9" t="s">
        <v>161</v>
      </c>
      <c r="AL1406" s="26" t="s">
        <v>83</v>
      </c>
      <c r="AM1406" s="14" t="s">
        <v>730</v>
      </c>
      <c r="AN1406" s="27" t="str">
        <f t="shared" si="45"/>
        <v>10014102|76166543|929747549|929747549</v>
      </c>
      <c r="AO1406" t="s">
        <v>758</v>
      </c>
      <c r="AP1406" t="b">
        <v>1</v>
      </c>
      <c r="AQ1406" t="s">
        <v>764</v>
      </c>
    </row>
    <row r="1407" spans="1:43" x14ac:dyDescent="0.2">
      <c r="A1407" s="14" t="s">
        <v>500</v>
      </c>
      <c r="B1407" s="17">
        <v>10014102</v>
      </c>
      <c r="C1407" s="14" t="s">
        <v>460</v>
      </c>
      <c r="D1407" s="9">
        <v>10014102</v>
      </c>
      <c r="E1407" s="9" t="s">
        <v>460</v>
      </c>
      <c r="F1407" s="7">
        <v>45717</v>
      </c>
      <c r="G1407" s="20" t="s">
        <v>46</v>
      </c>
      <c r="H1407" s="8">
        <v>929747549</v>
      </c>
      <c r="I1407" s="19">
        <v>65383786</v>
      </c>
      <c r="J1407" s="10">
        <v>40516</v>
      </c>
      <c r="K1407" s="10">
        <v>0</v>
      </c>
      <c r="L1407" s="10">
        <v>40516</v>
      </c>
      <c r="M1407" s="10">
        <v>0</v>
      </c>
      <c r="N1407" s="11">
        <v>40516</v>
      </c>
      <c r="O1407" s="12">
        <v>929747549</v>
      </c>
      <c r="P1407" s="9">
        <v>285123</v>
      </c>
      <c r="Q1407" s="9" t="s">
        <v>37</v>
      </c>
      <c r="R1407" s="13">
        <v>45717</v>
      </c>
      <c r="S1407" s="22">
        <v>45742</v>
      </c>
      <c r="T1407" s="13">
        <v>45712</v>
      </c>
      <c r="U1407" s="13">
        <v>45712</v>
      </c>
      <c r="V1407" s="9" t="s">
        <v>47</v>
      </c>
      <c r="W1407" s="9">
        <v>22770698</v>
      </c>
      <c r="X1407" s="9">
        <v>3311105</v>
      </c>
      <c r="Y1407" s="9">
        <v>69250675</v>
      </c>
      <c r="Z1407" s="9" t="s">
        <v>39</v>
      </c>
      <c r="AA1407" s="9">
        <v>2630025000</v>
      </c>
      <c r="AB1407" s="9">
        <v>78070</v>
      </c>
      <c r="AC1407" s="9" t="s">
        <v>41</v>
      </c>
      <c r="AD1407" s="9" t="s">
        <v>134</v>
      </c>
      <c r="AE1407" s="9" t="s">
        <v>135</v>
      </c>
      <c r="AF1407" s="9" t="s">
        <v>135</v>
      </c>
      <c r="AG1407" s="14" t="str">
        <f t="shared" si="46"/>
        <v>EXAMENES RADIOLOGICOS</v>
      </c>
      <c r="AH1407" s="9">
        <v>0</v>
      </c>
      <c r="AI1407" s="9">
        <v>0</v>
      </c>
      <c r="AJ1407" s="9">
        <v>76166543</v>
      </c>
      <c r="AK1407" s="9" t="s">
        <v>161</v>
      </c>
      <c r="AL1407" s="26" t="s">
        <v>52</v>
      </c>
      <c r="AM1407" s="14" t="s">
        <v>730</v>
      </c>
      <c r="AN1407" s="27" t="str">
        <f t="shared" si="45"/>
        <v>10014102|76166543|929747549|65383786</v>
      </c>
      <c r="AO1407" t="s">
        <v>44</v>
      </c>
      <c r="AP1407" t="b">
        <v>0</v>
      </c>
      <c r="AQ1407" t="s">
        <v>763</v>
      </c>
    </row>
    <row r="1408" spans="1:43" x14ac:dyDescent="0.2">
      <c r="A1408" s="14" t="s">
        <v>500</v>
      </c>
      <c r="B1408" s="17">
        <v>6315763</v>
      </c>
      <c r="C1408" s="14" t="s">
        <v>461</v>
      </c>
      <c r="D1408" s="9">
        <v>6315763</v>
      </c>
      <c r="E1408" s="9" t="s">
        <v>461</v>
      </c>
      <c r="F1408" s="7">
        <v>45689</v>
      </c>
      <c r="G1408" s="20" t="s">
        <v>36</v>
      </c>
      <c r="H1408" s="8">
        <v>929759958</v>
      </c>
      <c r="I1408" s="19">
        <v>929759958</v>
      </c>
      <c r="J1408" s="10">
        <v>15100</v>
      </c>
      <c r="K1408" s="10">
        <v>8907</v>
      </c>
      <c r="L1408" s="10">
        <v>6193</v>
      </c>
      <c r="M1408" s="10">
        <v>0</v>
      </c>
      <c r="N1408" s="11">
        <v>6193</v>
      </c>
      <c r="O1408" s="12">
        <v>929759958</v>
      </c>
      <c r="P1408" s="9">
        <v>285123</v>
      </c>
      <c r="Q1408" s="9" t="s">
        <v>37</v>
      </c>
      <c r="R1408" s="13">
        <v>45710</v>
      </c>
      <c r="S1408" s="22">
        <v>45710</v>
      </c>
      <c r="T1408" s="13">
        <v>45710</v>
      </c>
      <c r="U1408" s="13">
        <v>45710</v>
      </c>
      <c r="V1408" s="9" t="s">
        <v>47</v>
      </c>
      <c r="W1408" s="9">
        <v>22646283</v>
      </c>
      <c r="X1408" s="9">
        <v>3041018</v>
      </c>
      <c r="Y1408" s="9">
        <v>68950315</v>
      </c>
      <c r="Z1408" s="9" t="s">
        <v>39</v>
      </c>
      <c r="AA1408" s="9">
        <v>2032025</v>
      </c>
      <c r="AB1408" s="9">
        <v>77760</v>
      </c>
      <c r="AC1408" s="9" t="s">
        <v>41</v>
      </c>
      <c r="AD1408" s="9" t="s">
        <v>132</v>
      </c>
      <c r="AE1408" s="9" t="s">
        <v>133</v>
      </c>
      <c r="AF1408" s="9" t="s">
        <v>133</v>
      </c>
      <c r="AG1408" s="14" t="str">
        <f t="shared" si="46"/>
        <v>EXAMENES DE LABORATORIO</v>
      </c>
      <c r="AH1408" s="9" t="s">
        <v>758</v>
      </c>
      <c r="AI1408" s="9">
        <v>0</v>
      </c>
      <c r="AJ1408" s="9">
        <v>90753000</v>
      </c>
      <c r="AK1408" s="9">
        <v>0</v>
      </c>
      <c r="AL1408" s="26" t="s">
        <v>83</v>
      </c>
      <c r="AM1408" s="14" t="s">
        <v>731</v>
      </c>
      <c r="AN1408" s="27" t="str">
        <f t="shared" si="45"/>
        <v>6315763|90753000|929759958|929759958</v>
      </c>
      <c r="AO1408" t="s">
        <v>758</v>
      </c>
      <c r="AP1408" t="b">
        <v>1</v>
      </c>
      <c r="AQ1408" t="s">
        <v>764</v>
      </c>
    </row>
    <row r="1409" spans="1:43" x14ac:dyDescent="0.2">
      <c r="A1409" s="14" t="s">
        <v>500</v>
      </c>
      <c r="B1409" s="17">
        <v>6315763</v>
      </c>
      <c r="C1409" s="14" t="s">
        <v>461</v>
      </c>
      <c r="D1409" s="9">
        <v>6315763</v>
      </c>
      <c r="E1409" s="9" t="s">
        <v>461</v>
      </c>
      <c r="F1409" s="7">
        <v>45717</v>
      </c>
      <c r="G1409" s="20" t="s">
        <v>46</v>
      </c>
      <c r="H1409" s="8">
        <v>929759958</v>
      </c>
      <c r="I1409" s="19">
        <v>65383583</v>
      </c>
      <c r="J1409" s="10">
        <v>6168</v>
      </c>
      <c r="K1409" s="10">
        <v>0</v>
      </c>
      <c r="L1409" s="10">
        <v>6168</v>
      </c>
      <c r="M1409" s="10">
        <v>0</v>
      </c>
      <c r="N1409" s="11">
        <v>6168</v>
      </c>
      <c r="O1409" s="12">
        <v>929759958</v>
      </c>
      <c r="P1409" s="9">
        <v>285123</v>
      </c>
      <c r="Q1409" s="9" t="s">
        <v>37</v>
      </c>
      <c r="R1409" s="13">
        <v>45717</v>
      </c>
      <c r="S1409" s="22">
        <v>45742</v>
      </c>
      <c r="T1409" s="13">
        <v>45710</v>
      </c>
      <c r="U1409" s="13">
        <v>45710</v>
      </c>
      <c r="V1409" s="9" t="s">
        <v>47</v>
      </c>
      <c r="W1409" s="9">
        <v>22770687</v>
      </c>
      <c r="X1409" s="9">
        <v>3311105</v>
      </c>
      <c r="Y1409" s="9">
        <v>69250474</v>
      </c>
      <c r="Z1409" s="9" t="s">
        <v>39</v>
      </c>
      <c r="AA1409" s="9">
        <v>3630063308</v>
      </c>
      <c r="AB1409" s="9">
        <v>78070</v>
      </c>
      <c r="AC1409" s="9" t="s">
        <v>41</v>
      </c>
      <c r="AD1409" s="9" t="s">
        <v>132</v>
      </c>
      <c r="AE1409" s="9" t="s">
        <v>133</v>
      </c>
      <c r="AF1409" s="9" t="s">
        <v>133</v>
      </c>
      <c r="AG1409" s="14" t="str">
        <f t="shared" si="46"/>
        <v>EXAMENES DE LABORATORIO</v>
      </c>
      <c r="AH1409" s="9">
        <v>0</v>
      </c>
      <c r="AI1409" s="9">
        <v>0</v>
      </c>
      <c r="AJ1409" s="9">
        <v>90753000</v>
      </c>
      <c r="AK1409" s="9">
        <v>0</v>
      </c>
      <c r="AL1409" s="26" t="s">
        <v>52</v>
      </c>
      <c r="AM1409" s="14" t="s">
        <v>731</v>
      </c>
      <c r="AN1409" s="27" t="str">
        <f t="shared" si="45"/>
        <v>6315763|90753000|929759958|65383583</v>
      </c>
      <c r="AO1409" t="s">
        <v>44</v>
      </c>
      <c r="AP1409" t="b">
        <v>0</v>
      </c>
      <c r="AQ1409" t="s">
        <v>763</v>
      </c>
    </row>
    <row r="1410" spans="1:43" x14ac:dyDescent="0.2">
      <c r="A1410" s="14" t="s">
        <v>500</v>
      </c>
      <c r="B1410" s="17">
        <v>6315763</v>
      </c>
      <c r="C1410" s="14" t="s">
        <v>461</v>
      </c>
      <c r="D1410" s="9">
        <v>6315763</v>
      </c>
      <c r="E1410" s="9" t="s">
        <v>461</v>
      </c>
      <c r="F1410" s="7">
        <v>45689</v>
      </c>
      <c r="G1410" s="20" t="s">
        <v>36</v>
      </c>
      <c r="H1410" s="8">
        <v>929759959</v>
      </c>
      <c r="I1410" s="19">
        <v>929759959</v>
      </c>
      <c r="J1410" s="10">
        <v>56400</v>
      </c>
      <c r="K1410" s="10">
        <v>35388</v>
      </c>
      <c r="L1410" s="10">
        <v>21012</v>
      </c>
      <c r="M1410" s="10">
        <v>0</v>
      </c>
      <c r="N1410" s="11">
        <v>21012</v>
      </c>
      <c r="O1410" s="12">
        <v>929759959</v>
      </c>
      <c r="P1410" s="9">
        <v>285123</v>
      </c>
      <c r="Q1410" s="9" t="s">
        <v>37</v>
      </c>
      <c r="R1410" s="13">
        <v>45710</v>
      </c>
      <c r="S1410" s="22">
        <v>45710</v>
      </c>
      <c r="T1410" s="13">
        <v>45710</v>
      </c>
      <c r="U1410" s="13">
        <v>45710</v>
      </c>
      <c r="V1410" s="9" t="s">
        <v>47</v>
      </c>
      <c r="W1410" s="9">
        <v>22646283</v>
      </c>
      <c r="X1410" s="9">
        <v>3041018</v>
      </c>
      <c r="Y1410" s="9">
        <v>68950316</v>
      </c>
      <c r="Z1410" s="9" t="s">
        <v>39</v>
      </c>
      <c r="AA1410" s="9">
        <v>2032025</v>
      </c>
      <c r="AB1410" s="9">
        <v>77760</v>
      </c>
      <c r="AC1410" s="9" t="s">
        <v>41</v>
      </c>
      <c r="AD1410" s="9" t="s">
        <v>132</v>
      </c>
      <c r="AE1410" s="9" t="s">
        <v>133</v>
      </c>
      <c r="AF1410" s="9" t="s">
        <v>133</v>
      </c>
      <c r="AG1410" s="14" t="str">
        <f t="shared" si="46"/>
        <v>EXAMENES DE LABORATORIO</v>
      </c>
      <c r="AH1410" s="9" t="s">
        <v>758</v>
      </c>
      <c r="AI1410" s="9">
        <v>0</v>
      </c>
      <c r="AJ1410" s="9">
        <v>90753000</v>
      </c>
      <c r="AK1410" s="9">
        <v>0</v>
      </c>
      <c r="AL1410" s="26" t="s">
        <v>83</v>
      </c>
      <c r="AM1410" s="14" t="s">
        <v>731</v>
      </c>
      <c r="AN1410" s="27" t="str">
        <f t="shared" si="45"/>
        <v>6315763|90753000|929759959|929759959</v>
      </c>
      <c r="AO1410" t="s">
        <v>758</v>
      </c>
      <c r="AP1410" t="b">
        <v>1</v>
      </c>
      <c r="AQ1410" t="s">
        <v>764</v>
      </c>
    </row>
    <row r="1411" spans="1:43" x14ac:dyDescent="0.2">
      <c r="A1411" s="14" t="s">
        <v>500</v>
      </c>
      <c r="B1411" s="17">
        <v>6315763</v>
      </c>
      <c r="C1411" s="14" t="s">
        <v>461</v>
      </c>
      <c r="D1411" s="9">
        <v>6315763</v>
      </c>
      <c r="E1411" s="9" t="s">
        <v>461</v>
      </c>
      <c r="F1411" s="7">
        <v>45717</v>
      </c>
      <c r="G1411" s="20" t="s">
        <v>46</v>
      </c>
      <c r="H1411" s="8">
        <v>929759959</v>
      </c>
      <c r="I1411" s="19">
        <v>65383584</v>
      </c>
      <c r="J1411" s="10">
        <v>21204</v>
      </c>
      <c r="K1411" s="10">
        <v>0</v>
      </c>
      <c r="L1411" s="10">
        <v>21204</v>
      </c>
      <c r="M1411" s="10">
        <v>0</v>
      </c>
      <c r="N1411" s="11">
        <v>21204</v>
      </c>
      <c r="O1411" s="12">
        <v>929759959</v>
      </c>
      <c r="P1411" s="9">
        <v>285123</v>
      </c>
      <c r="Q1411" s="9" t="s">
        <v>37</v>
      </c>
      <c r="R1411" s="13">
        <v>45717</v>
      </c>
      <c r="S1411" s="22">
        <v>45742</v>
      </c>
      <c r="T1411" s="13">
        <v>45710</v>
      </c>
      <c r="U1411" s="13">
        <v>45710</v>
      </c>
      <c r="V1411" s="9" t="s">
        <v>47</v>
      </c>
      <c r="W1411" s="9">
        <v>22770687</v>
      </c>
      <c r="X1411" s="9">
        <v>3311105</v>
      </c>
      <c r="Y1411" s="9">
        <v>69250475</v>
      </c>
      <c r="Z1411" s="9" t="s">
        <v>39</v>
      </c>
      <c r="AA1411" s="9">
        <v>3630063308</v>
      </c>
      <c r="AB1411" s="9">
        <v>78070</v>
      </c>
      <c r="AC1411" s="9" t="s">
        <v>41</v>
      </c>
      <c r="AD1411" s="9" t="s">
        <v>132</v>
      </c>
      <c r="AE1411" s="9" t="s">
        <v>133</v>
      </c>
      <c r="AF1411" s="9" t="s">
        <v>133</v>
      </c>
      <c r="AG1411" s="14" t="str">
        <f t="shared" si="46"/>
        <v>EXAMENES DE LABORATORIO</v>
      </c>
      <c r="AH1411" s="9">
        <v>0</v>
      </c>
      <c r="AI1411" s="9">
        <v>0</v>
      </c>
      <c r="AJ1411" s="9">
        <v>90753000</v>
      </c>
      <c r="AK1411" s="9">
        <v>0</v>
      </c>
      <c r="AL1411" s="26" t="s">
        <v>52</v>
      </c>
      <c r="AM1411" s="14" t="s">
        <v>731</v>
      </c>
      <c r="AN1411" s="27" t="str">
        <f t="shared" ref="AN1411:AN1474" si="47">B1411&amp;"|"&amp;AJ1411&amp;"|"&amp;H1411&amp;"|"&amp;I1411</f>
        <v>6315763|90753000|929759959|65383584</v>
      </c>
      <c r="AO1411" t="s">
        <v>44</v>
      </c>
      <c r="AP1411" t="b">
        <v>0</v>
      </c>
      <c r="AQ1411" t="s">
        <v>763</v>
      </c>
    </row>
    <row r="1412" spans="1:43" x14ac:dyDescent="0.2">
      <c r="A1412" s="14" t="s">
        <v>500</v>
      </c>
      <c r="B1412" s="17">
        <v>16933109</v>
      </c>
      <c r="C1412" s="14" t="s">
        <v>462</v>
      </c>
      <c r="D1412" s="9">
        <v>16933109</v>
      </c>
      <c r="E1412" s="9" t="s">
        <v>462</v>
      </c>
      <c r="F1412" s="7">
        <v>45689</v>
      </c>
      <c r="G1412" s="20" t="s">
        <v>36</v>
      </c>
      <c r="H1412" s="8">
        <v>929784398</v>
      </c>
      <c r="I1412" s="19">
        <v>929784398</v>
      </c>
      <c r="J1412" s="10">
        <v>23556</v>
      </c>
      <c r="K1412" s="10">
        <v>20023</v>
      </c>
      <c r="L1412" s="10">
        <v>3533</v>
      </c>
      <c r="M1412" s="10">
        <v>0</v>
      </c>
      <c r="N1412" s="11">
        <v>3533</v>
      </c>
      <c r="O1412" s="12">
        <v>929784398</v>
      </c>
      <c r="P1412" s="9">
        <v>285123</v>
      </c>
      <c r="Q1412" s="9" t="s">
        <v>37</v>
      </c>
      <c r="R1412" s="13">
        <v>45707</v>
      </c>
      <c r="S1412" s="22">
        <v>45707</v>
      </c>
      <c r="T1412" s="13">
        <v>45707</v>
      </c>
      <c r="U1412" s="13">
        <v>45707</v>
      </c>
      <c r="V1412" s="9" t="s">
        <v>47</v>
      </c>
      <c r="W1412" s="9">
        <v>22621844</v>
      </c>
      <c r="X1412" s="9">
        <v>2250942</v>
      </c>
      <c r="Y1412" s="9">
        <v>68911157</v>
      </c>
      <c r="Z1412" s="9" t="s">
        <v>39</v>
      </c>
      <c r="AA1412" s="9">
        <v>23022025</v>
      </c>
      <c r="AB1412" s="9">
        <v>77703</v>
      </c>
      <c r="AC1412" s="9" t="s">
        <v>41</v>
      </c>
      <c r="AD1412" s="9" t="s">
        <v>134</v>
      </c>
      <c r="AE1412" s="9" t="s">
        <v>135</v>
      </c>
      <c r="AF1412" s="9" t="s">
        <v>135</v>
      </c>
      <c r="AG1412" s="14" t="str">
        <f t="shared" si="46"/>
        <v>EXAMENES RADIOLOGICOS</v>
      </c>
      <c r="AH1412" s="9" t="s">
        <v>758</v>
      </c>
      <c r="AI1412" s="9">
        <v>0</v>
      </c>
      <c r="AJ1412" s="9">
        <v>96942400</v>
      </c>
      <c r="AK1412" s="9">
        <v>2</v>
      </c>
      <c r="AL1412" s="26" t="s">
        <v>83</v>
      </c>
      <c r="AM1412" s="14" t="s">
        <v>732</v>
      </c>
      <c r="AN1412" s="27" t="str">
        <f t="shared" si="47"/>
        <v>16933109|96942400|929784398|929784398</v>
      </c>
      <c r="AO1412" t="s">
        <v>758</v>
      </c>
      <c r="AP1412" t="b">
        <v>1</v>
      </c>
      <c r="AQ1412" t="s">
        <v>764</v>
      </c>
    </row>
    <row r="1413" spans="1:43" x14ac:dyDescent="0.2">
      <c r="A1413" s="14" t="s">
        <v>500</v>
      </c>
      <c r="B1413" s="17">
        <v>16933109</v>
      </c>
      <c r="C1413" s="14" t="s">
        <v>462</v>
      </c>
      <c r="D1413" s="9">
        <v>16933109</v>
      </c>
      <c r="E1413" s="9" t="s">
        <v>462</v>
      </c>
      <c r="F1413" s="7">
        <v>45717</v>
      </c>
      <c r="G1413" s="20" t="s">
        <v>46</v>
      </c>
      <c r="H1413" s="8">
        <v>929784398</v>
      </c>
      <c r="I1413" s="19">
        <v>65384390</v>
      </c>
      <c r="J1413" s="10">
        <v>3466</v>
      </c>
      <c r="K1413" s="10">
        <v>0</v>
      </c>
      <c r="L1413" s="10">
        <v>3466</v>
      </c>
      <c r="M1413" s="10">
        <v>0</v>
      </c>
      <c r="N1413" s="11">
        <v>3466</v>
      </c>
      <c r="O1413" s="12">
        <v>929784398</v>
      </c>
      <c r="P1413" s="9">
        <v>285123</v>
      </c>
      <c r="Q1413" s="9" t="s">
        <v>37</v>
      </c>
      <c r="R1413" s="13">
        <v>45717</v>
      </c>
      <c r="S1413" s="22">
        <v>45742</v>
      </c>
      <c r="T1413" s="13">
        <v>45707</v>
      </c>
      <c r="U1413" s="13">
        <v>45707</v>
      </c>
      <c r="V1413" s="9" t="s">
        <v>47</v>
      </c>
      <c r="W1413" s="9">
        <v>22770671</v>
      </c>
      <c r="X1413" s="9">
        <v>3311105</v>
      </c>
      <c r="Y1413" s="9">
        <v>69251268</v>
      </c>
      <c r="Z1413" s="9" t="s">
        <v>39</v>
      </c>
      <c r="AA1413" s="9">
        <v>2580093409</v>
      </c>
      <c r="AB1413" s="9">
        <v>78070</v>
      </c>
      <c r="AC1413" s="9" t="s">
        <v>41</v>
      </c>
      <c r="AD1413" s="9" t="s">
        <v>134</v>
      </c>
      <c r="AE1413" s="9" t="s">
        <v>135</v>
      </c>
      <c r="AF1413" s="9" t="s">
        <v>135</v>
      </c>
      <c r="AG1413" s="14" t="str">
        <f t="shared" si="46"/>
        <v>EXAMENES RADIOLOGICOS</v>
      </c>
      <c r="AH1413" s="9">
        <v>0</v>
      </c>
      <c r="AI1413" s="9">
        <v>0</v>
      </c>
      <c r="AJ1413" s="9">
        <v>96942400</v>
      </c>
      <c r="AK1413" s="9">
        <v>2</v>
      </c>
      <c r="AL1413" s="26" t="s">
        <v>52</v>
      </c>
      <c r="AM1413" s="14" t="s">
        <v>732</v>
      </c>
      <c r="AN1413" s="27" t="str">
        <f t="shared" si="47"/>
        <v>16933109|96942400|929784398|65384390</v>
      </c>
      <c r="AO1413" t="s">
        <v>44</v>
      </c>
      <c r="AP1413" t="b">
        <v>0</v>
      </c>
      <c r="AQ1413" t="s">
        <v>763</v>
      </c>
    </row>
    <row r="1414" spans="1:43" x14ac:dyDescent="0.2">
      <c r="A1414" s="14" t="s">
        <v>500</v>
      </c>
      <c r="B1414" s="17">
        <v>9258274</v>
      </c>
      <c r="C1414" s="14" t="s">
        <v>463</v>
      </c>
      <c r="D1414" s="9">
        <v>21436009</v>
      </c>
      <c r="E1414" s="9" t="s">
        <v>464</v>
      </c>
      <c r="F1414" s="7">
        <v>45689</v>
      </c>
      <c r="G1414" s="20" t="s">
        <v>36</v>
      </c>
      <c r="H1414" s="8">
        <v>929800516</v>
      </c>
      <c r="I1414" s="19">
        <v>929800516</v>
      </c>
      <c r="J1414" s="10">
        <v>58058</v>
      </c>
      <c r="K1414" s="10">
        <v>38016</v>
      </c>
      <c r="L1414" s="10">
        <v>20042</v>
      </c>
      <c r="M1414" s="10">
        <v>0</v>
      </c>
      <c r="N1414" s="11">
        <v>20042</v>
      </c>
      <c r="O1414" s="12">
        <v>929800516</v>
      </c>
      <c r="P1414" s="9">
        <v>285123</v>
      </c>
      <c r="Q1414" s="9" t="s">
        <v>37</v>
      </c>
      <c r="R1414" s="13">
        <v>45706</v>
      </c>
      <c r="S1414" s="22">
        <v>45706</v>
      </c>
      <c r="T1414" s="13">
        <v>45706</v>
      </c>
      <c r="U1414" s="13">
        <v>45706</v>
      </c>
      <c r="V1414" s="9" t="s">
        <v>47</v>
      </c>
      <c r="W1414" s="9">
        <v>22621765</v>
      </c>
      <c r="X1414" s="9">
        <v>2250942</v>
      </c>
      <c r="Y1414" s="9">
        <v>68910092</v>
      </c>
      <c r="Z1414" s="9" t="s">
        <v>39</v>
      </c>
      <c r="AA1414" s="9">
        <v>23022025</v>
      </c>
      <c r="AB1414" s="9">
        <v>77703</v>
      </c>
      <c r="AC1414" s="9" t="s">
        <v>41</v>
      </c>
      <c r="AD1414" s="9" t="s">
        <v>132</v>
      </c>
      <c r="AE1414" s="9" t="s">
        <v>133</v>
      </c>
      <c r="AF1414" s="9" t="s">
        <v>133</v>
      </c>
      <c r="AG1414" s="14" t="str">
        <f t="shared" si="46"/>
        <v>EXAMENES DE LABORATORIO</v>
      </c>
      <c r="AH1414" s="9" t="s">
        <v>758</v>
      </c>
      <c r="AI1414" s="9">
        <v>0</v>
      </c>
      <c r="AJ1414" s="9">
        <v>99573490</v>
      </c>
      <c r="AK1414" s="9">
        <v>7</v>
      </c>
      <c r="AL1414" s="26" t="s">
        <v>83</v>
      </c>
      <c r="AM1414" s="14" t="s">
        <v>733</v>
      </c>
      <c r="AN1414" s="27" t="str">
        <f t="shared" si="47"/>
        <v>9258274|99573490|929800516|929800516</v>
      </c>
      <c r="AO1414" t="s">
        <v>758</v>
      </c>
      <c r="AP1414" t="b">
        <v>1</v>
      </c>
      <c r="AQ1414" t="s">
        <v>764</v>
      </c>
    </row>
    <row r="1415" spans="1:43" x14ac:dyDescent="0.2">
      <c r="A1415" s="14" t="s">
        <v>500</v>
      </c>
      <c r="B1415" s="17">
        <v>9258274</v>
      </c>
      <c r="C1415" s="14" t="s">
        <v>463</v>
      </c>
      <c r="D1415" s="9">
        <v>21436009</v>
      </c>
      <c r="E1415" s="9" t="s">
        <v>464</v>
      </c>
      <c r="F1415" s="7">
        <v>45717</v>
      </c>
      <c r="G1415" s="20" t="s">
        <v>46</v>
      </c>
      <c r="H1415" s="8">
        <v>929800516</v>
      </c>
      <c r="I1415" s="19">
        <v>65383718</v>
      </c>
      <c r="J1415" s="10">
        <v>19630</v>
      </c>
      <c r="K1415" s="10">
        <v>0</v>
      </c>
      <c r="L1415" s="10">
        <v>19630</v>
      </c>
      <c r="M1415" s="10">
        <v>0</v>
      </c>
      <c r="N1415" s="11">
        <v>19630</v>
      </c>
      <c r="O1415" s="12">
        <v>929800516</v>
      </c>
      <c r="P1415" s="9">
        <v>285123</v>
      </c>
      <c r="Q1415" s="9" t="s">
        <v>37</v>
      </c>
      <c r="R1415" s="13">
        <v>45717</v>
      </c>
      <c r="S1415" s="22">
        <v>45742</v>
      </c>
      <c r="T1415" s="13">
        <v>45706</v>
      </c>
      <c r="U1415" s="13">
        <v>45706</v>
      </c>
      <c r="V1415" s="9" t="s">
        <v>47</v>
      </c>
      <c r="W1415" s="9">
        <v>22770651</v>
      </c>
      <c r="X1415" s="9">
        <v>3311105</v>
      </c>
      <c r="Y1415" s="9">
        <v>69250609</v>
      </c>
      <c r="Z1415" s="9" t="s">
        <v>39</v>
      </c>
      <c r="AA1415" s="9">
        <v>809418006</v>
      </c>
      <c r="AB1415" s="9">
        <v>78070</v>
      </c>
      <c r="AC1415" s="9" t="s">
        <v>41</v>
      </c>
      <c r="AD1415" s="9" t="s">
        <v>132</v>
      </c>
      <c r="AE1415" s="9" t="s">
        <v>133</v>
      </c>
      <c r="AF1415" s="9" t="s">
        <v>133</v>
      </c>
      <c r="AG1415" s="14" t="str">
        <f t="shared" si="46"/>
        <v>EXAMENES DE LABORATORIO</v>
      </c>
      <c r="AH1415" s="9">
        <v>0</v>
      </c>
      <c r="AI1415" s="9">
        <v>0</v>
      </c>
      <c r="AJ1415" s="9">
        <v>99573490</v>
      </c>
      <c r="AK1415" s="9">
        <v>7</v>
      </c>
      <c r="AL1415" s="26" t="s">
        <v>52</v>
      </c>
      <c r="AM1415" s="14" t="s">
        <v>733</v>
      </c>
      <c r="AN1415" s="27" t="str">
        <f t="shared" si="47"/>
        <v>9258274|99573490|929800516|65383718</v>
      </c>
      <c r="AO1415" t="s">
        <v>44</v>
      </c>
      <c r="AP1415" t="b">
        <v>0</v>
      </c>
      <c r="AQ1415" t="s">
        <v>763</v>
      </c>
    </row>
    <row r="1416" spans="1:43" x14ac:dyDescent="0.2">
      <c r="A1416" s="14" t="s">
        <v>500</v>
      </c>
      <c r="B1416" s="17">
        <v>17780739</v>
      </c>
      <c r="C1416" s="14" t="s">
        <v>308</v>
      </c>
      <c r="D1416" s="9">
        <v>17780739</v>
      </c>
      <c r="E1416" s="9" t="s">
        <v>308</v>
      </c>
      <c r="F1416" s="7">
        <v>45689</v>
      </c>
      <c r="G1416" s="20" t="s">
        <v>36</v>
      </c>
      <c r="H1416" s="8">
        <v>929816161</v>
      </c>
      <c r="I1416" s="19">
        <v>929816161</v>
      </c>
      <c r="J1416" s="10">
        <v>19190</v>
      </c>
      <c r="K1416" s="10">
        <v>18233</v>
      </c>
      <c r="L1416" s="10">
        <v>957</v>
      </c>
      <c r="M1416" s="10">
        <v>0</v>
      </c>
      <c r="N1416" s="11">
        <v>957</v>
      </c>
      <c r="O1416" s="12">
        <v>929816161</v>
      </c>
      <c r="P1416" s="9">
        <v>285123</v>
      </c>
      <c r="Q1416" s="9" t="s">
        <v>37</v>
      </c>
      <c r="R1416" s="13">
        <v>45703</v>
      </c>
      <c r="S1416" s="22">
        <v>45703</v>
      </c>
      <c r="T1416" s="13">
        <v>45703</v>
      </c>
      <c r="U1416" s="13">
        <v>45703</v>
      </c>
      <c r="V1416" s="9" t="s">
        <v>47</v>
      </c>
      <c r="W1416" s="9">
        <v>22621718</v>
      </c>
      <c r="X1416" s="9">
        <v>2250942</v>
      </c>
      <c r="Y1416" s="9">
        <v>68909084</v>
      </c>
      <c r="Z1416" s="9" t="s">
        <v>39</v>
      </c>
      <c r="AA1416" s="9">
        <v>23022025</v>
      </c>
      <c r="AB1416" s="9">
        <v>77703</v>
      </c>
      <c r="AC1416" s="9" t="s">
        <v>41</v>
      </c>
      <c r="AD1416" s="9" t="s">
        <v>132</v>
      </c>
      <c r="AE1416" s="9" t="s">
        <v>133</v>
      </c>
      <c r="AF1416" s="9" t="s">
        <v>133</v>
      </c>
      <c r="AG1416" s="14" t="str">
        <f t="shared" si="46"/>
        <v>EXAMENES DE LABORATORIO</v>
      </c>
      <c r="AH1416" s="9" t="s">
        <v>758</v>
      </c>
      <c r="AI1416" s="9">
        <v>0</v>
      </c>
      <c r="AJ1416" s="9">
        <v>96986050</v>
      </c>
      <c r="AK1416" s="9">
        <v>3</v>
      </c>
      <c r="AL1416" s="26" t="s">
        <v>83</v>
      </c>
      <c r="AM1416" s="14" t="s">
        <v>621</v>
      </c>
      <c r="AN1416" s="27" t="str">
        <f t="shared" si="47"/>
        <v>17780739|96986050|929816161|929816161</v>
      </c>
      <c r="AO1416" t="s">
        <v>758</v>
      </c>
      <c r="AP1416" t="b">
        <v>1</v>
      </c>
      <c r="AQ1416" t="s">
        <v>764</v>
      </c>
    </row>
    <row r="1417" spans="1:43" x14ac:dyDescent="0.2">
      <c r="A1417" s="14" t="s">
        <v>500</v>
      </c>
      <c r="B1417" s="17">
        <v>17780739</v>
      </c>
      <c r="C1417" s="14" t="s">
        <v>308</v>
      </c>
      <c r="D1417" s="9">
        <v>17780739</v>
      </c>
      <c r="E1417" s="9" t="s">
        <v>308</v>
      </c>
      <c r="F1417" s="7">
        <v>45717</v>
      </c>
      <c r="G1417" s="20" t="s">
        <v>46</v>
      </c>
      <c r="H1417" s="8">
        <v>929816161</v>
      </c>
      <c r="I1417" s="19">
        <v>65384435</v>
      </c>
      <c r="J1417" s="10">
        <v>384</v>
      </c>
      <c r="K1417" s="10">
        <v>0</v>
      </c>
      <c r="L1417" s="10">
        <v>384</v>
      </c>
      <c r="M1417" s="10">
        <v>0</v>
      </c>
      <c r="N1417" s="11">
        <v>384</v>
      </c>
      <c r="O1417" s="12">
        <v>929816161</v>
      </c>
      <c r="P1417" s="9">
        <v>285123</v>
      </c>
      <c r="Q1417" s="9" t="s">
        <v>37</v>
      </c>
      <c r="R1417" s="13">
        <v>45717</v>
      </c>
      <c r="S1417" s="22">
        <v>45742</v>
      </c>
      <c r="T1417" s="13">
        <v>45703</v>
      </c>
      <c r="U1417" s="13">
        <v>45703</v>
      </c>
      <c r="V1417" s="9" t="s">
        <v>47</v>
      </c>
      <c r="W1417" s="9">
        <v>22770638</v>
      </c>
      <c r="X1417" s="9">
        <v>3311105</v>
      </c>
      <c r="Y1417" s="9">
        <v>69251303</v>
      </c>
      <c r="Z1417" s="9" t="s">
        <v>39</v>
      </c>
      <c r="AA1417" s="9">
        <v>10012905621</v>
      </c>
      <c r="AB1417" s="9">
        <v>78070</v>
      </c>
      <c r="AC1417" s="9" t="s">
        <v>41</v>
      </c>
      <c r="AD1417" s="9" t="s">
        <v>132</v>
      </c>
      <c r="AE1417" s="9" t="s">
        <v>133</v>
      </c>
      <c r="AF1417" s="9" t="s">
        <v>133</v>
      </c>
      <c r="AG1417" s="14" t="str">
        <f t="shared" si="46"/>
        <v>EXAMENES DE LABORATORIO</v>
      </c>
      <c r="AH1417" s="9">
        <v>0</v>
      </c>
      <c r="AI1417" s="9">
        <v>0</v>
      </c>
      <c r="AJ1417" s="9">
        <v>96986050</v>
      </c>
      <c r="AK1417" s="9">
        <v>3</v>
      </c>
      <c r="AL1417" s="26" t="s">
        <v>52</v>
      </c>
      <c r="AM1417" s="14" t="s">
        <v>621</v>
      </c>
      <c r="AN1417" s="27" t="str">
        <f t="shared" si="47"/>
        <v>17780739|96986050|929816161|65384435</v>
      </c>
      <c r="AO1417" t="s">
        <v>44</v>
      </c>
      <c r="AP1417" t="b">
        <v>0</v>
      </c>
      <c r="AQ1417" t="s">
        <v>763</v>
      </c>
    </row>
    <row r="1418" spans="1:43" x14ac:dyDescent="0.2">
      <c r="A1418" s="14" t="s">
        <v>500</v>
      </c>
      <c r="B1418" s="17">
        <v>17780739</v>
      </c>
      <c r="C1418" s="14" t="s">
        <v>308</v>
      </c>
      <c r="D1418" s="9">
        <v>17780739</v>
      </c>
      <c r="E1418" s="9" t="s">
        <v>308</v>
      </c>
      <c r="F1418" s="7">
        <v>45689</v>
      </c>
      <c r="G1418" s="20" t="s">
        <v>36</v>
      </c>
      <c r="H1418" s="8">
        <v>929816515</v>
      </c>
      <c r="I1418" s="19">
        <v>929816515</v>
      </c>
      <c r="J1418" s="10">
        <v>38636</v>
      </c>
      <c r="K1418" s="10">
        <v>36704</v>
      </c>
      <c r="L1418" s="10">
        <v>1932</v>
      </c>
      <c r="M1418" s="10">
        <v>0</v>
      </c>
      <c r="N1418" s="11">
        <v>1932</v>
      </c>
      <c r="O1418" s="12">
        <v>929816515</v>
      </c>
      <c r="P1418" s="9">
        <v>285123</v>
      </c>
      <c r="Q1418" s="9" t="s">
        <v>37</v>
      </c>
      <c r="R1418" s="13">
        <v>45703</v>
      </c>
      <c r="S1418" s="22">
        <v>45703</v>
      </c>
      <c r="T1418" s="13">
        <v>45703</v>
      </c>
      <c r="U1418" s="13">
        <v>45703</v>
      </c>
      <c r="V1418" s="9" t="s">
        <v>47</v>
      </c>
      <c r="W1418" s="9">
        <v>22621718</v>
      </c>
      <c r="X1418" s="9">
        <v>2250942</v>
      </c>
      <c r="Y1418" s="9">
        <v>68909050</v>
      </c>
      <c r="Z1418" s="9" t="s">
        <v>39</v>
      </c>
      <c r="AA1418" s="9">
        <v>23022025</v>
      </c>
      <c r="AB1418" s="9">
        <v>77703</v>
      </c>
      <c r="AC1418" s="9" t="s">
        <v>41</v>
      </c>
      <c r="AD1418" s="9" t="s">
        <v>134</v>
      </c>
      <c r="AE1418" s="9" t="s">
        <v>135</v>
      </c>
      <c r="AF1418" s="9" t="s">
        <v>135</v>
      </c>
      <c r="AG1418" s="14" t="str">
        <f t="shared" si="46"/>
        <v>EXAMENES RADIOLOGICOS</v>
      </c>
      <c r="AH1418" s="9" t="s">
        <v>758</v>
      </c>
      <c r="AI1418" s="9">
        <v>0</v>
      </c>
      <c r="AJ1418" s="9">
        <v>76098454</v>
      </c>
      <c r="AK1418" s="9" t="s">
        <v>161</v>
      </c>
      <c r="AL1418" s="26" t="s">
        <v>83</v>
      </c>
      <c r="AM1418" s="14" t="s">
        <v>621</v>
      </c>
      <c r="AN1418" s="27" t="str">
        <f t="shared" si="47"/>
        <v>17780739|76098454|929816515|929816515</v>
      </c>
      <c r="AO1418" t="s">
        <v>758</v>
      </c>
      <c r="AP1418" t="b">
        <v>1</v>
      </c>
      <c r="AQ1418" t="s">
        <v>764</v>
      </c>
    </row>
    <row r="1419" spans="1:43" x14ac:dyDescent="0.2">
      <c r="A1419" s="14" t="s">
        <v>500</v>
      </c>
      <c r="B1419" s="17">
        <v>17780739</v>
      </c>
      <c r="C1419" s="14" t="s">
        <v>308</v>
      </c>
      <c r="D1419" s="9">
        <v>17780739</v>
      </c>
      <c r="E1419" s="9" t="s">
        <v>308</v>
      </c>
      <c r="F1419" s="7">
        <v>45717</v>
      </c>
      <c r="G1419" s="20" t="s">
        <v>46</v>
      </c>
      <c r="H1419" s="8">
        <v>929816515</v>
      </c>
      <c r="I1419" s="19">
        <v>65384436</v>
      </c>
      <c r="J1419" s="10">
        <v>1922</v>
      </c>
      <c r="K1419" s="10">
        <v>0</v>
      </c>
      <c r="L1419" s="10">
        <v>1922</v>
      </c>
      <c r="M1419" s="10">
        <v>0</v>
      </c>
      <c r="N1419" s="11">
        <v>1922</v>
      </c>
      <c r="O1419" s="12">
        <v>929816515</v>
      </c>
      <c r="P1419" s="9">
        <v>285123</v>
      </c>
      <c r="Q1419" s="9" t="s">
        <v>37</v>
      </c>
      <c r="R1419" s="13">
        <v>45717</v>
      </c>
      <c r="S1419" s="22">
        <v>45742</v>
      </c>
      <c r="T1419" s="13">
        <v>45703</v>
      </c>
      <c r="U1419" s="13">
        <v>45703</v>
      </c>
      <c r="V1419" s="9" t="s">
        <v>47</v>
      </c>
      <c r="W1419" s="9">
        <v>22770638</v>
      </c>
      <c r="X1419" s="9">
        <v>3311105</v>
      </c>
      <c r="Y1419" s="9">
        <v>69251304</v>
      </c>
      <c r="Z1419" s="9" t="s">
        <v>39</v>
      </c>
      <c r="AA1419" s="9">
        <v>10012905621</v>
      </c>
      <c r="AB1419" s="9">
        <v>78070</v>
      </c>
      <c r="AC1419" s="9" t="s">
        <v>41</v>
      </c>
      <c r="AD1419" s="9" t="s">
        <v>134</v>
      </c>
      <c r="AE1419" s="9" t="s">
        <v>135</v>
      </c>
      <c r="AF1419" s="9" t="s">
        <v>135</v>
      </c>
      <c r="AG1419" s="14" t="str">
        <f t="shared" si="46"/>
        <v>EXAMENES RADIOLOGICOS</v>
      </c>
      <c r="AH1419" s="9">
        <v>0</v>
      </c>
      <c r="AI1419" s="9">
        <v>0</v>
      </c>
      <c r="AJ1419" s="9">
        <v>76098454</v>
      </c>
      <c r="AK1419" s="9" t="s">
        <v>161</v>
      </c>
      <c r="AL1419" s="26" t="s">
        <v>52</v>
      </c>
      <c r="AM1419" s="14" t="s">
        <v>621</v>
      </c>
      <c r="AN1419" s="27" t="str">
        <f t="shared" si="47"/>
        <v>17780739|76098454|929816515|65384436</v>
      </c>
      <c r="AO1419" t="s">
        <v>44</v>
      </c>
      <c r="AP1419" t="b">
        <v>0</v>
      </c>
      <c r="AQ1419" t="s">
        <v>763</v>
      </c>
    </row>
    <row r="1420" spans="1:43" x14ac:dyDescent="0.2">
      <c r="A1420" s="14" t="s">
        <v>500</v>
      </c>
      <c r="B1420" s="17">
        <v>13686106</v>
      </c>
      <c r="C1420" s="14" t="s">
        <v>465</v>
      </c>
      <c r="D1420" s="9">
        <v>13686106</v>
      </c>
      <c r="E1420" s="9" t="s">
        <v>465</v>
      </c>
      <c r="F1420" s="7">
        <v>45689</v>
      </c>
      <c r="G1420" s="20" t="s">
        <v>36</v>
      </c>
      <c r="H1420" s="8">
        <v>929831458</v>
      </c>
      <c r="I1420" s="19">
        <v>929831458</v>
      </c>
      <c r="J1420" s="10">
        <v>182628</v>
      </c>
      <c r="K1420" s="10">
        <v>168452</v>
      </c>
      <c r="L1420" s="10">
        <v>14176</v>
      </c>
      <c r="M1420" s="10">
        <v>0</v>
      </c>
      <c r="N1420" s="11">
        <v>14176</v>
      </c>
      <c r="O1420" s="12">
        <v>929831458</v>
      </c>
      <c r="P1420" s="9">
        <v>285123</v>
      </c>
      <c r="Q1420" s="9" t="s">
        <v>37</v>
      </c>
      <c r="R1420" s="13">
        <v>45701</v>
      </c>
      <c r="S1420" s="22">
        <v>45701</v>
      </c>
      <c r="T1420" s="13">
        <v>45701</v>
      </c>
      <c r="U1420" s="13">
        <v>45701</v>
      </c>
      <c r="V1420" s="9" t="s">
        <v>47</v>
      </c>
      <c r="W1420" s="9">
        <v>22598457</v>
      </c>
      <c r="X1420" s="9">
        <v>2171709</v>
      </c>
      <c r="Y1420" s="9">
        <v>68878403</v>
      </c>
      <c r="Z1420" s="9" t="s">
        <v>39</v>
      </c>
      <c r="AA1420" s="9">
        <v>16022025</v>
      </c>
      <c r="AB1420" s="9">
        <v>77646</v>
      </c>
      <c r="AC1420" s="9" t="s">
        <v>41</v>
      </c>
      <c r="AD1420" s="9" t="s">
        <v>134</v>
      </c>
      <c r="AE1420" s="9" t="s">
        <v>135</v>
      </c>
      <c r="AF1420" s="9" t="s">
        <v>135</v>
      </c>
      <c r="AG1420" s="14" t="str">
        <f t="shared" si="46"/>
        <v>EXAMENES RADIOLOGICOS</v>
      </c>
      <c r="AH1420" s="9" t="s">
        <v>758</v>
      </c>
      <c r="AI1420" s="9">
        <v>0</v>
      </c>
      <c r="AJ1420" s="9">
        <v>78317440</v>
      </c>
      <c r="AK1420" s="9">
        <v>5</v>
      </c>
      <c r="AL1420" s="26" t="s">
        <v>83</v>
      </c>
      <c r="AM1420" s="14" t="s">
        <v>734</v>
      </c>
      <c r="AN1420" s="27" t="str">
        <f t="shared" si="47"/>
        <v>13686106|78317440|929831458|929831458</v>
      </c>
      <c r="AO1420" t="s">
        <v>758</v>
      </c>
      <c r="AP1420" t="b">
        <v>1</v>
      </c>
      <c r="AQ1420" t="s">
        <v>764</v>
      </c>
    </row>
    <row r="1421" spans="1:43" x14ac:dyDescent="0.2">
      <c r="A1421" s="14" t="s">
        <v>500</v>
      </c>
      <c r="B1421" s="17">
        <v>13686106</v>
      </c>
      <c r="C1421" s="14" t="s">
        <v>465</v>
      </c>
      <c r="D1421" s="9">
        <v>13686106</v>
      </c>
      <c r="E1421" s="9" t="s">
        <v>465</v>
      </c>
      <c r="F1421" s="7">
        <v>45717</v>
      </c>
      <c r="G1421" s="20" t="s">
        <v>46</v>
      </c>
      <c r="H1421" s="8">
        <v>929831458</v>
      </c>
      <c r="I1421" s="19">
        <v>65384133</v>
      </c>
      <c r="J1421" s="10">
        <v>14216</v>
      </c>
      <c r="K1421" s="10">
        <v>0</v>
      </c>
      <c r="L1421" s="10">
        <v>14216</v>
      </c>
      <c r="M1421" s="10">
        <v>0</v>
      </c>
      <c r="N1421" s="11">
        <v>14216</v>
      </c>
      <c r="O1421" s="12">
        <v>929831458</v>
      </c>
      <c r="P1421" s="9">
        <v>285123</v>
      </c>
      <c r="Q1421" s="9" t="s">
        <v>37</v>
      </c>
      <c r="R1421" s="13">
        <v>45717</v>
      </c>
      <c r="S1421" s="22">
        <v>45742</v>
      </c>
      <c r="T1421" s="13">
        <v>45701</v>
      </c>
      <c r="U1421" s="13">
        <v>45701</v>
      </c>
      <c r="V1421" s="9" t="s">
        <v>47</v>
      </c>
      <c r="W1421" s="9">
        <v>22770616</v>
      </c>
      <c r="X1421" s="9">
        <v>3311105</v>
      </c>
      <c r="Y1421" s="9">
        <v>69251013</v>
      </c>
      <c r="Z1421" s="9" t="s">
        <v>39</v>
      </c>
      <c r="AA1421" s="9">
        <v>19801713540</v>
      </c>
      <c r="AB1421" s="9">
        <v>78070</v>
      </c>
      <c r="AC1421" s="9" t="s">
        <v>41</v>
      </c>
      <c r="AD1421" s="9" t="s">
        <v>134</v>
      </c>
      <c r="AE1421" s="9" t="s">
        <v>135</v>
      </c>
      <c r="AF1421" s="9" t="s">
        <v>135</v>
      </c>
      <c r="AG1421" s="14" t="str">
        <f t="shared" si="46"/>
        <v>EXAMENES RADIOLOGICOS</v>
      </c>
      <c r="AH1421" s="9">
        <v>0</v>
      </c>
      <c r="AI1421" s="9">
        <v>0</v>
      </c>
      <c r="AJ1421" s="9">
        <v>78317440</v>
      </c>
      <c r="AK1421" s="9">
        <v>5</v>
      </c>
      <c r="AL1421" s="26" t="s">
        <v>52</v>
      </c>
      <c r="AM1421" s="14" t="s">
        <v>734</v>
      </c>
      <c r="AN1421" s="27" t="str">
        <f t="shared" si="47"/>
        <v>13686106|78317440|929831458|65384133</v>
      </c>
      <c r="AO1421" t="s">
        <v>44</v>
      </c>
      <c r="AP1421" t="b">
        <v>0</v>
      </c>
      <c r="AQ1421" t="s">
        <v>763</v>
      </c>
    </row>
    <row r="1422" spans="1:43" x14ac:dyDescent="0.2">
      <c r="A1422" s="14" t="s">
        <v>500</v>
      </c>
      <c r="B1422" s="17">
        <v>14259765</v>
      </c>
      <c r="C1422" s="14" t="s">
        <v>466</v>
      </c>
      <c r="D1422" s="9">
        <v>14259765</v>
      </c>
      <c r="E1422" s="9" t="s">
        <v>466</v>
      </c>
      <c r="F1422" s="7">
        <v>45689</v>
      </c>
      <c r="G1422" s="20" t="s">
        <v>36</v>
      </c>
      <c r="H1422" s="8">
        <v>929837903</v>
      </c>
      <c r="I1422" s="19">
        <v>929837903</v>
      </c>
      <c r="J1422" s="10">
        <v>210764</v>
      </c>
      <c r="K1422" s="10">
        <v>185827</v>
      </c>
      <c r="L1422" s="10">
        <v>24937</v>
      </c>
      <c r="M1422" s="10">
        <v>0</v>
      </c>
      <c r="N1422" s="11">
        <v>24937</v>
      </c>
      <c r="O1422" s="12">
        <v>929837903</v>
      </c>
      <c r="P1422" s="9">
        <v>285123</v>
      </c>
      <c r="Q1422" s="9" t="s">
        <v>37</v>
      </c>
      <c r="R1422" s="13">
        <v>45701</v>
      </c>
      <c r="S1422" s="22">
        <v>45701</v>
      </c>
      <c r="T1422" s="13">
        <v>45701</v>
      </c>
      <c r="U1422" s="13">
        <v>45701</v>
      </c>
      <c r="V1422" s="9" t="s">
        <v>47</v>
      </c>
      <c r="W1422" s="9">
        <v>22598460</v>
      </c>
      <c r="X1422" s="9">
        <v>2171709</v>
      </c>
      <c r="Y1422" s="9">
        <v>68877901</v>
      </c>
      <c r="Z1422" s="9" t="s">
        <v>39</v>
      </c>
      <c r="AA1422" s="9">
        <v>16022025</v>
      </c>
      <c r="AB1422" s="9">
        <v>77646</v>
      </c>
      <c r="AC1422" s="9" t="s">
        <v>41</v>
      </c>
      <c r="AD1422" s="9" t="s">
        <v>134</v>
      </c>
      <c r="AE1422" s="9" t="s">
        <v>135</v>
      </c>
      <c r="AF1422" s="9" t="s">
        <v>135</v>
      </c>
      <c r="AG1422" s="14" t="str">
        <f t="shared" si="46"/>
        <v>EXAMENES RADIOLOGICOS</v>
      </c>
      <c r="AH1422" s="9" t="s">
        <v>758</v>
      </c>
      <c r="AI1422" s="9">
        <v>0</v>
      </c>
      <c r="AJ1422" s="9">
        <v>76098454</v>
      </c>
      <c r="AK1422" s="9" t="s">
        <v>161</v>
      </c>
      <c r="AL1422" s="26" t="s">
        <v>83</v>
      </c>
      <c r="AM1422" s="14" t="s">
        <v>735</v>
      </c>
      <c r="AN1422" s="27" t="str">
        <f t="shared" si="47"/>
        <v>14259765|76098454|929837903|929837903</v>
      </c>
      <c r="AO1422" t="s">
        <v>758</v>
      </c>
      <c r="AP1422" t="b">
        <v>1</v>
      </c>
      <c r="AQ1422" t="s">
        <v>764</v>
      </c>
    </row>
    <row r="1423" spans="1:43" x14ac:dyDescent="0.2">
      <c r="A1423" s="14" t="s">
        <v>500</v>
      </c>
      <c r="B1423" s="17">
        <v>14259765</v>
      </c>
      <c r="C1423" s="14" t="s">
        <v>466</v>
      </c>
      <c r="D1423" s="9">
        <v>14259765</v>
      </c>
      <c r="E1423" s="9" t="s">
        <v>466</v>
      </c>
      <c r="F1423" s="7">
        <v>45689</v>
      </c>
      <c r="G1423" s="20" t="s">
        <v>36</v>
      </c>
      <c r="H1423" s="8">
        <v>929837903</v>
      </c>
      <c r="I1423" s="19">
        <v>929837903</v>
      </c>
      <c r="J1423" s="10">
        <v>268243</v>
      </c>
      <c r="K1423" s="10">
        <v>241419</v>
      </c>
      <c r="L1423" s="10">
        <v>26824</v>
      </c>
      <c r="M1423" s="10">
        <v>0</v>
      </c>
      <c r="N1423" s="11">
        <v>26824</v>
      </c>
      <c r="O1423" s="12">
        <v>929837903</v>
      </c>
      <c r="P1423" s="9">
        <v>285123</v>
      </c>
      <c r="Q1423" s="9" t="s">
        <v>37</v>
      </c>
      <c r="R1423" s="13">
        <v>45701</v>
      </c>
      <c r="S1423" s="22">
        <v>45701</v>
      </c>
      <c r="T1423" s="13">
        <v>45701</v>
      </c>
      <c r="U1423" s="13">
        <v>45701</v>
      </c>
      <c r="V1423" s="9" t="s">
        <v>47</v>
      </c>
      <c r="W1423" s="9">
        <v>22598460</v>
      </c>
      <c r="X1423" s="9">
        <v>2171709</v>
      </c>
      <c r="Y1423" s="9">
        <v>68877901</v>
      </c>
      <c r="Z1423" s="9" t="s">
        <v>39</v>
      </c>
      <c r="AA1423" s="9">
        <v>16022025</v>
      </c>
      <c r="AB1423" s="9">
        <v>77646</v>
      </c>
      <c r="AC1423" s="9" t="s">
        <v>41</v>
      </c>
      <c r="AD1423" s="9" t="s">
        <v>132</v>
      </c>
      <c r="AE1423" s="9" t="s">
        <v>133</v>
      </c>
      <c r="AF1423" s="9" t="s">
        <v>133</v>
      </c>
      <c r="AG1423" s="14" t="str">
        <f t="shared" si="46"/>
        <v>EXAMENES DE LABORATORIO</v>
      </c>
      <c r="AH1423" s="9" t="s">
        <v>758</v>
      </c>
      <c r="AI1423" s="9">
        <v>0</v>
      </c>
      <c r="AJ1423" s="9">
        <v>76098454</v>
      </c>
      <c r="AK1423" s="9" t="s">
        <v>161</v>
      </c>
      <c r="AL1423" s="26" t="s">
        <v>83</v>
      </c>
      <c r="AM1423" s="14" t="s">
        <v>735</v>
      </c>
      <c r="AN1423" s="27" t="str">
        <f t="shared" si="47"/>
        <v>14259765|76098454|929837903|929837903</v>
      </c>
      <c r="AO1423" t="s">
        <v>758</v>
      </c>
      <c r="AP1423" t="b">
        <v>1</v>
      </c>
      <c r="AQ1423" t="s">
        <v>764</v>
      </c>
    </row>
    <row r="1424" spans="1:43" x14ac:dyDescent="0.2">
      <c r="A1424" s="14" t="s">
        <v>500</v>
      </c>
      <c r="B1424" s="17">
        <v>14259765</v>
      </c>
      <c r="C1424" s="14" t="s">
        <v>466</v>
      </c>
      <c r="D1424" s="9">
        <v>14259765</v>
      </c>
      <c r="E1424" s="9" t="s">
        <v>466</v>
      </c>
      <c r="F1424" s="7">
        <v>45717</v>
      </c>
      <c r="G1424" s="20" t="s">
        <v>46</v>
      </c>
      <c r="H1424" s="8">
        <v>929837903</v>
      </c>
      <c r="I1424" s="19">
        <v>65384215</v>
      </c>
      <c r="J1424" s="10">
        <v>24974</v>
      </c>
      <c r="K1424" s="10">
        <v>0</v>
      </c>
      <c r="L1424" s="10">
        <v>24974</v>
      </c>
      <c r="M1424" s="10">
        <v>0</v>
      </c>
      <c r="N1424" s="11">
        <v>24974</v>
      </c>
      <c r="O1424" s="12">
        <v>929837903</v>
      </c>
      <c r="P1424" s="9">
        <v>285123</v>
      </c>
      <c r="Q1424" s="9" t="s">
        <v>37</v>
      </c>
      <c r="R1424" s="13">
        <v>45717</v>
      </c>
      <c r="S1424" s="22">
        <v>45742</v>
      </c>
      <c r="T1424" s="13">
        <v>45701</v>
      </c>
      <c r="U1424" s="13">
        <v>45701</v>
      </c>
      <c r="V1424" s="9" t="s">
        <v>47</v>
      </c>
      <c r="W1424" s="9">
        <v>22770617</v>
      </c>
      <c r="X1424" s="9">
        <v>3311105</v>
      </c>
      <c r="Y1424" s="9">
        <v>69251090</v>
      </c>
      <c r="Z1424" s="9" t="s">
        <v>39</v>
      </c>
      <c r="AA1424" s="9">
        <v>61225838</v>
      </c>
      <c r="AB1424" s="9">
        <v>78070</v>
      </c>
      <c r="AC1424" s="9" t="s">
        <v>41</v>
      </c>
      <c r="AD1424" s="9" t="s">
        <v>134</v>
      </c>
      <c r="AE1424" s="9" t="s">
        <v>135</v>
      </c>
      <c r="AF1424" s="9" t="s">
        <v>135</v>
      </c>
      <c r="AG1424" s="14" t="str">
        <f t="shared" si="46"/>
        <v>EXAMENES RADIOLOGICOS</v>
      </c>
      <c r="AH1424" s="9">
        <v>0</v>
      </c>
      <c r="AI1424" s="9">
        <v>0</v>
      </c>
      <c r="AJ1424" s="9">
        <v>76098454</v>
      </c>
      <c r="AK1424" s="9" t="s">
        <v>161</v>
      </c>
      <c r="AL1424" s="26" t="s">
        <v>52</v>
      </c>
      <c r="AM1424" s="14" t="s">
        <v>735</v>
      </c>
      <c r="AN1424" s="27" t="str">
        <f t="shared" si="47"/>
        <v>14259765|76098454|929837903|65384215</v>
      </c>
      <c r="AO1424" t="s">
        <v>44</v>
      </c>
      <c r="AP1424" t="b">
        <v>0</v>
      </c>
      <c r="AQ1424" t="s">
        <v>763</v>
      </c>
    </row>
    <row r="1425" spans="1:43" x14ac:dyDescent="0.2">
      <c r="A1425" s="14" t="s">
        <v>500</v>
      </c>
      <c r="B1425" s="17">
        <v>14259765</v>
      </c>
      <c r="C1425" s="14" t="s">
        <v>466</v>
      </c>
      <c r="D1425" s="9">
        <v>14259765</v>
      </c>
      <c r="E1425" s="9" t="s">
        <v>466</v>
      </c>
      <c r="F1425" s="7">
        <v>45717</v>
      </c>
      <c r="G1425" s="20" t="s">
        <v>46</v>
      </c>
      <c r="H1425" s="8">
        <v>929837903</v>
      </c>
      <c r="I1425" s="19">
        <v>65384215</v>
      </c>
      <c r="J1425" s="10">
        <v>26895</v>
      </c>
      <c r="K1425" s="10">
        <v>0</v>
      </c>
      <c r="L1425" s="10">
        <v>26895</v>
      </c>
      <c r="M1425" s="10">
        <v>0</v>
      </c>
      <c r="N1425" s="11">
        <v>26895</v>
      </c>
      <c r="O1425" s="12">
        <v>929837903</v>
      </c>
      <c r="P1425" s="9">
        <v>285123</v>
      </c>
      <c r="Q1425" s="9" t="s">
        <v>37</v>
      </c>
      <c r="R1425" s="13">
        <v>45717</v>
      </c>
      <c r="S1425" s="22">
        <v>45742</v>
      </c>
      <c r="T1425" s="13">
        <v>45701</v>
      </c>
      <c r="U1425" s="13">
        <v>45701</v>
      </c>
      <c r="V1425" s="9" t="s">
        <v>47</v>
      </c>
      <c r="W1425" s="9">
        <v>22770617</v>
      </c>
      <c r="X1425" s="9">
        <v>3311105</v>
      </c>
      <c r="Y1425" s="9">
        <v>69251090</v>
      </c>
      <c r="Z1425" s="9" t="s">
        <v>39</v>
      </c>
      <c r="AA1425" s="9">
        <v>61225838</v>
      </c>
      <c r="AB1425" s="9">
        <v>78070</v>
      </c>
      <c r="AC1425" s="9" t="s">
        <v>41</v>
      </c>
      <c r="AD1425" s="9" t="s">
        <v>132</v>
      </c>
      <c r="AE1425" s="9" t="s">
        <v>133</v>
      </c>
      <c r="AF1425" s="9" t="s">
        <v>133</v>
      </c>
      <c r="AG1425" s="14" t="str">
        <f t="shared" si="46"/>
        <v>EXAMENES DE LABORATORIO</v>
      </c>
      <c r="AH1425" s="9">
        <v>0</v>
      </c>
      <c r="AI1425" s="9">
        <v>0</v>
      </c>
      <c r="AJ1425" s="9">
        <v>76098454</v>
      </c>
      <c r="AK1425" s="9" t="s">
        <v>161</v>
      </c>
      <c r="AL1425" s="26" t="s">
        <v>52</v>
      </c>
      <c r="AM1425" s="14" t="s">
        <v>735</v>
      </c>
      <c r="AN1425" s="27" t="str">
        <f t="shared" si="47"/>
        <v>14259765|76098454|929837903|65384215</v>
      </c>
      <c r="AO1425" t="s">
        <v>44</v>
      </c>
      <c r="AP1425" t="b">
        <v>0</v>
      </c>
      <c r="AQ1425" t="s">
        <v>763</v>
      </c>
    </row>
    <row r="1426" spans="1:43" x14ac:dyDescent="0.2">
      <c r="A1426" s="14" t="s">
        <v>500</v>
      </c>
      <c r="B1426" s="17">
        <v>10564729</v>
      </c>
      <c r="C1426" s="14" t="s">
        <v>467</v>
      </c>
      <c r="D1426" s="9">
        <v>10564729</v>
      </c>
      <c r="E1426" s="9" t="s">
        <v>467</v>
      </c>
      <c r="F1426" s="7">
        <v>45689</v>
      </c>
      <c r="G1426" s="20" t="s">
        <v>36</v>
      </c>
      <c r="H1426" s="8">
        <v>929853128</v>
      </c>
      <c r="I1426" s="19">
        <v>929853128</v>
      </c>
      <c r="J1426" s="10">
        <v>16526</v>
      </c>
      <c r="K1426" s="10">
        <v>14875</v>
      </c>
      <c r="L1426" s="10">
        <v>1651</v>
      </c>
      <c r="M1426" s="10">
        <v>0</v>
      </c>
      <c r="N1426" s="11">
        <v>1651</v>
      </c>
      <c r="O1426" s="12">
        <v>929853128</v>
      </c>
      <c r="P1426" s="9">
        <v>285123</v>
      </c>
      <c r="Q1426" s="9" t="s">
        <v>37</v>
      </c>
      <c r="R1426" s="13">
        <v>45699</v>
      </c>
      <c r="S1426" s="22">
        <v>45699</v>
      </c>
      <c r="T1426" s="13">
        <v>45699</v>
      </c>
      <c r="U1426" s="13">
        <v>45699</v>
      </c>
      <c r="V1426" s="9" t="s">
        <v>47</v>
      </c>
      <c r="W1426" s="9">
        <v>22598353</v>
      </c>
      <c r="X1426" s="9">
        <v>2171709</v>
      </c>
      <c r="Y1426" s="9">
        <v>68876720</v>
      </c>
      <c r="Z1426" s="9" t="s">
        <v>39</v>
      </c>
      <c r="AA1426" s="9">
        <v>16022025</v>
      </c>
      <c r="AB1426" s="9">
        <v>77646</v>
      </c>
      <c r="AC1426" s="9" t="s">
        <v>41</v>
      </c>
      <c r="AD1426" s="9" t="s">
        <v>132</v>
      </c>
      <c r="AE1426" s="9" t="s">
        <v>133</v>
      </c>
      <c r="AF1426" s="9" t="s">
        <v>133</v>
      </c>
      <c r="AG1426" s="14" t="str">
        <f t="shared" si="46"/>
        <v>EXAMENES DE LABORATORIO</v>
      </c>
      <c r="AH1426" s="9" t="s">
        <v>758</v>
      </c>
      <c r="AI1426" s="9">
        <v>0</v>
      </c>
      <c r="AJ1426" s="9">
        <v>96986050</v>
      </c>
      <c r="AK1426" s="9">
        <v>3</v>
      </c>
      <c r="AL1426" s="26" t="s">
        <v>83</v>
      </c>
      <c r="AM1426" s="14" t="s">
        <v>736</v>
      </c>
      <c r="AN1426" s="27" t="str">
        <f t="shared" si="47"/>
        <v>10564729|96986050|929853128|929853128</v>
      </c>
      <c r="AO1426" t="s">
        <v>758</v>
      </c>
      <c r="AP1426" t="b">
        <v>1</v>
      </c>
      <c r="AQ1426" t="s">
        <v>764</v>
      </c>
    </row>
    <row r="1427" spans="1:43" x14ac:dyDescent="0.2">
      <c r="A1427" s="14" t="s">
        <v>500</v>
      </c>
      <c r="B1427" s="17">
        <v>10564729</v>
      </c>
      <c r="C1427" s="14" t="s">
        <v>467</v>
      </c>
      <c r="D1427" s="9">
        <v>10564729</v>
      </c>
      <c r="E1427" s="9" t="s">
        <v>467</v>
      </c>
      <c r="F1427" s="7">
        <v>45717</v>
      </c>
      <c r="G1427" s="20" t="s">
        <v>46</v>
      </c>
      <c r="H1427" s="8">
        <v>929853128</v>
      </c>
      <c r="I1427" s="19">
        <v>65383864</v>
      </c>
      <c r="J1427" s="10">
        <v>1917</v>
      </c>
      <c r="K1427" s="10">
        <v>0</v>
      </c>
      <c r="L1427" s="10">
        <v>1917</v>
      </c>
      <c r="M1427" s="10">
        <v>0</v>
      </c>
      <c r="N1427" s="11">
        <v>1917</v>
      </c>
      <c r="O1427" s="12">
        <v>929853128</v>
      </c>
      <c r="P1427" s="9">
        <v>285123</v>
      </c>
      <c r="Q1427" s="9" t="s">
        <v>37</v>
      </c>
      <c r="R1427" s="13">
        <v>45717</v>
      </c>
      <c r="S1427" s="22">
        <v>45742</v>
      </c>
      <c r="T1427" s="13">
        <v>45699</v>
      </c>
      <c r="U1427" s="13">
        <v>45699</v>
      </c>
      <c r="V1427" s="9" t="s">
        <v>47</v>
      </c>
      <c r="W1427" s="9">
        <v>22770586</v>
      </c>
      <c r="X1427" s="9">
        <v>3311105</v>
      </c>
      <c r="Y1427" s="9">
        <v>69250753</v>
      </c>
      <c r="Z1427" s="9" t="s">
        <v>39</v>
      </c>
      <c r="AA1427" s="9">
        <v>4080030202</v>
      </c>
      <c r="AB1427" s="9">
        <v>78070</v>
      </c>
      <c r="AC1427" s="9" t="s">
        <v>41</v>
      </c>
      <c r="AD1427" s="9" t="s">
        <v>132</v>
      </c>
      <c r="AE1427" s="9" t="s">
        <v>133</v>
      </c>
      <c r="AF1427" s="9" t="s">
        <v>133</v>
      </c>
      <c r="AG1427" s="14" t="str">
        <f t="shared" si="46"/>
        <v>EXAMENES DE LABORATORIO</v>
      </c>
      <c r="AH1427" s="9">
        <v>0</v>
      </c>
      <c r="AI1427" s="9">
        <v>0</v>
      </c>
      <c r="AJ1427" s="9">
        <v>96986050</v>
      </c>
      <c r="AK1427" s="9">
        <v>3</v>
      </c>
      <c r="AL1427" s="26" t="s">
        <v>52</v>
      </c>
      <c r="AM1427" s="14" t="s">
        <v>736</v>
      </c>
      <c r="AN1427" s="27" t="str">
        <f t="shared" si="47"/>
        <v>10564729|96986050|929853128|65383864</v>
      </c>
      <c r="AO1427" t="s">
        <v>44</v>
      </c>
      <c r="AP1427" t="b">
        <v>0</v>
      </c>
      <c r="AQ1427" t="s">
        <v>763</v>
      </c>
    </row>
    <row r="1428" spans="1:43" x14ac:dyDescent="0.2">
      <c r="A1428" s="14" t="s">
        <v>500</v>
      </c>
      <c r="B1428" s="17">
        <v>16933109</v>
      </c>
      <c r="C1428" s="14" t="s">
        <v>462</v>
      </c>
      <c r="D1428" s="9">
        <v>16933109</v>
      </c>
      <c r="E1428" s="9" t="s">
        <v>462</v>
      </c>
      <c r="F1428" s="7">
        <v>45689</v>
      </c>
      <c r="G1428" s="20" t="s">
        <v>36</v>
      </c>
      <c r="H1428" s="8">
        <v>929853353</v>
      </c>
      <c r="I1428" s="19">
        <v>929853353</v>
      </c>
      <c r="J1428" s="10">
        <v>10740</v>
      </c>
      <c r="K1428" s="10">
        <v>9129</v>
      </c>
      <c r="L1428" s="10">
        <v>1611</v>
      </c>
      <c r="M1428" s="10">
        <v>0</v>
      </c>
      <c r="N1428" s="11">
        <v>1611</v>
      </c>
      <c r="O1428" s="12">
        <v>929853353</v>
      </c>
      <c r="P1428" s="9">
        <v>285123</v>
      </c>
      <c r="Q1428" s="9" t="s">
        <v>37</v>
      </c>
      <c r="R1428" s="13">
        <v>45699</v>
      </c>
      <c r="S1428" s="22">
        <v>45699</v>
      </c>
      <c r="T1428" s="13">
        <v>45699</v>
      </c>
      <c r="U1428" s="13">
        <v>45699</v>
      </c>
      <c r="V1428" s="9" t="s">
        <v>47</v>
      </c>
      <c r="W1428" s="9">
        <v>22598374</v>
      </c>
      <c r="X1428" s="9">
        <v>2171709</v>
      </c>
      <c r="Y1428" s="9">
        <v>68876709</v>
      </c>
      <c r="Z1428" s="9" t="s">
        <v>39</v>
      </c>
      <c r="AA1428" s="9">
        <v>16022025</v>
      </c>
      <c r="AB1428" s="9">
        <v>77646</v>
      </c>
      <c r="AC1428" s="9" t="s">
        <v>41</v>
      </c>
      <c r="AD1428" s="9" t="s">
        <v>65</v>
      </c>
      <c r="AE1428" s="9" t="s">
        <v>66</v>
      </c>
      <c r="AF1428" s="9" t="s">
        <v>66</v>
      </c>
      <c r="AG1428" s="14" t="str">
        <f t="shared" si="46"/>
        <v>PROCEDIMIENTOS TERAPEUTICOS</v>
      </c>
      <c r="AH1428" s="9" t="s">
        <v>758</v>
      </c>
      <c r="AI1428" s="9">
        <v>0</v>
      </c>
      <c r="AJ1428" s="9">
        <v>96942400</v>
      </c>
      <c r="AK1428" s="9">
        <v>2</v>
      </c>
      <c r="AL1428" s="26" t="s">
        <v>83</v>
      </c>
      <c r="AM1428" s="14" t="s">
        <v>732</v>
      </c>
      <c r="AN1428" s="27" t="str">
        <f t="shared" si="47"/>
        <v>16933109|96942400|929853353|929853353</v>
      </c>
      <c r="AO1428" t="s">
        <v>758</v>
      </c>
      <c r="AP1428" t="b">
        <v>1</v>
      </c>
      <c r="AQ1428" t="s">
        <v>764</v>
      </c>
    </row>
    <row r="1429" spans="1:43" x14ac:dyDescent="0.2">
      <c r="A1429" s="14" t="s">
        <v>500</v>
      </c>
      <c r="B1429" s="17">
        <v>16933109</v>
      </c>
      <c r="C1429" s="14" t="s">
        <v>462</v>
      </c>
      <c r="D1429" s="9">
        <v>16933109</v>
      </c>
      <c r="E1429" s="9" t="s">
        <v>462</v>
      </c>
      <c r="F1429" s="7">
        <v>45717</v>
      </c>
      <c r="G1429" s="20" t="s">
        <v>46</v>
      </c>
      <c r="H1429" s="8">
        <v>929853353</v>
      </c>
      <c r="I1429" s="19">
        <v>65384391</v>
      </c>
      <c r="J1429" s="10">
        <v>1535</v>
      </c>
      <c r="K1429" s="10">
        <v>0</v>
      </c>
      <c r="L1429" s="10">
        <v>1535</v>
      </c>
      <c r="M1429" s="10">
        <v>0</v>
      </c>
      <c r="N1429" s="11">
        <v>1535</v>
      </c>
      <c r="O1429" s="12">
        <v>929853353</v>
      </c>
      <c r="P1429" s="9">
        <v>285123</v>
      </c>
      <c r="Q1429" s="9" t="s">
        <v>37</v>
      </c>
      <c r="R1429" s="13">
        <v>45717</v>
      </c>
      <c r="S1429" s="22">
        <v>45742</v>
      </c>
      <c r="T1429" s="13">
        <v>45699</v>
      </c>
      <c r="U1429" s="13">
        <v>45699</v>
      </c>
      <c r="V1429" s="9" t="s">
        <v>47</v>
      </c>
      <c r="W1429" s="9">
        <v>22770593</v>
      </c>
      <c r="X1429" s="9">
        <v>3311105</v>
      </c>
      <c r="Y1429" s="9">
        <v>69251269</v>
      </c>
      <c r="Z1429" s="9" t="s">
        <v>39</v>
      </c>
      <c r="AA1429" s="9">
        <v>2580093409</v>
      </c>
      <c r="AB1429" s="9">
        <v>78070</v>
      </c>
      <c r="AC1429" s="9" t="s">
        <v>41</v>
      </c>
      <c r="AD1429" s="9" t="s">
        <v>65</v>
      </c>
      <c r="AE1429" s="9" t="s">
        <v>66</v>
      </c>
      <c r="AF1429" s="9" t="s">
        <v>66</v>
      </c>
      <c r="AG1429" s="14" t="str">
        <f t="shared" ref="AG1429:AG1492" si="48">+AF1429</f>
        <v>PROCEDIMIENTOS TERAPEUTICOS</v>
      </c>
      <c r="AH1429" s="9">
        <v>0</v>
      </c>
      <c r="AI1429" s="9">
        <v>0</v>
      </c>
      <c r="AJ1429" s="9">
        <v>96942400</v>
      </c>
      <c r="AK1429" s="9">
        <v>2</v>
      </c>
      <c r="AL1429" s="26" t="s">
        <v>52</v>
      </c>
      <c r="AM1429" s="14" t="s">
        <v>732</v>
      </c>
      <c r="AN1429" s="27" t="str">
        <f t="shared" si="47"/>
        <v>16933109|96942400|929853353|65384391</v>
      </c>
      <c r="AO1429" t="s">
        <v>44</v>
      </c>
      <c r="AP1429" t="b">
        <v>0</v>
      </c>
      <c r="AQ1429" t="s">
        <v>763</v>
      </c>
    </row>
    <row r="1430" spans="1:43" x14ac:dyDescent="0.2">
      <c r="A1430" s="14" t="s">
        <v>500</v>
      </c>
      <c r="B1430" s="17">
        <v>7510562</v>
      </c>
      <c r="C1430" s="14" t="s">
        <v>468</v>
      </c>
      <c r="D1430" s="9">
        <v>7510562</v>
      </c>
      <c r="E1430" s="9" t="s">
        <v>468</v>
      </c>
      <c r="F1430" s="7">
        <v>45689</v>
      </c>
      <c r="G1430" s="20" t="s">
        <v>36</v>
      </c>
      <c r="H1430" s="8">
        <v>929877332</v>
      </c>
      <c r="I1430" s="19">
        <v>929877332</v>
      </c>
      <c r="J1430" s="10">
        <v>687920</v>
      </c>
      <c r="K1430" s="10">
        <v>527282</v>
      </c>
      <c r="L1430" s="10">
        <v>160638</v>
      </c>
      <c r="M1430" s="10">
        <v>0</v>
      </c>
      <c r="N1430" s="11">
        <v>160638</v>
      </c>
      <c r="O1430" s="12">
        <v>929877332</v>
      </c>
      <c r="P1430" s="9">
        <v>285123</v>
      </c>
      <c r="Q1430" s="9" t="s">
        <v>37</v>
      </c>
      <c r="R1430" s="13">
        <v>45695</v>
      </c>
      <c r="S1430" s="22">
        <v>45695</v>
      </c>
      <c r="T1430" s="13">
        <v>45695</v>
      </c>
      <c r="U1430" s="13">
        <v>45695</v>
      </c>
      <c r="V1430" s="9" t="s">
        <v>47</v>
      </c>
      <c r="W1430" s="9">
        <v>22566278</v>
      </c>
      <c r="X1430" s="9">
        <v>2101551</v>
      </c>
      <c r="Y1430" s="9">
        <v>68823264</v>
      </c>
      <c r="Z1430" s="9" t="s">
        <v>39</v>
      </c>
      <c r="AA1430" s="9">
        <v>9022025</v>
      </c>
      <c r="AB1430" s="9">
        <v>77586</v>
      </c>
      <c r="AC1430" s="9" t="s">
        <v>41</v>
      </c>
      <c r="AD1430" s="9" t="s">
        <v>134</v>
      </c>
      <c r="AE1430" s="9" t="s">
        <v>135</v>
      </c>
      <c r="AF1430" s="9" t="s">
        <v>135</v>
      </c>
      <c r="AG1430" s="14" t="str">
        <f t="shared" si="48"/>
        <v>EXAMENES RADIOLOGICOS</v>
      </c>
      <c r="AH1430" s="9" t="s">
        <v>758</v>
      </c>
      <c r="AI1430" s="9">
        <v>0</v>
      </c>
      <c r="AJ1430" s="9">
        <v>76853020</v>
      </c>
      <c r="AK1430" s="9">
        <v>3</v>
      </c>
      <c r="AL1430" s="26" t="s">
        <v>83</v>
      </c>
      <c r="AM1430" s="14" t="s">
        <v>737</v>
      </c>
      <c r="AN1430" s="27" t="str">
        <f t="shared" si="47"/>
        <v>7510562|76853020|929877332|929877332</v>
      </c>
      <c r="AO1430" t="s">
        <v>758</v>
      </c>
      <c r="AP1430" t="b">
        <v>1</v>
      </c>
      <c r="AQ1430" t="s">
        <v>764</v>
      </c>
    </row>
    <row r="1431" spans="1:43" x14ac:dyDescent="0.2">
      <c r="A1431" s="14" t="s">
        <v>500</v>
      </c>
      <c r="B1431" s="17">
        <v>7510562</v>
      </c>
      <c r="C1431" s="14" t="s">
        <v>468</v>
      </c>
      <c r="D1431" s="9">
        <v>7510562</v>
      </c>
      <c r="E1431" s="9" t="s">
        <v>468</v>
      </c>
      <c r="F1431" s="7">
        <v>45717</v>
      </c>
      <c r="G1431" s="20" t="s">
        <v>46</v>
      </c>
      <c r="H1431" s="8">
        <v>929877332</v>
      </c>
      <c r="I1431" s="19">
        <v>65383617</v>
      </c>
      <c r="J1431" s="10">
        <v>160757</v>
      </c>
      <c r="K1431" s="10">
        <v>0</v>
      </c>
      <c r="L1431" s="10">
        <v>160757</v>
      </c>
      <c r="M1431" s="10">
        <v>0</v>
      </c>
      <c r="N1431" s="11">
        <v>160757</v>
      </c>
      <c r="O1431" s="12">
        <v>929877332</v>
      </c>
      <c r="P1431" s="9">
        <v>285123</v>
      </c>
      <c r="Q1431" s="9" t="s">
        <v>37</v>
      </c>
      <c r="R1431" s="13">
        <v>45717</v>
      </c>
      <c r="S1431" s="22">
        <v>45742</v>
      </c>
      <c r="T1431" s="13">
        <v>45695</v>
      </c>
      <c r="U1431" s="13">
        <v>45695</v>
      </c>
      <c r="V1431" s="9" t="s">
        <v>47</v>
      </c>
      <c r="W1431" s="9">
        <v>22770554</v>
      </c>
      <c r="X1431" s="9">
        <v>3311105</v>
      </c>
      <c r="Y1431" s="9">
        <v>69250508</v>
      </c>
      <c r="Z1431" s="9" t="s">
        <v>39</v>
      </c>
      <c r="AA1431" s="9">
        <v>1690500510</v>
      </c>
      <c r="AB1431" s="9">
        <v>78070</v>
      </c>
      <c r="AC1431" s="9" t="s">
        <v>41</v>
      </c>
      <c r="AD1431" s="9" t="s">
        <v>134</v>
      </c>
      <c r="AE1431" s="9" t="s">
        <v>135</v>
      </c>
      <c r="AF1431" s="9" t="s">
        <v>135</v>
      </c>
      <c r="AG1431" s="14" t="str">
        <f t="shared" si="48"/>
        <v>EXAMENES RADIOLOGICOS</v>
      </c>
      <c r="AH1431" s="9">
        <v>0</v>
      </c>
      <c r="AI1431" s="9">
        <v>0</v>
      </c>
      <c r="AJ1431" s="9">
        <v>76853020</v>
      </c>
      <c r="AK1431" s="9">
        <v>3</v>
      </c>
      <c r="AL1431" s="26" t="s">
        <v>52</v>
      </c>
      <c r="AM1431" s="14" t="s">
        <v>737</v>
      </c>
      <c r="AN1431" s="27" t="str">
        <f t="shared" si="47"/>
        <v>7510562|76853020|929877332|65383617</v>
      </c>
      <c r="AO1431" t="s">
        <v>44</v>
      </c>
      <c r="AP1431" t="b">
        <v>0</v>
      </c>
      <c r="AQ1431" t="s">
        <v>763</v>
      </c>
    </row>
    <row r="1432" spans="1:43" x14ac:dyDescent="0.2">
      <c r="A1432" s="14" t="s">
        <v>500</v>
      </c>
      <c r="B1432" s="17">
        <v>13686106</v>
      </c>
      <c r="C1432" s="14" t="s">
        <v>465</v>
      </c>
      <c r="D1432" s="9">
        <v>13686106</v>
      </c>
      <c r="E1432" s="9" t="s">
        <v>465</v>
      </c>
      <c r="F1432" s="7">
        <v>45689</v>
      </c>
      <c r="G1432" s="20" t="s">
        <v>36</v>
      </c>
      <c r="H1432" s="8">
        <v>929877344</v>
      </c>
      <c r="I1432" s="19">
        <v>929877344</v>
      </c>
      <c r="J1432" s="10">
        <v>66822</v>
      </c>
      <c r="K1432" s="10">
        <v>60141</v>
      </c>
      <c r="L1432" s="10">
        <v>6681</v>
      </c>
      <c r="M1432" s="10">
        <v>0</v>
      </c>
      <c r="N1432" s="11">
        <v>6681</v>
      </c>
      <c r="O1432" s="12">
        <v>929877344</v>
      </c>
      <c r="P1432" s="9">
        <v>285123</v>
      </c>
      <c r="Q1432" s="9" t="s">
        <v>37</v>
      </c>
      <c r="R1432" s="13">
        <v>45695</v>
      </c>
      <c r="S1432" s="22">
        <v>45695</v>
      </c>
      <c r="T1432" s="13">
        <v>45695</v>
      </c>
      <c r="U1432" s="13">
        <v>45695</v>
      </c>
      <c r="V1432" s="9" t="s">
        <v>47</v>
      </c>
      <c r="W1432" s="9">
        <v>22566294</v>
      </c>
      <c r="X1432" s="9">
        <v>2101551</v>
      </c>
      <c r="Y1432" s="9">
        <v>68823262</v>
      </c>
      <c r="Z1432" s="9" t="s">
        <v>39</v>
      </c>
      <c r="AA1432" s="9">
        <v>9022025</v>
      </c>
      <c r="AB1432" s="9">
        <v>77586</v>
      </c>
      <c r="AC1432" s="9" t="s">
        <v>41</v>
      </c>
      <c r="AD1432" s="9" t="s">
        <v>134</v>
      </c>
      <c r="AE1432" s="9" t="s">
        <v>135</v>
      </c>
      <c r="AF1432" s="9" t="s">
        <v>135</v>
      </c>
      <c r="AG1432" s="14" t="str">
        <f t="shared" si="48"/>
        <v>EXAMENES RADIOLOGICOS</v>
      </c>
      <c r="AH1432" s="9" t="s">
        <v>758</v>
      </c>
      <c r="AI1432" s="9">
        <v>0</v>
      </c>
      <c r="AJ1432" s="9">
        <v>78317440</v>
      </c>
      <c r="AK1432" s="9">
        <v>5</v>
      </c>
      <c r="AL1432" s="26" t="s">
        <v>83</v>
      </c>
      <c r="AM1432" s="14" t="s">
        <v>734</v>
      </c>
      <c r="AN1432" s="27" t="str">
        <f t="shared" si="47"/>
        <v>13686106|78317440|929877344|929877344</v>
      </c>
      <c r="AO1432" t="s">
        <v>758</v>
      </c>
      <c r="AP1432" t="b">
        <v>1</v>
      </c>
      <c r="AQ1432" t="s">
        <v>764</v>
      </c>
    </row>
    <row r="1433" spans="1:43" x14ac:dyDescent="0.2">
      <c r="A1433" s="14" t="s">
        <v>500</v>
      </c>
      <c r="B1433" s="17">
        <v>13686106</v>
      </c>
      <c r="C1433" s="14" t="s">
        <v>465</v>
      </c>
      <c r="D1433" s="9">
        <v>13686106</v>
      </c>
      <c r="E1433" s="9" t="s">
        <v>465</v>
      </c>
      <c r="F1433" s="7">
        <v>45717</v>
      </c>
      <c r="G1433" s="20" t="s">
        <v>46</v>
      </c>
      <c r="H1433" s="8">
        <v>929877344</v>
      </c>
      <c r="I1433" s="19">
        <v>65384134</v>
      </c>
      <c r="J1433" s="10">
        <v>6521</v>
      </c>
      <c r="K1433" s="10">
        <v>0</v>
      </c>
      <c r="L1433" s="10">
        <v>6521</v>
      </c>
      <c r="M1433" s="10">
        <v>0</v>
      </c>
      <c r="N1433" s="11">
        <v>6521</v>
      </c>
      <c r="O1433" s="12">
        <v>929877344</v>
      </c>
      <c r="P1433" s="9">
        <v>285123</v>
      </c>
      <c r="Q1433" s="9" t="s">
        <v>37</v>
      </c>
      <c r="R1433" s="13">
        <v>45717</v>
      </c>
      <c r="S1433" s="22">
        <v>45742</v>
      </c>
      <c r="T1433" s="13">
        <v>45695</v>
      </c>
      <c r="U1433" s="13">
        <v>45695</v>
      </c>
      <c r="V1433" s="9" t="s">
        <v>47</v>
      </c>
      <c r="W1433" s="9">
        <v>22770559</v>
      </c>
      <c r="X1433" s="9">
        <v>3311105</v>
      </c>
      <c r="Y1433" s="9">
        <v>69251014</v>
      </c>
      <c r="Z1433" s="9" t="s">
        <v>39</v>
      </c>
      <c r="AA1433" s="9">
        <v>19801713540</v>
      </c>
      <c r="AB1433" s="9">
        <v>78070</v>
      </c>
      <c r="AC1433" s="9" t="s">
        <v>41</v>
      </c>
      <c r="AD1433" s="9" t="s">
        <v>134</v>
      </c>
      <c r="AE1433" s="9" t="s">
        <v>135</v>
      </c>
      <c r="AF1433" s="9" t="s">
        <v>135</v>
      </c>
      <c r="AG1433" s="14" t="str">
        <f t="shared" si="48"/>
        <v>EXAMENES RADIOLOGICOS</v>
      </c>
      <c r="AH1433" s="9">
        <v>0</v>
      </c>
      <c r="AI1433" s="9">
        <v>0</v>
      </c>
      <c r="AJ1433" s="9">
        <v>78317440</v>
      </c>
      <c r="AK1433" s="9">
        <v>5</v>
      </c>
      <c r="AL1433" s="26" t="s">
        <v>52</v>
      </c>
      <c r="AM1433" s="14" t="s">
        <v>734</v>
      </c>
      <c r="AN1433" s="27" t="str">
        <f t="shared" si="47"/>
        <v>13686106|78317440|929877344|65384134</v>
      </c>
      <c r="AO1433" t="s">
        <v>44</v>
      </c>
      <c r="AP1433" t="b">
        <v>0</v>
      </c>
      <c r="AQ1433" t="s">
        <v>763</v>
      </c>
    </row>
    <row r="1434" spans="1:43" x14ac:dyDescent="0.2">
      <c r="A1434" s="14" t="s">
        <v>500</v>
      </c>
      <c r="B1434" s="17">
        <v>16933109</v>
      </c>
      <c r="C1434" s="14" t="s">
        <v>462</v>
      </c>
      <c r="D1434" s="9">
        <v>16933109</v>
      </c>
      <c r="E1434" s="9" t="s">
        <v>462</v>
      </c>
      <c r="F1434" s="7">
        <v>45689</v>
      </c>
      <c r="G1434" s="20" t="s">
        <v>36</v>
      </c>
      <c r="H1434" s="8">
        <v>929900118</v>
      </c>
      <c r="I1434" s="19">
        <v>929900118</v>
      </c>
      <c r="J1434" s="10">
        <v>36192</v>
      </c>
      <c r="K1434" s="10">
        <v>25335</v>
      </c>
      <c r="L1434" s="10">
        <v>10857</v>
      </c>
      <c r="M1434" s="10">
        <v>0</v>
      </c>
      <c r="N1434" s="11">
        <v>10857</v>
      </c>
      <c r="O1434" s="12">
        <v>929900118</v>
      </c>
      <c r="P1434" s="9">
        <v>285123</v>
      </c>
      <c r="Q1434" s="9" t="s">
        <v>37</v>
      </c>
      <c r="R1434" s="13">
        <v>45693</v>
      </c>
      <c r="S1434" s="22">
        <v>45693</v>
      </c>
      <c r="T1434" s="13">
        <v>45693</v>
      </c>
      <c r="U1434" s="13">
        <v>45693</v>
      </c>
      <c r="V1434" s="9" t="s">
        <v>47</v>
      </c>
      <c r="W1434" s="9">
        <v>22566236</v>
      </c>
      <c r="X1434" s="9">
        <v>2101551</v>
      </c>
      <c r="Y1434" s="9">
        <v>68821768</v>
      </c>
      <c r="Z1434" s="9" t="s">
        <v>39</v>
      </c>
      <c r="AA1434" s="9">
        <v>9022025</v>
      </c>
      <c r="AB1434" s="9">
        <v>77586</v>
      </c>
      <c r="AC1434" s="9" t="s">
        <v>41</v>
      </c>
      <c r="AD1434" s="9" t="s">
        <v>132</v>
      </c>
      <c r="AE1434" s="9" t="s">
        <v>133</v>
      </c>
      <c r="AF1434" s="9" t="s">
        <v>133</v>
      </c>
      <c r="AG1434" s="14" t="str">
        <f t="shared" si="48"/>
        <v>EXAMENES DE LABORATORIO</v>
      </c>
      <c r="AH1434" s="9" t="s">
        <v>758</v>
      </c>
      <c r="AI1434" s="9">
        <v>0</v>
      </c>
      <c r="AJ1434" s="9">
        <v>96942400</v>
      </c>
      <c r="AK1434" s="9">
        <v>2</v>
      </c>
      <c r="AL1434" s="26" t="s">
        <v>83</v>
      </c>
      <c r="AM1434" s="14" t="s">
        <v>732</v>
      </c>
      <c r="AN1434" s="27" t="str">
        <f t="shared" si="47"/>
        <v>16933109|96942400|929900118|929900118</v>
      </c>
      <c r="AO1434" t="s">
        <v>758</v>
      </c>
      <c r="AP1434" t="b">
        <v>1</v>
      </c>
      <c r="AQ1434" t="s">
        <v>764</v>
      </c>
    </row>
    <row r="1435" spans="1:43" x14ac:dyDescent="0.2">
      <c r="A1435" s="14" t="s">
        <v>500</v>
      </c>
      <c r="B1435" s="17">
        <v>16933109</v>
      </c>
      <c r="C1435" s="14" t="s">
        <v>462</v>
      </c>
      <c r="D1435" s="9">
        <v>16933109</v>
      </c>
      <c r="E1435" s="9" t="s">
        <v>462</v>
      </c>
      <c r="F1435" s="7">
        <v>45717</v>
      </c>
      <c r="G1435" s="20" t="s">
        <v>46</v>
      </c>
      <c r="H1435" s="8">
        <v>929900118</v>
      </c>
      <c r="I1435" s="19">
        <v>65384392</v>
      </c>
      <c r="J1435" s="10">
        <v>11125</v>
      </c>
      <c r="K1435" s="10">
        <v>0</v>
      </c>
      <c r="L1435" s="10">
        <v>11125</v>
      </c>
      <c r="M1435" s="10">
        <v>0</v>
      </c>
      <c r="N1435" s="11">
        <v>11125</v>
      </c>
      <c r="O1435" s="12">
        <v>929900118</v>
      </c>
      <c r="P1435" s="9">
        <v>285123</v>
      </c>
      <c r="Q1435" s="9" t="s">
        <v>37</v>
      </c>
      <c r="R1435" s="13">
        <v>45717</v>
      </c>
      <c r="S1435" s="22">
        <v>45742</v>
      </c>
      <c r="T1435" s="13">
        <v>45693</v>
      </c>
      <c r="U1435" s="13">
        <v>45693</v>
      </c>
      <c r="V1435" s="9" t="s">
        <v>47</v>
      </c>
      <c r="W1435" s="9">
        <v>22770548</v>
      </c>
      <c r="X1435" s="9">
        <v>3311105</v>
      </c>
      <c r="Y1435" s="9">
        <v>69251270</v>
      </c>
      <c r="Z1435" s="9" t="s">
        <v>39</v>
      </c>
      <c r="AA1435" s="9">
        <v>2580093409</v>
      </c>
      <c r="AB1435" s="9">
        <v>78070</v>
      </c>
      <c r="AC1435" s="9" t="s">
        <v>41</v>
      </c>
      <c r="AD1435" s="9" t="s">
        <v>132</v>
      </c>
      <c r="AE1435" s="9" t="s">
        <v>133</v>
      </c>
      <c r="AF1435" s="9" t="s">
        <v>133</v>
      </c>
      <c r="AG1435" s="14" t="str">
        <f t="shared" si="48"/>
        <v>EXAMENES DE LABORATORIO</v>
      </c>
      <c r="AH1435" s="9">
        <v>0</v>
      </c>
      <c r="AI1435" s="9">
        <v>0</v>
      </c>
      <c r="AJ1435" s="9">
        <v>96942400</v>
      </c>
      <c r="AK1435" s="9">
        <v>2</v>
      </c>
      <c r="AL1435" s="26" t="s">
        <v>52</v>
      </c>
      <c r="AM1435" s="14" t="s">
        <v>732</v>
      </c>
      <c r="AN1435" s="27" t="str">
        <f t="shared" si="47"/>
        <v>16933109|96942400|929900118|65384392</v>
      </c>
      <c r="AO1435" t="s">
        <v>44</v>
      </c>
      <c r="AP1435" t="b">
        <v>0</v>
      </c>
      <c r="AQ1435" t="s">
        <v>763</v>
      </c>
    </row>
    <row r="1436" spans="1:43" x14ac:dyDescent="0.2">
      <c r="A1436" s="14" t="s">
        <v>500</v>
      </c>
      <c r="B1436" s="17">
        <v>16933109</v>
      </c>
      <c r="C1436" s="14" t="s">
        <v>462</v>
      </c>
      <c r="D1436" s="9">
        <v>16933109</v>
      </c>
      <c r="E1436" s="9" t="s">
        <v>462</v>
      </c>
      <c r="F1436" s="7">
        <v>45689</v>
      </c>
      <c r="G1436" s="20" t="s">
        <v>36</v>
      </c>
      <c r="H1436" s="8">
        <v>929900119</v>
      </c>
      <c r="I1436" s="19">
        <v>929900119</v>
      </c>
      <c r="J1436" s="10">
        <v>35584</v>
      </c>
      <c r="K1436" s="10">
        <v>24909</v>
      </c>
      <c r="L1436" s="10">
        <v>10675</v>
      </c>
      <c r="M1436" s="10">
        <v>0</v>
      </c>
      <c r="N1436" s="11">
        <v>10675</v>
      </c>
      <c r="O1436" s="12">
        <v>929900119</v>
      </c>
      <c r="P1436" s="9">
        <v>285123</v>
      </c>
      <c r="Q1436" s="9" t="s">
        <v>37</v>
      </c>
      <c r="R1436" s="13">
        <v>45693</v>
      </c>
      <c r="S1436" s="22">
        <v>45693</v>
      </c>
      <c r="T1436" s="13">
        <v>45693</v>
      </c>
      <c r="U1436" s="13">
        <v>45693</v>
      </c>
      <c r="V1436" s="9" t="s">
        <v>47</v>
      </c>
      <c r="W1436" s="9">
        <v>22566236</v>
      </c>
      <c r="X1436" s="9">
        <v>2101551</v>
      </c>
      <c r="Y1436" s="9">
        <v>68821769</v>
      </c>
      <c r="Z1436" s="9" t="s">
        <v>39</v>
      </c>
      <c r="AA1436" s="9">
        <v>9022025</v>
      </c>
      <c r="AB1436" s="9">
        <v>77586</v>
      </c>
      <c r="AC1436" s="9" t="s">
        <v>41</v>
      </c>
      <c r="AD1436" s="9" t="s">
        <v>132</v>
      </c>
      <c r="AE1436" s="9" t="s">
        <v>133</v>
      </c>
      <c r="AF1436" s="9" t="s">
        <v>133</v>
      </c>
      <c r="AG1436" s="14" t="str">
        <f t="shared" si="48"/>
        <v>EXAMENES DE LABORATORIO</v>
      </c>
      <c r="AH1436" s="9" t="s">
        <v>758</v>
      </c>
      <c r="AI1436" s="9">
        <v>0</v>
      </c>
      <c r="AJ1436" s="9">
        <v>96942400</v>
      </c>
      <c r="AK1436" s="9">
        <v>2</v>
      </c>
      <c r="AL1436" s="26" t="s">
        <v>83</v>
      </c>
      <c r="AM1436" s="14" t="s">
        <v>732</v>
      </c>
      <c r="AN1436" s="27" t="str">
        <f t="shared" si="47"/>
        <v>16933109|96942400|929900119|929900119</v>
      </c>
      <c r="AO1436" t="s">
        <v>758</v>
      </c>
      <c r="AP1436" t="b">
        <v>1</v>
      </c>
      <c r="AQ1436" t="s">
        <v>764</v>
      </c>
    </row>
    <row r="1437" spans="1:43" x14ac:dyDescent="0.2">
      <c r="A1437" s="14" t="s">
        <v>500</v>
      </c>
      <c r="B1437" s="17">
        <v>16933109</v>
      </c>
      <c r="C1437" s="14" t="s">
        <v>462</v>
      </c>
      <c r="D1437" s="9">
        <v>16933109</v>
      </c>
      <c r="E1437" s="9" t="s">
        <v>462</v>
      </c>
      <c r="F1437" s="7">
        <v>45717</v>
      </c>
      <c r="G1437" s="20" t="s">
        <v>46</v>
      </c>
      <c r="H1437" s="8">
        <v>929900119</v>
      </c>
      <c r="I1437" s="19">
        <v>65384393</v>
      </c>
      <c r="J1437" s="10">
        <v>10358</v>
      </c>
      <c r="K1437" s="10">
        <v>0</v>
      </c>
      <c r="L1437" s="10">
        <v>10358</v>
      </c>
      <c r="M1437" s="10">
        <v>0</v>
      </c>
      <c r="N1437" s="11">
        <v>10358</v>
      </c>
      <c r="O1437" s="12">
        <v>929900119</v>
      </c>
      <c r="P1437" s="9">
        <v>285123</v>
      </c>
      <c r="Q1437" s="9" t="s">
        <v>37</v>
      </c>
      <c r="R1437" s="13">
        <v>45717</v>
      </c>
      <c r="S1437" s="22">
        <v>45742</v>
      </c>
      <c r="T1437" s="13">
        <v>45693</v>
      </c>
      <c r="U1437" s="13">
        <v>45693</v>
      </c>
      <c r="V1437" s="9" t="s">
        <v>47</v>
      </c>
      <c r="W1437" s="9">
        <v>22770548</v>
      </c>
      <c r="X1437" s="9">
        <v>3311105</v>
      </c>
      <c r="Y1437" s="9">
        <v>69251271</v>
      </c>
      <c r="Z1437" s="9" t="s">
        <v>39</v>
      </c>
      <c r="AA1437" s="9">
        <v>2580093409</v>
      </c>
      <c r="AB1437" s="9">
        <v>78070</v>
      </c>
      <c r="AC1437" s="9" t="s">
        <v>41</v>
      </c>
      <c r="AD1437" s="9" t="s">
        <v>132</v>
      </c>
      <c r="AE1437" s="9" t="s">
        <v>133</v>
      </c>
      <c r="AF1437" s="9" t="s">
        <v>133</v>
      </c>
      <c r="AG1437" s="14" t="str">
        <f t="shared" si="48"/>
        <v>EXAMENES DE LABORATORIO</v>
      </c>
      <c r="AH1437" s="9">
        <v>0</v>
      </c>
      <c r="AI1437" s="9">
        <v>0</v>
      </c>
      <c r="AJ1437" s="9">
        <v>96942400</v>
      </c>
      <c r="AK1437" s="9">
        <v>2</v>
      </c>
      <c r="AL1437" s="26" t="s">
        <v>52</v>
      </c>
      <c r="AM1437" s="14" t="s">
        <v>732</v>
      </c>
      <c r="AN1437" s="27" t="str">
        <f t="shared" si="47"/>
        <v>16933109|96942400|929900119|65384393</v>
      </c>
      <c r="AO1437" t="s">
        <v>44</v>
      </c>
      <c r="AP1437" t="b">
        <v>0</v>
      </c>
      <c r="AQ1437" t="s">
        <v>763</v>
      </c>
    </row>
    <row r="1438" spans="1:43" x14ac:dyDescent="0.2">
      <c r="A1438" s="14" t="s">
        <v>500</v>
      </c>
      <c r="B1438" s="17">
        <v>7154522</v>
      </c>
      <c r="C1438" s="14" t="s">
        <v>469</v>
      </c>
      <c r="D1438" s="9">
        <v>7154522</v>
      </c>
      <c r="E1438" s="9" t="s">
        <v>469</v>
      </c>
      <c r="F1438" s="7">
        <v>45689</v>
      </c>
      <c r="G1438" s="20" t="s">
        <v>36</v>
      </c>
      <c r="H1438" s="8">
        <v>929900814</v>
      </c>
      <c r="I1438" s="19">
        <v>929900814</v>
      </c>
      <c r="J1438" s="10">
        <v>29170</v>
      </c>
      <c r="K1438" s="10">
        <v>20419</v>
      </c>
      <c r="L1438" s="10">
        <v>8751</v>
      </c>
      <c r="M1438" s="10">
        <v>0</v>
      </c>
      <c r="N1438" s="11">
        <v>8751</v>
      </c>
      <c r="O1438" s="12">
        <v>929900814</v>
      </c>
      <c r="P1438" s="9">
        <v>285123</v>
      </c>
      <c r="Q1438" s="9" t="s">
        <v>37</v>
      </c>
      <c r="R1438" s="13">
        <v>45693</v>
      </c>
      <c r="S1438" s="22">
        <v>45693</v>
      </c>
      <c r="T1438" s="13">
        <v>45693</v>
      </c>
      <c r="U1438" s="13">
        <v>45693</v>
      </c>
      <c r="V1438" s="9" t="s">
        <v>47</v>
      </c>
      <c r="W1438" s="9">
        <v>22566195</v>
      </c>
      <c r="X1438" s="9">
        <v>2101551</v>
      </c>
      <c r="Y1438" s="9">
        <v>68821735</v>
      </c>
      <c r="Z1438" s="9" t="s">
        <v>39</v>
      </c>
      <c r="AA1438" s="9">
        <v>9022025</v>
      </c>
      <c r="AB1438" s="9">
        <v>77586</v>
      </c>
      <c r="AC1438" s="9" t="s">
        <v>41</v>
      </c>
      <c r="AD1438" s="9" t="s">
        <v>134</v>
      </c>
      <c r="AE1438" s="9" t="s">
        <v>135</v>
      </c>
      <c r="AF1438" s="9" t="s">
        <v>135</v>
      </c>
      <c r="AG1438" s="14" t="str">
        <f t="shared" si="48"/>
        <v>EXAMENES RADIOLOGICOS</v>
      </c>
      <c r="AH1438" s="9" t="s">
        <v>758</v>
      </c>
      <c r="AI1438" s="9">
        <v>0</v>
      </c>
      <c r="AJ1438" s="9">
        <v>99540210</v>
      </c>
      <c r="AK1438" s="9">
        <v>6</v>
      </c>
      <c r="AL1438" s="26" t="s">
        <v>83</v>
      </c>
      <c r="AM1438" s="14" t="s">
        <v>738</v>
      </c>
      <c r="AN1438" s="27" t="str">
        <f t="shared" si="47"/>
        <v>7154522|99540210|929900814|929900814</v>
      </c>
      <c r="AO1438" t="s">
        <v>758</v>
      </c>
      <c r="AP1438" t="b">
        <v>1</v>
      </c>
      <c r="AQ1438" t="s">
        <v>764</v>
      </c>
    </row>
    <row r="1439" spans="1:43" x14ac:dyDescent="0.2">
      <c r="A1439" s="14" t="s">
        <v>500</v>
      </c>
      <c r="B1439" s="17">
        <v>7154522</v>
      </c>
      <c r="C1439" s="14" t="s">
        <v>469</v>
      </c>
      <c r="D1439" s="9">
        <v>7154522</v>
      </c>
      <c r="E1439" s="9" t="s">
        <v>469</v>
      </c>
      <c r="F1439" s="7">
        <v>45717</v>
      </c>
      <c r="G1439" s="20" t="s">
        <v>46</v>
      </c>
      <c r="H1439" s="8">
        <v>929900814</v>
      </c>
      <c r="I1439" s="19">
        <v>65383603</v>
      </c>
      <c r="J1439" s="10">
        <v>8441</v>
      </c>
      <c r="K1439" s="10">
        <v>0</v>
      </c>
      <c r="L1439" s="10">
        <v>8441</v>
      </c>
      <c r="M1439" s="10">
        <v>0</v>
      </c>
      <c r="N1439" s="11">
        <v>8441</v>
      </c>
      <c r="O1439" s="12">
        <v>929900814</v>
      </c>
      <c r="P1439" s="9">
        <v>285123</v>
      </c>
      <c r="Q1439" s="9" t="s">
        <v>37</v>
      </c>
      <c r="R1439" s="13">
        <v>45717</v>
      </c>
      <c r="S1439" s="22">
        <v>45742</v>
      </c>
      <c r="T1439" s="13">
        <v>45693</v>
      </c>
      <c r="U1439" s="13">
        <v>45693</v>
      </c>
      <c r="V1439" s="9" t="s">
        <v>47</v>
      </c>
      <c r="W1439" s="9">
        <v>22770536</v>
      </c>
      <c r="X1439" s="9">
        <v>3311105</v>
      </c>
      <c r="Y1439" s="9">
        <v>69250494</v>
      </c>
      <c r="Z1439" s="9" t="s">
        <v>39</v>
      </c>
      <c r="AA1439" s="9">
        <v>14530821</v>
      </c>
      <c r="AB1439" s="9">
        <v>78070</v>
      </c>
      <c r="AC1439" s="9" t="s">
        <v>41</v>
      </c>
      <c r="AD1439" s="9" t="s">
        <v>134</v>
      </c>
      <c r="AE1439" s="9" t="s">
        <v>135</v>
      </c>
      <c r="AF1439" s="9" t="s">
        <v>135</v>
      </c>
      <c r="AG1439" s="14" t="str">
        <f t="shared" si="48"/>
        <v>EXAMENES RADIOLOGICOS</v>
      </c>
      <c r="AH1439" s="9">
        <v>0</v>
      </c>
      <c r="AI1439" s="9">
        <v>0</v>
      </c>
      <c r="AJ1439" s="9">
        <v>99540210</v>
      </c>
      <c r="AK1439" s="9">
        <v>6</v>
      </c>
      <c r="AL1439" s="26" t="s">
        <v>52</v>
      </c>
      <c r="AM1439" s="14" t="s">
        <v>738</v>
      </c>
      <c r="AN1439" s="27" t="str">
        <f t="shared" si="47"/>
        <v>7154522|99540210|929900814|65383603</v>
      </c>
      <c r="AO1439" t="s">
        <v>44</v>
      </c>
      <c r="AP1439" t="b">
        <v>0</v>
      </c>
      <c r="AQ1439" t="s">
        <v>763</v>
      </c>
    </row>
    <row r="1440" spans="1:43" x14ac:dyDescent="0.2">
      <c r="A1440" s="14" t="s">
        <v>500</v>
      </c>
      <c r="B1440" s="17">
        <v>14259765</v>
      </c>
      <c r="C1440" s="14" t="s">
        <v>466</v>
      </c>
      <c r="D1440" s="9">
        <v>14259765</v>
      </c>
      <c r="E1440" s="9" t="s">
        <v>466</v>
      </c>
      <c r="F1440" s="7">
        <v>45689</v>
      </c>
      <c r="G1440" s="20" t="s">
        <v>36</v>
      </c>
      <c r="H1440" s="8">
        <v>929903282</v>
      </c>
      <c r="I1440" s="19">
        <v>929903282</v>
      </c>
      <c r="J1440" s="10">
        <v>30484</v>
      </c>
      <c r="K1440" s="10">
        <v>28960</v>
      </c>
      <c r="L1440" s="10">
        <v>1524</v>
      </c>
      <c r="M1440" s="10">
        <v>0</v>
      </c>
      <c r="N1440" s="11">
        <v>1524</v>
      </c>
      <c r="O1440" s="12">
        <v>929903282</v>
      </c>
      <c r="P1440" s="9">
        <v>285123</v>
      </c>
      <c r="Q1440" s="9" t="s">
        <v>37</v>
      </c>
      <c r="R1440" s="13">
        <v>45693</v>
      </c>
      <c r="S1440" s="22">
        <v>45693</v>
      </c>
      <c r="T1440" s="13">
        <v>45693</v>
      </c>
      <c r="U1440" s="13">
        <v>45693</v>
      </c>
      <c r="V1440" s="9" t="s">
        <v>47</v>
      </c>
      <c r="W1440" s="9">
        <v>22566219</v>
      </c>
      <c r="X1440" s="9">
        <v>2101551</v>
      </c>
      <c r="Y1440" s="9">
        <v>68821565</v>
      </c>
      <c r="Z1440" s="9" t="s">
        <v>39</v>
      </c>
      <c r="AA1440" s="9">
        <v>9022025</v>
      </c>
      <c r="AB1440" s="9">
        <v>77586</v>
      </c>
      <c r="AC1440" s="9" t="s">
        <v>41</v>
      </c>
      <c r="AD1440" s="9" t="s">
        <v>132</v>
      </c>
      <c r="AE1440" s="9" t="s">
        <v>133</v>
      </c>
      <c r="AF1440" s="9" t="s">
        <v>133</v>
      </c>
      <c r="AG1440" s="14" t="str">
        <f t="shared" si="48"/>
        <v>EXAMENES DE LABORATORIO</v>
      </c>
      <c r="AH1440" s="9" t="s">
        <v>758</v>
      </c>
      <c r="AI1440" s="9">
        <v>0</v>
      </c>
      <c r="AJ1440" s="9">
        <v>96986050</v>
      </c>
      <c r="AK1440" s="9">
        <v>3</v>
      </c>
      <c r="AL1440" s="26" t="s">
        <v>83</v>
      </c>
      <c r="AM1440" s="14" t="s">
        <v>735</v>
      </c>
      <c r="AN1440" s="27" t="str">
        <f t="shared" si="47"/>
        <v>14259765|96986050|929903282|929903282</v>
      </c>
      <c r="AO1440" t="s">
        <v>758</v>
      </c>
      <c r="AP1440" t="b">
        <v>1</v>
      </c>
      <c r="AQ1440" t="s">
        <v>764</v>
      </c>
    </row>
    <row r="1441" spans="1:43" x14ac:dyDescent="0.2">
      <c r="A1441" s="14" t="s">
        <v>500</v>
      </c>
      <c r="B1441" s="17">
        <v>14259765</v>
      </c>
      <c r="C1441" s="14" t="s">
        <v>466</v>
      </c>
      <c r="D1441" s="9">
        <v>14259765</v>
      </c>
      <c r="E1441" s="9" t="s">
        <v>466</v>
      </c>
      <c r="F1441" s="7">
        <v>45717</v>
      </c>
      <c r="G1441" s="20" t="s">
        <v>46</v>
      </c>
      <c r="H1441" s="8">
        <v>929903282</v>
      </c>
      <c r="I1441" s="19">
        <v>65384216</v>
      </c>
      <c r="J1441" s="10">
        <v>1149</v>
      </c>
      <c r="K1441" s="10">
        <v>0</v>
      </c>
      <c r="L1441" s="10">
        <v>1149</v>
      </c>
      <c r="M1441" s="10">
        <v>0</v>
      </c>
      <c r="N1441" s="11">
        <v>1149</v>
      </c>
      <c r="O1441" s="12">
        <v>929903282</v>
      </c>
      <c r="P1441" s="9">
        <v>285123</v>
      </c>
      <c r="Q1441" s="9" t="s">
        <v>37</v>
      </c>
      <c r="R1441" s="13">
        <v>45717</v>
      </c>
      <c r="S1441" s="22">
        <v>45742</v>
      </c>
      <c r="T1441" s="13">
        <v>45693</v>
      </c>
      <c r="U1441" s="13">
        <v>45693</v>
      </c>
      <c r="V1441" s="9" t="s">
        <v>47</v>
      </c>
      <c r="W1441" s="9">
        <v>22770543</v>
      </c>
      <c r="X1441" s="9">
        <v>3311105</v>
      </c>
      <c r="Y1441" s="9">
        <v>69251091</v>
      </c>
      <c r="Z1441" s="9" t="s">
        <v>39</v>
      </c>
      <c r="AA1441" s="9">
        <v>61225838</v>
      </c>
      <c r="AB1441" s="9">
        <v>78070</v>
      </c>
      <c r="AC1441" s="9" t="s">
        <v>41</v>
      </c>
      <c r="AD1441" s="9" t="s">
        <v>132</v>
      </c>
      <c r="AE1441" s="9" t="s">
        <v>133</v>
      </c>
      <c r="AF1441" s="9" t="s">
        <v>133</v>
      </c>
      <c r="AG1441" s="14" t="str">
        <f t="shared" si="48"/>
        <v>EXAMENES DE LABORATORIO</v>
      </c>
      <c r="AH1441" s="9">
        <v>0</v>
      </c>
      <c r="AI1441" s="9">
        <v>0</v>
      </c>
      <c r="AJ1441" s="9">
        <v>96986050</v>
      </c>
      <c r="AK1441" s="9">
        <v>3</v>
      </c>
      <c r="AL1441" s="26" t="s">
        <v>52</v>
      </c>
      <c r="AM1441" s="14" t="s">
        <v>735</v>
      </c>
      <c r="AN1441" s="27" t="str">
        <f t="shared" si="47"/>
        <v>14259765|96986050|929903282|65384216</v>
      </c>
      <c r="AO1441" t="s">
        <v>44</v>
      </c>
      <c r="AP1441" t="b">
        <v>0</v>
      </c>
      <c r="AQ1441" t="s">
        <v>763</v>
      </c>
    </row>
    <row r="1442" spans="1:43" x14ac:dyDescent="0.2">
      <c r="A1442" s="14" t="s">
        <v>500</v>
      </c>
      <c r="B1442" s="17">
        <v>14259765</v>
      </c>
      <c r="C1442" s="14" t="s">
        <v>466</v>
      </c>
      <c r="D1442" s="9">
        <v>14259765</v>
      </c>
      <c r="E1442" s="9" t="s">
        <v>466</v>
      </c>
      <c r="F1442" s="7">
        <v>45689</v>
      </c>
      <c r="G1442" s="20" t="s">
        <v>36</v>
      </c>
      <c r="H1442" s="8">
        <v>929903283</v>
      </c>
      <c r="I1442" s="19">
        <v>929903283</v>
      </c>
      <c r="J1442" s="10">
        <v>29120</v>
      </c>
      <c r="K1442" s="10">
        <v>27665</v>
      </c>
      <c r="L1442" s="10">
        <v>1455</v>
      </c>
      <c r="M1442" s="10">
        <v>0</v>
      </c>
      <c r="N1442" s="11">
        <v>1455</v>
      </c>
      <c r="O1442" s="12">
        <v>929903283</v>
      </c>
      <c r="P1442" s="9">
        <v>285123</v>
      </c>
      <c r="Q1442" s="9" t="s">
        <v>37</v>
      </c>
      <c r="R1442" s="13">
        <v>45693</v>
      </c>
      <c r="S1442" s="22">
        <v>45693</v>
      </c>
      <c r="T1442" s="13">
        <v>45693</v>
      </c>
      <c r="U1442" s="13">
        <v>45693</v>
      </c>
      <c r="V1442" s="9" t="s">
        <v>47</v>
      </c>
      <c r="W1442" s="9">
        <v>22566219</v>
      </c>
      <c r="X1442" s="9">
        <v>2101551</v>
      </c>
      <c r="Y1442" s="9">
        <v>68821566</v>
      </c>
      <c r="Z1442" s="9" t="s">
        <v>39</v>
      </c>
      <c r="AA1442" s="9">
        <v>9022025</v>
      </c>
      <c r="AB1442" s="9">
        <v>77586</v>
      </c>
      <c r="AC1442" s="9" t="s">
        <v>41</v>
      </c>
      <c r="AD1442" s="9" t="s">
        <v>132</v>
      </c>
      <c r="AE1442" s="9" t="s">
        <v>133</v>
      </c>
      <c r="AF1442" s="9" t="s">
        <v>133</v>
      </c>
      <c r="AG1442" s="14" t="str">
        <f t="shared" si="48"/>
        <v>EXAMENES DE LABORATORIO</v>
      </c>
      <c r="AH1442" s="9" t="s">
        <v>758</v>
      </c>
      <c r="AI1442" s="9">
        <v>0</v>
      </c>
      <c r="AJ1442" s="9">
        <v>96986050</v>
      </c>
      <c r="AK1442" s="9">
        <v>3</v>
      </c>
      <c r="AL1442" s="26" t="s">
        <v>83</v>
      </c>
      <c r="AM1442" s="14" t="s">
        <v>735</v>
      </c>
      <c r="AN1442" s="27" t="str">
        <f t="shared" si="47"/>
        <v>14259765|96986050|929903283|929903283</v>
      </c>
      <c r="AO1442" t="s">
        <v>758</v>
      </c>
      <c r="AP1442" t="b">
        <v>1</v>
      </c>
      <c r="AQ1442" t="s">
        <v>764</v>
      </c>
    </row>
    <row r="1443" spans="1:43" x14ac:dyDescent="0.2">
      <c r="A1443" s="14" t="s">
        <v>500</v>
      </c>
      <c r="B1443" s="17">
        <v>14259765</v>
      </c>
      <c r="C1443" s="14" t="s">
        <v>466</v>
      </c>
      <c r="D1443" s="9">
        <v>14259765</v>
      </c>
      <c r="E1443" s="9" t="s">
        <v>466</v>
      </c>
      <c r="F1443" s="7">
        <v>45717</v>
      </c>
      <c r="G1443" s="20" t="s">
        <v>46</v>
      </c>
      <c r="H1443" s="8">
        <v>929903283</v>
      </c>
      <c r="I1443" s="19">
        <v>65384217</v>
      </c>
      <c r="J1443" s="10">
        <v>1916</v>
      </c>
      <c r="K1443" s="10">
        <v>0</v>
      </c>
      <c r="L1443" s="10">
        <v>1916</v>
      </c>
      <c r="M1443" s="10">
        <v>0</v>
      </c>
      <c r="N1443" s="11">
        <v>1916</v>
      </c>
      <c r="O1443" s="12">
        <v>929903283</v>
      </c>
      <c r="P1443" s="9">
        <v>285123</v>
      </c>
      <c r="Q1443" s="9" t="s">
        <v>37</v>
      </c>
      <c r="R1443" s="13">
        <v>45717</v>
      </c>
      <c r="S1443" s="22">
        <v>45742</v>
      </c>
      <c r="T1443" s="13">
        <v>45693</v>
      </c>
      <c r="U1443" s="13">
        <v>45693</v>
      </c>
      <c r="V1443" s="9" t="s">
        <v>47</v>
      </c>
      <c r="W1443" s="9">
        <v>22770543</v>
      </c>
      <c r="X1443" s="9">
        <v>3311105</v>
      </c>
      <c r="Y1443" s="9">
        <v>69251092</v>
      </c>
      <c r="Z1443" s="9" t="s">
        <v>39</v>
      </c>
      <c r="AA1443" s="9">
        <v>61225838</v>
      </c>
      <c r="AB1443" s="9">
        <v>78070</v>
      </c>
      <c r="AC1443" s="9" t="s">
        <v>41</v>
      </c>
      <c r="AD1443" s="9" t="s">
        <v>132</v>
      </c>
      <c r="AE1443" s="9" t="s">
        <v>133</v>
      </c>
      <c r="AF1443" s="9" t="s">
        <v>133</v>
      </c>
      <c r="AG1443" s="14" t="str">
        <f t="shared" si="48"/>
        <v>EXAMENES DE LABORATORIO</v>
      </c>
      <c r="AH1443" s="9">
        <v>0</v>
      </c>
      <c r="AI1443" s="9">
        <v>0</v>
      </c>
      <c r="AJ1443" s="9">
        <v>96986050</v>
      </c>
      <c r="AK1443" s="9">
        <v>3</v>
      </c>
      <c r="AL1443" s="26" t="s">
        <v>52</v>
      </c>
      <c r="AM1443" s="14" t="s">
        <v>735</v>
      </c>
      <c r="AN1443" s="27" t="str">
        <f t="shared" si="47"/>
        <v>14259765|96986050|929903283|65384217</v>
      </c>
      <c r="AO1443" t="s">
        <v>44</v>
      </c>
      <c r="AP1443" t="b">
        <v>0</v>
      </c>
      <c r="AQ1443" t="s">
        <v>763</v>
      </c>
    </row>
    <row r="1444" spans="1:43" x14ac:dyDescent="0.2">
      <c r="A1444" s="14" t="s">
        <v>500</v>
      </c>
      <c r="B1444" s="17">
        <v>9942550</v>
      </c>
      <c r="C1444" s="14" t="s">
        <v>457</v>
      </c>
      <c r="D1444" s="9">
        <v>9942550</v>
      </c>
      <c r="E1444" s="9" t="s">
        <v>457</v>
      </c>
      <c r="F1444" s="7">
        <v>45658</v>
      </c>
      <c r="G1444" s="20" t="s">
        <v>36</v>
      </c>
      <c r="H1444" s="8">
        <v>929934218</v>
      </c>
      <c r="I1444" s="19">
        <v>929934218</v>
      </c>
      <c r="J1444" s="10">
        <v>211896</v>
      </c>
      <c r="K1444" s="10">
        <v>178495</v>
      </c>
      <c r="L1444" s="10">
        <v>33401</v>
      </c>
      <c r="M1444" s="10">
        <v>0</v>
      </c>
      <c r="N1444" s="11">
        <v>33401</v>
      </c>
      <c r="O1444" s="12">
        <v>929934218</v>
      </c>
      <c r="P1444" s="9">
        <v>285123</v>
      </c>
      <c r="Q1444" s="9" t="s">
        <v>37</v>
      </c>
      <c r="R1444" s="13">
        <v>45688</v>
      </c>
      <c r="S1444" s="22">
        <v>45688</v>
      </c>
      <c r="T1444" s="13">
        <v>45688</v>
      </c>
      <c r="U1444" s="13">
        <v>45688</v>
      </c>
      <c r="V1444" s="9" t="s">
        <v>47</v>
      </c>
      <c r="W1444" s="9">
        <v>22560992</v>
      </c>
      <c r="X1444" s="9">
        <v>2040929</v>
      </c>
      <c r="Y1444" s="9">
        <v>68811252</v>
      </c>
      <c r="Z1444" s="9" t="s">
        <v>39</v>
      </c>
      <c r="AA1444" s="9">
        <v>2022025</v>
      </c>
      <c r="AB1444" s="9">
        <v>77562</v>
      </c>
      <c r="AC1444" s="9" t="s">
        <v>41</v>
      </c>
      <c r="AD1444" s="9" t="s">
        <v>134</v>
      </c>
      <c r="AE1444" s="9" t="s">
        <v>135</v>
      </c>
      <c r="AF1444" s="9" t="s">
        <v>135</v>
      </c>
      <c r="AG1444" s="14" t="str">
        <f t="shared" si="48"/>
        <v>EXAMENES RADIOLOGICOS</v>
      </c>
      <c r="AH1444" s="9" t="s">
        <v>758</v>
      </c>
      <c r="AI1444" s="9">
        <v>0</v>
      </c>
      <c r="AJ1444" s="9">
        <v>76098454</v>
      </c>
      <c r="AK1444" s="9" t="s">
        <v>161</v>
      </c>
      <c r="AL1444" s="26" t="s">
        <v>83</v>
      </c>
      <c r="AM1444" s="14" t="s">
        <v>727</v>
      </c>
      <c r="AN1444" s="27" t="str">
        <f t="shared" si="47"/>
        <v>9942550|76098454|929934218|929934218</v>
      </c>
      <c r="AO1444" t="s">
        <v>758</v>
      </c>
      <c r="AP1444" t="b">
        <v>1</v>
      </c>
      <c r="AQ1444" t="s">
        <v>764</v>
      </c>
    </row>
    <row r="1445" spans="1:43" x14ac:dyDescent="0.2">
      <c r="A1445" s="14" t="s">
        <v>500</v>
      </c>
      <c r="B1445" s="17">
        <v>9942550</v>
      </c>
      <c r="C1445" s="14" t="s">
        <v>457</v>
      </c>
      <c r="D1445" s="9">
        <v>9942550</v>
      </c>
      <c r="E1445" s="9" t="s">
        <v>457</v>
      </c>
      <c r="F1445" s="7">
        <v>45717</v>
      </c>
      <c r="G1445" s="20" t="s">
        <v>46</v>
      </c>
      <c r="H1445" s="8">
        <v>929934218</v>
      </c>
      <c r="I1445" s="19">
        <v>65383776</v>
      </c>
      <c r="J1445" s="10">
        <v>33394</v>
      </c>
      <c r="K1445" s="10">
        <v>0</v>
      </c>
      <c r="L1445" s="10">
        <v>33394</v>
      </c>
      <c r="M1445" s="10">
        <v>0</v>
      </c>
      <c r="N1445" s="11">
        <v>33394</v>
      </c>
      <c r="O1445" s="12">
        <v>929934218</v>
      </c>
      <c r="P1445" s="9">
        <v>285123</v>
      </c>
      <c r="Q1445" s="9" t="s">
        <v>37</v>
      </c>
      <c r="R1445" s="13">
        <v>45717</v>
      </c>
      <c r="S1445" s="22">
        <v>45742</v>
      </c>
      <c r="T1445" s="13">
        <v>45688</v>
      </c>
      <c r="U1445" s="13">
        <v>45688</v>
      </c>
      <c r="V1445" s="9" t="s">
        <v>47</v>
      </c>
      <c r="W1445" s="9">
        <v>22770479</v>
      </c>
      <c r="X1445" s="9">
        <v>3311105</v>
      </c>
      <c r="Y1445" s="9">
        <v>69250665</v>
      </c>
      <c r="Z1445" s="9" t="s">
        <v>39</v>
      </c>
      <c r="AA1445" s="9">
        <v>918631630</v>
      </c>
      <c r="AB1445" s="9">
        <v>78070</v>
      </c>
      <c r="AC1445" s="9" t="s">
        <v>41</v>
      </c>
      <c r="AD1445" s="9" t="s">
        <v>134</v>
      </c>
      <c r="AE1445" s="9" t="s">
        <v>135</v>
      </c>
      <c r="AF1445" s="9" t="s">
        <v>135</v>
      </c>
      <c r="AG1445" s="14" t="str">
        <f t="shared" si="48"/>
        <v>EXAMENES RADIOLOGICOS</v>
      </c>
      <c r="AH1445" s="9">
        <v>0</v>
      </c>
      <c r="AI1445" s="9">
        <v>0</v>
      </c>
      <c r="AJ1445" s="9">
        <v>76098454</v>
      </c>
      <c r="AK1445" s="9" t="s">
        <v>161</v>
      </c>
      <c r="AL1445" s="26" t="s">
        <v>52</v>
      </c>
      <c r="AM1445" s="14" t="s">
        <v>727</v>
      </c>
      <c r="AN1445" s="27" t="str">
        <f t="shared" si="47"/>
        <v>9942550|76098454|929934218|65383776</v>
      </c>
      <c r="AO1445" t="s">
        <v>44</v>
      </c>
      <c r="AP1445" t="b">
        <v>0</v>
      </c>
      <c r="AQ1445" t="s">
        <v>763</v>
      </c>
    </row>
    <row r="1446" spans="1:43" x14ac:dyDescent="0.2">
      <c r="A1446" s="14" t="s">
        <v>500</v>
      </c>
      <c r="B1446" s="17">
        <v>9942550</v>
      </c>
      <c r="C1446" s="14" t="s">
        <v>457</v>
      </c>
      <c r="D1446" s="9">
        <v>9942550</v>
      </c>
      <c r="E1446" s="9" t="s">
        <v>457</v>
      </c>
      <c r="F1446" s="7">
        <v>45658</v>
      </c>
      <c r="G1446" s="20" t="s">
        <v>36</v>
      </c>
      <c r="H1446" s="8">
        <v>929934802</v>
      </c>
      <c r="I1446" s="19">
        <v>929934802</v>
      </c>
      <c r="J1446" s="10">
        <v>19362</v>
      </c>
      <c r="K1446" s="10">
        <v>18394</v>
      </c>
      <c r="L1446" s="10">
        <v>968</v>
      </c>
      <c r="M1446" s="10">
        <v>0</v>
      </c>
      <c r="N1446" s="11">
        <v>968</v>
      </c>
      <c r="O1446" s="12">
        <v>929934802</v>
      </c>
      <c r="P1446" s="9">
        <v>285123</v>
      </c>
      <c r="Q1446" s="9" t="s">
        <v>37</v>
      </c>
      <c r="R1446" s="13">
        <v>45688</v>
      </c>
      <c r="S1446" s="22">
        <v>45688</v>
      </c>
      <c r="T1446" s="13">
        <v>45688</v>
      </c>
      <c r="U1446" s="13">
        <v>45688</v>
      </c>
      <c r="V1446" s="9" t="s">
        <v>47</v>
      </c>
      <c r="W1446" s="9">
        <v>22560992</v>
      </c>
      <c r="X1446" s="9">
        <v>2040929</v>
      </c>
      <c r="Y1446" s="9">
        <v>68811193</v>
      </c>
      <c r="Z1446" s="9" t="s">
        <v>39</v>
      </c>
      <c r="AA1446" s="9">
        <v>2022025</v>
      </c>
      <c r="AB1446" s="9">
        <v>77562</v>
      </c>
      <c r="AC1446" s="9" t="s">
        <v>41</v>
      </c>
      <c r="AD1446" s="9" t="s">
        <v>134</v>
      </c>
      <c r="AE1446" s="9" t="s">
        <v>135</v>
      </c>
      <c r="AF1446" s="9" t="s">
        <v>135</v>
      </c>
      <c r="AG1446" s="14" t="str">
        <f t="shared" si="48"/>
        <v>EXAMENES RADIOLOGICOS</v>
      </c>
      <c r="AH1446" s="9" t="s">
        <v>758</v>
      </c>
      <c r="AI1446" s="9">
        <v>0</v>
      </c>
      <c r="AJ1446" s="9">
        <v>76098454</v>
      </c>
      <c r="AK1446" s="9" t="s">
        <v>161</v>
      </c>
      <c r="AL1446" s="26" t="s">
        <v>83</v>
      </c>
      <c r="AM1446" s="14" t="s">
        <v>727</v>
      </c>
      <c r="AN1446" s="27" t="str">
        <f t="shared" si="47"/>
        <v>9942550|76098454|929934802|929934802</v>
      </c>
      <c r="AO1446" t="s">
        <v>758</v>
      </c>
      <c r="AP1446" t="b">
        <v>1</v>
      </c>
      <c r="AQ1446" t="s">
        <v>764</v>
      </c>
    </row>
    <row r="1447" spans="1:43" x14ac:dyDescent="0.2">
      <c r="A1447" s="14" t="s">
        <v>500</v>
      </c>
      <c r="B1447" s="17">
        <v>9942550</v>
      </c>
      <c r="C1447" s="14" t="s">
        <v>457</v>
      </c>
      <c r="D1447" s="9">
        <v>9942550</v>
      </c>
      <c r="E1447" s="9" t="s">
        <v>457</v>
      </c>
      <c r="F1447" s="7">
        <v>45717</v>
      </c>
      <c r="G1447" s="20" t="s">
        <v>46</v>
      </c>
      <c r="H1447" s="8">
        <v>929934802</v>
      </c>
      <c r="I1447" s="19">
        <v>65383777</v>
      </c>
      <c r="J1447" s="10">
        <v>1151</v>
      </c>
      <c r="K1447" s="10">
        <v>0</v>
      </c>
      <c r="L1447" s="10">
        <v>1151</v>
      </c>
      <c r="M1447" s="10">
        <v>0</v>
      </c>
      <c r="N1447" s="11">
        <v>1151</v>
      </c>
      <c r="O1447" s="12">
        <v>929934802</v>
      </c>
      <c r="P1447" s="9">
        <v>285123</v>
      </c>
      <c r="Q1447" s="9" t="s">
        <v>37</v>
      </c>
      <c r="R1447" s="13">
        <v>45717</v>
      </c>
      <c r="S1447" s="22">
        <v>45742</v>
      </c>
      <c r="T1447" s="13">
        <v>45688</v>
      </c>
      <c r="U1447" s="13">
        <v>45688</v>
      </c>
      <c r="V1447" s="9" t="s">
        <v>47</v>
      </c>
      <c r="W1447" s="9">
        <v>22770479</v>
      </c>
      <c r="X1447" s="9">
        <v>3311105</v>
      </c>
      <c r="Y1447" s="9">
        <v>69250666</v>
      </c>
      <c r="Z1447" s="9" t="s">
        <v>39</v>
      </c>
      <c r="AA1447" s="9">
        <v>918631630</v>
      </c>
      <c r="AB1447" s="9">
        <v>78070</v>
      </c>
      <c r="AC1447" s="9" t="s">
        <v>41</v>
      </c>
      <c r="AD1447" s="9" t="s">
        <v>134</v>
      </c>
      <c r="AE1447" s="9" t="s">
        <v>135</v>
      </c>
      <c r="AF1447" s="9" t="s">
        <v>135</v>
      </c>
      <c r="AG1447" s="14" t="str">
        <f t="shared" si="48"/>
        <v>EXAMENES RADIOLOGICOS</v>
      </c>
      <c r="AH1447" s="9">
        <v>0</v>
      </c>
      <c r="AI1447" s="9">
        <v>0</v>
      </c>
      <c r="AJ1447" s="9">
        <v>76098454</v>
      </c>
      <c r="AK1447" s="9" t="s">
        <v>161</v>
      </c>
      <c r="AL1447" s="26" t="s">
        <v>52</v>
      </c>
      <c r="AM1447" s="14" t="s">
        <v>727</v>
      </c>
      <c r="AN1447" s="27" t="str">
        <f t="shared" si="47"/>
        <v>9942550|76098454|929934802|65383777</v>
      </c>
      <c r="AO1447" t="s">
        <v>44</v>
      </c>
      <c r="AP1447" t="b">
        <v>0</v>
      </c>
      <c r="AQ1447" t="s">
        <v>763</v>
      </c>
    </row>
    <row r="1448" spans="1:43" x14ac:dyDescent="0.2">
      <c r="A1448" s="14" t="s">
        <v>500</v>
      </c>
      <c r="B1448" s="17">
        <v>18783812</v>
      </c>
      <c r="C1448" s="14" t="s">
        <v>470</v>
      </c>
      <c r="D1448" s="9">
        <v>18783812</v>
      </c>
      <c r="E1448" s="9" t="s">
        <v>470</v>
      </c>
      <c r="F1448" s="7">
        <v>45658</v>
      </c>
      <c r="G1448" s="20" t="s">
        <v>36</v>
      </c>
      <c r="H1448" s="8">
        <v>929942225</v>
      </c>
      <c r="I1448" s="19">
        <v>929942225</v>
      </c>
      <c r="J1448" s="10">
        <v>9088</v>
      </c>
      <c r="K1448" s="10">
        <v>8179</v>
      </c>
      <c r="L1448" s="10">
        <v>909</v>
      </c>
      <c r="M1448" s="10">
        <v>0</v>
      </c>
      <c r="N1448" s="11">
        <v>909</v>
      </c>
      <c r="O1448" s="12">
        <v>929942225</v>
      </c>
      <c r="P1448" s="9">
        <v>285123</v>
      </c>
      <c r="Q1448" s="9" t="s">
        <v>37</v>
      </c>
      <c r="R1448" s="13">
        <v>45688</v>
      </c>
      <c r="S1448" s="22">
        <v>45688</v>
      </c>
      <c r="T1448" s="13">
        <v>45688</v>
      </c>
      <c r="U1448" s="13">
        <v>45688</v>
      </c>
      <c r="V1448" s="9" t="s">
        <v>47</v>
      </c>
      <c r="W1448" s="9">
        <v>22561030</v>
      </c>
      <c r="X1448" s="9">
        <v>2040929</v>
      </c>
      <c r="Y1448" s="9">
        <v>68810762</v>
      </c>
      <c r="Z1448" s="9" t="s">
        <v>39</v>
      </c>
      <c r="AA1448" s="9">
        <v>2022025</v>
      </c>
      <c r="AB1448" s="9">
        <v>77562</v>
      </c>
      <c r="AC1448" s="9" t="s">
        <v>41</v>
      </c>
      <c r="AD1448" s="9" t="s">
        <v>132</v>
      </c>
      <c r="AE1448" s="9" t="s">
        <v>133</v>
      </c>
      <c r="AF1448" s="9" t="s">
        <v>133</v>
      </c>
      <c r="AG1448" s="14" t="str">
        <f t="shared" si="48"/>
        <v>EXAMENES DE LABORATORIO</v>
      </c>
      <c r="AH1448" s="9" t="s">
        <v>758</v>
      </c>
      <c r="AI1448" s="9">
        <v>0</v>
      </c>
      <c r="AJ1448" s="9">
        <v>96942400</v>
      </c>
      <c r="AK1448" s="9">
        <v>2</v>
      </c>
      <c r="AL1448" s="26" t="s">
        <v>83</v>
      </c>
      <c r="AM1448" s="14" t="s">
        <v>739</v>
      </c>
      <c r="AN1448" s="27" t="str">
        <f t="shared" si="47"/>
        <v>18783812|96942400|929942225|929942225</v>
      </c>
      <c r="AO1448" t="s">
        <v>758</v>
      </c>
      <c r="AP1448" t="b">
        <v>1</v>
      </c>
      <c r="AQ1448" t="s">
        <v>764</v>
      </c>
    </row>
    <row r="1449" spans="1:43" x14ac:dyDescent="0.2">
      <c r="A1449" s="14" t="s">
        <v>500</v>
      </c>
      <c r="B1449" s="17">
        <v>18783812</v>
      </c>
      <c r="C1449" s="14" t="s">
        <v>470</v>
      </c>
      <c r="D1449" s="9">
        <v>18783812</v>
      </c>
      <c r="E1449" s="9" t="s">
        <v>470</v>
      </c>
      <c r="F1449" s="7">
        <v>45717</v>
      </c>
      <c r="G1449" s="20" t="s">
        <v>46</v>
      </c>
      <c r="H1449" s="8">
        <v>929942225</v>
      </c>
      <c r="I1449" s="19">
        <v>65384474</v>
      </c>
      <c r="J1449" s="10">
        <v>1150</v>
      </c>
      <c r="K1449" s="10">
        <v>0</v>
      </c>
      <c r="L1449" s="10">
        <v>1150</v>
      </c>
      <c r="M1449" s="10">
        <v>0</v>
      </c>
      <c r="N1449" s="11">
        <v>1150</v>
      </c>
      <c r="O1449" s="12">
        <v>929942225</v>
      </c>
      <c r="P1449" s="9">
        <v>285123</v>
      </c>
      <c r="Q1449" s="9" t="s">
        <v>37</v>
      </c>
      <c r="R1449" s="13">
        <v>45717</v>
      </c>
      <c r="S1449" s="22">
        <v>45742</v>
      </c>
      <c r="T1449" s="13">
        <v>45688</v>
      </c>
      <c r="U1449" s="13">
        <v>45688</v>
      </c>
      <c r="V1449" s="9" t="s">
        <v>47</v>
      </c>
      <c r="W1449" s="9">
        <v>22770491</v>
      </c>
      <c r="X1449" s="9">
        <v>3311105</v>
      </c>
      <c r="Y1449" s="9">
        <v>69251340</v>
      </c>
      <c r="Z1449" s="9" t="s">
        <v>39</v>
      </c>
      <c r="AA1449" s="9">
        <v>70048990</v>
      </c>
      <c r="AB1449" s="9">
        <v>78070</v>
      </c>
      <c r="AC1449" s="9" t="s">
        <v>41</v>
      </c>
      <c r="AD1449" s="9" t="s">
        <v>132</v>
      </c>
      <c r="AE1449" s="9" t="s">
        <v>133</v>
      </c>
      <c r="AF1449" s="9" t="s">
        <v>133</v>
      </c>
      <c r="AG1449" s="14" t="str">
        <f t="shared" si="48"/>
        <v>EXAMENES DE LABORATORIO</v>
      </c>
      <c r="AH1449" s="9">
        <v>0</v>
      </c>
      <c r="AI1449" s="9">
        <v>0</v>
      </c>
      <c r="AJ1449" s="9">
        <v>96942400</v>
      </c>
      <c r="AK1449" s="9">
        <v>2</v>
      </c>
      <c r="AL1449" s="26" t="s">
        <v>52</v>
      </c>
      <c r="AM1449" s="14" t="s">
        <v>739</v>
      </c>
      <c r="AN1449" s="27" t="str">
        <f t="shared" si="47"/>
        <v>18783812|96942400|929942225|65384474</v>
      </c>
      <c r="AO1449" t="s">
        <v>44</v>
      </c>
      <c r="AP1449" t="b">
        <v>0</v>
      </c>
      <c r="AQ1449" t="s">
        <v>763</v>
      </c>
    </row>
    <row r="1450" spans="1:43" x14ac:dyDescent="0.2">
      <c r="A1450" s="14" t="s">
        <v>500</v>
      </c>
      <c r="B1450" s="17">
        <v>18783812</v>
      </c>
      <c r="C1450" s="14" t="s">
        <v>470</v>
      </c>
      <c r="D1450" s="9">
        <v>18783812</v>
      </c>
      <c r="E1450" s="9" t="s">
        <v>470</v>
      </c>
      <c r="F1450" s="7">
        <v>45658</v>
      </c>
      <c r="G1450" s="20" t="s">
        <v>36</v>
      </c>
      <c r="H1450" s="8">
        <v>929942226</v>
      </c>
      <c r="I1450" s="19">
        <v>929942226</v>
      </c>
      <c r="J1450" s="10">
        <v>51808</v>
      </c>
      <c r="K1450" s="10">
        <v>46628</v>
      </c>
      <c r="L1450" s="10">
        <v>5180</v>
      </c>
      <c r="M1450" s="10">
        <v>0</v>
      </c>
      <c r="N1450" s="11">
        <v>5180</v>
      </c>
      <c r="O1450" s="12">
        <v>929942226</v>
      </c>
      <c r="P1450" s="9">
        <v>285123</v>
      </c>
      <c r="Q1450" s="9" t="s">
        <v>37</v>
      </c>
      <c r="R1450" s="13">
        <v>45688</v>
      </c>
      <c r="S1450" s="22">
        <v>45688</v>
      </c>
      <c r="T1450" s="13">
        <v>45688</v>
      </c>
      <c r="U1450" s="13">
        <v>45688</v>
      </c>
      <c r="V1450" s="9" t="s">
        <v>47</v>
      </c>
      <c r="W1450" s="9">
        <v>22561030</v>
      </c>
      <c r="X1450" s="9">
        <v>2040929</v>
      </c>
      <c r="Y1450" s="9">
        <v>68810763</v>
      </c>
      <c r="Z1450" s="9" t="s">
        <v>39</v>
      </c>
      <c r="AA1450" s="9">
        <v>2022025</v>
      </c>
      <c r="AB1450" s="9">
        <v>77562</v>
      </c>
      <c r="AC1450" s="9" t="s">
        <v>41</v>
      </c>
      <c r="AD1450" s="9" t="s">
        <v>132</v>
      </c>
      <c r="AE1450" s="9" t="s">
        <v>133</v>
      </c>
      <c r="AF1450" s="9" t="s">
        <v>133</v>
      </c>
      <c r="AG1450" s="14" t="str">
        <f t="shared" si="48"/>
        <v>EXAMENES DE LABORATORIO</v>
      </c>
      <c r="AH1450" s="9" t="s">
        <v>758</v>
      </c>
      <c r="AI1450" s="9">
        <v>0</v>
      </c>
      <c r="AJ1450" s="9">
        <v>96942400</v>
      </c>
      <c r="AK1450" s="9">
        <v>2</v>
      </c>
      <c r="AL1450" s="26" t="s">
        <v>83</v>
      </c>
      <c r="AM1450" s="14" t="s">
        <v>739</v>
      </c>
      <c r="AN1450" s="27" t="str">
        <f t="shared" si="47"/>
        <v>18783812|96942400|929942226|929942226</v>
      </c>
      <c r="AO1450" t="s">
        <v>758</v>
      </c>
      <c r="AP1450" t="b">
        <v>1</v>
      </c>
      <c r="AQ1450" t="s">
        <v>764</v>
      </c>
    </row>
    <row r="1451" spans="1:43" x14ac:dyDescent="0.2">
      <c r="A1451" s="14" t="s">
        <v>500</v>
      </c>
      <c r="B1451" s="17">
        <v>18783812</v>
      </c>
      <c r="C1451" s="14" t="s">
        <v>470</v>
      </c>
      <c r="D1451" s="9">
        <v>18783812</v>
      </c>
      <c r="E1451" s="9" t="s">
        <v>470</v>
      </c>
      <c r="F1451" s="7">
        <v>45717</v>
      </c>
      <c r="G1451" s="20" t="s">
        <v>46</v>
      </c>
      <c r="H1451" s="8">
        <v>929942226</v>
      </c>
      <c r="I1451" s="19">
        <v>65384475</v>
      </c>
      <c r="J1451" s="10">
        <v>5371</v>
      </c>
      <c r="K1451" s="10">
        <v>0</v>
      </c>
      <c r="L1451" s="10">
        <v>5371</v>
      </c>
      <c r="M1451" s="10">
        <v>0</v>
      </c>
      <c r="N1451" s="11">
        <v>5371</v>
      </c>
      <c r="O1451" s="12">
        <v>929942226</v>
      </c>
      <c r="P1451" s="9">
        <v>285123</v>
      </c>
      <c r="Q1451" s="9" t="s">
        <v>37</v>
      </c>
      <c r="R1451" s="13">
        <v>45717</v>
      </c>
      <c r="S1451" s="22">
        <v>45742</v>
      </c>
      <c r="T1451" s="13">
        <v>45688</v>
      </c>
      <c r="U1451" s="13">
        <v>45688</v>
      </c>
      <c r="V1451" s="9" t="s">
        <v>47</v>
      </c>
      <c r="W1451" s="9">
        <v>22770491</v>
      </c>
      <c r="X1451" s="9">
        <v>3311105</v>
      </c>
      <c r="Y1451" s="9">
        <v>69251341</v>
      </c>
      <c r="Z1451" s="9" t="s">
        <v>39</v>
      </c>
      <c r="AA1451" s="9">
        <v>70048990</v>
      </c>
      <c r="AB1451" s="9">
        <v>78070</v>
      </c>
      <c r="AC1451" s="9" t="s">
        <v>41</v>
      </c>
      <c r="AD1451" s="9" t="s">
        <v>132</v>
      </c>
      <c r="AE1451" s="9" t="s">
        <v>133</v>
      </c>
      <c r="AF1451" s="9" t="s">
        <v>133</v>
      </c>
      <c r="AG1451" s="14" t="str">
        <f t="shared" si="48"/>
        <v>EXAMENES DE LABORATORIO</v>
      </c>
      <c r="AH1451" s="9">
        <v>0</v>
      </c>
      <c r="AI1451" s="9">
        <v>0</v>
      </c>
      <c r="AJ1451" s="9">
        <v>96942400</v>
      </c>
      <c r="AK1451" s="9">
        <v>2</v>
      </c>
      <c r="AL1451" s="26" t="s">
        <v>52</v>
      </c>
      <c r="AM1451" s="14" t="s">
        <v>739</v>
      </c>
      <c r="AN1451" s="27" t="str">
        <f t="shared" si="47"/>
        <v>18783812|96942400|929942226|65384475</v>
      </c>
      <c r="AO1451" t="s">
        <v>44</v>
      </c>
      <c r="AP1451" t="b">
        <v>0</v>
      </c>
      <c r="AQ1451" t="s">
        <v>763</v>
      </c>
    </row>
    <row r="1452" spans="1:43" x14ac:dyDescent="0.2">
      <c r="A1452" s="14" t="s">
        <v>500</v>
      </c>
      <c r="B1452" s="17">
        <v>17780739</v>
      </c>
      <c r="C1452" s="14" t="s">
        <v>308</v>
      </c>
      <c r="D1452" s="9">
        <v>17780739</v>
      </c>
      <c r="E1452" s="9" t="s">
        <v>308</v>
      </c>
      <c r="F1452" s="7">
        <v>45658</v>
      </c>
      <c r="G1452" s="20" t="s">
        <v>36</v>
      </c>
      <c r="H1452" s="8">
        <v>929954648</v>
      </c>
      <c r="I1452" s="19">
        <v>929954648</v>
      </c>
      <c r="J1452" s="10">
        <v>25578</v>
      </c>
      <c r="K1452" s="10">
        <v>17755</v>
      </c>
      <c r="L1452" s="10">
        <v>7823</v>
      </c>
      <c r="M1452" s="10">
        <v>0</v>
      </c>
      <c r="N1452" s="11">
        <v>7823</v>
      </c>
      <c r="O1452" s="12">
        <v>929954648</v>
      </c>
      <c r="P1452" s="9">
        <v>285123</v>
      </c>
      <c r="Q1452" s="9" t="s">
        <v>37</v>
      </c>
      <c r="R1452" s="13">
        <v>45686</v>
      </c>
      <c r="S1452" s="22">
        <v>45686</v>
      </c>
      <c r="T1452" s="13">
        <v>45686</v>
      </c>
      <c r="U1452" s="13">
        <v>45686</v>
      </c>
      <c r="V1452" s="9" t="s">
        <v>58</v>
      </c>
      <c r="W1452" s="9">
        <v>22560933</v>
      </c>
      <c r="X1452" s="9">
        <v>2040929</v>
      </c>
      <c r="Y1452" s="9">
        <v>68809899</v>
      </c>
      <c r="Z1452" s="9" t="s">
        <v>39</v>
      </c>
      <c r="AA1452" s="9">
        <v>2022025</v>
      </c>
      <c r="AB1452" s="9">
        <v>77562</v>
      </c>
      <c r="AC1452" s="9" t="s">
        <v>41</v>
      </c>
      <c r="AD1452" s="9" t="s">
        <v>71</v>
      </c>
      <c r="AE1452" s="9" t="s">
        <v>72</v>
      </c>
      <c r="AF1452" s="9" t="s">
        <v>73</v>
      </c>
      <c r="AG1452" s="14" t="str">
        <f t="shared" si="48"/>
        <v>CONSULTA PSIQUIATRICA</v>
      </c>
      <c r="AH1452" s="9" t="s">
        <v>758</v>
      </c>
      <c r="AI1452" s="9">
        <v>0</v>
      </c>
      <c r="AJ1452" s="9">
        <v>76098454</v>
      </c>
      <c r="AK1452" s="9" t="s">
        <v>161</v>
      </c>
      <c r="AL1452" s="26" t="s">
        <v>83</v>
      </c>
      <c r="AM1452" s="14" t="s">
        <v>621</v>
      </c>
      <c r="AN1452" s="27" t="str">
        <f t="shared" si="47"/>
        <v>17780739|76098454|929954648|929954648</v>
      </c>
      <c r="AO1452" t="s">
        <v>758</v>
      </c>
      <c r="AP1452" t="b">
        <v>1</v>
      </c>
      <c r="AQ1452" t="s">
        <v>764</v>
      </c>
    </row>
    <row r="1453" spans="1:43" x14ac:dyDescent="0.2">
      <c r="A1453" s="14" t="s">
        <v>500</v>
      </c>
      <c r="B1453" s="17">
        <v>17780739</v>
      </c>
      <c r="C1453" s="14" t="s">
        <v>308</v>
      </c>
      <c r="D1453" s="9">
        <v>17780739</v>
      </c>
      <c r="E1453" s="9" t="s">
        <v>308</v>
      </c>
      <c r="F1453" s="7">
        <v>45717</v>
      </c>
      <c r="G1453" s="20" t="s">
        <v>46</v>
      </c>
      <c r="H1453" s="8">
        <v>929954648</v>
      </c>
      <c r="I1453" s="19">
        <v>65384437</v>
      </c>
      <c r="J1453" s="10">
        <v>7677</v>
      </c>
      <c r="K1453" s="10">
        <v>0</v>
      </c>
      <c r="L1453" s="10">
        <v>7677</v>
      </c>
      <c r="M1453" s="10">
        <v>0</v>
      </c>
      <c r="N1453" s="11">
        <v>7677</v>
      </c>
      <c r="O1453" s="12">
        <v>929954648</v>
      </c>
      <c r="P1453" s="9">
        <v>285123</v>
      </c>
      <c r="Q1453" s="9" t="s">
        <v>37</v>
      </c>
      <c r="R1453" s="13">
        <v>45717</v>
      </c>
      <c r="S1453" s="22">
        <v>45742</v>
      </c>
      <c r="T1453" s="13">
        <v>45686</v>
      </c>
      <c r="U1453" s="13">
        <v>45686</v>
      </c>
      <c r="V1453" s="9" t="s">
        <v>58</v>
      </c>
      <c r="W1453" s="9">
        <v>22770465</v>
      </c>
      <c r="X1453" s="9">
        <v>3311105</v>
      </c>
      <c r="Y1453" s="9">
        <v>69251305</v>
      </c>
      <c r="Z1453" s="9" t="s">
        <v>39</v>
      </c>
      <c r="AA1453" s="9">
        <v>10012905621</v>
      </c>
      <c r="AB1453" s="9">
        <v>78070</v>
      </c>
      <c r="AC1453" s="9" t="s">
        <v>41</v>
      </c>
      <c r="AD1453" s="9" t="s">
        <v>71</v>
      </c>
      <c r="AE1453" s="9" t="s">
        <v>72</v>
      </c>
      <c r="AF1453" s="9" t="s">
        <v>73</v>
      </c>
      <c r="AG1453" s="14" t="str">
        <f t="shared" si="48"/>
        <v>CONSULTA PSIQUIATRICA</v>
      </c>
      <c r="AH1453" s="9">
        <v>0</v>
      </c>
      <c r="AI1453" s="9">
        <v>0</v>
      </c>
      <c r="AJ1453" s="9">
        <v>76098454</v>
      </c>
      <c r="AK1453" s="9" t="s">
        <v>161</v>
      </c>
      <c r="AL1453" s="26" t="s">
        <v>52</v>
      </c>
      <c r="AM1453" s="14" t="s">
        <v>621</v>
      </c>
      <c r="AN1453" s="27" t="str">
        <f t="shared" si="47"/>
        <v>17780739|76098454|929954648|65384437</v>
      </c>
      <c r="AO1453" t="s">
        <v>44</v>
      </c>
      <c r="AP1453" t="b">
        <v>0</v>
      </c>
      <c r="AQ1453" t="s">
        <v>763</v>
      </c>
    </row>
    <row r="1454" spans="1:43" x14ac:dyDescent="0.2">
      <c r="A1454" s="14" t="s">
        <v>500</v>
      </c>
      <c r="B1454" s="17">
        <v>17656664</v>
      </c>
      <c r="C1454" s="14" t="s">
        <v>471</v>
      </c>
      <c r="D1454" s="9">
        <v>17656664</v>
      </c>
      <c r="E1454" s="9" t="s">
        <v>471</v>
      </c>
      <c r="F1454" s="7">
        <v>45658</v>
      </c>
      <c r="G1454" s="20" t="s">
        <v>36</v>
      </c>
      <c r="H1454" s="8">
        <v>929974199</v>
      </c>
      <c r="I1454" s="19">
        <v>929974199</v>
      </c>
      <c r="J1454" s="10">
        <v>108094</v>
      </c>
      <c r="K1454" s="10">
        <v>97285</v>
      </c>
      <c r="L1454" s="10">
        <v>10809</v>
      </c>
      <c r="M1454" s="10">
        <v>0</v>
      </c>
      <c r="N1454" s="11">
        <v>10809</v>
      </c>
      <c r="O1454" s="12">
        <v>929974199</v>
      </c>
      <c r="P1454" s="9">
        <v>285123</v>
      </c>
      <c r="Q1454" s="9" t="s">
        <v>37</v>
      </c>
      <c r="R1454" s="13">
        <v>45685</v>
      </c>
      <c r="S1454" s="22">
        <v>45685</v>
      </c>
      <c r="T1454" s="13">
        <v>45685</v>
      </c>
      <c r="U1454" s="13">
        <v>45685</v>
      </c>
      <c r="V1454" s="9" t="s">
        <v>47</v>
      </c>
      <c r="W1454" s="9">
        <v>22560888</v>
      </c>
      <c r="X1454" s="9">
        <v>2040929</v>
      </c>
      <c r="Y1454" s="9">
        <v>68808686</v>
      </c>
      <c r="Z1454" s="9" t="s">
        <v>39</v>
      </c>
      <c r="AA1454" s="9">
        <v>2022025</v>
      </c>
      <c r="AB1454" s="9">
        <v>77562</v>
      </c>
      <c r="AC1454" s="9" t="s">
        <v>41</v>
      </c>
      <c r="AD1454" s="9" t="s">
        <v>65</v>
      </c>
      <c r="AE1454" s="9" t="s">
        <v>66</v>
      </c>
      <c r="AF1454" s="9" t="s">
        <v>66</v>
      </c>
      <c r="AG1454" s="14" t="str">
        <f t="shared" si="48"/>
        <v>PROCEDIMIENTOS TERAPEUTICOS</v>
      </c>
      <c r="AH1454" s="9" t="s">
        <v>758</v>
      </c>
      <c r="AI1454" s="9">
        <v>0</v>
      </c>
      <c r="AJ1454" s="9">
        <v>76754097</v>
      </c>
      <c r="AK1454" s="9">
        <v>3</v>
      </c>
      <c r="AL1454" s="26" t="s">
        <v>83</v>
      </c>
      <c r="AM1454" s="14" t="s">
        <v>740</v>
      </c>
      <c r="AN1454" s="27" t="str">
        <f t="shared" si="47"/>
        <v>17656664|76754097|929974199|929974199</v>
      </c>
      <c r="AO1454" t="s">
        <v>758</v>
      </c>
      <c r="AP1454" t="b">
        <v>1</v>
      </c>
      <c r="AQ1454" t="s">
        <v>764</v>
      </c>
    </row>
    <row r="1455" spans="1:43" x14ac:dyDescent="0.2">
      <c r="A1455" s="14" t="s">
        <v>500</v>
      </c>
      <c r="B1455" s="17">
        <v>17656664</v>
      </c>
      <c r="C1455" s="14" t="s">
        <v>471</v>
      </c>
      <c r="D1455" s="9">
        <v>17656664</v>
      </c>
      <c r="E1455" s="9" t="s">
        <v>471</v>
      </c>
      <c r="F1455" s="7">
        <v>45717</v>
      </c>
      <c r="G1455" s="20" t="s">
        <v>46</v>
      </c>
      <c r="H1455" s="8">
        <v>929974199</v>
      </c>
      <c r="I1455" s="19">
        <v>65384427</v>
      </c>
      <c r="J1455" s="10">
        <v>10749</v>
      </c>
      <c r="K1455" s="10">
        <v>0</v>
      </c>
      <c r="L1455" s="10">
        <v>10749</v>
      </c>
      <c r="M1455" s="10">
        <v>0</v>
      </c>
      <c r="N1455" s="11">
        <v>10749</v>
      </c>
      <c r="O1455" s="12">
        <v>929974199</v>
      </c>
      <c r="P1455" s="9">
        <v>285123</v>
      </c>
      <c r="Q1455" s="9" t="s">
        <v>37</v>
      </c>
      <c r="R1455" s="13">
        <v>45717</v>
      </c>
      <c r="S1455" s="22">
        <v>45742</v>
      </c>
      <c r="T1455" s="13">
        <v>45685</v>
      </c>
      <c r="U1455" s="13">
        <v>45685</v>
      </c>
      <c r="V1455" s="9" t="s">
        <v>47</v>
      </c>
      <c r="W1455" s="9">
        <v>22770459</v>
      </c>
      <c r="X1455" s="9">
        <v>3311105</v>
      </c>
      <c r="Y1455" s="9">
        <v>69251295</v>
      </c>
      <c r="Z1455" s="9" t="s">
        <v>39</v>
      </c>
      <c r="AA1455" s="9">
        <v>7018611435</v>
      </c>
      <c r="AB1455" s="9">
        <v>78070</v>
      </c>
      <c r="AC1455" s="9" t="s">
        <v>41</v>
      </c>
      <c r="AD1455" s="9" t="s">
        <v>65</v>
      </c>
      <c r="AE1455" s="9" t="s">
        <v>66</v>
      </c>
      <c r="AF1455" s="9" t="s">
        <v>66</v>
      </c>
      <c r="AG1455" s="14" t="str">
        <f t="shared" si="48"/>
        <v>PROCEDIMIENTOS TERAPEUTICOS</v>
      </c>
      <c r="AH1455" s="9">
        <v>0</v>
      </c>
      <c r="AI1455" s="9">
        <v>0</v>
      </c>
      <c r="AJ1455" s="9">
        <v>76754097</v>
      </c>
      <c r="AK1455" s="9">
        <v>3</v>
      </c>
      <c r="AL1455" s="26" t="s">
        <v>52</v>
      </c>
      <c r="AM1455" s="14" t="s">
        <v>740</v>
      </c>
      <c r="AN1455" s="27" t="str">
        <f t="shared" si="47"/>
        <v>17656664|76754097|929974199|65384427</v>
      </c>
      <c r="AO1455" t="s">
        <v>44</v>
      </c>
      <c r="AP1455" t="b">
        <v>0</v>
      </c>
      <c r="AQ1455" t="s">
        <v>763</v>
      </c>
    </row>
    <row r="1456" spans="1:43" x14ac:dyDescent="0.2">
      <c r="A1456" s="14" t="s">
        <v>500</v>
      </c>
      <c r="B1456" s="17">
        <v>10564729</v>
      </c>
      <c r="C1456" s="14" t="s">
        <v>467</v>
      </c>
      <c r="D1456" s="9">
        <v>10564729</v>
      </c>
      <c r="E1456" s="9" t="s">
        <v>467</v>
      </c>
      <c r="F1456" s="7">
        <v>45658</v>
      </c>
      <c r="G1456" s="20" t="s">
        <v>36</v>
      </c>
      <c r="H1456" s="8">
        <v>929979878</v>
      </c>
      <c r="I1456" s="19">
        <v>929979878</v>
      </c>
      <c r="J1456" s="10">
        <v>56150</v>
      </c>
      <c r="K1456" s="10">
        <v>44920</v>
      </c>
      <c r="L1456" s="10">
        <v>11230</v>
      </c>
      <c r="M1456" s="10">
        <v>0</v>
      </c>
      <c r="N1456" s="11">
        <v>11230</v>
      </c>
      <c r="O1456" s="12">
        <v>929979878</v>
      </c>
      <c r="P1456" s="9">
        <v>285123</v>
      </c>
      <c r="Q1456" s="9" t="s">
        <v>37</v>
      </c>
      <c r="R1456" s="13">
        <v>45684</v>
      </c>
      <c r="S1456" s="22">
        <v>45684</v>
      </c>
      <c r="T1456" s="13">
        <v>45684</v>
      </c>
      <c r="U1456" s="13">
        <v>45684</v>
      </c>
      <c r="V1456" s="9" t="s">
        <v>47</v>
      </c>
      <c r="W1456" s="9">
        <v>22560800</v>
      </c>
      <c r="X1456" s="9">
        <v>2040929</v>
      </c>
      <c r="Y1456" s="9">
        <v>68808297</v>
      </c>
      <c r="Z1456" s="9" t="s">
        <v>39</v>
      </c>
      <c r="AA1456" s="9">
        <v>2022025</v>
      </c>
      <c r="AB1456" s="9">
        <v>77562</v>
      </c>
      <c r="AC1456" s="9" t="s">
        <v>41</v>
      </c>
      <c r="AD1456" s="9" t="s">
        <v>134</v>
      </c>
      <c r="AE1456" s="9" t="s">
        <v>135</v>
      </c>
      <c r="AF1456" s="9" t="s">
        <v>135</v>
      </c>
      <c r="AG1456" s="14" t="str">
        <f t="shared" si="48"/>
        <v>EXAMENES RADIOLOGICOS</v>
      </c>
      <c r="AH1456" s="9" t="s">
        <v>758</v>
      </c>
      <c r="AI1456" s="9">
        <v>0</v>
      </c>
      <c r="AJ1456" s="9">
        <v>76098454</v>
      </c>
      <c r="AK1456" s="9" t="s">
        <v>161</v>
      </c>
      <c r="AL1456" s="26" t="s">
        <v>83</v>
      </c>
      <c r="AM1456" s="14" t="s">
        <v>736</v>
      </c>
      <c r="AN1456" s="27" t="str">
        <f t="shared" si="47"/>
        <v>10564729|76098454|929979878|929979878</v>
      </c>
      <c r="AO1456" t="s">
        <v>758</v>
      </c>
      <c r="AP1456" t="b">
        <v>1</v>
      </c>
      <c r="AQ1456" t="s">
        <v>764</v>
      </c>
    </row>
    <row r="1457" spans="1:43" x14ac:dyDescent="0.2">
      <c r="A1457" s="14" t="s">
        <v>500</v>
      </c>
      <c r="B1457" s="17">
        <v>10564729</v>
      </c>
      <c r="C1457" s="14" t="s">
        <v>467</v>
      </c>
      <c r="D1457" s="9">
        <v>10564729</v>
      </c>
      <c r="E1457" s="9" t="s">
        <v>467</v>
      </c>
      <c r="F1457" s="7">
        <v>45717</v>
      </c>
      <c r="G1457" s="20" t="s">
        <v>46</v>
      </c>
      <c r="H1457" s="8">
        <v>929979878</v>
      </c>
      <c r="I1457" s="19">
        <v>65383865</v>
      </c>
      <c r="J1457" s="10">
        <v>11518</v>
      </c>
      <c r="K1457" s="10">
        <v>0</v>
      </c>
      <c r="L1457" s="10">
        <v>11518</v>
      </c>
      <c r="M1457" s="10">
        <v>0</v>
      </c>
      <c r="N1457" s="11">
        <v>11518</v>
      </c>
      <c r="O1457" s="12">
        <v>929979878</v>
      </c>
      <c r="P1457" s="9">
        <v>285123</v>
      </c>
      <c r="Q1457" s="9" t="s">
        <v>37</v>
      </c>
      <c r="R1457" s="13">
        <v>45717</v>
      </c>
      <c r="S1457" s="22">
        <v>45742</v>
      </c>
      <c r="T1457" s="13">
        <v>45684</v>
      </c>
      <c r="U1457" s="13">
        <v>45684</v>
      </c>
      <c r="V1457" s="9" t="s">
        <v>47</v>
      </c>
      <c r="W1457" s="9">
        <v>22770437</v>
      </c>
      <c r="X1457" s="9">
        <v>3311105</v>
      </c>
      <c r="Y1457" s="9">
        <v>69250754</v>
      </c>
      <c r="Z1457" s="9" t="s">
        <v>39</v>
      </c>
      <c r="AA1457" s="9">
        <v>4080030202</v>
      </c>
      <c r="AB1457" s="9">
        <v>78070</v>
      </c>
      <c r="AC1457" s="9" t="s">
        <v>41</v>
      </c>
      <c r="AD1457" s="9" t="s">
        <v>134</v>
      </c>
      <c r="AE1457" s="9" t="s">
        <v>135</v>
      </c>
      <c r="AF1457" s="9" t="s">
        <v>135</v>
      </c>
      <c r="AG1457" s="14" t="str">
        <f t="shared" si="48"/>
        <v>EXAMENES RADIOLOGICOS</v>
      </c>
      <c r="AH1457" s="9">
        <v>0</v>
      </c>
      <c r="AI1457" s="9">
        <v>0</v>
      </c>
      <c r="AJ1457" s="9">
        <v>76098454</v>
      </c>
      <c r="AK1457" s="9" t="s">
        <v>161</v>
      </c>
      <c r="AL1457" s="26" t="s">
        <v>52</v>
      </c>
      <c r="AM1457" s="14" t="s">
        <v>736</v>
      </c>
      <c r="AN1457" s="27" t="str">
        <f t="shared" si="47"/>
        <v>10564729|76098454|929979878|65383865</v>
      </c>
      <c r="AO1457" t="s">
        <v>44</v>
      </c>
      <c r="AP1457" t="b">
        <v>0</v>
      </c>
      <c r="AQ1457" t="s">
        <v>763</v>
      </c>
    </row>
    <row r="1458" spans="1:43" x14ac:dyDescent="0.2">
      <c r="A1458" s="14" t="s">
        <v>500</v>
      </c>
      <c r="B1458" s="17">
        <v>15321086</v>
      </c>
      <c r="C1458" s="14" t="s">
        <v>472</v>
      </c>
      <c r="D1458" s="9">
        <v>15321086</v>
      </c>
      <c r="E1458" s="9" t="s">
        <v>472</v>
      </c>
      <c r="F1458" s="7">
        <v>45658</v>
      </c>
      <c r="G1458" s="20" t="s">
        <v>36</v>
      </c>
      <c r="H1458" s="8">
        <v>929988910</v>
      </c>
      <c r="I1458" s="19">
        <v>929988910</v>
      </c>
      <c r="J1458" s="10">
        <v>19362</v>
      </c>
      <c r="K1458" s="10">
        <v>15490</v>
      </c>
      <c r="L1458" s="10">
        <v>3872</v>
      </c>
      <c r="M1458" s="10">
        <v>0</v>
      </c>
      <c r="N1458" s="11">
        <v>3872</v>
      </c>
      <c r="O1458" s="12">
        <v>929988910</v>
      </c>
      <c r="P1458" s="9">
        <v>285123</v>
      </c>
      <c r="Q1458" s="9" t="s">
        <v>37</v>
      </c>
      <c r="R1458" s="13">
        <v>45684</v>
      </c>
      <c r="S1458" s="22">
        <v>45684</v>
      </c>
      <c r="T1458" s="13">
        <v>45684</v>
      </c>
      <c r="U1458" s="13">
        <v>45684</v>
      </c>
      <c r="V1458" s="9" t="s">
        <v>47</v>
      </c>
      <c r="W1458" s="9">
        <v>22560824</v>
      </c>
      <c r="X1458" s="9">
        <v>2040929</v>
      </c>
      <c r="Y1458" s="9">
        <v>68807712</v>
      </c>
      <c r="Z1458" s="9" t="s">
        <v>39</v>
      </c>
      <c r="AA1458" s="9">
        <v>2022025</v>
      </c>
      <c r="AB1458" s="9">
        <v>77562</v>
      </c>
      <c r="AC1458" s="9" t="s">
        <v>41</v>
      </c>
      <c r="AD1458" s="9" t="s">
        <v>134</v>
      </c>
      <c r="AE1458" s="9" t="s">
        <v>135</v>
      </c>
      <c r="AF1458" s="9" t="s">
        <v>135</v>
      </c>
      <c r="AG1458" s="14" t="str">
        <f t="shared" si="48"/>
        <v>EXAMENES RADIOLOGICOS</v>
      </c>
      <c r="AH1458" s="9" t="s">
        <v>758</v>
      </c>
      <c r="AI1458" s="9">
        <v>0</v>
      </c>
      <c r="AJ1458" s="9">
        <v>76098454</v>
      </c>
      <c r="AK1458" s="9" t="s">
        <v>161</v>
      </c>
      <c r="AL1458" s="26" t="s">
        <v>83</v>
      </c>
      <c r="AM1458" s="14" t="s">
        <v>741</v>
      </c>
      <c r="AN1458" s="27" t="str">
        <f t="shared" si="47"/>
        <v>15321086|76098454|929988910|929988910</v>
      </c>
      <c r="AO1458" t="s">
        <v>758</v>
      </c>
      <c r="AP1458" t="b">
        <v>1</v>
      </c>
      <c r="AQ1458" t="s">
        <v>764</v>
      </c>
    </row>
    <row r="1459" spans="1:43" x14ac:dyDescent="0.2">
      <c r="A1459" s="14" t="s">
        <v>500</v>
      </c>
      <c r="B1459" s="17">
        <v>15321086</v>
      </c>
      <c r="C1459" s="14" t="s">
        <v>472</v>
      </c>
      <c r="D1459" s="9">
        <v>15321086</v>
      </c>
      <c r="E1459" s="9" t="s">
        <v>472</v>
      </c>
      <c r="F1459" s="7">
        <v>45717</v>
      </c>
      <c r="G1459" s="20" t="s">
        <v>46</v>
      </c>
      <c r="H1459" s="8">
        <v>929988910</v>
      </c>
      <c r="I1459" s="19">
        <v>65384268</v>
      </c>
      <c r="J1459" s="10">
        <v>3839</v>
      </c>
      <c r="K1459" s="10">
        <v>0</v>
      </c>
      <c r="L1459" s="10">
        <v>3839</v>
      </c>
      <c r="M1459" s="10">
        <v>0</v>
      </c>
      <c r="N1459" s="11">
        <v>3839</v>
      </c>
      <c r="O1459" s="12">
        <v>929988910</v>
      </c>
      <c r="P1459" s="9">
        <v>285123</v>
      </c>
      <c r="Q1459" s="9" t="s">
        <v>37</v>
      </c>
      <c r="R1459" s="13">
        <v>45717</v>
      </c>
      <c r="S1459" s="22">
        <v>45742</v>
      </c>
      <c r="T1459" s="13">
        <v>45684</v>
      </c>
      <c r="U1459" s="13">
        <v>45684</v>
      </c>
      <c r="V1459" s="9" t="s">
        <v>47</v>
      </c>
      <c r="W1459" s="9">
        <v>22770441</v>
      </c>
      <c r="X1459" s="9">
        <v>3311105</v>
      </c>
      <c r="Y1459" s="9">
        <v>69251141</v>
      </c>
      <c r="Z1459" s="9" t="s">
        <v>39</v>
      </c>
      <c r="AA1459" s="9">
        <v>29473411</v>
      </c>
      <c r="AB1459" s="9">
        <v>78070</v>
      </c>
      <c r="AC1459" s="9" t="s">
        <v>41</v>
      </c>
      <c r="AD1459" s="9" t="s">
        <v>134</v>
      </c>
      <c r="AE1459" s="9" t="s">
        <v>135</v>
      </c>
      <c r="AF1459" s="9" t="s">
        <v>135</v>
      </c>
      <c r="AG1459" s="14" t="str">
        <f t="shared" si="48"/>
        <v>EXAMENES RADIOLOGICOS</v>
      </c>
      <c r="AH1459" s="9">
        <v>0</v>
      </c>
      <c r="AI1459" s="9">
        <v>0</v>
      </c>
      <c r="AJ1459" s="9">
        <v>76098454</v>
      </c>
      <c r="AK1459" s="9" t="s">
        <v>161</v>
      </c>
      <c r="AL1459" s="26" t="s">
        <v>52</v>
      </c>
      <c r="AM1459" s="14" t="s">
        <v>741</v>
      </c>
      <c r="AN1459" s="27" t="str">
        <f t="shared" si="47"/>
        <v>15321086|76098454|929988910|65384268</v>
      </c>
      <c r="AO1459" t="s">
        <v>44</v>
      </c>
      <c r="AP1459" t="b">
        <v>0</v>
      </c>
      <c r="AQ1459" t="s">
        <v>763</v>
      </c>
    </row>
    <row r="1460" spans="1:43" x14ac:dyDescent="0.2">
      <c r="A1460" s="14" t="s">
        <v>500</v>
      </c>
      <c r="B1460" s="17">
        <v>12287508</v>
      </c>
      <c r="C1460" s="14" t="s">
        <v>473</v>
      </c>
      <c r="D1460" s="9">
        <v>12287508</v>
      </c>
      <c r="E1460" s="9" t="s">
        <v>473</v>
      </c>
      <c r="F1460" s="7">
        <v>45658</v>
      </c>
      <c r="G1460" s="20" t="s">
        <v>36</v>
      </c>
      <c r="H1460" s="8">
        <v>929989696</v>
      </c>
      <c r="I1460" s="19">
        <v>929989696</v>
      </c>
      <c r="J1460" s="10">
        <v>114920</v>
      </c>
      <c r="K1460" s="10">
        <v>102854</v>
      </c>
      <c r="L1460" s="10">
        <v>12066</v>
      </c>
      <c r="M1460" s="10">
        <v>0</v>
      </c>
      <c r="N1460" s="11">
        <v>12066</v>
      </c>
      <c r="O1460" s="12">
        <v>929989696</v>
      </c>
      <c r="P1460" s="9">
        <v>285123</v>
      </c>
      <c r="Q1460" s="9" t="s">
        <v>37</v>
      </c>
      <c r="R1460" s="13">
        <v>45684</v>
      </c>
      <c r="S1460" s="22">
        <v>45684</v>
      </c>
      <c r="T1460" s="13">
        <v>45684</v>
      </c>
      <c r="U1460" s="13">
        <v>45684</v>
      </c>
      <c r="V1460" s="9" t="s">
        <v>47</v>
      </c>
      <c r="W1460" s="9">
        <v>22560809</v>
      </c>
      <c r="X1460" s="9">
        <v>2040929</v>
      </c>
      <c r="Y1460" s="9">
        <v>68807669</v>
      </c>
      <c r="Z1460" s="9" t="s">
        <v>39</v>
      </c>
      <c r="AA1460" s="9">
        <v>2022025</v>
      </c>
      <c r="AB1460" s="9">
        <v>77562</v>
      </c>
      <c r="AC1460" s="9" t="s">
        <v>41</v>
      </c>
      <c r="AD1460" s="9" t="s">
        <v>134</v>
      </c>
      <c r="AE1460" s="9" t="s">
        <v>135</v>
      </c>
      <c r="AF1460" s="9" t="s">
        <v>135</v>
      </c>
      <c r="AG1460" s="14" t="str">
        <f t="shared" si="48"/>
        <v>EXAMENES RADIOLOGICOS</v>
      </c>
      <c r="AH1460" s="9" t="s">
        <v>758</v>
      </c>
      <c r="AI1460" s="9">
        <v>0</v>
      </c>
      <c r="AJ1460" s="9">
        <v>96631140</v>
      </c>
      <c r="AK1460" s="9">
        <v>1</v>
      </c>
      <c r="AL1460" s="26" t="s">
        <v>83</v>
      </c>
      <c r="AM1460" s="14" t="s">
        <v>742</v>
      </c>
      <c r="AN1460" s="27" t="str">
        <f t="shared" si="47"/>
        <v>12287508|96631140|929989696|929989696</v>
      </c>
      <c r="AO1460" t="s">
        <v>758</v>
      </c>
      <c r="AP1460" t="b">
        <v>1</v>
      </c>
      <c r="AQ1460" t="s">
        <v>764</v>
      </c>
    </row>
    <row r="1461" spans="1:43" x14ac:dyDescent="0.2">
      <c r="A1461" s="14" t="s">
        <v>500</v>
      </c>
      <c r="B1461" s="17">
        <v>12287508</v>
      </c>
      <c r="C1461" s="14" t="s">
        <v>473</v>
      </c>
      <c r="D1461" s="9">
        <v>12287508</v>
      </c>
      <c r="E1461" s="9" t="s">
        <v>473</v>
      </c>
      <c r="F1461" s="7">
        <v>45717</v>
      </c>
      <c r="G1461" s="20" t="s">
        <v>46</v>
      </c>
      <c r="H1461" s="8">
        <v>929989696</v>
      </c>
      <c r="I1461" s="19">
        <v>65384006</v>
      </c>
      <c r="J1461" s="10">
        <v>11901</v>
      </c>
      <c r="K1461" s="10">
        <v>0</v>
      </c>
      <c r="L1461" s="10">
        <v>11901</v>
      </c>
      <c r="M1461" s="10">
        <v>0</v>
      </c>
      <c r="N1461" s="11">
        <v>11901</v>
      </c>
      <c r="O1461" s="12">
        <v>929989696</v>
      </c>
      <c r="P1461" s="9">
        <v>285123</v>
      </c>
      <c r="Q1461" s="9" t="s">
        <v>37</v>
      </c>
      <c r="R1461" s="13">
        <v>45717</v>
      </c>
      <c r="S1461" s="22">
        <v>45742</v>
      </c>
      <c r="T1461" s="13">
        <v>45684</v>
      </c>
      <c r="U1461" s="13">
        <v>45684</v>
      </c>
      <c r="V1461" s="9" t="s">
        <v>47</v>
      </c>
      <c r="W1461" s="9">
        <v>22770438</v>
      </c>
      <c r="X1461" s="9">
        <v>3311105</v>
      </c>
      <c r="Y1461" s="9">
        <v>69250894</v>
      </c>
      <c r="Z1461" s="9" t="s">
        <v>39</v>
      </c>
      <c r="AA1461" s="9">
        <v>1670150306</v>
      </c>
      <c r="AB1461" s="9">
        <v>78070</v>
      </c>
      <c r="AC1461" s="9" t="s">
        <v>41</v>
      </c>
      <c r="AD1461" s="9" t="s">
        <v>134</v>
      </c>
      <c r="AE1461" s="9" t="s">
        <v>135</v>
      </c>
      <c r="AF1461" s="9" t="s">
        <v>135</v>
      </c>
      <c r="AG1461" s="14" t="str">
        <f t="shared" si="48"/>
        <v>EXAMENES RADIOLOGICOS</v>
      </c>
      <c r="AH1461" s="9">
        <v>0</v>
      </c>
      <c r="AI1461" s="9">
        <v>0</v>
      </c>
      <c r="AJ1461" s="9">
        <v>96631140</v>
      </c>
      <c r="AK1461" s="9">
        <v>1</v>
      </c>
      <c r="AL1461" s="26" t="s">
        <v>52</v>
      </c>
      <c r="AM1461" s="14" t="s">
        <v>742</v>
      </c>
      <c r="AN1461" s="27" t="str">
        <f t="shared" si="47"/>
        <v>12287508|96631140|929989696|65384006</v>
      </c>
      <c r="AO1461" t="s">
        <v>44</v>
      </c>
      <c r="AP1461" t="b">
        <v>0</v>
      </c>
      <c r="AQ1461" t="s">
        <v>763</v>
      </c>
    </row>
    <row r="1462" spans="1:43" x14ac:dyDescent="0.2">
      <c r="A1462" s="14" t="s">
        <v>500</v>
      </c>
      <c r="B1462" s="17">
        <v>15321086</v>
      </c>
      <c r="C1462" s="14" t="s">
        <v>472</v>
      </c>
      <c r="D1462" s="9">
        <v>15321086</v>
      </c>
      <c r="E1462" s="9" t="s">
        <v>472</v>
      </c>
      <c r="F1462" s="7">
        <v>45658</v>
      </c>
      <c r="G1462" s="20" t="s">
        <v>36</v>
      </c>
      <c r="H1462" s="8">
        <v>929989722</v>
      </c>
      <c r="I1462" s="19">
        <v>929989722</v>
      </c>
      <c r="J1462" s="10">
        <v>33110</v>
      </c>
      <c r="K1462" s="10">
        <v>26489</v>
      </c>
      <c r="L1462" s="10">
        <v>6621</v>
      </c>
      <c r="M1462" s="10">
        <v>0</v>
      </c>
      <c r="N1462" s="11">
        <v>6621</v>
      </c>
      <c r="O1462" s="12">
        <v>929989722</v>
      </c>
      <c r="P1462" s="9">
        <v>285123</v>
      </c>
      <c r="Q1462" s="9" t="s">
        <v>37</v>
      </c>
      <c r="R1462" s="13">
        <v>45684</v>
      </c>
      <c r="S1462" s="22">
        <v>45684</v>
      </c>
      <c r="T1462" s="13">
        <v>45684</v>
      </c>
      <c r="U1462" s="13">
        <v>45684</v>
      </c>
      <c r="V1462" s="9" t="s">
        <v>47</v>
      </c>
      <c r="W1462" s="9">
        <v>22560824</v>
      </c>
      <c r="X1462" s="9">
        <v>2040929</v>
      </c>
      <c r="Y1462" s="9">
        <v>68807667</v>
      </c>
      <c r="Z1462" s="9" t="s">
        <v>39</v>
      </c>
      <c r="AA1462" s="9">
        <v>2022025</v>
      </c>
      <c r="AB1462" s="9">
        <v>77562</v>
      </c>
      <c r="AC1462" s="9" t="s">
        <v>41</v>
      </c>
      <c r="AD1462" s="9" t="s">
        <v>132</v>
      </c>
      <c r="AE1462" s="9" t="s">
        <v>133</v>
      </c>
      <c r="AF1462" s="9" t="s">
        <v>133</v>
      </c>
      <c r="AG1462" s="14" t="str">
        <f t="shared" si="48"/>
        <v>EXAMENES DE LABORATORIO</v>
      </c>
      <c r="AH1462" s="9" t="s">
        <v>758</v>
      </c>
      <c r="AI1462" s="9">
        <v>0</v>
      </c>
      <c r="AJ1462" s="9">
        <v>96986050</v>
      </c>
      <c r="AK1462" s="9">
        <v>3</v>
      </c>
      <c r="AL1462" s="26" t="s">
        <v>83</v>
      </c>
      <c r="AM1462" s="14" t="s">
        <v>741</v>
      </c>
      <c r="AN1462" s="27" t="str">
        <f t="shared" si="47"/>
        <v>15321086|96986050|929989722|929989722</v>
      </c>
      <c r="AO1462" t="s">
        <v>758</v>
      </c>
      <c r="AP1462" t="b">
        <v>1</v>
      </c>
      <c r="AQ1462" t="s">
        <v>764</v>
      </c>
    </row>
    <row r="1463" spans="1:43" x14ac:dyDescent="0.2">
      <c r="A1463" s="14" t="s">
        <v>500</v>
      </c>
      <c r="B1463" s="17">
        <v>15321086</v>
      </c>
      <c r="C1463" s="14" t="s">
        <v>472</v>
      </c>
      <c r="D1463" s="9">
        <v>15321086</v>
      </c>
      <c r="E1463" s="9" t="s">
        <v>472</v>
      </c>
      <c r="F1463" s="7">
        <v>45717</v>
      </c>
      <c r="G1463" s="20" t="s">
        <v>46</v>
      </c>
      <c r="H1463" s="8">
        <v>929989722</v>
      </c>
      <c r="I1463" s="19">
        <v>65384269</v>
      </c>
      <c r="J1463" s="10">
        <v>6523</v>
      </c>
      <c r="K1463" s="10">
        <v>0</v>
      </c>
      <c r="L1463" s="10">
        <v>6523</v>
      </c>
      <c r="M1463" s="10">
        <v>0</v>
      </c>
      <c r="N1463" s="11">
        <v>6523</v>
      </c>
      <c r="O1463" s="12">
        <v>929989722</v>
      </c>
      <c r="P1463" s="9">
        <v>285123</v>
      </c>
      <c r="Q1463" s="9" t="s">
        <v>37</v>
      </c>
      <c r="R1463" s="13">
        <v>45717</v>
      </c>
      <c r="S1463" s="22">
        <v>45742</v>
      </c>
      <c r="T1463" s="13">
        <v>45684</v>
      </c>
      <c r="U1463" s="13">
        <v>45684</v>
      </c>
      <c r="V1463" s="9" t="s">
        <v>47</v>
      </c>
      <c r="W1463" s="9">
        <v>22770441</v>
      </c>
      <c r="X1463" s="9">
        <v>3311105</v>
      </c>
      <c r="Y1463" s="9">
        <v>69251142</v>
      </c>
      <c r="Z1463" s="9" t="s">
        <v>39</v>
      </c>
      <c r="AA1463" s="9">
        <v>29473411</v>
      </c>
      <c r="AB1463" s="9">
        <v>78070</v>
      </c>
      <c r="AC1463" s="9" t="s">
        <v>41</v>
      </c>
      <c r="AD1463" s="9" t="s">
        <v>132</v>
      </c>
      <c r="AE1463" s="9" t="s">
        <v>133</v>
      </c>
      <c r="AF1463" s="9" t="s">
        <v>133</v>
      </c>
      <c r="AG1463" s="14" t="str">
        <f t="shared" si="48"/>
        <v>EXAMENES DE LABORATORIO</v>
      </c>
      <c r="AH1463" s="9">
        <v>0</v>
      </c>
      <c r="AI1463" s="9">
        <v>0</v>
      </c>
      <c r="AJ1463" s="9">
        <v>96986050</v>
      </c>
      <c r="AK1463" s="9">
        <v>3</v>
      </c>
      <c r="AL1463" s="26" t="s">
        <v>52</v>
      </c>
      <c r="AM1463" s="14" t="s">
        <v>741</v>
      </c>
      <c r="AN1463" s="27" t="str">
        <f t="shared" si="47"/>
        <v>15321086|96986050|929989722|65384269</v>
      </c>
      <c r="AO1463" t="s">
        <v>44</v>
      </c>
      <c r="AP1463" t="b">
        <v>0</v>
      </c>
      <c r="AQ1463" t="s">
        <v>763</v>
      </c>
    </row>
    <row r="1464" spans="1:43" x14ac:dyDescent="0.2">
      <c r="A1464" s="14" t="s">
        <v>500</v>
      </c>
      <c r="B1464" s="17">
        <v>16966495</v>
      </c>
      <c r="C1464" s="14" t="s">
        <v>474</v>
      </c>
      <c r="D1464" s="9">
        <v>16966495</v>
      </c>
      <c r="E1464" s="9" t="s">
        <v>474</v>
      </c>
      <c r="F1464" s="7">
        <v>45658</v>
      </c>
      <c r="G1464" s="20" t="s">
        <v>36</v>
      </c>
      <c r="H1464" s="8">
        <v>930043847</v>
      </c>
      <c r="I1464" s="19">
        <v>930043847</v>
      </c>
      <c r="J1464" s="10">
        <v>252213</v>
      </c>
      <c r="K1464" s="10">
        <v>186232</v>
      </c>
      <c r="L1464" s="10">
        <v>65981</v>
      </c>
      <c r="M1464" s="10">
        <v>0</v>
      </c>
      <c r="N1464" s="11">
        <v>65981</v>
      </c>
      <c r="O1464" s="12">
        <v>930043847</v>
      </c>
      <c r="P1464" s="9">
        <v>285123</v>
      </c>
      <c r="Q1464" s="9" t="s">
        <v>37</v>
      </c>
      <c r="R1464" s="13">
        <v>45678</v>
      </c>
      <c r="S1464" s="22">
        <v>45678</v>
      </c>
      <c r="T1464" s="13">
        <v>45678</v>
      </c>
      <c r="U1464" s="13">
        <v>45678</v>
      </c>
      <c r="V1464" s="9" t="s">
        <v>47</v>
      </c>
      <c r="W1464" s="9">
        <v>22524666</v>
      </c>
      <c r="X1464" s="9">
        <v>1271320</v>
      </c>
      <c r="Y1464" s="9">
        <v>68706596</v>
      </c>
      <c r="Z1464" s="9" t="s">
        <v>39</v>
      </c>
      <c r="AA1464" s="9">
        <v>26012025</v>
      </c>
      <c r="AB1464" s="9">
        <v>77442</v>
      </c>
      <c r="AC1464" s="9" t="s">
        <v>41</v>
      </c>
      <c r="AD1464" s="9" t="s">
        <v>132</v>
      </c>
      <c r="AE1464" s="9" t="s">
        <v>133</v>
      </c>
      <c r="AF1464" s="9" t="s">
        <v>133</v>
      </c>
      <c r="AG1464" s="14" t="str">
        <f t="shared" si="48"/>
        <v>EXAMENES DE LABORATORIO</v>
      </c>
      <c r="AH1464" s="9" t="s">
        <v>758</v>
      </c>
      <c r="AI1464" s="9">
        <v>0</v>
      </c>
      <c r="AJ1464" s="9">
        <v>99573490</v>
      </c>
      <c r="AK1464" s="9">
        <v>7</v>
      </c>
      <c r="AL1464" s="26" t="s">
        <v>83</v>
      </c>
      <c r="AM1464" s="14" t="s">
        <v>743</v>
      </c>
      <c r="AN1464" s="27" t="str">
        <f t="shared" si="47"/>
        <v>16966495|99573490|930043847|930043847</v>
      </c>
      <c r="AO1464" t="s">
        <v>758</v>
      </c>
      <c r="AP1464" t="b">
        <v>1</v>
      </c>
      <c r="AQ1464" t="s">
        <v>764</v>
      </c>
    </row>
    <row r="1465" spans="1:43" x14ac:dyDescent="0.2">
      <c r="A1465" s="14" t="s">
        <v>500</v>
      </c>
      <c r="B1465" s="17">
        <v>16966495</v>
      </c>
      <c r="C1465" s="14" t="s">
        <v>474</v>
      </c>
      <c r="D1465" s="9">
        <v>16966495</v>
      </c>
      <c r="E1465" s="9" t="s">
        <v>474</v>
      </c>
      <c r="F1465" s="7">
        <v>45717</v>
      </c>
      <c r="G1465" s="20" t="s">
        <v>46</v>
      </c>
      <c r="H1465" s="8">
        <v>930043847</v>
      </c>
      <c r="I1465" s="19">
        <v>65384395</v>
      </c>
      <c r="J1465" s="10">
        <v>65294</v>
      </c>
      <c r="K1465" s="10">
        <v>0</v>
      </c>
      <c r="L1465" s="10">
        <v>65294</v>
      </c>
      <c r="M1465" s="10">
        <v>0</v>
      </c>
      <c r="N1465" s="11">
        <v>65294</v>
      </c>
      <c r="O1465" s="12">
        <v>930043847</v>
      </c>
      <c r="P1465" s="9">
        <v>285123</v>
      </c>
      <c r="Q1465" s="9" t="s">
        <v>37</v>
      </c>
      <c r="R1465" s="13">
        <v>45717</v>
      </c>
      <c r="S1465" s="22">
        <v>45742</v>
      </c>
      <c r="T1465" s="13">
        <v>45678</v>
      </c>
      <c r="U1465" s="13">
        <v>45678</v>
      </c>
      <c r="V1465" s="9" t="s">
        <v>47</v>
      </c>
      <c r="W1465" s="9">
        <v>22770398</v>
      </c>
      <c r="X1465" s="9">
        <v>3311105</v>
      </c>
      <c r="Y1465" s="9">
        <v>69251273</v>
      </c>
      <c r="Z1465" s="9" t="s">
        <v>39</v>
      </c>
      <c r="AA1465" s="9">
        <v>61292729</v>
      </c>
      <c r="AB1465" s="9">
        <v>78070</v>
      </c>
      <c r="AC1465" s="9" t="s">
        <v>41</v>
      </c>
      <c r="AD1465" s="9" t="s">
        <v>132</v>
      </c>
      <c r="AE1465" s="9" t="s">
        <v>133</v>
      </c>
      <c r="AF1465" s="9" t="s">
        <v>133</v>
      </c>
      <c r="AG1465" s="14" t="str">
        <f t="shared" si="48"/>
        <v>EXAMENES DE LABORATORIO</v>
      </c>
      <c r="AH1465" s="9">
        <v>0</v>
      </c>
      <c r="AI1465" s="9">
        <v>0</v>
      </c>
      <c r="AJ1465" s="9">
        <v>99573490</v>
      </c>
      <c r="AK1465" s="9">
        <v>7</v>
      </c>
      <c r="AL1465" s="26" t="s">
        <v>52</v>
      </c>
      <c r="AM1465" s="14" t="s">
        <v>743</v>
      </c>
      <c r="AN1465" s="27" t="str">
        <f t="shared" si="47"/>
        <v>16966495|99573490|930043847|65384395</v>
      </c>
      <c r="AO1465" t="s">
        <v>44</v>
      </c>
      <c r="AP1465" t="b">
        <v>0</v>
      </c>
      <c r="AQ1465" t="s">
        <v>763</v>
      </c>
    </row>
    <row r="1466" spans="1:43" x14ac:dyDescent="0.2">
      <c r="A1466" s="14" t="s">
        <v>500</v>
      </c>
      <c r="B1466" s="17">
        <v>16966495</v>
      </c>
      <c r="C1466" s="14" t="s">
        <v>474</v>
      </c>
      <c r="D1466" s="9">
        <v>16966495</v>
      </c>
      <c r="E1466" s="9" t="s">
        <v>474</v>
      </c>
      <c r="F1466" s="7">
        <v>45658</v>
      </c>
      <c r="G1466" s="20" t="s">
        <v>36</v>
      </c>
      <c r="H1466" s="8">
        <v>930043848</v>
      </c>
      <c r="I1466" s="19">
        <v>930043848</v>
      </c>
      <c r="J1466" s="10">
        <v>37505</v>
      </c>
      <c r="K1466" s="10">
        <v>33656</v>
      </c>
      <c r="L1466" s="10">
        <v>3849</v>
      </c>
      <c r="M1466" s="10">
        <v>0</v>
      </c>
      <c r="N1466" s="11">
        <v>3849</v>
      </c>
      <c r="O1466" s="12">
        <v>930043848</v>
      </c>
      <c r="P1466" s="9">
        <v>285123</v>
      </c>
      <c r="Q1466" s="9" t="s">
        <v>37</v>
      </c>
      <c r="R1466" s="13">
        <v>45678</v>
      </c>
      <c r="S1466" s="22">
        <v>45678</v>
      </c>
      <c r="T1466" s="13">
        <v>45678</v>
      </c>
      <c r="U1466" s="13">
        <v>45678</v>
      </c>
      <c r="V1466" s="9" t="s">
        <v>47</v>
      </c>
      <c r="W1466" s="9">
        <v>22524666</v>
      </c>
      <c r="X1466" s="9">
        <v>1271320</v>
      </c>
      <c r="Y1466" s="9">
        <v>68706597</v>
      </c>
      <c r="Z1466" s="9" t="s">
        <v>39</v>
      </c>
      <c r="AA1466" s="9">
        <v>26012025</v>
      </c>
      <c r="AB1466" s="9">
        <v>77442</v>
      </c>
      <c r="AC1466" s="9" t="s">
        <v>41</v>
      </c>
      <c r="AD1466" s="9" t="s">
        <v>132</v>
      </c>
      <c r="AE1466" s="9" t="s">
        <v>133</v>
      </c>
      <c r="AF1466" s="9" t="s">
        <v>133</v>
      </c>
      <c r="AG1466" s="14" t="str">
        <f t="shared" si="48"/>
        <v>EXAMENES DE LABORATORIO</v>
      </c>
      <c r="AH1466" s="9" t="s">
        <v>758</v>
      </c>
      <c r="AI1466" s="9">
        <v>0</v>
      </c>
      <c r="AJ1466" s="9">
        <v>99573490</v>
      </c>
      <c r="AK1466" s="9">
        <v>7</v>
      </c>
      <c r="AL1466" s="26" t="s">
        <v>83</v>
      </c>
      <c r="AM1466" s="14" t="s">
        <v>743</v>
      </c>
      <c r="AN1466" s="27" t="str">
        <f t="shared" si="47"/>
        <v>16966495|99573490|930043848|930043848</v>
      </c>
      <c r="AO1466" t="s">
        <v>758</v>
      </c>
      <c r="AP1466" t="b">
        <v>1</v>
      </c>
      <c r="AQ1466" t="s">
        <v>764</v>
      </c>
    </row>
    <row r="1467" spans="1:43" x14ac:dyDescent="0.2">
      <c r="A1467" s="14" t="s">
        <v>500</v>
      </c>
      <c r="B1467" s="17">
        <v>16966495</v>
      </c>
      <c r="C1467" s="14" t="s">
        <v>474</v>
      </c>
      <c r="D1467" s="9">
        <v>16966495</v>
      </c>
      <c r="E1467" s="9" t="s">
        <v>474</v>
      </c>
      <c r="F1467" s="7">
        <v>45717</v>
      </c>
      <c r="G1467" s="20" t="s">
        <v>46</v>
      </c>
      <c r="H1467" s="8">
        <v>930043848</v>
      </c>
      <c r="I1467" s="19">
        <v>65384396</v>
      </c>
      <c r="J1467" s="10">
        <v>4224</v>
      </c>
      <c r="K1467" s="10">
        <v>0</v>
      </c>
      <c r="L1467" s="10">
        <v>4224</v>
      </c>
      <c r="M1467" s="10">
        <v>0</v>
      </c>
      <c r="N1467" s="11">
        <v>4224</v>
      </c>
      <c r="O1467" s="12">
        <v>930043848</v>
      </c>
      <c r="P1467" s="9">
        <v>285123</v>
      </c>
      <c r="Q1467" s="9" t="s">
        <v>37</v>
      </c>
      <c r="R1467" s="13">
        <v>45717</v>
      </c>
      <c r="S1467" s="22">
        <v>45742</v>
      </c>
      <c r="T1467" s="13">
        <v>45678</v>
      </c>
      <c r="U1467" s="13">
        <v>45678</v>
      </c>
      <c r="V1467" s="9" t="s">
        <v>47</v>
      </c>
      <c r="W1467" s="9">
        <v>22770398</v>
      </c>
      <c r="X1467" s="9">
        <v>3311105</v>
      </c>
      <c r="Y1467" s="9">
        <v>69251274</v>
      </c>
      <c r="Z1467" s="9" t="s">
        <v>39</v>
      </c>
      <c r="AA1467" s="9">
        <v>61292729</v>
      </c>
      <c r="AB1467" s="9">
        <v>78070</v>
      </c>
      <c r="AC1467" s="9" t="s">
        <v>41</v>
      </c>
      <c r="AD1467" s="9" t="s">
        <v>132</v>
      </c>
      <c r="AE1467" s="9" t="s">
        <v>133</v>
      </c>
      <c r="AF1467" s="9" t="s">
        <v>133</v>
      </c>
      <c r="AG1467" s="14" t="str">
        <f t="shared" si="48"/>
        <v>EXAMENES DE LABORATORIO</v>
      </c>
      <c r="AH1467" s="9">
        <v>0</v>
      </c>
      <c r="AI1467" s="9">
        <v>0</v>
      </c>
      <c r="AJ1467" s="9">
        <v>99573490</v>
      </c>
      <c r="AK1467" s="9">
        <v>7</v>
      </c>
      <c r="AL1467" s="26" t="s">
        <v>52</v>
      </c>
      <c r="AM1467" s="14" t="s">
        <v>743</v>
      </c>
      <c r="AN1467" s="27" t="str">
        <f t="shared" si="47"/>
        <v>16966495|99573490|930043848|65384396</v>
      </c>
      <c r="AO1467" t="s">
        <v>44</v>
      </c>
      <c r="AP1467" t="b">
        <v>0</v>
      </c>
      <c r="AQ1467" t="s">
        <v>763</v>
      </c>
    </row>
    <row r="1468" spans="1:43" x14ac:dyDescent="0.2">
      <c r="A1468" s="14" t="s">
        <v>500</v>
      </c>
      <c r="B1468" s="17">
        <v>15321086</v>
      </c>
      <c r="C1468" s="14" t="s">
        <v>472</v>
      </c>
      <c r="D1468" s="9">
        <v>15321086</v>
      </c>
      <c r="E1468" s="9" t="s">
        <v>472</v>
      </c>
      <c r="F1468" s="7">
        <v>45658</v>
      </c>
      <c r="G1468" s="20" t="s">
        <v>36</v>
      </c>
      <c r="H1468" s="8">
        <v>930053705</v>
      </c>
      <c r="I1468" s="19">
        <v>930053705</v>
      </c>
      <c r="J1468" s="10">
        <v>3656</v>
      </c>
      <c r="K1468" s="10">
        <v>2925</v>
      </c>
      <c r="L1468" s="10">
        <v>731</v>
      </c>
      <c r="M1468" s="10">
        <v>0</v>
      </c>
      <c r="N1468" s="11">
        <v>731</v>
      </c>
      <c r="O1468" s="12">
        <v>930053705</v>
      </c>
      <c r="P1468" s="9">
        <v>285123</v>
      </c>
      <c r="Q1468" s="9" t="s">
        <v>37</v>
      </c>
      <c r="R1468" s="13">
        <v>45677</v>
      </c>
      <c r="S1468" s="22">
        <v>45677</v>
      </c>
      <c r="T1468" s="13">
        <v>45677</v>
      </c>
      <c r="U1468" s="13">
        <v>45677</v>
      </c>
      <c r="V1468" s="9" t="s">
        <v>47</v>
      </c>
      <c r="W1468" s="9">
        <v>22524604</v>
      </c>
      <c r="X1468" s="9">
        <v>1271320</v>
      </c>
      <c r="Y1468" s="9">
        <v>68705923</v>
      </c>
      <c r="Z1468" s="9" t="s">
        <v>39</v>
      </c>
      <c r="AA1468" s="9">
        <v>26012025</v>
      </c>
      <c r="AB1468" s="9">
        <v>77442</v>
      </c>
      <c r="AC1468" s="9" t="s">
        <v>41</v>
      </c>
      <c r="AD1468" s="9" t="s">
        <v>132</v>
      </c>
      <c r="AE1468" s="9" t="s">
        <v>133</v>
      </c>
      <c r="AF1468" s="9" t="s">
        <v>133</v>
      </c>
      <c r="AG1468" s="14" t="str">
        <f t="shared" si="48"/>
        <v>EXAMENES DE LABORATORIO</v>
      </c>
      <c r="AH1468" s="9" t="s">
        <v>758</v>
      </c>
      <c r="AI1468" s="9">
        <v>0</v>
      </c>
      <c r="AJ1468" s="9">
        <v>96986050</v>
      </c>
      <c r="AK1468" s="9">
        <v>3</v>
      </c>
      <c r="AL1468" s="26" t="s">
        <v>83</v>
      </c>
      <c r="AM1468" s="14" t="s">
        <v>741</v>
      </c>
      <c r="AN1468" s="27" t="str">
        <f t="shared" si="47"/>
        <v>15321086|96986050|930053705|930053705</v>
      </c>
      <c r="AO1468" t="s">
        <v>758</v>
      </c>
      <c r="AP1468" t="b">
        <v>1</v>
      </c>
      <c r="AQ1468" t="s">
        <v>764</v>
      </c>
    </row>
    <row r="1469" spans="1:43" x14ac:dyDescent="0.2">
      <c r="A1469" s="14" t="s">
        <v>500</v>
      </c>
      <c r="B1469" s="17">
        <v>15321086</v>
      </c>
      <c r="C1469" s="14" t="s">
        <v>472</v>
      </c>
      <c r="D1469" s="9">
        <v>15321086</v>
      </c>
      <c r="E1469" s="9" t="s">
        <v>472</v>
      </c>
      <c r="F1469" s="7">
        <v>45717</v>
      </c>
      <c r="G1469" s="20" t="s">
        <v>46</v>
      </c>
      <c r="H1469" s="8">
        <v>930053705</v>
      </c>
      <c r="I1469" s="19">
        <v>65384270</v>
      </c>
      <c r="J1469" s="10">
        <v>768</v>
      </c>
      <c r="K1469" s="10">
        <v>0</v>
      </c>
      <c r="L1469" s="10">
        <v>768</v>
      </c>
      <c r="M1469" s="10">
        <v>0</v>
      </c>
      <c r="N1469" s="11">
        <v>768</v>
      </c>
      <c r="O1469" s="12">
        <v>930053705</v>
      </c>
      <c r="P1469" s="9">
        <v>285123</v>
      </c>
      <c r="Q1469" s="9" t="s">
        <v>37</v>
      </c>
      <c r="R1469" s="13">
        <v>45717</v>
      </c>
      <c r="S1469" s="22">
        <v>45742</v>
      </c>
      <c r="T1469" s="13">
        <v>45677</v>
      </c>
      <c r="U1469" s="13">
        <v>45677</v>
      </c>
      <c r="V1469" s="9" t="s">
        <v>47</v>
      </c>
      <c r="W1469" s="9">
        <v>22770386</v>
      </c>
      <c r="X1469" s="9">
        <v>3311105</v>
      </c>
      <c r="Y1469" s="9">
        <v>69251143</v>
      </c>
      <c r="Z1469" s="9" t="s">
        <v>39</v>
      </c>
      <c r="AA1469" s="9">
        <v>29473411</v>
      </c>
      <c r="AB1469" s="9">
        <v>78070</v>
      </c>
      <c r="AC1469" s="9" t="s">
        <v>41</v>
      </c>
      <c r="AD1469" s="9" t="s">
        <v>132</v>
      </c>
      <c r="AE1469" s="9" t="s">
        <v>133</v>
      </c>
      <c r="AF1469" s="9" t="s">
        <v>133</v>
      </c>
      <c r="AG1469" s="14" t="str">
        <f t="shared" si="48"/>
        <v>EXAMENES DE LABORATORIO</v>
      </c>
      <c r="AH1469" s="9">
        <v>0</v>
      </c>
      <c r="AI1469" s="9">
        <v>0</v>
      </c>
      <c r="AJ1469" s="9">
        <v>96986050</v>
      </c>
      <c r="AK1469" s="9">
        <v>3</v>
      </c>
      <c r="AL1469" s="26" t="s">
        <v>52</v>
      </c>
      <c r="AM1469" s="14" t="s">
        <v>741</v>
      </c>
      <c r="AN1469" s="27" t="str">
        <f t="shared" si="47"/>
        <v>15321086|96986050|930053705|65384270</v>
      </c>
      <c r="AO1469" t="s">
        <v>44</v>
      </c>
      <c r="AP1469" t="b">
        <v>0</v>
      </c>
      <c r="AQ1469" t="s">
        <v>763</v>
      </c>
    </row>
    <row r="1470" spans="1:43" x14ac:dyDescent="0.2">
      <c r="A1470" s="14" t="s">
        <v>500</v>
      </c>
      <c r="B1470" s="17">
        <v>14458519</v>
      </c>
      <c r="C1470" s="14" t="s">
        <v>475</v>
      </c>
      <c r="D1470" s="9">
        <v>14458519</v>
      </c>
      <c r="E1470" s="9" t="s">
        <v>475</v>
      </c>
      <c r="F1470" s="7">
        <v>45658</v>
      </c>
      <c r="G1470" s="20" t="s">
        <v>36</v>
      </c>
      <c r="H1470" s="8">
        <v>930063306</v>
      </c>
      <c r="I1470" s="19">
        <v>930063306</v>
      </c>
      <c r="J1470" s="10">
        <v>6806</v>
      </c>
      <c r="K1470" s="10">
        <v>4764</v>
      </c>
      <c r="L1470" s="10">
        <v>2042</v>
      </c>
      <c r="M1470" s="10">
        <v>0</v>
      </c>
      <c r="N1470" s="11">
        <v>2042</v>
      </c>
      <c r="O1470" s="12">
        <v>930063306</v>
      </c>
      <c r="P1470" s="9">
        <v>285123</v>
      </c>
      <c r="Q1470" s="9" t="s">
        <v>37</v>
      </c>
      <c r="R1470" s="13">
        <v>45675</v>
      </c>
      <c r="S1470" s="22">
        <v>45675</v>
      </c>
      <c r="T1470" s="13">
        <v>45675</v>
      </c>
      <c r="U1470" s="13">
        <v>45675</v>
      </c>
      <c r="V1470" s="9" t="s">
        <v>47</v>
      </c>
      <c r="W1470" s="9">
        <v>22524574</v>
      </c>
      <c r="X1470" s="9">
        <v>1271320</v>
      </c>
      <c r="Y1470" s="9">
        <v>68705302</v>
      </c>
      <c r="Z1470" s="9" t="s">
        <v>39</v>
      </c>
      <c r="AA1470" s="9">
        <v>26012025</v>
      </c>
      <c r="AB1470" s="9">
        <v>77442</v>
      </c>
      <c r="AC1470" s="9" t="s">
        <v>41</v>
      </c>
      <c r="AD1470" s="9" t="s">
        <v>132</v>
      </c>
      <c r="AE1470" s="9" t="s">
        <v>133</v>
      </c>
      <c r="AF1470" s="9" t="s">
        <v>133</v>
      </c>
      <c r="AG1470" s="14" t="str">
        <f t="shared" si="48"/>
        <v>EXAMENES DE LABORATORIO</v>
      </c>
      <c r="AH1470" s="9" t="s">
        <v>758</v>
      </c>
      <c r="AI1470" s="9">
        <v>0</v>
      </c>
      <c r="AJ1470" s="9">
        <v>96986050</v>
      </c>
      <c r="AK1470" s="9">
        <v>3</v>
      </c>
      <c r="AL1470" s="26" t="s">
        <v>83</v>
      </c>
      <c r="AM1470" s="14" t="s">
        <v>744</v>
      </c>
      <c r="AN1470" s="27" t="str">
        <f t="shared" si="47"/>
        <v>14458519|96986050|930063306|930063306</v>
      </c>
      <c r="AO1470" t="s">
        <v>758</v>
      </c>
      <c r="AP1470" t="b">
        <v>1</v>
      </c>
      <c r="AQ1470" t="s">
        <v>764</v>
      </c>
    </row>
    <row r="1471" spans="1:43" x14ac:dyDescent="0.2">
      <c r="A1471" s="14" t="s">
        <v>500</v>
      </c>
      <c r="B1471" s="17">
        <v>14458519</v>
      </c>
      <c r="C1471" s="14" t="s">
        <v>475</v>
      </c>
      <c r="D1471" s="9">
        <v>14458519</v>
      </c>
      <c r="E1471" s="9" t="s">
        <v>475</v>
      </c>
      <c r="F1471" s="7">
        <v>45717</v>
      </c>
      <c r="G1471" s="20" t="s">
        <v>46</v>
      </c>
      <c r="H1471" s="8">
        <v>930063306</v>
      </c>
      <c r="I1471" s="19">
        <v>65384236</v>
      </c>
      <c r="J1471" s="10">
        <v>2304</v>
      </c>
      <c r="K1471" s="10">
        <v>0</v>
      </c>
      <c r="L1471" s="10">
        <v>2304</v>
      </c>
      <c r="M1471" s="10">
        <v>0</v>
      </c>
      <c r="N1471" s="11">
        <v>2304</v>
      </c>
      <c r="O1471" s="12">
        <v>930063306</v>
      </c>
      <c r="P1471" s="9">
        <v>285123</v>
      </c>
      <c r="Q1471" s="9" t="s">
        <v>37</v>
      </c>
      <c r="R1471" s="13">
        <v>45717</v>
      </c>
      <c r="S1471" s="22">
        <v>45742</v>
      </c>
      <c r="T1471" s="13">
        <v>45675</v>
      </c>
      <c r="U1471" s="13">
        <v>45675</v>
      </c>
      <c r="V1471" s="9" t="s">
        <v>47</v>
      </c>
      <c r="W1471" s="9">
        <v>22770380</v>
      </c>
      <c r="X1471" s="9">
        <v>3311105</v>
      </c>
      <c r="Y1471" s="9">
        <v>69251109</v>
      </c>
      <c r="Z1471" s="9" t="s">
        <v>39</v>
      </c>
      <c r="AA1471" s="9">
        <v>184190143280</v>
      </c>
      <c r="AB1471" s="9">
        <v>78070</v>
      </c>
      <c r="AC1471" s="9" t="s">
        <v>41</v>
      </c>
      <c r="AD1471" s="9" t="s">
        <v>132</v>
      </c>
      <c r="AE1471" s="9" t="s">
        <v>133</v>
      </c>
      <c r="AF1471" s="9" t="s">
        <v>133</v>
      </c>
      <c r="AG1471" s="14" t="str">
        <f t="shared" si="48"/>
        <v>EXAMENES DE LABORATORIO</v>
      </c>
      <c r="AH1471" s="9">
        <v>0</v>
      </c>
      <c r="AI1471" s="9">
        <v>0</v>
      </c>
      <c r="AJ1471" s="9">
        <v>96986050</v>
      </c>
      <c r="AK1471" s="9">
        <v>3</v>
      </c>
      <c r="AL1471" s="26" t="s">
        <v>52</v>
      </c>
      <c r="AM1471" s="14" t="s">
        <v>744</v>
      </c>
      <c r="AN1471" s="27" t="str">
        <f t="shared" si="47"/>
        <v>14458519|96986050|930063306|65384236</v>
      </c>
      <c r="AO1471" t="s">
        <v>44</v>
      </c>
      <c r="AP1471" t="b">
        <v>0</v>
      </c>
      <c r="AQ1471" t="s">
        <v>763</v>
      </c>
    </row>
    <row r="1472" spans="1:43" x14ac:dyDescent="0.2">
      <c r="A1472" s="14" t="s">
        <v>500</v>
      </c>
      <c r="B1472" s="17">
        <v>14036485</v>
      </c>
      <c r="C1472" s="14" t="s">
        <v>247</v>
      </c>
      <c r="D1472" s="9">
        <v>21160579</v>
      </c>
      <c r="E1472" s="9" t="s">
        <v>476</v>
      </c>
      <c r="F1472" s="7">
        <v>45658</v>
      </c>
      <c r="G1472" s="20" t="s">
        <v>36</v>
      </c>
      <c r="H1472" s="8">
        <v>930077967</v>
      </c>
      <c r="I1472" s="19">
        <v>930077967</v>
      </c>
      <c r="J1472" s="10">
        <v>165126</v>
      </c>
      <c r="K1472" s="10">
        <v>115588</v>
      </c>
      <c r="L1472" s="10">
        <v>49538</v>
      </c>
      <c r="M1472" s="10">
        <v>0</v>
      </c>
      <c r="N1472" s="11">
        <v>49538</v>
      </c>
      <c r="O1472" s="12">
        <v>930077967</v>
      </c>
      <c r="P1472" s="9">
        <v>285123</v>
      </c>
      <c r="Q1472" s="9" t="s">
        <v>37</v>
      </c>
      <c r="R1472" s="13">
        <v>45673</v>
      </c>
      <c r="S1472" s="22">
        <v>45673</v>
      </c>
      <c r="T1472" s="13">
        <v>45673</v>
      </c>
      <c r="U1472" s="13">
        <v>45673</v>
      </c>
      <c r="V1472" s="9" t="s">
        <v>47</v>
      </c>
      <c r="W1472" s="9">
        <v>22497934</v>
      </c>
      <c r="X1472" s="9">
        <v>1210929</v>
      </c>
      <c r="Y1472" s="9">
        <v>68690664</v>
      </c>
      <c r="Z1472" s="9" t="s">
        <v>39</v>
      </c>
      <c r="AA1472" s="9">
        <v>19012025</v>
      </c>
      <c r="AB1472" s="9">
        <v>77381</v>
      </c>
      <c r="AC1472" s="9" t="s">
        <v>41</v>
      </c>
      <c r="AD1472" s="9" t="s">
        <v>134</v>
      </c>
      <c r="AE1472" s="9" t="s">
        <v>135</v>
      </c>
      <c r="AF1472" s="9" t="s">
        <v>135</v>
      </c>
      <c r="AG1472" s="14" t="str">
        <f t="shared" si="48"/>
        <v>EXAMENES RADIOLOGICOS</v>
      </c>
      <c r="AH1472" s="9" t="s">
        <v>758</v>
      </c>
      <c r="AI1472" s="9">
        <v>0</v>
      </c>
      <c r="AJ1472" s="9">
        <v>76436880</v>
      </c>
      <c r="AK1472" s="9">
        <v>0</v>
      </c>
      <c r="AL1472" s="26" t="s">
        <v>83</v>
      </c>
      <c r="AM1472" s="14" t="s">
        <v>583</v>
      </c>
      <c r="AN1472" s="27" t="str">
        <f t="shared" si="47"/>
        <v>14036485|76436880|930077967|930077967</v>
      </c>
      <c r="AO1472" t="s">
        <v>758</v>
      </c>
      <c r="AP1472" t="b">
        <v>1</v>
      </c>
      <c r="AQ1472" t="s">
        <v>764</v>
      </c>
    </row>
    <row r="1473" spans="1:43" x14ac:dyDescent="0.2">
      <c r="A1473" s="14" t="s">
        <v>500</v>
      </c>
      <c r="B1473" s="17">
        <v>14036485</v>
      </c>
      <c r="C1473" s="14" t="s">
        <v>247</v>
      </c>
      <c r="D1473" s="9">
        <v>21160579</v>
      </c>
      <c r="E1473" s="9" t="s">
        <v>476</v>
      </c>
      <c r="F1473" s="7">
        <v>45717</v>
      </c>
      <c r="G1473" s="20" t="s">
        <v>46</v>
      </c>
      <c r="H1473" s="8">
        <v>930077967</v>
      </c>
      <c r="I1473" s="19">
        <v>65384201</v>
      </c>
      <c r="J1473" s="10">
        <v>49563</v>
      </c>
      <c r="K1473" s="10">
        <v>0</v>
      </c>
      <c r="L1473" s="10">
        <v>49563</v>
      </c>
      <c r="M1473" s="10">
        <v>0</v>
      </c>
      <c r="N1473" s="11">
        <v>49563</v>
      </c>
      <c r="O1473" s="12">
        <v>930077967</v>
      </c>
      <c r="P1473" s="9">
        <v>285123</v>
      </c>
      <c r="Q1473" s="9" t="s">
        <v>37</v>
      </c>
      <c r="R1473" s="13">
        <v>45717</v>
      </c>
      <c r="S1473" s="22">
        <v>45742</v>
      </c>
      <c r="T1473" s="13">
        <v>45673</v>
      </c>
      <c r="U1473" s="13">
        <v>45673</v>
      </c>
      <c r="V1473" s="9" t="s">
        <v>47</v>
      </c>
      <c r="W1473" s="9">
        <v>22770361</v>
      </c>
      <c r="X1473" s="9">
        <v>3311105</v>
      </c>
      <c r="Y1473" s="9">
        <v>69251077</v>
      </c>
      <c r="Z1473" s="9" t="s">
        <v>39</v>
      </c>
      <c r="AA1473" s="9">
        <v>3681435602</v>
      </c>
      <c r="AB1473" s="9">
        <v>78070</v>
      </c>
      <c r="AC1473" s="9" t="s">
        <v>41</v>
      </c>
      <c r="AD1473" s="9" t="s">
        <v>134</v>
      </c>
      <c r="AE1473" s="9" t="s">
        <v>135</v>
      </c>
      <c r="AF1473" s="9" t="s">
        <v>135</v>
      </c>
      <c r="AG1473" s="14" t="str">
        <f t="shared" si="48"/>
        <v>EXAMENES RADIOLOGICOS</v>
      </c>
      <c r="AH1473" s="9">
        <v>0</v>
      </c>
      <c r="AI1473" s="9">
        <v>0</v>
      </c>
      <c r="AJ1473" s="9">
        <v>76436880</v>
      </c>
      <c r="AK1473" s="9">
        <v>0</v>
      </c>
      <c r="AL1473" s="26" t="s">
        <v>52</v>
      </c>
      <c r="AM1473" s="14" t="s">
        <v>583</v>
      </c>
      <c r="AN1473" s="27" t="str">
        <f t="shared" si="47"/>
        <v>14036485|76436880|930077967|65384201</v>
      </c>
      <c r="AO1473" t="s">
        <v>44</v>
      </c>
      <c r="AP1473" t="b">
        <v>0</v>
      </c>
      <c r="AQ1473" t="s">
        <v>763</v>
      </c>
    </row>
    <row r="1474" spans="1:43" x14ac:dyDescent="0.2">
      <c r="A1474" s="14" t="s">
        <v>500</v>
      </c>
      <c r="B1474" s="17">
        <v>14036485</v>
      </c>
      <c r="C1474" s="14" t="s">
        <v>247</v>
      </c>
      <c r="D1474" s="9">
        <v>21160579</v>
      </c>
      <c r="E1474" s="9" t="s">
        <v>476</v>
      </c>
      <c r="F1474" s="7">
        <v>45658</v>
      </c>
      <c r="G1474" s="20" t="s">
        <v>36</v>
      </c>
      <c r="H1474" s="8">
        <v>930077968</v>
      </c>
      <c r="I1474" s="19">
        <v>930077968</v>
      </c>
      <c r="J1474" s="10">
        <v>2960</v>
      </c>
      <c r="K1474" s="10">
        <v>2072</v>
      </c>
      <c r="L1474" s="10">
        <v>888</v>
      </c>
      <c r="M1474" s="10">
        <v>0</v>
      </c>
      <c r="N1474" s="11">
        <v>888</v>
      </c>
      <c r="O1474" s="12">
        <v>930077968</v>
      </c>
      <c r="P1474" s="9">
        <v>285123</v>
      </c>
      <c r="Q1474" s="9" t="s">
        <v>37</v>
      </c>
      <c r="R1474" s="13">
        <v>45673</v>
      </c>
      <c r="S1474" s="22">
        <v>45673</v>
      </c>
      <c r="T1474" s="13">
        <v>45673</v>
      </c>
      <c r="U1474" s="13">
        <v>45673</v>
      </c>
      <c r="V1474" s="9" t="s">
        <v>47</v>
      </c>
      <c r="W1474" s="9">
        <v>22497934</v>
      </c>
      <c r="X1474" s="9">
        <v>1210929</v>
      </c>
      <c r="Y1474" s="9">
        <v>68690663</v>
      </c>
      <c r="Z1474" s="9" t="s">
        <v>39</v>
      </c>
      <c r="AA1474" s="9">
        <v>19012025</v>
      </c>
      <c r="AB1474" s="9">
        <v>77381</v>
      </c>
      <c r="AC1474" s="9" t="s">
        <v>41</v>
      </c>
      <c r="AD1474" s="9" t="s">
        <v>132</v>
      </c>
      <c r="AE1474" s="9" t="s">
        <v>133</v>
      </c>
      <c r="AF1474" s="9" t="s">
        <v>133</v>
      </c>
      <c r="AG1474" s="14" t="str">
        <f t="shared" si="48"/>
        <v>EXAMENES DE LABORATORIO</v>
      </c>
      <c r="AH1474" s="9" t="s">
        <v>758</v>
      </c>
      <c r="AI1474" s="9">
        <v>0</v>
      </c>
      <c r="AJ1474" s="9">
        <v>96770100</v>
      </c>
      <c r="AK1474" s="9">
        <v>9</v>
      </c>
      <c r="AL1474" s="26" t="s">
        <v>83</v>
      </c>
      <c r="AM1474" s="14" t="s">
        <v>583</v>
      </c>
      <c r="AN1474" s="27" t="str">
        <f t="shared" si="47"/>
        <v>14036485|96770100|930077968|930077968</v>
      </c>
      <c r="AO1474" t="s">
        <v>758</v>
      </c>
      <c r="AP1474" t="b">
        <v>1</v>
      </c>
      <c r="AQ1474" t="s">
        <v>764</v>
      </c>
    </row>
    <row r="1475" spans="1:43" x14ac:dyDescent="0.2">
      <c r="A1475" s="14" t="s">
        <v>500</v>
      </c>
      <c r="B1475" s="17">
        <v>14036485</v>
      </c>
      <c r="C1475" s="14" t="s">
        <v>247</v>
      </c>
      <c r="D1475" s="9">
        <v>21160579</v>
      </c>
      <c r="E1475" s="9" t="s">
        <v>476</v>
      </c>
      <c r="F1475" s="7">
        <v>45717</v>
      </c>
      <c r="G1475" s="20" t="s">
        <v>46</v>
      </c>
      <c r="H1475" s="8">
        <v>930077968</v>
      </c>
      <c r="I1475" s="19">
        <v>65384202</v>
      </c>
      <c r="J1475" s="10">
        <v>768</v>
      </c>
      <c r="K1475" s="10">
        <v>0</v>
      </c>
      <c r="L1475" s="10">
        <v>768</v>
      </c>
      <c r="M1475" s="10">
        <v>0</v>
      </c>
      <c r="N1475" s="11">
        <v>768</v>
      </c>
      <c r="O1475" s="12">
        <v>930077968</v>
      </c>
      <c r="P1475" s="9">
        <v>285123</v>
      </c>
      <c r="Q1475" s="9" t="s">
        <v>37</v>
      </c>
      <c r="R1475" s="13">
        <v>45717</v>
      </c>
      <c r="S1475" s="22">
        <v>45742</v>
      </c>
      <c r="T1475" s="13">
        <v>45673</v>
      </c>
      <c r="U1475" s="13">
        <v>45673</v>
      </c>
      <c r="V1475" s="9" t="s">
        <v>47</v>
      </c>
      <c r="W1475" s="9">
        <v>22770361</v>
      </c>
      <c r="X1475" s="9">
        <v>3311105</v>
      </c>
      <c r="Y1475" s="9">
        <v>69251078</v>
      </c>
      <c r="Z1475" s="9" t="s">
        <v>39</v>
      </c>
      <c r="AA1475" s="9">
        <v>3681435602</v>
      </c>
      <c r="AB1475" s="9">
        <v>78070</v>
      </c>
      <c r="AC1475" s="9" t="s">
        <v>41</v>
      </c>
      <c r="AD1475" s="9" t="s">
        <v>132</v>
      </c>
      <c r="AE1475" s="9" t="s">
        <v>133</v>
      </c>
      <c r="AF1475" s="9" t="s">
        <v>133</v>
      </c>
      <c r="AG1475" s="14" t="str">
        <f t="shared" si="48"/>
        <v>EXAMENES DE LABORATORIO</v>
      </c>
      <c r="AH1475" s="9">
        <v>0</v>
      </c>
      <c r="AI1475" s="9">
        <v>0</v>
      </c>
      <c r="AJ1475" s="9">
        <v>96770100</v>
      </c>
      <c r="AK1475" s="9">
        <v>9</v>
      </c>
      <c r="AL1475" s="26" t="s">
        <v>52</v>
      </c>
      <c r="AM1475" s="14" t="s">
        <v>583</v>
      </c>
      <c r="AN1475" s="27" t="str">
        <f t="shared" ref="AN1475:AN1538" si="49">B1475&amp;"|"&amp;AJ1475&amp;"|"&amp;H1475&amp;"|"&amp;I1475</f>
        <v>14036485|96770100|930077968|65384202</v>
      </c>
      <c r="AO1475" t="s">
        <v>44</v>
      </c>
      <c r="AP1475" t="b">
        <v>0</v>
      </c>
      <c r="AQ1475" t="s">
        <v>763</v>
      </c>
    </row>
    <row r="1476" spans="1:43" x14ac:dyDescent="0.2">
      <c r="A1476" s="14" t="s">
        <v>500</v>
      </c>
      <c r="B1476" s="17">
        <v>16966495</v>
      </c>
      <c r="C1476" s="14" t="s">
        <v>474</v>
      </c>
      <c r="D1476" s="9">
        <v>16966495</v>
      </c>
      <c r="E1476" s="9" t="s">
        <v>474</v>
      </c>
      <c r="F1476" s="7">
        <v>45658</v>
      </c>
      <c r="G1476" s="20" t="s">
        <v>36</v>
      </c>
      <c r="H1476" s="8">
        <v>930112083</v>
      </c>
      <c r="I1476" s="19">
        <v>930112083</v>
      </c>
      <c r="J1476" s="10">
        <v>2892</v>
      </c>
      <c r="K1476" s="10">
        <v>2314</v>
      </c>
      <c r="L1476" s="10">
        <v>578</v>
      </c>
      <c r="M1476" s="10">
        <v>0</v>
      </c>
      <c r="N1476" s="11">
        <v>578</v>
      </c>
      <c r="O1476" s="12">
        <v>930112083</v>
      </c>
      <c r="P1476" s="9">
        <v>285123</v>
      </c>
      <c r="Q1476" s="9" t="s">
        <v>37</v>
      </c>
      <c r="R1476" s="13">
        <v>45670</v>
      </c>
      <c r="S1476" s="22">
        <v>45670</v>
      </c>
      <c r="T1476" s="13">
        <v>45670</v>
      </c>
      <c r="U1476" s="13">
        <v>45670</v>
      </c>
      <c r="V1476" s="9" t="s">
        <v>47</v>
      </c>
      <c r="W1476" s="9">
        <v>22497817</v>
      </c>
      <c r="X1476" s="9">
        <v>1210929</v>
      </c>
      <c r="Y1476" s="9">
        <v>68688609</v>
      </c>
      <c r="Z1476" s="9" t="s">
        <v>39</v>
      </c>
      <c r="AA1476" s="9">
        <v>19012025</v>
      </c>
      <c r="AB1476" s="9">
        <v>77381</v>
      </c>
      <c r="AC1476" s="9" t="s">
        <v>41</v>
      </c>
      <c r="AD1476" s="9" t="s">
        <v>132</v>
      </c>
      <c r="AE1476" s="9" t="s">
        <v>133</v>
      </c>
      <c r="AF1476" s="9" t="s">
        <v>133</v>
      </c>
      <c r="AG1476" s="14" t="str">
        <f t="shared" si="48"/>
        <v>EXAMENES DE LABORATORIO</v>
      </c>
      <c r="AH1476" s="9" t="s">
        <v>758</v>
      </c>
      <c r="AI1476" s="9">
        <v>0</v>
      </c>
      <c r="AJ1476" s="9">
        <v>96567920</v>
      </c>
      <c r="AK1476" s="9">
        <v>0</v>
      </c>
      <c r="AL1476" s="26" t="s">
        <v>83</v>
      </c>
      <c r="AM1476" s="14" t="s">
        <v>743</v>
      </c>
      <c r="AN1476" s="27" t="str">
        <f t="shared" si="49"/>
        <v>16966495|96567920|930112083|930112083</v>
      </c>
      <c r="AO1476" t="s">
        <v>758</v>
      </c>
      <c r="AP1476" t="b">
        <v>1</v>
      </c>
      <c r="AQ1476" t="s">
        <v>764</v>
      </c>
    </row>
    <row r="1477" spans="1:43" x14ac:dyDescent="0.2">
      <c r="A1477" s="14" t="s">
        <v>500</v>
      </c>
      <c r="B1477" s="17">
        <v>16966495</v>
      </c>
      <c r="C1477" s="14" t="s">
        <v>474</v>
      </c>
      <c r="D1477" s="9">
        <v>16966495</v>
      </c>
      <c r="E1477" s="9" t="s">
        <v>474</v>
      </c>
      <c r="F1477" s="7">
        <v>45717</v>
      </c>
      <c r="G1477" s="20" t="s">
        <v>46</v>
      </c>
      <c r="H1477" s="8">
        <v>930112083</v>
      </c>
      <c r="I1477" s="19">
        <v>65384397</v>
      </c>
      <c r="J1477" s="10">
        <v>768</v>
      </c>
      <c r="K1477" s="10">
        <v>0</v>
      </c>
      <c r="L1477" s="10">
        <v>768</v>
      </c>
      <c r="M1477" s="10">
        <v>0</v>
      </c>
      <c r="N1477" s="11">
        <v>768</v>
      </c>
      <c r="O1477" s="12">
        <v>930112083</v>
      </c>
      <c r="P1477" s="9">
        <v>285123</v>
      </c>
      <c r="Q1477" s="9" t="s">
        <v>37</v>
      </c>
      <c r="R1477" s="13">
        <v>45717</v>
      </c>
      <c r="S1477" s="22">
        <v>45742</v>
      </c>
      <c r="T1477" s="13">
        <v>45670</v>
      </c>
      <c r="U1477" s="13">
        <v>45670</v>
      </c>
      <c r="V1477" s="9" t="s">
        <v>47</v>
      </c>
      <c r="W1477" s="9">
        <v>22770341</v>
      </c>
      <c r="X1477" s="9">
        <v>3311105</v>
      </c>
      <c r="Y1477" s="9">
        <v>69251275</v>
      </c>
      <c r="Z1477" s="9" t="s">
        <v>39</v>
      </c>
      <c r="AA1477" s="9">
        <v>61292729</v>
      </c>
      <c r="AB1477" s="9">
        <v>78070</v>
      </c>
      <c r="AC1477" s="9" t="s">
        <v>41</v>
      </c>
      <c r="AD1477" s="9" t="s">
        <v>132</v>
      </c>
      <c r="AE1477" s="9" t="s">
        <v>133</v>
      </c>
      <c r="AF1477" s="9" t="s">
        <v>133</v>
      </c>
      <c r="AG1477" s="14" t="str">
        <f t="shared" si="48"/>
        <v>EXAMENES DE LABORATORIO</v>
      </c>
      <c r="AH1477" s="9">
        <v>0</v>
      </c>
      <c r="AI1477" s="9">
        <v>0</v>
      </c>
      <c r="AJ1477" s="9">
        <v>96567920</v>
      </c>
      <c r="AK1477" s="9">
        <v>0</v>
      </c>
      <c r="AL1477" s="26" t="s">
        <v>52</v>
      </c>
      <c r="AM1477" s="14" t="s">
        <v>743</v>
      </c>
      <c r="AN1477" s="27" t="str">
        <f t="shared" si="49"/>
        <v>16966495|96567920|930112083|65384397</v>
      </c>
      <c r="AO1477" t="s">
        <v>44</v>
      </c>
      <c r="AP1477" t="b">
        <v>0</v>
      </c>
      <c r="AQ1477" t="s">
        <v>763</v>
      </c>
    </row>
    <row r="1478" spans="1:43" x14ac:dyDescent="0.2">
      <c r="A1478" s="14" t="s">
        <v>500</v>
      </c>
      <c r="B1478" s="17">
        <v>16966495</v>
      </c>
      <c r="C1478" s="14" t="s">
        <v>474</v>
      </c>
      <c r="D1478" s="9">
        <v>16966495</v>
      </c>
      <c r="E1478" s="9" t="s">
        <v>474</v>
      </c>
      <c r="F1478" s="7">
        <v>45658</v>
      </c>
      <c r="G1478" s="20" t="s">
        <v>36</v>
      </c>
      <c r="H1478" s="8">
        <v>930112084</v>
      </c>
      <c r="I1478" s="19">
        <v>930112084</v>
      </c>
      <c r="J1478" s="10">
        <v>108579</v>
      </c>
      <c r="K1478" s="10">
        <v>86863</v>
      </c>
      <c r="L1478" s="10">
        <v>21716</v>
      </c>
      <c r="M1478" s="10">
        <v>0</v>
      </c>
      <c r="N1478" s="11">
        <v>21716</v>
      </c>
      <c r="O1478" s="12">
        <v>930112084</v>
      </c>
      <c r="P1478" s="9">
        <v>285123</v>
      </c>
      <c r="Q1478" s="9" t="s">
        <v>37</v>
      </c>
      <c r="R1478" s="13">
        <v>45670</v>
      </c>
      <c r="S1478" s="22">
        <v>45670</v>
      </c>
      <c r="T1478" s="13">
        <v>45670</v>
      </c>
      <c r="U1478" s="13">
        <v>45670</v>
      </c>
      <c r="V1478" s="9" t="s">
        <v>47</v>
      </c>
      <c r="W1478" s="9">
        <v>22497817</v>
      </c>
      <c r="X1478" s="9">
        <v>1210929</v>
      </c>
      <c r="Y1478" s="9">
        <v>68688610</v>
      </c>
      <c r="Z1478" s="9" t="s">
        <v>39</v>
      </c>
      <c r="AA1478" s="9">
        <v>19012025</v>
      </c>
      <c r="AB1478" s="9">
        <v>77381</v>
      </c>
      <c r="AC1478" s="9" t="s">
        <v>41</v>
      </c>
      <c r="AD1478" s="9" t="s">
        <v>132</v>
      </c>
      <c r="AE1478" s="9" t="s">
        <v>133</v>
      </c>
      <c r="AF1478" s="9" t="s">
        <v>133</v>
      </c>
      <c r="AG1478" s="14" t="str">
        <f t="shared" si="48"/>
        <v>EXAMENES DE LABORATORIO</v>
      </c>
      <c r="AH1478" s="9" t="s">
        <v>758</v>
      </c>
      <c r="AI1478" s="9">
        <v>0</v>
      </c>
      <c r="AJ1478" s="9">
        <v>96567920</v>
      </c>
      <c r="AK1478" s="9">
        <v>0</v>
      </c>
      <c r="AL1478" s="26" t="s">
        <v>83</v>
      </c>
      <c r="AM1478" s="14" t="s">
        <v>743</v>
      </c>
      <c r="AN1478" s="27" t="str">
        <f t="shared" si="49"/>
        <v>16966495|96567920|930112084|930112084</v>
      </c>
      <c r="AO1478" t="s">
        <v>758</v>
      </c>
      <c r="AP1478" t="b">
        <v>1</v>
      </c>
      <c r="AQ1478" t="s">
        <v>764</v>
      </c>
    </row>
    <row r="1479" spans="1:43" x14ac:dyDescent="0.2">
      <c r="A1479" s="14" t="s">
        <v>500</v>
      </c>
      <c r="B1479" s="17">
        <v>16966495</v>
      </c>
      <c r="C1479" s="14" t="s">
        <v>474</v>
      </c>
      <c r="D1479" s="9">
        <v>16966495</v>
      </c>
      <c r="E1479" s="9" t="s">
        <v>474</v>
      </c>
      <c r="F1479" s="7">
        <v>45717</v>
      </c>
      <c r="G1479" s="20" t="s">
        <v>46</v>
      </c>
      <c r="H1479" s="8">
        <v>930112084</v>
      </c>
      <c r="I1479" s="19">
        <v>65384398</v>
      </c>
      <c r="J1479" s="10">
        <v>21902</v>
      </c>
      <c r="K1479" s="10">
        <v>0</v>
      </c>
      <c r="L1479" s="10">
        <v>21902</v>
      </c>
      <c r="M1479" s="10">
        <v>0</v>
      </c>
      <c r="N1479" s="11">
        <v>21902</v>
      </c>
      <c r="O1479" s="12">
        <v>930112084</v>
      </c>
      <c r="P1479" s="9">
        <v>285123</v>
      </c>
      <c r="Q1479" s="9" t="s">
        <v>37</v>
      </c>
      <c r="R1479" s="13">
        <v>45717</v>
      </c>
      <c r="S1479" s="22">
        <v>45742</v>
      </c>
      <c r="T1479" s="13">
        <v>45670</v>
      </c>
      <c r="U1479" s="13">
        <v>45670</v>
      </c>
      <c r="V1479" s="9" t="s">
        <v>47</v>
      </c>
      <c r="W1479" s="9">
        <v>22770341</v>
      </c>
      <c r="X1479" s="9">
        <v>3311105</v>
      </c>
      <c r="Y1479" s="9">
        <v>69251276</v>
      </c>
      <c r="Z1479" s="9" t="s">
        <v>39</v>
      </c>
      <c r="AA1479" s="9">
        <v>61292729</v>
      </c>
      <c r="AB1479" s="9">
        <v>78070</v>
      </c>
      <c r="AC1479" s="9" t="s">
        <v>41</v>
      </c>
      <c r="AD1479" s="9" t="s">
        <v>132</v>
      </c>
      <c r="AE1479" s="9" t="s">
        <v>133</v>
      </c>
      <c r="AF1479" s="9" t="s">
        <v>133</v>
      </c>
      <c r="AG1479" s="14" t="str">
        <f t="shared" si="48"/>
        <v>EXAMENES DE LABORATORIO</v>
      </c>
      <c r="AH1479" s="9">
        <v>0</v>
      </c>
      <c r="AI1479" s="9">
        <v>0</v>
      </c>
      <c r="AJ1479" s="9">
        <v>96567920</v>
      </c>
      <c r="AK1479" s="9">
        <v>0</v>
      </c>
      <c r="AL1479" s="26" t="s">
        <v>52</v>
      </c>
      <c r="AM1479" s="14" t="s">
        <v>743</v>
      </c>
      <c r="AN1479" s="27" t="str">
        <f t="shared" si="49"/>
        <v>16966495|96567920|930112084|65384398</v>
      </c>
      <c r="AO1479" t="s">
        <v>44</v>
      </c>
      <c r="AP1479" t="b">
        <v>0</v>
      </c>
      <c r="AQ1479" t="s">
        <v>763</v>
      </c>
    </row>
    <row r="1480" spans="1:43" x14ac:dyDescent="0.2">
      <c r="A1480" s="14" t="s">
        <v>500</v>
      </c>
      <c r="B1480" s="17">
        <v>12287508</v>
      </c>
      <c r="C1480" s="14" t="s">
        <v>473</v>
      </c>
      <c r="D1480" s="9">
        <v>12287508</v>
      </c>
      <c r="E1480" s="9" t="s">
        <v>473</v>
      </c>
      <c r="F1480" s="7">
        <v>45658</v>
      </c>
      <c r="G1480" s="20" t="s">
        <v>36</v>
      </c>
      <c r="H1480" s="8">
        <v>930123723</v>
      </c>
      <c r="I1480" s="19">
        <v>930123723</v>
      </c>
      <c r="J1480" s="10">
        <v>21184</v>
      </c>
      <c r="K1480" s="10">
        <v>18960</v>
      </c>
      <c r="L1480" s="10">
        <v>2224</v>
      </c>
      <c r="M1480" s="10">
        <v>0</v>
      </c>
      <c r="N1480" s="11">
        <v>2224</v>
      </c>
      <c r="O1480" s="12">
        <v>930123723</v>
      </c>
      <c r="P1480" s="9">
        <v>285123</v>
      </c>
      <c r="Q1480" s="9" t="s">
        <v>37</v>
      </c>
      <c r="R1480" s="13">
        <v>45670</v>
      </c>
      <c r="S1480" s="22">
        <v>45670</v>
      </c>
      <c r="T1480" s="13">
        <v>45670</v>
      </c>
      <c r="U1480" s="13">
        <v>45670</v>
      </c>
      <c r="V1480" s="9" t="s">
        <v>47</v>
      </c>
      <c r="W1480" s="9">
        <v>22497794</v>
      </c>
      <c r="X1480" s="9">
        <v>1210929</v>
      </c>
      <c r="Y1480" s="9">
        <v>68687887</v>
      </c>
      <c r="Z1480" s="9" t="s">
        <v>39</v>
      </c>
      <c r="AA1480" s="9">
        <v>19012025</v>
      </c>
      <c r="AB1480" s="9">
        <v>77381</v>
      </c>
      <c r="AC1480" s="9" t="s">
        <v>41</v>
      </c>
      <c r="AD1480" s="9" t="s">
        <v>134</v>
      </c>
      <c r="AE1480" s="9" t="s">
        <v>135</v>
      </c>
      <c r="AF1480" s="9" t="s">
        <v>135</v>
      </c>
      <c r="AG1480" s="14" t="str">
        <f t="shared" si="48"/>
        <v>EXAMENES RADIOLOGICOS</v>
      </c>
      <c r="AH1480" s="9" t="s">
        <v>758</v>
      </c>
      <c r="AI1480" s="9">
        <v>0</v>
      </c>
      <c r="AJ1480" s="9">
        <v>96631140</v>
      </c>
      <c r="AK1480" s="9">
        <v>1</v>
      </c>
      <c r="AL1480" s="26" t="s">
        <v>83</v>
      </c>
      <c r="AM1480" s="14" t="s">
        <v>742</v>
      </c>
      <c r="AN1480" s="27" t="str">
        <f t="shared" si="49"/>
        <v>12287508|96631140|930123723|930123723</v>
      </c>
      <c r="AO1480" t="s">
        <v>758</v>
      </c>
      <c r="AP1480" t="b">
        <v>1</v>
      </c>
      <c r="AQ1480" t="s">
        <v>764</v>
      </c>
    </row>
    <row r="1481" spans="1:43" x14ac:dyDescent="0.2">
      <c r="A1481" s="14" t="s">
        <v>500</v>
      </c>
      <c r="B1481" s="17">
        <v>12287508</v>
      </c>
      <c r="C1481" s="14" t="s">
        <v>473</v>
      </c>
      <c r="D1481" s="9">
        <v>12287508</v>
      </c>
      <c r="E1481" s="9" t="s">
        <v>473</v>
      </c>
      <c r="F1481" s="7">
        <v>45717</v>
      </c>
      <c r="G1481" s="20" t="s">
        <v>46</v>
      </c>
      <c r="H1481" s="8">
        <v>930123723</v>
      </c>
      <c r="I1481" s="19">
        <v>65384007</v>
      </c>
      <c r="J1481" s="10">
        <v>2305</v>
      </c>
      <c r="K1481" s="10">
        <v>0</v>
      </c>
      <c r="L1481" s="10">
        <v>2305</v>
      </c>
      <c r="M1481" s="10">
        <v>0</v>
      </c>
      <c r="N1481" s="11">
        <v>2305</v>
      </c>
      <c r="O1481" s="12">
        <v>930123723</v>
      </c>
      <c r="P1481" s="9">
        <v>285123</v>
      </c>
      <c r="Q1481" s="9" t="s">
        <v>37</v>
      </c>
      <c r="R1481" s="13">
        <v>45717</v>
      </c>
      <c r="S1481" s="22">
        <v>45742</v>
      </c>
      <c r="T1481" s="13">
        <v>45670</v>
      </c>
      <c r="U1481" s="13">
        <v>45670</v>
      </c>
      <c r="V1481" s="9" t="s">
        <v>47</v>
      </c>
      <c r="W1481" s="9">
        <v>22770337</v>
      </c>
      <c r="X1481" s="9">
        <v>3311105</v>
      </c>
      <c r="Y1481" s="9">
        <v>69250895</v>
      </c>
      <c r="Z1481" s="9" t="s">
        <v>39</v>
      </c>
      <c r="AA1481" s="9">
        <v>1670150306</v>
      </c>
      <c r="AB1481" s="9">
        <v>78070</v>
      </c>
      <c r="AC1481" s="9" t="s">
        <v>41</v>
      </c>
      <c r="AD1481" s="9" t="s">
        <v>134</v>
      </c>
      <c r="AE1481" s="9" t="s">
        <v>135</v>
      </c>
      <c r="AF1481" s="9" t="s">
        <v>135</v>
      </c>
      <c r="AG1481" s="14" t="str">
        <f t="shared" si="48"/>
        <v>EXAMENES RADIOLOGICOS</v>
      </c>
      <c r="AH1481" s="9">
        <v>0</v>
      </c>
      <c r="AI1481" s="9">
        <v>0</v>
      </c>
      <c r="AJ1481" s="9">
        <v>96631140</v>
      </c>
      <c r="AK1481" s="9">
        <v>1</v>
      </c>
      <c r="AL1481" s="26" t="s">
        <v>52</v>
      </c>
      <c r="AM1481" s="14" t="s">
        <v>742</v>
      </c>
      <c r="AN1481" s="27" t="str">
        <f t="shared" si="49"/>
        <v>12287508|96631140|930123723|65384007</v>
      </c>
      <c r="AO1481" t="s">
        <v>44</v>
      </c>
      <c r="AP1481" t="b">
        <v>0</v>
      </c>
      <c r="AQ1481" t="s">
        <v>763</v>
      </c>
    </row>
    <row r="1482" spans="1:43" x14ac:dyDescent="0.2">
      <c r="A1482" s="14" t="s">
        <v>500</v>
      </c>
      <c r="B1482" s="17">
        <v>12752688</v>
      </c>
      <c r="C1482" s="14" t="s">
        <v>477</v>
      </c>
      <c r="D1482" s="9">
        <v>12752688</v>
      </c>
      <c r="E1482" s="9" t="s">
        <v>477</v>
      </c>
      <c r="F1482" s="7">
        <v>45658</v>
      </c>
      <c r="G1482" s="20" t="s">
        <v>36</v>
      </c>
      <c r="H1482" s="8">
        <v>930135307</v>
      </c>
      <c r="I1482" s="19">
        <v>930135307</v>
      </c>
      <c r="J1482" s="10">
        <v>62641</v>
      </c>
      <c r="K1482" s="10">
        <v>50113</v>
      </c>
      <c r="L1482" s="10">
        <v>12528</v>
      </c>
      <c r="M1482" s="10">
        <v>0</v>
      </c>
      <c r="N1482" s="11">
        <v>12528</v>
      </c>
      <c r="O1482" s="12">
        <v>930135307</v>
      </c>
      <c r="P1482" s="9">
        <v>285123</v>
      </c>
      <c r="Q1482" s="9" t="s">
        <v>37</v>
      </c>
      <c r="R1482" s="13">
        <v>45667</v>
      </c>
      <c r="S1482" s="22">
        <v>45667</v>
      </c>
      <c r="T1482" s="13">
        <v>45667</v>
      </c>
      <c r="U1482" s="13">
        <v>45667</v>
      </c>
      <c r="V1482" s="9" t="s">
        <v>47</v>
      </c>
      <c r="W1482" s="9">
        <v>22462296</v>
      </c>
      <c r="X1482" s="9">
        <v>1131703</v>
      </c>
      <c r="Y1482" s="9">
        <v>68652670</v>
      </c>
      <c r="Z1482" s="9" t="s">
        <v>39</v>
      </c>
      <c r="AA1482" s="9">
        <v>12012025</v>
      </c>
      <c r="AB1482" s="9">
        <v>77298</v>
      </c>
      <c r="AC1482" s="9" t="s">
        <v>41</v>
      </c>
      <c r="AD1482" s="9" t="s">
        <v>134</v>
      </c>
      <c r="AE1482" s="9" t="s">
        <v>135</v>
      </c>
      <c r="AF1482" s="9" t="s">
        <v>135</v>
      </c>
      <c r="AG1482" s="14" t="str">
        <f t="shared" si="48"/>
        <v>EXAMENES RADIOLOGICOS</v>
      </c>
      <c r="AH1482" s="9" t="s">
        <v>758</v>
      </c>
      <c r="AI1482" s="9">
        <v>0</v>
      </c>
      <c r="AJ1482" s="9">
        <v>81949100</v>
      </c>
      <c r="AK1482" s="9">
        <v>3</v>
      </c>
      <c r="AL1482" s="26" t="s">
        <v>83</v>
      </c>
      <c r="AM1482" s="14" t="s">
        <v>745</v>
      </c>
      <c r="AN1482" s="27" t="str">
        <f t="shared" si="49"/>
        <v>12752688|81949100|930135307|930135307</v>
      </c>
      <c r="AO1482" t="s">
        <v>758</v>
      </c>
      <c r="AP1482" t="b">
        <v>1</v>
      </c>
      <c r="AQ1482" t="s">
        <v>764</v>
      </c>
    </row>
    <row r="1483" spans="1:43" x14ac:dyDescent="0.2">
      <c r="A1483" s="14" t="s">
        <v>500</v>
      </c>
      <c r="B1483" s="17">
        <v>12752688</v>
      </c>
      <c r="C1483" s="14" t="s">
        <v>477</v>
      </c>
      <c r="D1483" s="9">
        <v>12752688</v>
      </c>
      <c r="E1483" s="9" t="s">
        <v>477</v>
      </c>
      <c r="F1483" s="7">
        <v>45717</v>
      </c>
      <c r="G1483" s="20" t="s">
        <v>46</v>
      </c>
      <c r="H1483" s="8">
        <v>930135307</v>
      </c>
      <c r="I1483" s="19">
        <v>65384041</v>
      </c>
      <c r="J1483" s="10">
        <v>12684</v>
      </c>
      <c r="K1483" s="10">
        <v>0</v>
      </c>
      <c r="L1483" s="10">
        <v>12684</v>
      </c>
      <c r="M1483" s="10">
        <v>0</v>
      </c>
      <c r="N1483" s="11">
        <v>12684</v>
      </c>
      <c r="O1483" s="12">
        <v>930135307</v>
      </c>
      <c r="P1483" s="9">
        <v>285123</v>
      </c>
      <c r="Q1483" s="9" t="s">
        <v>37</v>
      </c>
      <c r="R1483" s="13">
        <v>45717</v>
      </c>
      <c r="S1483" s="22">
        <v>45742</v>
      </c>
      <c r="T1483" s="13">
        <v>45667</v>
      </c>
      <c r="U1483" s="13">
        <v>45667</v>
      </c>
      <c r="V1483" s="9" t="s">
        <v>47</v>
      </c>
      <c r="W1483" s="9">
        <v>22770328</v>
      </c>
      <c r="X1483" s="9">
        <v>3311105</v>
      </c>
      <c r="Y1483" s="9">
        <v>69250929</v>
      </c>
      <c r="Z1483" s="9" t="s">
        <v>39</v>
      </c>
      <c r="AA1483" s="9">
        <v>6308651</v>
      </c>
      <c r="AB1483" s="9">
        <v>78070</v>
      </c>
      <c r="AC1483" s="9" t="s">
        <v>41</v>
      </c>
      <c r="AD1483" s="9" t="s">
        <v>134</v>
      </c>
      <c r="AE1483" s="9" t="s">
        <v>135</v>
      </c>
      <c r="AF1483" s="9" t="s">
        <v>135</v>
      </c>
      <c r="AG1483" s="14" t="str">
        <f t="shared" si="48"/>
        <v>EXAMENES RADIOLOGICOS</v>
      </c>
      <c r="AH1483" s="9">
        <v>0</v>
      </c>
      <c r="AI1483" s="9">
        <v>0</v>
      </c>
      <c r="AJ1483" s="9">
        <v>81949100</v>
      </c>
      <c r="AK1483" s="9">
        <v>3</v>
      </c>
      <c r="AL1483" s="26" t="s">
        <v>52</v>
      </c>
      <c r="AM1483" s="14" t="s">
        <v>745</v>
      </c>
      <c r="AN1483" s="27" t="str">
        <f t="shared" si="49"/>
        <v>12752688|81949100|930135307|65384041</v>
      </c>
      <c r="AO1483" t="s">
        <v>44</v>
      </c>
      <c r="AP1483" t="b">
        <v>0</v>
      </c>
      <c r="AQ1483" t="s">
        <v>763</v>
      </c>
    </row>
    <row r="1484" spans="1:43" x14ac:dyDescent="0.2">
      <c r="A1484" s="14" t="s">
        <v>500</v>
      </c>
      <c r="B1484" s="17">
        <v>12259330</v>
      </c>
      <c r="C1484" s="14" t="s">
        <v>478</v>
      </c>
      <c r="D1484" s="9">
        <v>24287162</v>
      </c>
      <c r="E1484" s="9" t="s">
        <v>479</v>
      </c>
      <c r="F1484" s="7">
        <v>45658</v>
      </c>
      <c r="G1484" s="20" t="s">
        <v>36</v>
      </c>
      <c r="H1484" s="8">
        <v>930138828</v>
      </c>
      <c r="I1484" s="19">
        <v>930138828</v>
      </c>
      <c r="J1484" s="10">
        <v>14624</v>
      </c>
      <c r="K1484" s="10">
        <v>10237</v>
      </c>
      <c r="L1484" s="10">
        <v>4387</v>
      </c>
      <c r="M1484" s="10">
        <v>0</v>
      </c>
      <c r="N1484" s="11">
        <v>4387</v>
      </c>
      <c r="O1484" s="12">
        <v>930138828</v>
      </c>
      <c r="P1484" s="9">
        <v>285123</v>
      </c>
      <c r="Q1484" s="9" t="s">
        <v>37</v>
      </c>
      <c r="R1484" s="13">
        <v>45667</v>
      </c>
      <c r="S1484" s="22">
        <v>45667</v>
      </c>
      <c r="T1484" s="13">
        <v>45667</v>
      </c>
      <c r="U1484" s="13">
        <v>45667</v>
      </c>
      <c r="V1484" s="9" t="s">
        <v>47</v>
      </c>
      <c r="W1484" s="9">
        <v>22462294</v>
      </c>
      <c r="X1484" s="9">
        <v>1131703</v>
      </c>
      <c r="Y1484" s="9">
        <v>68652436</v>
      </c>
      <c r="Z1484" s="9" t="s">
        <v>39</v>
      </c>
      <c r="AA1484" s="9">
        <v>12012025</v>
      </c>
      <c r="AB1484" s="9">
        <v>77298</v>
      </c>
      <c r="AC1484" s="9" t="s">
        <v>41</v>
      </c>
      <c r="AD1484" s="9" t="s">
        <v>134</v>
      </c>
      <c r="AE1484" s="9" t="s">
        <v>135</v>
      </c>
      <c r="AF1484" s="9" t="s">
        <v>135</v>
      </c>
      <c r="AG1484" s="14" t="str">
        <f t="shared" si="48"/>
        <v>EXAMENES RADIOLOGICOS</v>
      </c>
      <c r="AH1484" s="9" t="s">
        <v>758</v>
      </c>
      <c r="AI1484" s="9">
        <v>0</v>
      </c>
      <c r="AJ1484" s="9">
        <v>76110809</v>
      </c>
      <c r="AK1484" s="9">
        <v>3</v>
      </c>
      <c r="AL1484" s="26" t="s">
        <v>83</v>
      </c>
      <c r="AM1484" s="14" t="s">
        <v>746</v>
      </c>
      <c r="AN1484" s="27" t="str">
        <f t="shared" si="49"/>
        <v>12259330|76110809|930138828|930138828</v>
      </c>
      <c r="AO1484" t="s">
        <v>758</v>
      </c>
      <c r="AP1484" t="b">
        <v>1</v>
      </c>
      <c r="AQ1484" t="s">
        <v>764</v>
      </c>
    </row>
    <row r="1485" spans="1:43" x14ac:dyDescent="0.2">
      <c r="A1485" s="14" t="s">
        <v>500</v>
      </c>
      <c r="B1485" s="17">
        <v>12259330</v>
      </c>
      <c r="C1485" s="14" t="s">
        <v>478</v>
      </c>
      <c r="D1485" s="9">
        <v>24287162</v>
      </c>
      <c r="E1485" s="9" t="s">
        <v>479</v>
      </c>
      <c r="F1485" s="7">
        <v>45717</v>
      </c>
      <c r="G1485" s="20" t="s">
        <v>46</v>
      </c>
      <c r="H1485" s="8">
        <v>930138828</v>
      </c>
      <c r="I1485" s="19">
        <v>65384004</v>
      </c>
      <c r="J1485" s="10">
        <v>4228</v>
      </c>
      <c r="K1485" s="10">
        <v>0</v>
      </c>
      <c r="L1485" s="10">
        <v>4228</v>
      </c>
      <c r="M1485" s="10">
        <v>0</v>
      </c>
      <c r="N1485" s="11">
        <v>4228</v>
      </c>
      <c r="O1485" s="12">
        <v>930138828</v>
      </c>
      <c r="P1485" s="9">
        <v>285123</v>
      </c>
      <c r="Q1485" s="9" t="s">
        <v>37</v>
      </c>
      <c r="R1485" s="13">
        <v>45717</v>
      </c>
      <c r="S1485" s="22">
        <v>45742</v>
      </c>
      <c r="T1485" s="13">
        <v>45667</v>
      </c>
      <c r="U1485" s="13">
        <v>45667</v>
      </c>
      <c r="V1485" s="9" t="s">
        <v>47</v>
      </c>
      <c r="W1485" s="9">
        <v>22770327</v>
      </c>
      <c r="X1485" s="9">
        <v>3311105</v>
      </c>
      <c r="Y1485" s="9">
        <v>69250892</v>
      </c>
      <c r="Z1485" s="9" t="s">
        <v>39</v>
      </c>
      <c r="AA1485" s="9">
        <v>1591852907</v>
      </c>
      <c r="AB1485" s="9">
        <v>78070</v>
      </c>
      <c r="AC1485" s="9" t="s">
        <v>41</v>
      </c>
      <c r="AD1485" s="9" t="s">
        <v>134</v>
      </c>
      <c r="AE1485" s="9" t="s">
        <v>135</v>
      </c>
      <c r="AF1485" s="9" t="s">
        <v>135</v>
      </c>
      <c r="AG1485" s="14" t="str">
        <f t="shared" si="48"/>
        <v>EXAMENES RADIOLOGICOS</v>
      </c>
      <c r="AH1485" s="9">
        <v>0</v>
      </c>
      <c r="AI1485" s="9">
        <v>0</v>
      </c>
      <c r="AJ1485" s="9">
        <v>76110809</v>
      </c>
      <c r="AK1485" s="9">
        <v>3</v>
      </c>
      <c r="AL1485" s="26" t="s">
        <v>52</v>
      </c>
      <c r="AM1485" s="14" t="s">
        <v>746</v>
      </c>
      <c r="AN1485" s="27" t="str">
        <f t="shared" si="49"/>
        <v>12259330|76110809|930138828|65384004</v>
      </c>
      <c r="AO1485" t="s">
        <v>44</v>
      </c>
      <c r="AP1485" t="b">
        <v>0</v>
      </c>
      <c r="AQ1485" t="s">
        <v>763</v>
      </c>
    </row>
    <row r="1486" spans="1:43" x14ac:dyDescent="0.2">
      <c r="A1486" s="14" t="s">
        <v>500</v>
      </c>
      <c r="B1486" s="17">
        <v>12259330</v>
      </c>
      <c r="C1486" s="14" t="s">
        <v>478</v>
      </c>
      <c r="D1486" s="9">
        <v>24287162</v>
      </c>
      <c r="E1486" s="9" t="s">
        <v>479</v>
      </c>
      <c r="F1486" s="7">
        <v>45658</v>
      </c>
      <c r="G1486" s="20" t="s">
        <v>36</v>
      </c>
      <c r="H1486" s="8">
        <v>930138845</v>
      </c>
      <c r="I1486" s="19">
        <v>930138845</v>
      </c>
      <c r="J1486" s="10">
        <v>43735</v>
      </c>
      <c r="K1486" s="10">
        <v>30615</v>
      </c>
      <c r="L1486" s="10">
        <v>13120</v>
      </c>
      <c r="M1486" s="10">
        <v>0</v>
      </c>
      <c r="N1486" s="11">
        <v>13120</v>
      </c>
      <c r="O1486" s="12">
        <v>930138845</v>
      </c>
      <c r="P1486" s="9">
        <v>285123</v>
      </c>
      <c r="Q1486" s="9" t="s">
        <v>37</v>
      </c>
      <c r="R1486" s="13">
        <v>45667</v>
      </c>
      <c r="S1486" s="22">
        <v>45667</v>
      </c>
      <c r="T1486" s="13">
        <v>45667</v>
      </c>
      <c r="U1486" s="13">
        <v>45667</v>
      </c>
      <c r="V1486" s="9" t="s">
        <v>47</v>
      </c>
      <c r="W1486" s="9">
        <v>22462294</v>
      </c>
      <c r="X1486" s="9">
        <v>1131703</v>
      </c>
      <c r="Y1486" s="9">
        <v>68652435</v>
      </c>
      <c r="Z1486" s="9" t="s">
        <v>39</v>
      </c>
      <c r="AA1486" s="9">
        <v>12012025</v>
      </c>
      <c r="AB1486" s="9">
        <v>77298</v>
      </c>
      <c r="AC1486" s="9" t="s">
        <v>41</v>
      </c>
      <c r="AD1486" s="9" t="s">
        <v>134</v>
      </c>
      <c r="AE1486" s="9" t="s">
        <v>135</v>
      </c>
      <c r="AF1486" s="9" t="s">
        <v>135</v>
      </c>
      <c r="AG1486" s="14" t="str">
        <f t="shared" si="48"/>
        <v>EXAMENES RADIOLOGICOS</v>
      </c>
      <c r="AH1486" s="9" t="s">
        <v>758</v>
      </c>
      <c r="AI1486" s="9">
        <v>0</v>
      </c>
      <c r="AJ1486" s="9">
        <v>76110809</v>
      </c>
      <c r="AK1486" s="9">
        <v>3</v>
      </c>
      <c r="AL1486" s="26" t="s">
        <v>83</v>
      </c>
      <c r="AM1486" s="14" t="s">
        <v>746</v>
      </c>
      <c r="AN1486" s="27" t="str">
        <f t="shared" si="49"/>
        <v>12259330|76110809|930138845|930138845</v>
      </c>
      <c r="AO1486" t="s">
        <v>758</v>
      </c>
      <c r="AP1486" t="b">
        <v>1</v>
      </c>
      <c r="AQ1486" t="s">
        <v>764</v>
      </c>
    </row>
    <row r="1487" spans="1:43" x14ac:dyDescent="0.2">
      <c r="A1487" s="14" t="s">
        <v>500</v>
      </c>
      <c r="B1487" s="17">
        <v>12259330</v>
      </c>
      <c r="C1487" s="14" t="s">
        <v>478</v>
      </c>
      <c r="D1487" s="9">
        <v>24287162</v>
      </c>
      <c r="E1487" s="9" t="s">
        <v>479</v>
      </c>
      <c r="F1487" s="7">
        <v>45717</v>
      </c>
      <c r="G1487" s="20" t="s">
        <v>46</v>
      </c>
      <c r="H1487" s="8">
        <v>930138845</v>
      </c>
      <c r="I1487" s="19">
        <v>65384005</v>
      </c>
      <c r="J1487" s="10">
        <v>13068</v>
      </c>
      <c r="K1487" s="10">
        <v>0</v>
      </c>
      <c r="L1487" s="10">
        <v>13068</v>
      </c>
      <c r="M1487" s="10">
        <v>0</v>
      </c>
      <c r="N1487" s="11">
        <v>13068</v>
      </c>
      <c r="O1487" s="12">
        <v>930138845</v>
      </c>
      <c r="P1487" s="9">
        <v>285123</v>
      </c>
      <c r="Q1487" s="9" t="s">
        <v>37</v>
      </c>
      <c r="R1487" s="13">
        <v>45717</v>
      </c>
      <c r="S1487" s="22">
        <v>45742</v>
      </c>
      <c r="T1487" s="13">
        <v>45667</v>
      </c>
      <c r="U1487" s="13">
        <v>45667</v>
      </c>
      <c r="V1487" s="9" t="s">
        <v>47</v>
      </c>
      <c r="W1487" s="9">
        <v>22770327</v>
      </c>
      <c r="X1487" s="9">
        <v>3311105</v>
      </c>
      <c r="Y1487" s="9">
        <v>69250893</v>
      </c>
      <c r="Z1487" s="9" t="s">
        <v>39</v>
      </c>
      <c r="AA1487" s="9">
        <v>1591852907</v>
      </c>
      <c r="AB1487" s="9">
        <v>78070</v>
      </c>
      <c r="AC1487" s="9" t="s">
        <v>41</v>
      </c>
      <c r="AD1487" s="9" t="s">
        <v>134</v>
      </c>
      <c r="AE1487" s="9" t="s">
        <v>135</v>
      </c>
      <c r="AF1487" s="9" t="s">
        <v>135</v>
      </c>
      <c r="AG1487" s="14" t="str">
        <f t="shared" si="48"/>
        <v>EXAMENES RADIOLOGICOS</v>
      </c>
      <c r="AH1487" s="9">
        <v>0</v>
      </c>
      <c r="AI1487" s="9">
        <v>0</v>
      </c>
      <c r="AJ1487" s="9">
        <v>76110809</v>
      </c>
      <c r="AK1487" s="9">
        <v>3</v>
      </c>
      <c r="AL1487" s="26" t="s">
        <v>52</v>
      </c>
      <c r="AM1487" s="14" t="s">
        <v>746</v>
      </c>
      <c r="AN1487" s="27" t="str">
        <f t="shared" si="49"/>
        <v>12259330|76110809|930138845|65384005</v>
      </c>
      <c r="AO1487" t="s">
        <v>44</v>
      </c>
      <c r="AP1487" t="b">
        <v>0</v>
      </c>
      <c r="AQ1487" t="s">
        <v>763</v>
      </c>
    </row>
    <row r="1488" spans="1:43" x14ac:dyDescent="0.2">
      <c r="A1488" s="14" t="s">
        <v>500</v>
      </c>
      <c r="B1488" s="17">
        <v>14458519</v>
      </c>
      <c r="C1488" s="14" t="s">
        <v>475</v>
      </c>
      <c r="D1488" s="9">
        <v>14458519</v>
      </c>
      <c r="E1488" s="9" t="s">
        <v>475</v>
      </c>
      <c r="F1488" s="7">
        <v>45658</v>
      </c>
      <c r="G1488" s="20" t="s">
        <v>36</v>
      </c>
      <c r="H1488" s="8">
        <v>930145743</v>
      </c>
      <c r="I1488" s="19">
        <v>930145743</v>
      </c>
      <c r="J1488" s="10">
        <v>42233</v>
      </c>
      <c r="K1488" s="10">
        <v>29563</v>
      </c>
      <c r="L1488" s="10">
        <v>12670</v>
      </c>
      <c r="M1488" s="10">
        <v>0</v>
      </c>
      <c r="N1488" s="11">
        <v>12670</v>
      </c>
      <c r="O1488" s="12">
        <v>930145743</v>
      </c>
      <c r="P1488" s="9">
        <v>285123</v>
      </c>
      <c r="Q1488" s="9" t="s">
        <v>37</v>
      </c>
      <c r="R1488" s="13">
        <v>45666</v>
      </c>
      <c r="S1488" s="22">
        <v>45666</v>
      </c>
      <c r="T1488" s="13">
        <v>45666</v>
      </c>
      <c r="U1488" s="13">
        <v>45666</v>
      </c>
      <c r="V1488" s="9" t="s">
        <v>47</v>
      </c>
      <c r="W1488" s="9">
        <v>22462281</v>
      </c>
      <c r="X1488" s="9">
        <v>1131703</v>
      </c>
      <c r="Y1488" s="9">
        <v>68651999</v>
      </c>
      <c r="Z1488" s="9" t="s">
        <v>39</v>
      </c>
      <c r="AA1488" s="9">
        <v>12012025</v>
      </c>
      <c r="AB1488" s="9">
        <v>77298</v>
      </c>
      <c r="AC1488" s="9" t="s">
        <v>41</v>
      </c>
      <c r="AD1488" s="9" t="s">
        <v>65</v>
      </c>
      <c r="AE1488" s="9" t="s">
        <v>66</v>
      </c>
      <c r="AF1488" s="9" t="s">
        <v>66</v>
      </c>
      <c r="AG1488" s="14" t="str">
        <f t="shared" si="48"/>
        <v>PROCEDIMIENTOS TERAPEUTICOS</v>
      </c>
      <c r="AH1488" s="9" t="s">
        <v>758</v>
      </c>
      <c r="AI1488" s="9">
        <v>0</v>
      </c>
      <c r="AJ1488" s="9">
        <v>76098454</v>
      </c>
      <c r="AK1488" s="9" t="s">
        <v>161</v>
      </c>
      <c r="AL1488" s="26" t="s">
        <v>83</v>
      </c>
      <c r="AM1488" s="14" t="s">
        <v>744</v>
      </c>
      <c r="AN1488" s="27" t="str">
        <f t="shared" si="49"/>
        <v>14458519|76098454|930145743|930145743</v>
      </c>
      <c r="AO1488" t="s">
        <v>758</v>
      </c>
      <c r="AP1488" t="b">
        <v>1</v>
      </c>
      <c r="AQ1488" t="s">
        <v>764</v>
      </c>
    </row>
    <row r="1489" spans="1:43" x14ac:dyDescent="0.2">
      <c r="A1489" s="14" t="s">
        <v>500</v>
      </c>
      <c r="B1489" s="17">
        <v>14458519</v>
      </c>
      <c r="C1489" s="14" t="s">
        <v>475</v>
      </c>
      <c r="D1489" s="9">
        <v>14458519</v>
      </c>
      <c r="E1489" s="9" t="s">
        <v>475</v>
      </c>
      <c r="F1489" s="7">
        <v>45717</v>
      </c>
      <c r="G1489" s="20" t="s">
        <v>46</v>
      </c>
      <c r="H1489" s="8">
        <v>930145743</v>
      </c>
      <c r="I1489" s="19">
        <v>65384237</v>
      </c>
      <c r="J1489" s="10">
        <v>12684</v>
      </c>
      <c r="K1489" s="10">
        <v>0</v>
      </c>
      <c r="L1489" s="10">
        <v>12684</v>
      </c>
      <c r="M1489" s="10">
        <v>0</v>
      </c>
      <c r="N1489" s="11">
        <v>12684</v>
      </c>
      <c r="O1489" s="12">
        <v>930145743</v>
      </c>
      <c r="P1489" s="9">
        <v>285123</v>
      </c>
      <c r="Q1489" s="9" t="s">
        <v>37</v>
      </c>
      <c r="R1489" s="13">
        <v>45717</v>
      </c>
      <c r="S1489" s="22">
        <v>45742</v>
      </c>
      <c r="T1489" s="13">
        <v>45666</v>
      </c>
      <c r="U1489" s="13">
        <v>45666</v>
      </c>
      <c r="V1489" s="9" t="s">
        <v>47</v>
      </c>
      <c r="W1489" s="9">
        <v>22770324</v>
      </c>
      <c r="X1489" s="9">
        <v>3311105</v>
      </c>
      <c r="Y1489" s="9">
        <v>69251110</v>
      </c>
      <c r="Z1489" s="9" t="s">
        <v>39</v>
      </c>
      <c r="AA1489" s="9">
        <v>184190143280</v>
      </c>
      <c r="AB1489" s="9">
        <v>78070</v>
      </c>
      <c r="AC1489" s="9" t="s">
        <v>41</v>
      </c>
      <c r="AD1489" s="9" t="s">
        <v>65</v>
      </c>
      <c r="AE1489" s="9" t="s">
        <v>66</v>
      </c>
      <c r="AF1489" s="9" t="s">
        <v>66</v>
      </c>
      <c r="AG1489" s="14" t="str">
        <f t="shared" si="48"/>
        <v>PROCEDIMIENTOS TERAPEUTICOS</v>
      </c>
      <c r="AH1489" s="9">
        <v>0</v>
      </c>
      <c r="AI1489" s="9">
        <v>0</v>
      </c>
      <c r="AJ1489" s="9">
        <v>76098454</v>
      </c>
      <c r="AK1489" s="9" t="s">
        <v>161</v>
      </c>
      <c r="AL1489" s="26" t="s">
        <v>52</v>
      </c>
      <c r="AM1489" s="14" t="s">
        <v>744</v>
      </c>
      <c r="AN1489" s="27" t="str">
        <f t="shared" si="49"/>
        <v>14458519|76098454|930145743|65384237</v>
      </c>
      <c r="AO1489" t="s">
        <v>44</v>
      </c>
      <c r="AP1489" t="b">
        <v>0</v>
      </c>
      <c r="AQ1489" t="s">
        <v>763</v>
      </c>
    </row>
    <row r="1490" spans="1:43" x14ac:dyDescent="0.2">
      <c r="A1490" s="14" t="s">
        <v>500</v>
      </c>
      <c r="B1490" s="17">
        <v>9153222</v>
      </c>
      <c r="C1490" s="14" t="s">
        <v>480</v>
      </c>
      <c r="D1490" s="9">
        <v>9625195</v>
      </c>
      <c r="E1490" s="9" t="s">
        <v>481</v>
      </c>
      <c r="F1490" s="7">
        <v>45658</v>
      </c>
      <c r="G1490" s="20" t="s">
        <v>36</v>
      </c>
      <c r="H1490" s="8">
        <v>930158241</v>
      </c>
      <c r="I1490" s="19">
        <v>930158241</v>
      </c>
      <c r="J1490" s="10">
        <v>226038</v>
      </c>
      <c r="K1490" s="10">
        <v>158227</v>
      </c>
      <c r="L1490" s="10">
        <v>67811</v>
      </c>
      <c r="M1490" s="10">
        <v>0</v>
      </c>
      <c r="N1490" s="11">
        <v>67811</v>
      </c>
      <c r="O1490" s="12">
        <v>930158241</v>
      </c>
      <c r="P1490" s="9">
        <v>285123</v>
      </c>
      <c r="Q1490" s="9" t="s">
        <v>37</v>
      </c>
      <c r="R1490" s="13">
        <v>45665</v>
      </c>
      <c r="S1490" s="22">
        <v>45665</v>
      </c>
      <c r="T1490" s="13">
        <v>45665</v>
      </c>
      <c r="U1490" s="13">
        <v>45665</v>
      </c>
      <c r="V1490" s="9" t="s">
        <v>47</v>
      </c>
      <c r="W1490" s="9">
        <v>22462252</v>
      </c>
      <c r="X1490" s="9">
        <v>1131703</v>
      </c>
      <c r="Y1490" s="9">
        <v>68651208</v>
      </c>
      <c r="Z1490" s="9" t="s">
        <v>39</v>
      </c>
      <c r="AA1490" s="9">
        <v>12012025</v>
      </c>
      <c r="AB1490" s="9">
        <v>77298</v>
      </c>
      <c r="AC1490" s="9" t="s">
        <v>41</v>
      </c>
      <c r="AD1490" s="9" t="s">
        <v>134</v>
      </c>
      <c r="AE1490" s="9" t="s">
        <v>135</v>
      </c>
      <c r="AF1490" s="9" t="s">
        <v>135</v>
      </c>
      <c r="AG1490" s="14" t="str">
        <f t="shared" si="48"/>
        <v>EXAMENES RADIOLOGICOS</v>
      </c>
      <c r="AH1490" s="9" t="s">
        <v>758</v>
      </c>
      <c r="AI1490" s="9">
        <v>0</v>
      </c>
      <c r="AJ1490" s="9">
        <v>76098454</v>
      </c>
      <c r="AK1490" s="9" t="s">
        <v>161</v>
      </c>
      <c r="AL1490" s="26" t="s">
        <v>83</v>
      </c>
      <c r="AM1490" s="14" t="s">
        <v>747</v>
      </c>
      <c r="AN1490" s="27" t="str">
        <f t="shared" si="49"/>
        <v>9153222|76098454|930158241|930158241</v>
      </c>
      <c r="AO1490" t="s">
        <v>758</v>
      </c>
      <c r="AP1490" t="b">
        <v>1</v>
      </c>
      <c r="AQ1490" t="s">
        <v>764</v>
      </c>
    </row>
    <row r="1491" spans="1:43" x14ac:dyDescent="0.2">
      <c r="A1491" s="14" t="s">
        <v>500</v>
      </c>
      <c r="B1491" s="17">
        <v>9153222</v>
      </c>
      <c r="C1491" s="14" t="s">
        <v>480</v>
      </c>
      <c r="D1491" s="9">
        <v>9625195</v>
      </c>
      <c r="E1491" s="9" t="s">
        <v>481</v>
      </c>
      <c r="F1491" s="7">
        <v>45717</v>
      </c>
      <c r="G1491" s="20" t="s">
        <v>46</v>
      </c>
      <c r="H1491" s="8">
        <v>930158241</v>
      </c>
      <c r="I1491" s="19">
        <v>65383714</v>
      </c>
      <c r="J1491" s="10">
        <v>67648</v>
      </c>
      <c r="K1491" s="10">
        <v>0</v>
      </c>
      <c r="L1491" s="10">
        <v>67648</v>
      </c>
      <c r="M1491" s="10">
        <v>0</v>
      </c>
      <c r="N1491" s="11">
        <v>67648</v>
      </c>
      <c r="O1491" s="12">
        <v>930158241</v>
      </c>
      <c r="P1491" s="9">
        <v>285123</v>
      </c>
      <c r="Q1491" s="9" t="s">
        <v>37</v>
      </c>
      <c r="R1491" s="13">
        <v>45717</v>
      </c>
      <c r="S1491" s="22">
        <v>45742</v>
      </c>
      <c r="T1491" s="13">
        <v>45665</v>
      </c>
      <c r="U1491" s="13">
        <v>45665</v>
      </c>
      <c r="V1491" s="9" t="s">
        <v>47</v>
      </c>
      <c r="W1491" s="9">
        <v>22770312</v>
      </c>
      <c r="X1491" s="9">
        <v>3311105</v>
      </c>
      <c r="Y1491" s="9">
        <v>69250605</v>
      </c>
      <c r="Z1491" s="9" t="s">
        <v>39</v>
      </c>
      <c r="AA1491" s="9">
        <v>4330100043313</v>
      </c>
      <c r="AB1491" s="9">
        <v>78070</v>
      </c>
      <c r="AC1491" s="9" t="s">
        <v>41</v>
      </c>
      <c r="AD1491" s="9" t="s">
        <v>134</v>
      </c>
      <c r="AE1491" s="9" t="s">
        <v>135</v>
      </c>
      <c r="AF1491" s="9" t="s">
        <v>135</v>
      </c>
      <c r="AG1491" s="14" t="str">
        <f t="shared" si="48"/>
        <v>EXAMENES RADIOLOGICOS</v>
      </c>
      <c r="AH1491" s="9">
        <v>0</v>
      </c>
      <c r="AI1491" s="9">
        <v>0</v>
      </c>
      <c r="AJ1491" s="9">
        <v>76098454</v>
      </c>
      <c r="AK1491" s="9" t="s">
        <v>161</v>
      </c>
      <c r="AL1491" s="26" t="s">
        <v>52</v>
      </c>
      <c r="AM1491" s="14" t="s">
        <v>747</v>
      </c>
      <c r="AN1491" s="27" t="str">
        <f t="shared" si="49"/>
        <v>9153222|76098454|930158241|65383714</v>
      </c>
      <c r="AO1491" t="s">
        <v>44</v>
      </c>
      <c r="AP1491" t="b">
        <v>0</v>
      </c>
      <c r="AQ1491" t="s">
        <v>763</v>
      </c>
    </row>
    <row r="1492" spans="1:43" x14ac:dyDescent="0.2">
      <c r="A1492" s="14" t="s">
        <v>500</v>
      </c>
      <c r="B1492" s="17">
        <v>10201208</v>
      </c>
      <c r="C1492" s="14" t="s">
        <v>482</v>
      </c>
      <c r="D1492" s="9">
        <v>10201208</v>
      </c>
      <c r="E1492" s="9" t="s">
        <v>482</v>
      </c>
      <c r="F1492" s="7">
        <v>45658</v>
      </c>
      <c r="G1492" s="20" t="s">
        <v>36</v>
      </c>
      <c r="H1492" s="8">
        <v>930164187</v>
      </c>
      <c r="I1492" s="19">
        <v>930164187</v>
      </c>
      <c r="J1492" s="10">
        <v>4032</v>
      </c>
      <c r="K1492" s="10">
        <v>2823</v>
      </c>
      <c r="L1492" s="10">
        <v>1209</v>
      </c>
      <c r="M1492" s="10">
        <v>0</v>
      </c>
      <c r="N1492" s="11">
        <v>1209</v>
      </c>
      <c r="O1492" s="12">
        <v>930164187</v>
      </c>
      <c r="P1492" s="9">
        <v>285123</v>
      </c>
      <c r="Q1492" s="9" t="s">
        <v>37</v>
      </c>
      <c r="R1492" s="13">
        <v>45665</v>
      </c>
      <c r="S1492" s="22">
        <v>45665</v>
      </c>
      <c r="T1492" s="13">
        <v>45665</v>
      </c>
      <c r="U1492" s="13">
        <v>45665</v>
      </c>
      <c r="V1492" s="9" t="s">
        <v>47</v>
      </c>
      <c r="W1492" s="9">
        <v>22462254</v>
      </c>
      <c r="X1492" s="9">
        <v>1131703</v>
      </c>
      <c r="Y1492" s="9">
        <v>68650857</v>
      </c>
      <c r="Z1492" s="9" t="s">
        <v>39</v>
      </c>
      <c r="AA1492" s="9">
        <v>12012025</v>
      </c>
      <c r="AB1492" s="9">
        <v>77298</v>
      </c>
      <c r="AC1492" s="9" t="s">
        <v>41</v>
      </c>
      <c r="AD1492" s="9" t="s">
        <v>132</v>
      </c>
      <c r="AE1492" s="9" t="s">
        <v>133</v>
      </c>
      <c r="AF1492" s="9" t="s">
        <v>133</v>
      </c>
      <c r="AG1492" s="14" t="str">
        <f t="shared" si="48"/>
        <v>EXAMENES DE LABORATORIO</v>
      </c>
      <c r="AH1492" s="9" t="s">
        <v>758</v>
      </c>
      <c r="AI1492" s="9">
        <v>0</v>
      </c>
      <c r="AJ1492" s="9">
        <v>76242774</v>
      </c>
      <c r="AK1492" s="9">
        <v>5</v>
      </c>
      <c r="AL1492" s="26" t="s">
        <v>83</v>
      </c>
      <c r="AM1492" s="14" t="s">
        <v>748</v>
      </c>
      <c r="AN1492" s="27" t="str">
        <f t="shared" si="49"/>
        <v>10201208|76242774|930164187|930164187</v>
      </c>
      <c r="AO1492" t="s">
        <v>758</v>
      </c>
      <c r="AP1492" t="b">
        <v>1</v>
      </c>
      <c r="AQ1492" t="s">
        <v>764</v>
      </c>
    </row>
    <row r="1493" spans="1:43" x14ac:dyDescent="0.2">
      <c r="A1493" s="14" t="s">
        <v>500</v>
      </c>
      <c r="B1493" s="17">
        <v>10201208</v>
      </c>
      <c r="C1493" s="14" t="s">
        <v>482</v>
      </c>
      <c r="D1493" s="9">
        <v>10201208</v>
      </c>
      <c r="E1493" s="9" t="s">
        <v>482</v>
      </c>
      <c r="F1493" s="7">
        <v>45717</v>
      </c>
      <c r="G1493" s="20" t="s">
        <v>46</v>
      </c>
      <c r="H1493" s="8">
        <v>930164187</v>
      </c>
      <c r="I1493" s="19">
        <v>65383809</v>
      </c>
      <c r="J1493" s="10">
        <v>1152</v>
      </c>
      <c r="K1493" s="10">
        <v>0</v>
      </c>
      <c r="L1493" s="10">
        <v>1152</v>
      </c>
      <c r="M1493" s="10">
        <v>0</v>
      </c>
      <c r="N1493" s="11">
        <v>1152</v>
      </c>
      <c r="O1493" s="12">
        <v>930164187</v>
      </c>
      <c r="P1493" s="9">
        <v>285123</v>
      </c>
      <c r="Q1493" s="9" t="s">
        <v>37</v>
      </c>
      <c r="R1493" s="13">
        <v>45717</v>
      </c>
      <c r="S1493" s="22">
        <v>45742</v>
      </c>
      <c r="T1493" s="13">
        <v>45665</v>
      </c>
      <c r="U1493" s="13">
        <v>45665</v>
      </c>
      <c r="V1493" s="9" t="s">
        <v>47</v>
      </c>
      <c r="W1493" s="9">
        <v>22770313</v>
      </c>
      <c r="X1493" s="9">
        <v>3311105</v>
      </c>
      <c r="Y1493" s="9">
        <v>69250698</v>
      </c>
      <c r="Z1493" s="9" t="s">
        <v>39</v>
      </c>
      <c r="AA1493" s="9">
        <v>1711839298</v>
      </c>
      <c r="AB1493" s="9">
        <v>78070</v>
      </c>
      <c r="AC1493" s="9" t="s">
        <v>41</v>
      </c>
      <c r="AD1493" s="9" t="s">
        <v>132</v>
      </c>
      <c r="AE1493" s="9" t="s">
        <v>133</v>
      </c>
      <c r="AF1493" s="9" t="s">
        <v>133</v>
      </c>
      <c r="AG1493" s="14" t="str">
        <f t="shared" ref="AG1493:AG1521" si="50">+AF1493</f>
        <v>EXAMENES DE LABORATORIO</v>
      </c>
      <c r="AH1493" s="9">
        <v>0</v>
      </c>
      <c r="AI1493" s="9">
        <v>0</v>
      </c>
      <c r="AJ1493" s="9">
        <v>76242774</v>
      </c>
      <c r="AK1493" s="9">
        <v>5</v>
      </c>
      <c r="AL1493" s="26" t="s">
        <v>52</v>
      </c>
      <c r="AM1493" s="14" t="s">
        <v>748</v>
      </c>
      <c r="AN1493" s="27" t="str">
        <f t="shared" si="49"/>
        <v>10201208|76242774|930164187|65383809</v>
      </c>
      <c r="AO1493" t="s">
        <v>44</v>
      </c>
      <c r="AP1493" t="b">
        <v>0</v>
      </c>
      <c r="AQ1493" t="s">
        <v>763</v>
      </c>
    </row>
    <row r="1494" spans="1:43" x14ac:dyDescent="0.2">
      <c r="A1494" s="14" t="s">
        <v>500</v>
      </c>
      <c r="B1494" s="17">
        <v>15787825</v>
      </c>
      <c r="C1494" s="14" t="s">
        <v>483</v>
      </c>
      <c r="D1494" s="9">
        <v>26788940</v>
      </c>
      <c r="E1494" s="9" t="s">
        <v>484</v>
      </c>
      <c r="F1494" s="7">
        <v>45658</v>
      </c>
      <c r="G1494" s="20" t="s">
        <v>36</v>
      </c>
      <c r="H1494" s="8">
        <v>930172980</v>
      </c>
      <c r="I1494" s="19">
        <v>930172980</v>
      </c>
      <c r="J1494" s="10">
        <v>29497</v>
      </c>
      <c r="K1494" s="10">
        <v>20648</v>
      </c>
      <c r="L1494" s="10">
        <v>8849</v>
      </c>
      <c r="M1494" s="10">
        <v>0</v>
      </c>
      <c r="N1494" s="11">
        <v>8849</v>
      </c>
      <c r="O1494" s="12">
        <v>930172980</v>
      </c>
      <c r="P1494" s="9">
        <v>285123</v>
      </c>
      <c r="Q1494" s="9" t="s">
        <v>37</v>
      </c>
      <c r="R1494" s="13">
        <v>45664</v>
      </c>
      <c r="S1494" s="22">
        <v>45664</v>
      </c>
      <c r="T1494" s="13">
        <v>45664</v>
      </c>
      <c r="U1494" s="13">
        <v>45664</v>
      </c>
      <c r="V1494" s="9" t="s">
        <v>58</v>
      </c>
      <c r="W1494" s="9">
        <v>22462244</v>
      </c>
      <c r="X1494" s="9">
        <v>1131703</v>
      </c>
      <c r="Y1494" s="9">
        <v>68650345</v>
      </c>
      <c r="Z1494" s="9" t="s">
        <v>39</v>
      </c>
      <c r="AA1494" s="9">
        <v>12012025</v>
      </c>
      <c r="AB1494" s="9">
        <v>77298</v>
      </c>
      <c r="AC1494" s="9" t="s">
        <v>41</v>
      </c>
      <c r="AD1494" s="9" t="s">
        <v>71</v>
      </c>
      <c r="AE1494" s="9" t="s">
        <v>72</v>
      </c>
      <c r="AF1494" s="9" t="s">
        <v>73</v>
      </c>
      <c r="AG1494" s="14" t="str">
        <f t="shared" si="50"/>
        <v>CONSULTA PSIQUIATRICA</v>
      </c>
      <c r="AH1494" s="9" t="s">
        <v>758</v>
      </c>
      <c r="AI1494" s="9">
        <v>0</v>
      </c>
      <c r="AJ1494" s="9">
        <v>76242774</v>
      </c>
      <c r="AK1494" s="9">
        <v>5</v>
      </c>
      <c r="AL1494" s="26" t="s">
        <v>83</v>
      </c>
      <c r="AM1494" s="14" t="s">
        <v>749</v>
      </c>
      <c r="AN1494" s="27" t="str">
        <f t="shared" si="49"/>
        <v>15787825|76242774|930172980|930172980</v>
      </c>
      <c r="AO1494" t="s">
        <v>758</v>
      </c>
      <c r="AP1494" t="b">
        <v>1</v>
      </c>
      <c r="AQ1494" t="s">
        <v>764</v>
      </c>
    </row>
    <row r="1495" spans="1:43" x14ac:dyDescent="0.2">
      <c r="A1495" s="14" t="s">
        <v>500</v>
      </c>
      <c r="B1495" s="17">
        <v>15787825</v>
      </c>
      <c r="C1495" s="14" t="s">
        <v>485</v>
      </c>
      <c r="D1495" s="9">
        <v>26788940</v>
      </c>
      <c r="E1495" s="9" t="s">
        <v>486</v>
      </c>
      <c r="F1495" s="7">
        <v>45717</v>
      </c>
      <c r="G1495" s="20" t="s">
        <v>46</v>
      </c>
      <c r="H1495" s="8">
        <v>930172980</v>
      </c>
      <c r="I1495" s="19">
        <v>65384337</v>
      </c>
      <c r="J1495" s="10">
        <v>8839</v>
      </c>
      <c r="K1495" s="10">
        <v>0</v>
      </c>
      <c r="L1495" s="10">
        <v>8839</v>
      </c>
      <c r="M1495" s="10">
        <v>0</v>
      </c>
      <c r="N1495" s="11">
        <v>8839</v>
      </c>
      <c r="O1495" s="12">
        <v>930172980</v>
      </c>
      <c r="P1495" s="9">
        <v>285123</v>
      </c>
      <c r="Q1495" s="9" t="s">
        <v>37</v>
      </c>
      <c r="R1495" s="13">
        <v>45717</v>
      </c>
      <c r="S1495" s="22">
        <v>45742</v>
      </c>
      <c r="T1495" s="13">
        <v>45664</v>
      </c>
      <c r="U1495" s="13">
        <v>45664</v>
      </c>
      <c r="V1495" s="9" t="s">
        <v>58</v>
      </c>
      <c r="W1495" s="9">
        <v>22770307</v>
      </c>
      <c r="X1495" s="9">
        <v>3311105</v>
      </c>
      <c r="Y1495" s="9">
        <v>69251220</v>
      </c>
      <c r="Z1495" s="9" t="s">
        <v>39</v>
      </c>
      <c r="AA1495" s="9">
        <v>92486753</v>
      </c>
      <c r="AB1495" s="9">
        <v>78070</v>
      </c>
      <c r="AC1495" s="9" t="s">
        <v>41</v>
      </c>
      <c r="AD1495" s="9" t="s">
        <v>71</v>
      </c>
      <c r="AE1495" s="9" t="s">
        <v>72</v>
      </c>
      <c r="AF1495" s="9" t="s">
        <v>73</v>
      </c>
      <c r="AG1495" s="14" t="str">
        <f t="shared" si="50"/>
        <v>CONSULTA PSIQUIATRICA</v>
      </c>
      <c r="AH1495" s="9">
        <v>0</v>
      </c>
      <c r="AI1495" s="9">
        <v>0</v>
      </c>
      <c r="AJ1495" s="9">
        <v>76242774</v>
      </c>
      <c r="AK1495" s="9">
        <v>5</v>
      </c>
      <c r="AL1495" s="26" t="s">
        <v>52</v>
      </c>
      <c r="AM1495" s="14" t="s">
        <v>749</v>
      </c>
      <c r="AN1495" s="27" t="str">
        <f t="shared" si="49"/>
        <v>15787825|76242774|930172980|65384337</v>
      </c>
      <c r="AO1495" t="s">
        <v>44</v>
      </c>
      <c r="AP1495" t="b">
        <v>0</v>
      </c>
      <c r="AQ1495" t="s">
        <v>763</v>
      </c>
    </row>
    <row r="1496" spans="1:43" x14ac:dyDescent="0.2">
      <c r="A1496" s="14" t="s">
        <v>500</v>
      </c>
      <c r="B1496" s="17">
        <v>8112419</v>
      </c>
      <c r="C1496" s="14" t="s">
        <v>487</v>
      </c>
      <c r="D1496" s="9">
        <v>8112419</v>
      </c>
      <c r="E1496" s="9" t="s">
        <v>487</v>
      </c>
      <c r="F1496" s="7">
        <v>45658</v>
      </c>
      <c r="G1496" s="20" t="s">
        <v>36</v>
      </c>
      <c r="H1496" s="8">
        <v>930178609</v>
      </c>
      <c r="I1496" s="19">
        <v>930178609</v>
      </c>
      <c r="J1496" s="10">
        <v>10340</v>
      </c>
      <c r="K1496" s="10">
        <v>7238</v>
      </c>
      <c r="L1496" s="10">
        <v>3102</v>
      </c>
      <c r="M1496" s="10">
        <v>0</v>
      </c>
      <c r="N1496" s="11">
        <v>3102</v>
      </c>
      <c r="O1496" s="12">
        <v>930178609</v>
      </c>
      <c r="P1496" s="9">
        <v>285123</v>
      </c>
      <c r="Q1496" s="9" t="s">
        <v>37</v>
      </c>
      <c r="R1496" s="13">
        <v>45664</v>
      </c>
      <c r="S1496" s="22">
        <v>45664</v>
      </c>
      <c r="T1496" s="13">
        <v>45664</v>
      </c>
      <c r="U1496" s="13">
        <v>45664</v>
      </c>
      <c r="V1496" s="9" t="s">
        <v>47</v>
      </c>
      <c r="W1496" s="9">
        <v>22462228</v>
      </c>
      <c r="X1496" s="9">
        <v>1131703</v>
      </c>
      <c r="Y1496" s="9">
        <v>68650033</v>
      </c>
      <c r="Z1496" s="9" t="s">
        <v>39</v>
      </c>
      <c r="AA1496" s="9">
        <v>12012025</v>
      </c>
      <c r="AB1496" s="9">
        <v>77298</v>
      </c>
      <c r="AC1496" s="9" t="s">
        <v>41</v>
      </c>
      <c r="AD1496" s="9" t="s">
        <v>65</v>
      </c>
      <c r="AE1496" s="9" t="s">
        <v>66</v>
      </c>
      <c r="AF1496" s="9" t="s">
        <v>66</v>
      </c>
      <c r="AG1496" s="14" t="str">
        <f t="shared" si="50"/>
        <v>PROCEDIMIENTOS TERAPEUTICOS</v>
      </c>
      <c r="AH1496" s="9" t="s">
        <v>758</v>
      </c>
      <c r="AI1496" s="9">
        <v>0</v>
      </c>
      <c r="AJ1496" s="9">
        <v>93915000</v>
      </c>
      <c r="AK1496" s="9">
        <v>5</v>
      </c>
      <c r="AL1496" s="26" t="s">
        <v>83</v>
      </c>
      <c r="AM1496" s="14" t="s">
        <v>750</v>
      </c>
      <c r="AN1496" s="27" t="str">
        <f t="shared" si="49"/>
        <v>8112419|93915000|930178609|930178609</v>
      </c>
      <c r="AO1496" t="s">
        <v>758</v>
      </c>
      <c r="AP1496" t="b">
        <v>1</v>
      </c>
      <c r="AQ1496" t="s">
        <v>764</v>
      </c>
    </row>
    <row r="1497" spans="1:43" x14ac:dyDescent="0.2">
      <c r="A1497" s="14" t="s">
        <v>500</v>
      </c>
      <c r="B1497" s="17">
        <v>8112419</v>
      </c>
      <c r="C1497" s="14" t="s">
        <v>487</v>
      </c>
      <c r="D1497" s="9">
        <v>8112419</v>
      </c>
      <c r="E1497" s="9" t="s">
        <v>487</v>
      </c>
      <c r="F1497" s="7">
        <v>45717</v>
      </c>
      <c r="G1497" s="20" t="s">
        <v>46</v>
      </c>
      <c r="H1497" s="8">
        <v>930178609</v>
      </c>
      <c r="I1497" s="19">
        <v>65383640</v>
      </c>
      <c r="J1497" s="10">
        <v>3074</v>
      </c>
      <c r="K1497" s="10">
        <v>0</v>
      </c>
      <c r="L1497" s="10">
        <v>3074</v>
      </c>
      <c r="M1497" s="10">
        <v>0</v>
      </c>
      <c r="N1497" s="11">
        <v>3074</v>
      </c>
      <c r="O1497" s="12">
        <v>930178609</v>
      </c>
      <c r="P1497" s="9">
        <v>285123</v>
      </c>
      <c r="Q1497" s="9" t="s">
        <v>37</v>
      </c>
      <c r="R1497" s="13">
        <v>45717</v>
      </c>
      <c r="S1497" s="22">
        <v>45742</v>
      </c>
      <c r="T1497" s="13">
        <v>45664</v>
      </c>
      <c r="U1497" s="13">
        <v>45664</v>
      </c>
      <c r="V1497" s="9" t="s">
        <v>47</v>
      </c>
      <c r="W1497" s="9">
        <v>22770299</v>
      </c>
      <c r="X1497" s="9">
        <v>3311105</v>
      </c>
      <c r="Y1497" s="9">
        <v>69250531</v>
      </c>
      <c r="Z1497" s="9" t="s">
        <v>39</v>
      </c>
      <c r="AA1497" s="9">
        <v>12110744</v>
      </c>
      <c r="AB1497" s="9">
        <v>78070</v>
      </c>
      <c r="AC1497" s="9" t="s">
        <v>41</v>
      </c>
      <c r="AD1497" s="9" t="s">
        <v>65</v>
      </c>
      <c r="AE1497" s="9" t="s">
        <v>66</v>
      </c>
      <c r="AF1497" s="9" t="s">
        <v>66</v>
      </c>
      <c r="AG1497" s="14" t="str">
        <f t="shared" si="50"/>
        <v>PROCEDIMIENTOS TERAPEUTICOS</v>
      </c>
      <c r="AH1497" s="9">
        <v>0</v>
      </c>
      <c r="AI1497" s="9">
        <v>0</v>
      </c>
      <c r="AJ1497" s="9">
        <v>93915000</v>
      </c>
      <c r="AK1497" s="9">
        <v>5</v>
      </c>
      <c r="AL1497" s="26" t="s">
        <v>52</v>
      </c>
      <c r="AM1497" s="14" t="s">
        <v>750</v>
      </c>
      <c r="AN1497" s="27" t="str">
        <f t="shared" si="49"/>
        <v>8112419|93915000|930178609|65383640</v>
      </c>
      <c r="AO1497" t="s">
        <v>44</v>
      </c>
      <c r="AP1497" t="b">
        <v>0</v>
      </c>
      <c r="AQ1497" t="s">
        <v>763</v>
      </c>
    </row>
    <row r="1498" spans="1:43" x14ac:dyDescent="0.2">
      <c r="A1498" s="14" t="s">
        <v>500</v>
      </c>
      <c r="B1498" s="17">
        <v>11398255</v>
      </c>
      <c r="C1498" s="14" t="s">
        <v>488</v>
      </c>
      <c r="D1498" s="9">
        <v>11398255</v>
      </c>
      <c r="E1498" s="9" t="s">
        <v>488</v>
      </c>
      <c r="F1498" s="7">
        <v>45658</v>
      </c>
      <c r="G1498" s="20" t="s">
        <v>36</v>
      </c>
      <c r="H1498" s="8">
        <v>930187665</v>
      </c>
      <c r="I1498" s="19">
        <v>930187665</v>
      </c>
      <c r="J1498" s="10">
        <v>16493</v>
      </c>
      <c r="K1498" s="10">
        <v>13194</v>
      </c>
      <c r="L1498" s="10">
        <v>3299</v>
      </c>
      <c r="M1498" s="10">
        <v>0</v>
      </c>
      <c r="N1498" s="11">
        <v>3299</v>
      </c>
      <c r="O1498" s="12">
        <v>930187665</v>
      </c>
      <c r="P1498" s="9">
        <v>285123</v>
      </c>
      <c r="Q1498" s="9" t="s">
        <v>37</v>
      </c>
      <c r="R1498" s="13">
        <v>45663</v>
      </c>
      <c r="S1498" s="22">
        <v>45663</v>
      </c>
      <c r="T1498" s="13">
        <v>45663</v>
      </c>
      <c r="U1498" s="13">
        <v>45663</v>
      </c>
      <c r="V1498" s="9" t="s">
        <v>47</v>
      </c>
      <c r="W1498" s="9">
        <v>22462213</v>
      </c>
      <c r="X1498" s="9">
        <v>1131703</v>
      </c>
      <c r="Y1498" s="9">
        <v>68649490</v>
      </c>
      <c r="Z1498" s="9" t="s">
        <v>39</v>
      </c>
      <c r="AA1498" s="9">
        <v>12012025</v>
      </c>
      <c r="AB1498" s="9">
        <v>77298</v>
      </c>
      <c r="AC1498" s="9" t="s">
        <v>41</v>
      </c>
      <c r="AD1498" s="9" t="s">
        <v>132</v>
      </c>
      <c r="AE1498" s="9" t="s">
        <v>133</v>
      </c>
      <c r="AF1498" s="9" t="s">
        <v>133</v>
      </c>
      <c r="AG1498" s="14" t="str">
        <f t="shared" si="50"/>
        <v>EXAMENES DE LABORATORIO</v>
      </c>
      <c r="AH1498" s="9" t="s">
        <v>758</v>
      </c>
      <c r="AI1498" s="9">
        <v>0</v>
      </c>
      <c r="AJ1498" s="9">
        <v>96986050</v>
      </c>
      <c r="AK1498" s="9">
        <v>3</v>
      </c>
      <c r="AL1498" s="26" t="s">
        <v>83</v>
      </c>
      <c r="AM1498" s="14" t="s">
        <v>751</v>
      </c>
      <c r="AN1498" s="27" t="str">
        <f t="shared" si="49"/>
        <v>11398255|96986050|930187665|930187665</v>
      </c>
      <c r="AO1498" t="s">
        <v>758</v>
      </c>
      <c r="AP1498" t="b">
        <v>1</v>
      </c>
      <c r="AQ1498" t="s">
        <v>764</v>
      </c>
    </row>
    <row r="1499" spans="1:43" x14ac:dyDescent="0.2">
      <c r="A1499" s="14" t="s">
        <v>500</v>
      </c>
      <c r="B1499" s="17">
        <v>11398255</v>
      </c>
      <c r="C1499" s="14" t="s">
        <v>488</v>
      </c>
      <c r="D1499" s="9">
        <v>11398255</v>
      </c>
      <c r="E1499" s="9" t="s">
        <v>488</v>
      </c>
      <c r="F1499" s="7">
        <v>45717</v>
      </c>
      <c r="G1499" s="20" t="s">
        <v>46</v>
      </c>
      <c r="H1499" s="8">
        <v>930187665</v>
      </c>
      <c r="I1499" s="19">
        <v>65383933</v>
      </c>
      <c r="J1499" s="10">
        <v>3456</v>
      </c>
      <c r="K1499" s="10">
        <v>0</v>
      </c>
      <c r="L1499" s="10">
        <v>3456</v>
      </c>
      <c r="M1499" s="10">
        <v>0</v>
      </c>
      <c r="N1499" s="11">
        <v>3456</v>
      </c>
      <c r="O1499" s="12">
        <v>930187665</v>
      </c>
      <c r="P1499" s="9">
        <v>285123</v>
      </c>
      <c r="Q1499" s="9" t="s">
        <v>37</v>
      </c>
      <c r="R1499" s="13">
        <v>45717</v>
      </c>
      <c r="S1499" s="22">
        <v>45742</v>
      </c>
      <c r="T1499" s="13">
        <v>45663</v>
      </c>
      <c r="U1499" s="13">
        <v>45663</v>
      </c>
      <c r="V1499" s="9" t="s">
        <v>47</v>
      </c>
      <c r="W1499" s="9">
        <v>22770291</v>
      </c>
      <c r="X1499" s="9">
        <v>3311105</v>
      </c>
      <c r="Y1499" s="9">
        <v>69250822</v>
      </c>
      <c r="Z1499" s="9" t="s">
        <v>39</v>
      </c>
      <c r="AA1499" s="9">
        <v>1591524307</v>
      </c>
      <c r="AB1499" s="9">
        <v>78070</v>
      </c>
      <c r="AC1499" s="9" t="s">
        <v>41</v>
      </c>
      <c r="AD1499" s="9" t="s">
        <v>132</v>
      </c>
      <c r="AE1499" s="9" t="s">
        <v>133</v>
      </c>
      <c r="AF1499" s="9" t="s">
        <v>133</v>
      </c>
      <c r="AG1499" s="14" t="str">
        <f t="shared" si="50"/>
        <v>EXAMENES DE LABORATORIO</v>
      </c>
      <c r="AH1499" s="9">
        <v>0</v>
      </c>
      <c r="AI1499" s="9">
        <v>0</v>
      </c>
      <c r="AJ1499" s="9">
        <v>96986050</v>
      </c>
      <c r="AK1499" s="9">
        <v>3</v>
      </c>
      <c r="AL1499" s="26" t="s">
        <v>52</v>
      </c>
      <c r="AM1499" s="14" t="s">
        <v>751</v>
      </c>
      <c r="AN1499" s="27" t="str">
        <f t="shared" si="49"/>
        <v>11398255|96986050|930187665|65383933</v>
      </c>
      <c r="AO1499" t="s">
        <v>44</v>
      </c>
      <c r="AP1499" t="b">
        <v>0</v>
      </c>
      <c r="AQ1499" t="s">
        <v>763</v>
      </c>
    </row>
    <row r="1500" spans="1:43" x14ac:dyDescent="0.2">
      <c r="A1500" s="14" t="s">
        <v>500</v>
      </c>
      <c r="B1500" s="17">
        <v>9424037</v>
      </c>
      <c r="C1500" s="14" t="s">
        <v>489</v>
      </c>
      <c r="D1500" s="9">
        <v>9424037</v>
      </c>
      <c r="E1500" s="9" t="s">
        <v>489</v>
      </c>
      <c r="F1500" s="7">
        <v>45658</v>
      </c>
      <c r="G1500" s="20" t="s">
        <v>36</v>
      </c>
      <c r="H1500" s="8">
        <v>930188484</v>
      </c>
      <c r="I1500" s="19">
        <v>930188484</v>
      </c>
      <c r="J1500" s="10">
        <v>12615</v>
      </c>
      <c r="K1500" s="10">
        <v>11354</v>
      </c>
      <c r="L1500" s="10">
        <v>1261</v>
      </c>
      <c r="M1500" s="10">
        <v>0</v>
      </c>
      <c r="N1500" s="11">
        <v>1261</v>
      </c>
      <c r="O1500" s="12">
        <v>930188484</v>
      </c>
      <c r="P1500" s="9">
        <v>285123</v>
      </c>
      <c r="Q1500" s="9" t="s">
        <v>37</v>
      </c>
      <c r="R1500" s="13">
        <v>45663</v>
      </c>
      <c r="S1500" s="22">
        <v>45663</v>
      </c>
      <c r="T1500" s="13">
        <v>45663</v>
      </c>
      <c r="U1500" s="13">
        <v>45663</v>
      </c>
      <c r="V1500" s="9" t="s">
        <v>47</v>
      </c>
      <c r="W1500" s="9">
        <v>22462212</v>
      </c>
      <c r="X1500" s="9">
        <v>1131703</v>
      </c>
      <c r="Y1500" s="9">
        <v>68649445</v>
      </c>
      <c r="Z1500" s="9" t="s">
        <v>39</v>
      </c>
      <c r="AA1500" s="9">
        <v>12012025</v>
      </c>
      <c r="AB1500" s="9">
        <v>77298</v>
      </c>
      <c r="AC1500" s="9" t="s">
        <v>41</v>
      </c>
      <c r="AD1500" s="9" t="s">
        <v>134</v>
      </c>
      <c r="AE1500" s="9" t="s">
        <v>135</v>
      </c>
      <c r="AF1500" s="9" t="s">
        <v>135</v>
      </c>
      <c r="AG1500" s="14" t="str">
        <f t="shared" si="50"/>
        <v>EXAMENES RADIOLOGICOS</v>
      </c>
      <c r="AH1500" s="9" t="s">
        <v>758</v>
      </c>
      <c r="AI1500" s="9">
        <v>0</v>
      </c>
      <c r="AJ1500" s="9">
        <v>76098454</v>
      </c>
      <c r="AK1500" s="9" t="s">
        <v>161</v>
      </c>
      <c r="AL1500" s="26" t="s">
        <v>83</v>
      </c>
      <c r="AM1500" s="14" t="s">
        <v>752</v>
      </c>
      <c r="AN1500" s="27" t="str">
        <f t="shared" si="49"/>
        <v>9424037|76098454|930188484|930188484</v>
      </c>
      <c r="AO1500" t="s">
        <v>758</v>
      </c>
      <c r="AP1500" t="b">
        <v>1</v>
      </c>
      <c r="AQ1500" t="s">
        <v>764</v>
      </c>
    </row>
    <row r="1501" spans="1:43" x14ac:dyDescent="0.2">
      <c r="A1501" s="14" t="s">
        <v>500</v>
      </c>
      <c r="B1501" s="17">
        <v>9424037</v>
      </c>
      <c r="C1501" s="14" t="s">
        <v>489</v>
      </c>
      <c r="D1501" s="9">
        <v>9424037</v>
      </c>
      <c r="E1501" s="9" t="s">
        <v>489</v>
      </c>
      <c r="F1501" s="7">
        <v>45717</v>
      </c>
      <c r="G1501" s="20" t="s">
        <v>46</v>
      </c>
      <c r="H1501" s="8">
        <v>930188484</v>
      </c>
      <c r="I1501" s="19">
        <v>65383734</v>
      </c>
      <c r="J1501" s="10">
        <v>1152</v>
      </c>
      <c r="K1501" s="10">
        <v>0</v>
      </c>
      <c r="L1501" s="10">
        <v>1152</v>
      </c>
      <c r="M1501" s="10">
        <v>0</v>
      </c>
      <c r="N1501" s="11">
        <v>1152</v>
      </c>
      <c r="O1501" s="12">
        <v>930188484</v>
      </c>
      <c r="P1501" s="9">
        <v>285123</v>
      </c>
      <c r="Q1501" s="9" t="s">
        <v>37</v>
      </c>
      <c r="R1501" s="13">
        <v>45717</v>
      </c>
      <c r="S1501" s="22">
        <v>45742</v>
      </c>
      <c r="T1501" s="13">
        <v>45663</v>
      </c>
      <c r="U1501" s="13">
        <v>45663</v>
      </c>
      <c r="V1501" s="9" t="s">
        <v>47</v>
      </c>
      <c r="W1501" s="9">
        <v>22770290</v>
      </c>
      <c r="X1501" s="9">
        <v>3311105</v>
      </c>
      <c r="Y1501" s="9">
        <v>69250624</v>
      </c>
      <c r="Z1501" s="9" t="s">
        <v>39</v>
      </c>
      <c r="AA1501" s="9">
        <v>782083105</v>
      </c>
      <c r="AB1501" s="9">
        <v>78070</v>
      </c>
      <c r="AC1501" s="9" t="s">
        <v>41</v>
      </c>
      <c r="AD1501" s="9" t="s">
        <v>134</v>
      </c>
      <c r="AE1501" s="9" t="s">
        <v>135</v>
      </c>
      <c r="AF1501" s="9" t="s">
        <v>135</v>
      </c>
      <c r="AG1501" s="14" t="str">
        <f t="shared" si="50"/>
        <v>EXAMENES RADIOLOGICOS</v>
      </c>
      <c r="AH1501" s="9">
        <v>0</v>
      </c>
      <c r="AI1501" s="9">
        <v>0</v>
      </c>
      <c r="AJ1501" s="9">
        <v>76098454</v>
      </c>
      <c r="AK1501" s="9" t="s">
        <v>161</v>
      </c>
      <c r="AL1501" s="26" t="s">
        <v>52</v>
      </c>
      <c r="AM1501" s="14" t="s">
        <v>752</v>
      </c>
      <c r="AN1501" s="27" t="str">
        <f t="shared" si="49"/>
        <v>9424037|76098454|930188484|65383734</v>
      </c>
      <c r="AO1501" t="s">
        <v>44</v>
      </c>
      <c r="AP1501" t="b">
        <v>0</v>
      </c>
      <c r="AQ1501" t="s">
        <v>763</v>
      </c>
    </row>
    <row r="1502" spans="1:43" x14ac:dyDescent="0.2">
      <c r="A1502" s="14" t="s">
        <v>500</v>
      </c>
      <c r="B1502" s="17">
        <v>9424037</v>
      </c>
      <c r="C1502" s="14" t="s">
        <v>489</v>
      </c>
      <c r="D1502" s="9">
        <v>9424037</v>
      </c>
      <c r="E1502" s="9" t="s">
        <v>489</v>
      </c>
      <c r="F1502" s="7">
        <v>45658</v>
      </c>
      <c r="G1502" s="20" t="s">
        <v>36</v>
      </c>
      <c r="H1502" s="8">
        <v>930188907</v>
      </c>
      <c r="I1502" s="19">
        <v>930188907</v>
      </c>
      <c r="J1502" s="10">
        <v>25322</v>
      </c>
      <c r="K1502" s="10">
        <v>22790</v>
      </c>
      <c r="L1502" s="10">
        <v>2532</v>
      </c>
      <c r="M1502" s="10">
        <v>0</v>
      </c>
      <c r="N1502" s="11">
        <v>2532</v>
      </c>
      <c r="O1502" s="12">
        <v>930188907</v>
      </c>
      <c r="P1502" s="9">
        <v>285123</v>
      </c>
      <c r="Q1502" s="9" t="s">
        <v>37</v>
      </c>
      <c r="R1502" s="13">
        <v>45663</v>
      </c>
      <c r="S1502" s="22">
        <v>45663</v>
      </c>
      <c r="T1502" s="13">
        <v>45663</v>
      </c>
      <c r="U1502" s="13">
        <v>45663</v>
      </c>
      <c r="V1502" s="9" t="s">
        <v>47</v>
      </c>
      <c r="W1502" s="9">
        <v>22462212</v>
      </c>
      <c r="X1502" s="9">
        <v>1131703</v>
      </c>
      <c r="Y1502" s="9">
        <v>68649421</v>
      </c>
      <c r="Z1502" s="9" t="s">
        <v>39</v>
      </c>
      <c r="AA1502" s="9">
        <v>12012025</v>
      </c>
      <c r="AB1502" s="9">
        <v>77298</v>
      </c>
      <c r="AC1502" s="9" t="s">
        <v>41</v>
      </c>
      <c r="AD1502" s="9" t="s">
        <v>134</v>
      </c>
      <c r="AE1502" s="9" t="s">
        <v>135</v>
      </c>
      <c r="AF1502" s="9" t="s">
        <v>135</v>
      </c>
      <c r="AG1502" s="14" t="str">
        <f t="shared" si="50"/>
        <v>EXAMENES RADIOLOGICOS</v>
      </c>
      <c r="AH1502" s="9" t="s">
        <v>758</v>
      </c>
      <c r="AI1502" s="9">
        <v>0</v>
      </c>
      <c r="AJ1502" s="9">
        <v>76098454</v>
      </c>
      <c r="AK1502" s="9" t="s">
        <v>161</v>
      </c>
      <c r="AL1502" s="26" t="s">
        <v>83</v>
      </c>
      <c r="AM1502" s="14" t="s">
        <v>752</v>
      </c>
      <c r="AN1502" s="27" t="str">
        <f t="shared" si="49"/>
        <v>9424037|76098454|930188907|930188907</v>
      </c>
      <c r="AO1502" t="s">
        <v>758</v>
      </c>
      <c r="AP1502" t="b">
        <v>1</v>
      </c>
      <c r="AQ1502" t="s">
        <v>764</v>
      </c>
    </row>
    <row r="1503" spans="1:43" x14ac:dyDescent="0.2">
      <c r="A1503" s="14" t="s">
        <v>500</v>
      </c>
      <c r="B1503" s="17">
        <v>9424037</v>
      </c>
      <c r="C1503" s="14" t="s">
        <v>489</v>
      </c>
      <c r="D1503" s="9">
        <v>9424037</v>
      </c>
      <c r="E1503" s="9" t="s">
        <v>489</v>
      </c>
      <c r="F1503" s="7">
        <v>45717</v>
      </c>
      <c r="G1503" s="20" t="s">
        <v>46</v>
      </c>
      <c r="H1503" s="8">
        <v>930188907</v>
      </c>
      <c r="I1503" s="19">
        <v>65383735</v>
      </c>
      <c r="J1503" s="10">
        <v>2689</v>
      </c>
      <c r="K1503" s="10">
        <v>0</v>
      </c>
      <c r="L1503" s="10">
        <v>2689</v>
      </c>
      <c r="M1503" s="10">
        <v>0</v>
      </c>
      <c r="N1503" s="11">
        <v>2689</v>
      </c>
      <c r="O1503" s="12">
        <v>930188907</v>
      </c>
      <c r="P1503" s="9">
        <v>285123</v>
      </c>
      <c r="Q1503" s="9" t="s">
        <v>37</v>
      </c>
      <c r="R1503" s="13">
        <v>45717</v>
      </c>
      <c r="S1503" s="22">
        <v>45742</v>
      </c>
      <c r="T1503" s="13">
        <v>45663</v>
      </c>
      <c r="U1503" s="13">
        <v>45663</v>
      </c>
      <c r="V1503" s="9" t="s">
        <v>47</v>
      </c>
      <c r="W1503" s="9">
        <v>22770290</v>
      </c>
      <c r="X1503" s="9">
        <v>3311105</v>
      </c>
      <c r="Y1503" s="9">
        <v>69250625</v>
      </c>
      <c r="Z1503" s="9" t="s">
        <v>39</v>
      </c>
      <c r="AA1503" s="9">
        <v>782083105</v>
      </c>
      <c r="AB1503" s="9">
        <v>78070</v>
      </c>
      <c r="AC1503" s="9" t="s">
        <v>41</v>
      </c>
      <c r="AD1503" s="9" t="s">
        <v>134</v>
      </c>
      <c r="AE1503" s="9" t="s">
        <v>135</v>
      </c>
      <c r="AF1503" s="9" t="s">
        <v>135</v>
      </c>
      <c r="AG1503" s="14" t="str">
        <f t="shared" si="50"/>
        <v>EXAMENES RADIOLOGICOS</v>
      </c>
      <c r="AH1503" s="9">
        <v>0</v>
      </c>
      <c r="AI1503" s="9">
        <v>0</v>
      </c>
      <c r="AJ1503" s="9">
        <v>76098454</v>
      </c>
      <c r="AK1503" s="9" t="s">
        <v>161</v>
      </c>
      <c r="AL1503" s="26" t="s">
        <v>52</v>
      </c>
      <c r="AM1503" s="14" t="s">
        <v>752</v>
      </c>
      <c r="AN1503" s="27" t="str">
        <f t="shared" si="49"/>
        <v>9424037|76098454|930188907|65383735</v>
      </c>
      <c r="AO1503" t="s">
        <v>44</v>
      </c>
      <c r="AP1503" t="b">
        <v>0</v>
      </c>
      <c r="AQ1503" t="s">
        <v>763</v>
      </c>
    </row>
    <row r="1504" spans="1:43" x14ac:dyDescent="0.2">
      <c r="A1504" s="14" t="s">
        <v>500</v>
      </c>
      <c r="B1504" s="17">
        <v>9424037</v>
      </c>
      <c r="C1504" s="14" t="s">
        <v>489</v>
      </c>
      <c r="D1504" s="9">
        <v>9424037</v>
      </c>
      <c r="E1504" s="9" t="s">
        <v>489</v>
      </c>
      <c r="F1504" s="7">
        <v>45658</v>
      </c>
      <c r="G1504" s="20" t="s">
        <v>36</v>
      </c>
      <c r="H1504" s="8">
        <v>930189040</v>
      </c>
      <c r="I1504" s="19">
        <v>930189040</v>
      </c>
      <c r="J1504" s="10">
        <v>25171</v>
      </c>
      <c r="K1504" s="10">
        <v>22654</v>
      </c>
      <c r="L1504" s="10">
        <v>2517</v>
      </c>
      <c r="M1504" s="10">
        <v>0</v>
      </c>
      <c r="N1504" s="11">
        <v>2517</v>
      </c>
      <c r="O1504" s="12">
        <v>930189040</v>
      </c>
      <c r="P1504" s="9">
        <v>285123</v>
      </c>
      <c r="Q1504" s="9" t="s">
        <v>37</v>
      </c>
      <c r="R1504" s="13">
        <v>45663</v>
      </c>
      <c r="S1504" s="22">
        <v>45663</v>
      </c>
      <c r="T1504" s="13">
        <v>45663</v>
      </c>
      <c r="U1504" s="13">
        <v>45663</v>
      </c>
      <c r="V1504" s="9" t="s">
        <v>47</v>
      </c>
      <c r="W1504" s="9">
        <v>22462212</v>
      </c>
      <c r="X1504" s="9">
        <v>1131703</v>
      </c>
      <c r="Y1504" s="9">
        <v>68649415</v>
      </c>
      <c r="Z1504" s="9" t="s">
        <v>39</v>
      </c>
      <c r="AA1504" s="9">
        <v>12012025</v>
      </c>
      <c r="AB1504" s="9">
        <v>77298</v>
      </c>
      <c r="AC1504" s="9" t="s">
        <v>41</v>
      </c>
      <c r="AD1504" s="9" t="s">
        <v>134</v>
      </c>
      <c r="AE1504" s="9" t="s">
        <v>135</v>
      </c>
      <c r="AF1504" s="9" t="s">
        <v>135</v>
      </c>
      <c r="AG1504" s="14" t="str">
        <f t="shared" si="50"/>
        <v>EXAMENES RADIOLOGICOS</v>
      </c>
      <c r="AH1504" s="9" t="s">
        <v>758</v>
      </c>
      <c r="AI1504" s="9">
        <v>0</v>
      </c>
      <c r="AJ1504" s="9">
        <v>76098454</v>
      </c>
      <c r="AK1504" s="9" t="s">
        <v>161</v>
      </c>
      <c r="AL1504" s="26" t="s">
        <v>83</v>
      </c>
      <c r="AM1504" s="14" t="s">
        <v>752</v>
      </c>
      <c r="AN1504" s="27" t="str">
        <f t="shared" si="49"/>
        <v>9424037|76098454|930189040|930189040</v>
      </c>
      <c r="AO1504" t="s">
        <v>758</v>
      </c>
      <c r="AP1504" t="b">
        <v>1</v>
      </c>
      <c r="AQ1504" t="s">
        <v>764</v>
      </c>
    </row>
    <row r="1505" spans="1:43" x14ac:dyDescent="0.2">
      <c r="A1505" s="14" t="s">
        <v>500</v>
      </c>
      <c r="B1505" s="17">
        <v>9424037</v>
      </c>
      <c r="C1505" s="14" t="s">
        <v>489</v>
      </c>
      <c r="D1505" s="9">
        <v>9424037</v>
      </c>
      <c r="E1505" s="9" t="s">
        <v>489</v>
      </c>
      <c r="F1505" s="7">
        <v>45717</v>
      </c>
      <c r="G1505" s="20" t="s">
        <v>46</v>
      </c>
      <c r="H1505" s="8">
        <v>930189040</v>
      </c>
      <c r="I1505" s="19">
        <v>65383736</v>
      </c>
      <c r="J1505" s="10">
        <v>2690</v>
      </c>
      <c r="K1505" s="10">
        <v>0</v>
      </c>
      <c r="L1505" s="10">
        <v>2690</v>
      </c>
      <c r="M1505" s="10">
        <v>0</v>
      </c>
      <c r="N1505" s="11">
        <v>2690</v>
      </c>
      <c r="O1505" s="12">
        <v>930189040</v>
      </c>
      <c r="P1505" s="9">
        <v>285123</v>
      </c>
      <c r="Q1505" s="9" t="s">
        <v>37</v>
      </c>
      <c r="R1505" s="13">
        <v>45717</v>
      </c>
      <c r="S1505" s="22">
        <v>45742</v>
      </c>
      <c r="T1505" s="13">
        <v>45663</v>
      </c>
      <c r="U1505" s="13">
        <v>45663</v>
      </c>
      <c r="V1505" s="9" t="s">
        <v>47</v>
      </c>
      <c r="W1505" s="9">
        <v>22770290</v>
      </c>
      <c r="X1505" s="9">
        <v>3311105</v>
      </c>
      <c r="Y1505" s="9">
        <v>69250626</v>
      </c>
      <c r="Z1505" s="9" t="s">
        <v>39</v>
      </c>
      <c r="AA1505" s="9">
        <v>782083105</v>
      </c>
      <c r="AB1505" s="9">
        <v>78070</v>
      </c>
      <c r="AC1505" s="9" t="s">
        <v>41</v>
      </c>
      <c r="AD1505" s="9" t="s">
        <v>134</v>
      </c>
      <c r="AE1505" s="9" t="s">
        <v>135</v>
      </c>
      <c r="AF1505" s="9" t="s">
        <v>135</v>
      </c>
      <c r="AG1505" s="14" t="str">
        <f t="shared" si="50"/>
        <v>EXAMENES RADIOLOGICOS</v>
      </c>
      <c r="AH1505" s="9">
        <v>0</v>
      </c>
      <c r="AI1505" s="9">
        <v>0</v>
      </c>
      <c r="AJ1505" s="9">
        <v>76098454</v>
      </c>
      <c r="AK1505" s="9" t="s">
        <v>161</v>
      </c>
      <c r="AL1505" s="26" t="s">
        <v>52</v>
      </c>
      <c r="AM1505" s="14" t="s">
        <v>752</v>
      </c>
      <c r="AN1505" s="27" t="str">
        <f t="shared" si="49"/>
        <v>9424037|76098454|930189040|65383736</v>
      </c>
      <c r="AO1505" t="s">
        <v>44</v>
      </c>
      <c r="AP1505" t="b">
        <v>0</v>
      </c>
      <c r="AQ1505" t="s">
        <v>763</v>
      </c>
    </row>
    <row r="1506" spans="1:43" x14ac:dyDescent="0.2">
      <c r="A1506" s="14" t="s">
        <v>500</v>
      </c>
      <c r="B1506" s="17">
        <v>9424037</v>
      </c>
      <c r="C1506" s="14" t="s">
        <v>489</v>
      </c>
      <c r="D1506" s="9">
        <v>9424037</v>
      </c>
      <c r="E1506" s="9" t="s">
        <v>489</v>
      </c>
      <c r="F1506" s="7">
        <v>45658</v>
      </c>
      <c r="G1506" s="20" t="s">
        <v>36</v>
      </c>
      <c r="H1506" s="8">
        <v>930189166</v>
      </c>
      <c r="I1506" s="19">
        <v>930189166</v>
      </c>
      <c r="J1506" s="10">
        <v>25171</v>
      </c>
      <c r="K1506" s="10">
        <v>22654</v>
      </c>
      <c r="L1506" s="10">
        <v>2517</v>
      </c>
      <c r="M1506" s="10">
        <v>0</v>
      </c>
      <c r="N1506" s="11">
        <v>2517</v>
      </c>
      <c r="O1506" s="12">
        <v>930189166</v>
      </c>
      <c r="P1506" s="9">
        <v>285123</v>
      </c>
      <c r="Q1506" s="9" t="s">
        <v>37</v>
      </c>
      <c r="R1506" s="13">
        <v>45663</v>
      </c>
      <c r="S1506" s="22">
        <v>45663</v>
      </c>
      <c r="T1506" s="13">
        <v>45663</v>
      </c>
      <c r="U1506" s="13">
        <v>45663</v>
      </c>
      <c r="V1506" s="9" t="s">
        <v>47</v>
      </c>
      <c r="W1506" s="9">
        <v>22462212</v>
      </c>
      <c r="X1506" s="9">
        <v>1131703</v>
      </c>
      <c r="Y1506" s="9">
        <v>68649406</v>
      </c>
      <c r="Z1506" s="9" t="s">
        <v>39</v>
      </c>
      <c r="AA1506" s="9">
        <v>12012025</v>
      </c>
      <c r="AB1506" s="9">
        <v>77298</v>
      </c>
      <c r="AC1506" s="9" t="s">
        <v>41</v>
      </c>
      <c r="AD1506" s="9" t="s">
        <v>134</v>
      </c>
      <c r="AE1506" s="9" t="s">
        <v>135</v>
      </c>
      <c r="AF1506" s="9" t="s">
        <v>135</v>
      </c>
      <c r="AG1506" s="14" t="str">
        <f t="shared" si="50"/>
        <v>EXAMENES RADIOLOGICOS</v>
      </c>
      <c r="AH1506" s="9" t="s">
        <v>758</v>
      </c>
      <c r="AI1506" s="9">
        <v>0</v>
      </c>
      <c r="AJ1506" s="9">
        <v>76098454</v>
      </c>
      <c r="AK1506" s="9" t="s">
        <v>161</v>
      </c>
      <c r="AL1506" s="26" t="s">
        <v>83</v>
      </c>
      <c r="AM1506" s="14" t="s">
        <v>752</v>
      </c>
      <c r="AN1506" s="27" t="str">
        <f t="shared" si="49"/>
        <v>9424037|76098454|930189166|930189166</v>
      </c>
      <c r="AO1506" t="s">
        <v>758</v>
      </c>
      <c r="AP1506" t="b">
        <v>1</v>
      </c>
      <c r="AQ1506" t="s">
        <v>764</v>
      </c>
    </row>
    <row r="1507" spans="1:43" x14ac:dyDescent="0.2">
      <c r="A1507" s="14" t="s">
        <v>500</v>
      </c>
      <c r="B1507" s="17">
        <v>9424037</v>
      </c>
      <c r="C1507" s="14" t="s">
        <v>489</v>
      </c>
      <c r="D1507" s="9">
        <v>9424037</v>
      </c>
      <c r="E1507" s="9" t="s">
        <v>489</v>
      </c>
      <c r="F1507" s="7">
        <v>45717</v>
      </c>
      <c r="G1507" s="20" t="s">
        <v>46</v>
      </c>
      <c r="H1507" s="8">
        <v>930189166</v>
      </c>
      <c r="I1507" s="19">
        <v>65383737</v>
      </c>
      <c r="J1507" s="10">
        <v>2690</v>
      </c>
      <c r="K1507" s="10">
        <v>0</v>
      </c>
      <c r="L1507" s="10">
        <v>2690</v>
      </c>
      <c r="M1507" s="10">
        <v>0</v>
      </c>
      <c r="N1507" s="11">
        <v>2690</v>
      </c>
      <c r="O1507" s="12">
        <v>930189166</v>
      </c>
      <c r="P1507" s="9">
        <v>285123</v>
      </c>
      <c r="Q1507" s="9" t="s">
        <v>37</v>
      </c>
      <c r="R1507" s="13">
        <v>45717</v>
      </c>
      <c r="S1507" s="22">
        <v>45742</v>
      </c>
      <c r="T1507" s="13">
        <v>45663</v>
      </c>
      <c r="U1507" s="13">
        <v>45663</v>
      </c>
      <c r="V1507" s="9" t="s">
        <v>47</v>
      </c>
      <c r="W1507" s="9">
        <v>22770290</v>
      </c>
      <c r="X1507" s="9">
        <v>3311105</v>
      </c>
      <c r="Y1507" s="9">
        <v>69250627</v>
      </c>
      <c r="Z1507" s="9" t="s">
        <v>39</v>
      </c>
      <c r="AA1507" s="9">
        <v>782083105</v>
      </c>
      <c r="AB1507" s="9">
        <v>78070</v>
      </c>
      <c r="AC1507" s="9" t="s">
        <v>41</v>
      </c>
      <c r="AD1507" s="9" t="s">
        <v>134</v>
      </c>
      <c r="AE1507" s="9" t="s">
        <v>135</v>
      </c>
      <c r="AF1507" s="9" t="s">
        <v>135</v>
      </c>
      <c r="AG1507" s="14" t="str">
        <f t="shared" si="50"/>
        <v>EXAMENES RADIOLOGICOS</v>
      </c>
      <c r="AH1507" s="9">
        <v>0</v>
      </c>
      <c r="AI1507" s="9">
        <v>0</v>
      </c>
      <c r="AJ1507" s="9">
        <v>76098454</v>
      </c>
      <c r="AK1507" s="9" t="s">
        <v>161</v>
      </c>
      <c r="AL1507" s="26" t="s">
        <v>52</v>
      </c>
      <c r="AM1507" s="14" t="s">
        <v>752</v>
      </c>
      <c r="AN1507" s="27" t="str">
        <f t="shared" si="49"/>
        <v>9424037|76098454|930189166|65383737</v>
      </c>
      <c r="AO1507" t="s">
        <v>44</v>
      </c>
      <c r="AP1507" t="b">
        <v>0</v>
      </c>
      <c r="AQ1507" t="s">
        <v>763</v>
      </c>
    </row>
    <row r="1508" spans="1:43" x14ac:dyDescent="0.2">
      <c r="A1508" s="14" t="s">
        <v>500</v>
      </c>
      <c r="B1508" s="17">
        <v>14259765</v>
      </c>
      <c r="C1508" s="14" t="s">
        <v>466</v>
      </c>
      <c r="D1508" s="9">
        <v>14259765</v>
      </c>
      <c r="E1508" s="9" t="s">
        <v>466</v>
      </c>
      <c r="F1508" s="7">
        <v>45658</v>
      </c>
      <c r="G1508" s="20" t="s">
        <v>36</v>
      </c>
      <c r="H1508" s="8">
        <v>930195072</v>
      </c>
      <c r="I1508" s="19">
        <v>930195072</v>
      </c>
      <c r="J1508" s="10">
        <v>22356</v>
      </c>
      <c r="K1508" s="10">
        <v>21238</v>
      </c>
      <c r="L1508" s="10">
        <v>1118</v>
      </c>
      <c r="M1508" s="10">
        <v>0</v>
      </c>
      <c r="N1508" s="11">
        <v>1118</v>
      </c>
      <c r="O1508" s="12">
        <v>930195072</v>
      </c>
      <c r="P1508" s="9">
        <v>285123</v>
      </c>
      <c r="Q1508" s="9" t="s">
        <v>37</v>
      </c>
      <c r="R1508" s="13">
        <v>45663</v>
      </c>
      <c r="S1508" s="22">
        <v>45663</v>
      </c>
      <c r="T1508" s="13">
        <v>45663</v>
      </c>
      <c r="U1508" s="13">
        <v>45663</v>
      </c>
      <c r="V1508" s="9" t="s">
        <v>47</v>
      </c>
      <c r="W1508" s="9">
        <v>22462217</v>
      </c>
      <c r="X1508" s="9">
        <v>1131703</v>
      </c>
      <c r="Y1508" s="9">
        <v>68649124</v>
      </c>
      <c r="Z1508" s="9" t="s">
        <v>39</v>
      </c>
      <c r="AA1508" s="9">
        <v>12012025</v>
      </c>
      <c r="AB1508" s="9">
        <v>77298</v>
      </c>
      <c r="AC1508" s="9" t="s">
        <v>41</v>
      </c>
      <c r="AD1508" s="9" t="s">
        <v>132</v>
      </c>
      <c r="AE1508" s="9" t="s">
        <v>133</v>
      </c>
      <c r="AF1508" s="9" t="s">
        <v>133</v>
      </c>
      <c r="AG1508" s="14" t="str">
        <f t="shared" si="50"/>
        <v>EXAMENES DE LABORATORIO</v>
      </c>
      <c r="AH1508" s="9" t="s">
        <v>758</v>
      </c>
      <c r="AI1508" s="9">
        <v>0</v>
      </c>
      <c r="AJ1508" s="9">
        <v>96986050</v>
      </c>
      <c r="AK1508" s="9">
        <v>3</v>
      </c>
      <c r="AL1508" s="26" t="s">
        <v>83</v>
      </c>
      <c r="AM1508" s="14" t="s">
        <v>735</v>
      </c>
      <c r="AN1508" s="27" t="str">
        <f t="shared" si="49"/>
        <v>14259765|96986050|930195072|930195072</v>
      </c>
      <c r="AO1508" t="s">
        <v>758</v>
      </c>
      <c r="AP1508" t="b">
        <v>1</v>
      </c>
      <c r="AQ1508" t="s">
        <v>764</v>
      </c>
    </row>
    <row r="1509" spans="1:43" x14ac:dyDescent="0.2">
      <c r="A1509" s="14" t="s">
        <v>500</v>
      </c>
      <c r="B1509" s="17">
        <v>14259765</v>
      </c>
      <c r="C1509" s="14" t="s">
        <v>466</v>
      </c>
      <c r="D1509" s="9">
        <v>14259765</v>
      </c>
      <c r="E1509" s="9" t="s">
        <v>466</v>
      </c>
      <c r="F1509" s="7">
        <v>45717</v>
      </c>
      <c r="G1509" s="20" t="s">
        <v>46</v>
      </c>
      <c r="H1509" s="8">
        <v>930195072</v>
      </c>
      <c r="I1509" s="19">
        <v>65384218</v>
      </c>
      <c r="J1509" s="10">
        <v>768</v>
      </c>
      <c r="K1509" s="10">
        <v>0</v>
      </c>
      <c r="L1509" s="10">
        <v>768</v>
      </c>
      <c r="M1509" s="10">
        <v>0</v>
      </c>
      <c r="N1509" s="11">
        <v>768</v>
      </c>
      <c r="O1509" s="12">
        <v>930195072</v>
      </c>
      <c r="P1509" s="9">
        <v>285123</v>
      </c>
      <c r="Q1509" s="9" t="s">
        <v>37</v>
      </c>
      <c r="R1509" s="13">
        <v>45717</v>
      </c>
      <c r="S1509" s="22">
        <v>45742</v>
      </c>
      <c r="T1509" s="13">
        <v>45663</v>
      </c>
      <c r="U1509" s="13">
        <v>45663</v>
      </c>
      <c r="V1509" s="9" t="s">
        <v>47</v>
      </c>
      <c r="W1509" s="9">
        <v>22770295</v>
      </c>
      <c r="X1509" s="9">
        <v>3311105</v>
      </c>
      <c r="Y1509" s="9">
        <v>69251093</v>
      </c>
      <c r="Z1509" s="9" t="s">
        <v>39</v>
      </c>
      <c r="AA1509" s="9">
        <v>61225838</v>
      </c>
      <c r="AB1509" s="9">
        <v>78070</v>
      </c>
      <c r="AC1509" s="9" t="s">
        <v>41</v>
      </c>
      <c r="AD1509" s="9" t="s">
        <v>132</v>
      </c>
      <c r="AE1509" s="9" t="s">
        <v>133</v>
      </c>
      <c r="AF1509" s="9" t="s">
        <v>133</v>
      </c>
      <c r="AG1509" s="14" t="str">
        <f t="shared" si="50"/>
        <v>EXAMENES DE LABORATORIO</v>
      </c>
      <c r="AH1509" s="9">
        <v>0</v>
      </c>
      <c r="AI1509" s="9">
        <v>0</v>
      </c>
      <c r="AJ1509" s="9">
        <v>96986050</v>
      </c>
      <c r="AK1509" s="9">
        <v>3</v>
      </c>
      <c r="AL1509" s="26" t="s">
        <v>52</v>
      </c>
      <c r="AM1509" s="14" t="s">
        <v>735</v>
      </c>
      <c r="AN1509" s="27" t="str">
        <f t="shared" si="49"/>
        <v>14259765|96986050|930195072|65384218</v>
      </c>
      <c r="AO1509" t="s">
        <v>44</v>
      </c>
      <c r="AP1509" t="b">
        <v>0</v>
      </c>
      <c r="AQ1509" t="s">
        <v>763</v>
      </c>
    </row>
    <row r="1510" spans="1:43" x14ac:dyDescent="0.2">
      <c r="A1510" s="14" t="s">
        <v>500</v>
      </c>
      <c r="B1510" s="17">
        <v>14259765</v>
      </c>
      <c r="C1510" s="14" t="s">
        <v>466</v>
      </c>
      <c r="D1510" s="9">
        <v>14259765</v>
      </c>
      <c r="E1510" s="9" t="s">
        <v>466</v>
      </c>
      <c r="F1510" s="7">
        <v>45658</v>
      </c>
      <c r="G1510" s="20" t="s">
        <v>36</v>
      </c>
      <c r="H1510" s="8">
        <v>930195073</v>
      </c>
      <c r="I1510" s="19">
        <v>930195073</v>
      </c>
      <c r="J1510" s="10">
        <v>33273</v>
      </c>
      <c r="K1510" s="10">
        <v>31608</v>
      </c>
      <c r="L1510" s="10">
        <v>1665</v>
      </c>
      <c r="M1510" s="10">
        <v>0</v>
      </c>
      <c r="N1510" s="11">
        <v>1665</v>
      </c>
      <c r="O1510" s="12">
        <v>930195073</v>
      </c>
      <c r="P1510" s="9">
        <v>285123</v>
      </c>
      <c r="Q1510" s="9" t="s">
        <v>37</v>
      </c>
      <c r="R1510" s="13">
        <v>45663</v>
      </c>
      <c r="S1510" s="22">
        <v>45663</v>
      </c>
      <c r="T1510" s="13">
        <v>45663</v>
      </c>
      <c r="U1510" s="13">
        <v>45663</v>
      </c>
      <c r="V1510" s="9" t="s">
        <v>47</v>
      </c>
      <c r="W1510" s="9">
        <v>22462217</v>
      </c>
      <c r="X1510" s="9">
        <v>1131703</v>
      </c>
      <c r="Y1510" s="9">
        <v>68649125</v>
      </c>
      <c r="Z1510" s="9" t="s">
        <v>39</v>
      </c>
      <c r="AA1510" s="9">
        <v>12012025</v>
      </c>
      <c r="AB1510" s="9">
        <v>77298</v>
      </c>
      <c r="AC1510" s="9" t="s">
        <v>41</v>
      </c>
      <c r="AD1510" s="9" t="s">
        <v>132</v>
      </c>
      <c r="AE1510" s="9" t="s">
        <v>133</v>
      </c>
      <c r="AF1510" s="9" t="s">
        <v>133</v>
      </c>
      <c r="AG1510" s="14" t="str">
        <f t="shared" si="50"/>
        <v>EXAMENES DE LABORATORIO</v>
      </c>
      <c r="AH1510" s="9" t="s">
        <v>758</v>
      </c>
      <c r="AI1510" s="9">
        <v>0</v>
      </c>
      <c r="AJ1510" s="9">
        <v>96986050</v>
      </c>
      <c r="AK1510" s="9">
        <v>3</v>
      </c>
      <c r="AL1510" s="26" t="s">
        <v>83</v>
      </c>
      <c r="AM1510" s="14" t="s">
        <v>735</v>
      </c>
      <c r="AN1510" s="27" t="str">
        <f t="shared" si="49"/>
        <v>14259765|96986050|930195073|930195073</v>
      </c>
      <c r="AO1510" t="s">
        <v>758</v>
      </c>
      <c r="AP1510" t="b">
        <v>1</v>
      </c>
      <c r="AQ1510" t="s">
        <v>764</v>
      </c>
    </row>
    <row r="1511" spans="1:43" x14ac:dyDescent="0.2">
      <c r="A1511" s="14" t="s">
        <v>500</v>
      </c>
      <c r="B1511" s="17">
        <v>14259765</v>
      </c>
      <c r="C1511" s="14" t="s">
        <v>466</v>
      </c>
      <c r="D1511" s="9">
        <v>14259765</v>
      </c>
      <c r="E1511" s="9" t="s">
        <v>466</v>
      </c>
      <c r="F1511" s="7">
        <v>45717</v>
      </c>
      <c r="G1511" s="20" t="s">
        <v>46</v>
      </c>
      <c r="H1511" s="8">
        <v>930195073</v>
      </c>
      <c r="I1511" s="19">
        <v>65384219</v>
      </c>
      <c r="J1511" s="10">
        <v>1536</v>
      </c>
      <c r="K1511" s="10">
        <v>0</v>
      </c>
      <c r="L1511" s="10">
        <v>1536</v>
      </c>
      <c r="M1511" s="10">
        <v>0</v>
      </c>
      <c r="N1511" s="11">
        <v>1536</v>
      </c>
      <c r="O1511" s="12">
        <v>930195073</v>
      </c>
      <c r="P1511" s="9">
        <v>285123</v>
      </c>
      <c r="Q1511" s="9" t="s">
        <v>37</v>
      </c>
      <c r="R1511" s="13">
        <v>45717</v>
      </c>
      <c r="S1511" s="22">
        <v>45742</v>
      </c>
      <c r="T1511" s="13">
        <v>45663</v>
      </c>
      <c r="U1511" s="13">
        <v>45663</v>
      </c>
      <c r="V1511" s="9" t="s">
        <v>47</v>
      </c>
      <c r="W1511" s="9">
        <v>22770295</v>
      </c>
      <c r="X1511" s="9">
        <v>3311105</v>
      </c>
      <c r="Y1511" s="9">
        <v>69251094</v>
      </c>
      <c r="Z1511" s="9" t="s">
        <v>39</v>
      </c>
      <c r="AA1511" s="9">
        <v>61225838</v>
      </c>
      <c r="AB1511" s="9">
        <v>78070</v>
      </c>
      <c r="AC1511" s="9" t="s">
        <v>41</v>
      </c>
      <c r="AD1511" s="9" t="s">
        <v>132</v>
      </c>
      <c r="AE1511" s="9" t="s">
        <v>133</v>
      </c>
      <c r="AF1511" s="9" t="s">
        <v>133</v>
      </c>
      <c r="AG1511" s="14" t="str">
        <f t="shared" si="50"/>
        <v>EXAMENES DE LABORATORIO</v>
      </c>
      <c r="AH1511" s="9">
        <v>0</v>
      </c>
      <c r="AI1511" s="9">
        <v>0</v>
      </c>
      <c r="AJ1511" s="9">
        <v>96986050</v>
      </c>
      <c r="AK1511" s="9">
        <v>3</v>
      </c>
      <c r="AL1511" s="26" t="s">
        <v>52</v>
      </c>
      <c r="AM1511" s="14" t="s">
        <v>735</v>
      </c>
      <c r="AN1511" s="27" t="str">
        <f t="shared" si="49"/>
        <v>14259765|96986050|930195073|65384219</v>
      </c>
      <c r="AO1511" t="s">
        <v>44</v>
      </c>
      <c r="AP1511" t="b">
        <v>0</v>
      </c>
      <c r="AQ1511" t="s">
        <v>763</v>
      </c>
    </row>
    <row r="1512" spans="1:43" x14ac:dyDescent="0.2">
      <c r="A1512" s="14" t="s">
        <v>500</v>
      </c>
      <c r="B1512" s="17">
        <v>14259765</v>
      </c>
      <c r="C1512" s="14" t="s">
        <v>466</v>
      </c>
      <c r="D1512" s="9">
        <v>14259765</v>
      </c>
      <c r="E1512" s="9" t="s">
        <v>466</v>
      </c>
      <c r="F1512" s="7">
        <v>45658</v>
      </c>
      <c r="G1512" s="20" t="s">
        <v>36</v>
      </c>
      <c r="H1512" s="8">
        <v>930195074</v>
      </c>
      <c r="I1512" s="19">
        <v>930195074</v>
      </c>
      <c r="J1512" s="10">
        <v>24749</v>
      </c>
      <c r="K1512" s="10">
        <v>23511</v>
      </c>
      <c r="L1512" s="10">
        <v>1238</v>
      </c>
      <c r="M1512" s="10">
        <v>0</v>
      </c>
      <c r="N1512" s="11">
        <v>1238</v>
      </c>
      <c r="O1512" s="12">
        <v>930195074</v>
      </c>
      <c r="P1512" s="9">
        <v>285123</v>
      </c>
      <c r="Q1512" s="9" t="s">
        <v>37</v>
      </c>
      <c r="R1512" s="13">
        <v>45663</v>
      </c>
      <c r="S1512" s="22">
        <v>45663</v>
      </c>
      <c r="T1512" s="13">
        <v>45663</v>
      </c>
      <c r="U1512" s="13">
        <v>45663</v>
      </c>
      <c r="V1512" s="9" t="s">
        <v>47</v>
      </c>
      <c r="W1512" s="9">
        <v>22462217</v>
      </c>
      <c r="X1512" s="9">
        <v>1131703</v>
      </c>
      <c r="Y1512" s="9">
        <v>68649126</v>
      </c>
      <c r="Z1512" s="9" t="s">
        <v>39</v>
      </c>
      <c r="AA1512" s="9">
        <v>12012025</v>
      </c>
      <c r="AB1512" s="9">
        <v>77298</v>
      </c>
      <c r="AC1512" s="9" t="s">
        <v>41</v>
      </c>
      <c r="AD1512" s="9" t="s">
        <v>132</v>
      </c>
      <c r="AE1512" s="9" t="s">
        <v>133</v>
      </c>
      <c r="AF1512" s="9" t="s">
        <v>133</v>
      </c>
      <c r="AG1512" s="14" t="str">
        <f t="shared" si="50"/>
        <v>EXAMENES DE LABORATORIO</v>
      </c>
      <c r="AH1512" s="9" t="s">
        <v>758</v>
      </c>
      <c r="AI1512" s="9">
        <v>0</v>
      </c>
      <c r="AJ1512" s="9">
        <v>96986050</v>
      </c>
      <c r="AK1512" s="9">
        <v>3</v>
      </c>
      <c r="AL1512" s="26" t="s">
        <v>83</v>
      </c>
      <c r="AM1512" s="14" t="s">
        <v>735</v>
      </c>
      <c r="AN1512" s="27" t="str">
        <f t="shared" si="49"/>
        <v>14259765|96986050|930195074|930195074</v>
      </c>
      <c r="AO1512" t="s">
        <v>758</v>
      </c>
      <c r="AP1512" t="b">
        <v>1</v>
      </c>
      <c r="AQ1512" t="s">
        <v>764</v>
      </c>
    </row>
    <row r="1513" spans="1:43" x14ac:dyDescent="0.2">
      <c r="A1513" s="14" t="s">
        <v>500</v>
      </c>
      <c r="B1513" s="17">
        <v>14259765</v>
      </c>
      <c r="C1513" s="14" t="s">
        <v>466</v>
      </c>
      <c r="D1513" s="9">
        <v>14259765</v>
      </c>
      <c r="E1513" s="9" t="s">
        <v>466</v>
      </c>
      <c r="F1513" s="7">
        <v>45717</v>
      </c>
      <c r="G1513" s="20" t="s">
        <v>46</v>
      </c>
      <c r="H1513" s="8">
        <v>930195074</v>
      </c>
      <c r="I1513" s="19">
        <v>65384220</v>
      </c>
      <c r="J1513" s="10">
        <v>1536</v>
      </c>
      <c r="K1513" s="10">
        <v>0</v>
      </c>
      <c r="L1513" s="10">
        <v>1536</v>
      </c>
      <c r="M1513" s="10">
        <v>0</v>
      </c>
      <c r="N1513" s="11">
        <v>1536</v>
      </c>
      <c r="O1513" s="12">
        <v>930195074</v>
      </c>
      <c r="P1513" s="9">
        <v>285123</v>
      </c>
      <c r="Q1513" s="9" t="s">
        <v>37</v>
      </c>
      <c r="R1513" s="13">
        <v>45717</v>
      </c>
      <c r="S1513" s="22">
        <v>45742</v>
      </c>
      <c r="T1513" s="13">
        <v>45663</v>
      </c>
      <c r="U1513" s="13">
        <v>45663</v>
      </c>
      <c r="V1513" s="9" t="s">
        <v>47</v>
      </c>
      <c r="W1513" s="9">
        <v>22770295</v>
      </c>
      <c r="X1513" s="9">
        <v>3311105</v>
      </c>
      <c r="Y1513" s="9">
        <v>69251095</v>
      </c>
      <c r="Z1513" s="9" t="s">
        <v>39</v>
      </c>
      <c r="AA1513" s="9">
        <v>61225838</v>
      </c>
      <c r="AB1513" s="9">
        <v>78070</v>
      </c>
      <c r="AC1513" s="9" t="s">
        <v>41</v>
      </c>
      <c r="AD1513" s="9" t="s">
        <v>132</v>
      </c>
      <c r="AE1513" s="9" t="s">
        <v>133</v>
      </c>
      <c r="AF1513" s="9" t="s">
        <v>133</v>
      </c>
      <c r="AG1513" s="14" t="str">
        <f t="shared" si="50"/>
        <v>EXAMENES DE LABORATORIO</v>
      </c>
      <c r="AH1513" s="9">
        <v>0</v>
      </c>
      <c r="AI1513" s="9">
        <v>0</v>
      </c>
      <c r="AJ1513" s="9">
        <v>96986050</v>
      </c>
      <c r="AK1513" s="9">
        <v>3</v>
      </c>
      <c r="AL1513" s="26" t="s">
        <v>52</v>
      </c>
      <c r="AM1513" s="14" t="s">
        <v>735</v>
      </c>
      <c r="AN1513" s="27" t="str">
        <f t="shared" si="49"/>
        <v>14259765|96986050|930195074|65384220</v>
      </c>
      <c r="AO1513" t="s">
        <v>44</v>
      </c>
      <c r="AP1513" t="b">
        <v>0</v>
      </c>
      <c r="AQ1513" t="s">
        <v>763</v>
      </c>
    </row>
    <row r="1514" spans="1:43" x14ac:dyDescent="0.2">
      <c r="A1514" s="14" t="s">
        <v>500</v>
      </c>
      <c r="B1514" s="17">
        <v>17753710</v>
      </c>
      <c r="C1514" s="14" t="s">
        <v>490</v>
      </c>
      <c r="D1514" s="9">
        <v>24956150</v>
      </c>
      <c r="E1514" s="9" t="s">
        <v>491</v>
      </c>
      <c r="F1514" s="7">
        <v>45658</v>
      </c>
      <c r="G1514" s="20" t="s">
        <v>36</v>
      </c>
      <c r="H1514" s="8">
        <v>930197830</v>
      </c>
      <c r="I1514" s="19">
        <v>930197830</v>
      </c>
      <c r="J1514" s="10">
        <v>74374</v>
      </c>
      <c r="K1514" s="10">
        <v>23023</v>
      </c>
      <c r="L1514" s="10">
        <v>51351</v>
      </c>
      <c r="M1514" s="10">
        <v>0</v>
      </c>
      <c r="N1514" s="11">
        <v>51351</v>
      </c>
      <c r="O1514" s="12">
        <v>930197830</v>
      </c>
      <c r="P1514" s="9">
        <v>285123</v>
      </c>
      <c r="Q1514" s="9" t="s">
        <v>37</v>
      </c>
      <c r="R1514" s="13">
        <v>45661</v>
      </c>
      <c r="S1514" s="22">
        <v>45661</v>
      </c>
      <c r="T1514" s="13">
        <v>45661</v>
      </c>
      <c r="U1514" s="13">
        <v>45661</v>
      </c>
      <c r="V1514" s="9" t="s">
        <v>47</v>
      </c>
      <c r="W1514" s="9">
        <v>22462207</v>
      </c>
      <c r="X1514" s="9">
        <v>1131703</v>
      </c>
      <c r="Y1514" s="9">
        <v>68648994</v>
      </c>
      <c r="Z1514" s="9" t="s">
        <v>39</v>
      </c>
      <c r="AA1514" s="9">
        <v>12012025</v>
      </c>
      <c r="AB1514" s="9">
        <v>77298</v>
      </c>
      <c r="AC1514" s="9" t="s">
        <v>41</v>
      </c>
      <c r="AD1514" s="9" t="s">
        <v>134</v>
      </c>
      <c r="AE1514" s="9" t="s">
        <v>135</v>
      </c>
      <c r="AF1514" s="9" t="s">
        <v>135</v>
      </c>
      <c r="AG1514" s="14" t="str">
        <f t="shared" si="50"/>
        <v>EXAMENES RADIOLOGICOS</v>
      </c>
      <c r="AH1514" s="9" t="s">
        <v>758</v>
      </c>
      <c r="AI1514" s="9">
        <v>0</v>
      </c>
      <c r="AJ1514" s="9">
        <v>93930000</v>
      </c>
      <c r="AK1514" s="9">
        <v>7</v>
      </c>
      <c r="AL1514" s="26" t="s">
        <v>83</v>
      </c>
      <c r="AM1514" s="14" t="s">
        <v>753</v>
      </c>
      <c r="AN1514" s="27" t="str">
        <f t="shared" si="49"/>
        <v>17753710|93930000|930197830|930197830</v>
      </c>
      <c r="AO1514" t="s">
        <v>758</v>
      </c>
      <c r="AP1514" t="b">
        <v>1</v>
      </c>
      <c r="AQ1514" t="s">
        <v>764</v>
      </c>
    </row>
    <row r="1515" spans="1:43" x14ac:dyDescent="0.2">
      <c r="A1515" s="14" t="s">
        <v>500</v>
      </c>
      <c r="B1515" s="17">
        <v>17753710</v>
      </c>
      <c r="C1515" s="14" t="s">
        <v>490</v>
      </c>
      <c r="D1515" s="9">
        <v>24956150</v>
      </c>
      <c r="E1515" s="9" t="s">
        <v>491</v>
      </c>
      <c r="F1515" s="7">
        <v>45717</v>
      </c>
      <c r="G1515" s="20" t="s">
        <v>46</v>
      </c>
      <c r="H1515" s="8">
        <v>930197830</v>
      </c>
      <c r="I1515" s="19">
        <v>65384431</v>
      </c>
      <c r="J1515" s="10">
        <v>44190</v>
      </c>
      <c r="K1515" s="10">
        <v>0</v>
      </c>
      <c r="L1515" s="10">
        <v>44190</v>
      </c>
      <c r="M1515" s="10">
        <v>0</v>
      </c>
      <c r="N1515" s="11">
        <v>44190</v>
      </c>
      <c r="O1515" s="12">
        <v>930197830</v>
      </c>
      <c r="P1515" s="9">
        <v>285123</v>
      </c>
      <c r="Q1515" s="9" t="s">
        <v>37</v>
      </c>
      <c r="R1515" s="13">
        <v>45717</v>
      </c>
      <c r="S1515" s="22">
        <v>45742</v>
      </c>
      <c r="T1515" s="13">
        <v>45661</v>
      </c>
      <c r="U1515" s="13">
        <v>45661</v>
      </c>
      <c r="V1515" s="9" t="s">
        <v>47</v>
      </c>
      <c r="W1515" s="9">
        <v>22770288</v>
      </c>
      <c r="X1515" s="9">
        <v>3311105</v>
      </c>
      <c r="Y1515" s="9">
        <v>69251299</v>
      </c>
      <c r="Z1515" s="9" t="s">
        <v>39</v>
      </c>
      <c r="AA1515" s="9">
        <v>21537321</v>
      </c>
      <c r="AB1515" s="9">
        <v>78070</v>
      </c>
      <c r="AC1515" s="9" t="s">
        <v>41</v>
      </c>
      <c r="AD1515" s="9" t="s">
        <v>134</v>
      </c>
      <c r="AE1515" s="9" t="s">
        <v>135</v>
      </c>
      <c r="AF1515" s="9" t="s">
        <v>135</v>
      </c>
      <c r="AG1515" s="14" t="str">
        <f t="shared" si="50"/>
        <v>EXAMENES RADIOLOGICOS</v>
      </c>
      <c r="AH1515" s="9">
        <v>0</v>
      </c>
      <c r="AI1515" s="9">
        <v>0</v>
      </c>
      <c r="AJ1515" s="9">
        <v>93930000</v>
      </c>
      <c r="AK1515" s="9">
        <v>7</v>
      </c>
      <c r="AL1515" s="26" t="s">
        <v>52</v>
      </c>
      <c r="AM1515" s="14" t="s">
        <v>753</v>
      </c>
      <c r="AN1515" s="27" t="str">
        <f t="shared" si="49"/>
        <v>17753710|93930000|930197830|65384431</v>
      </c>
      <c r="AO1515" t="s">
        <v>44</v>
      </c>
      <c r="AP1515" t="b">
        <v>0</v>
      </c>
      <c r="AQ1515" t="s">
        <v>763</v>
      </c>
    </row>
    <row r="1516" spans="1:43" x14ac:dyDescent="0.2">
      <c r="A1516" s="14" t="s">
        <v>500</v>
      </c>
      <c r="B1516" s="17">
        <v>17753710</v>
      </c>
      <c r="C1516" s="14" t="s">
        <v>490</v>
      </c>
      <c r="D1516" s="9">
        <v>24956150</v>
      </c>
      <c r="E1516" s="9" t="s">
        <v>491</v>
      </c>
      <c r="F1516" s="7">
        <v>45658</v>
      </c>
      <c r="G1516" s="20" t="s">
        <v>36</v>
      </c>
      <c r="H1516" s="8">
        <v>930197831</v>
      </c>
      <c r="I1516" s="19">
        <v>930197831</v>
      </c>
      <c r="J1516" s="10">
        <v>52266</v>
      </c>
      <c r="K1516" s="10">
        <v>8088</v>
      </c>
      <c r="L1516" s="10">
        <v>44178</v>
      </c>
      <c r="M1516" s="10">
        <v>0</v>
      </c>
      <c r="N1516" s="11">
        <v>44178</v>
      </c>
      <c r="O1516" s="12">
        <v>930197831</v>
      </c>
      <c r="P1516" s="9">
        <v>285123</v>
      </c>
      <c r="Q1516" s="9" t="s">
        <v>37</v>
      </c>
      <c r="R1516" s="13">
        <v>45661</v>
      </c>
      <c r="S1516" s="22">
        <v>45661</v>
      </c>
      <c r="T1516" s="13">
        <v>45661</v>
      </c>
      <c r="U1516" s="13">
        <v>45661</v>
      </c>
      <c r="V1516" s="9" t="s">
        <v>47</v>
      </c>
      <c r="W1516" s="9">
        <v>22462207</v>
      </c>
      <c r="X1516" s="9">
        <v>1131703</v>
      </c>
      <c r="Y1516" s="9">
        <v>68648995</v>
      </c>
      <c r="Z1516" s="9" t="s">
        <v>39</v>
      </c>
      <c r="AA1516" s="9">
        <v>12012025</v>
      </c>
      <c r="AB1516" s="9">
        <v>77298</v>
      </c>
      <c r="AC1516" s="9" t="s">
        <v>41</v>
      </c>
      <c r="AD1516" s="9" t="s">
        <v>132</v>
      </c>
      <c r="AE1516" s="9" t="s">
        <v>133</v>
      </c>
      <c r="AF1516" s="9" t="s">
        <v>133</v>
      </c>
      <c r="AG1516" s="14" t="str">
        <f t="shared" si="50"/>
        <v>EXAMENES DE LABORATORIO</v>
      </c>
      <c r="AH1516" s="9" t="s">
        <v>758</v>
      </c>
      <c r="AI1516" s="9">
        <v>0</v>
      </c>
      <c r="AJ1516" s="9">
        <v>93930000</v>
      </c>
      <c r="AK1516" s="9">
        <v>7</v>
      </c>
      <c r="AL1516" s="26" t="s">
        <v>83</v>
      </c>
      <c r="AM1516" s="14" t="s">
        <v>753</v>
      </c>
      <c r="AN1516" s="27" t="str">
        <f t="shared" si="49"/>
        <v>17753710|93930000|930197831|930197831</v>
      </c>
      <c r="AO1516" t="s">
        <v>758</v>
      </c>
      <c r="AP1516" t="b">
        <v>1</v>
      </c>
      <c r="AQ1516" t="s">
        <v>764</v>
      </c>
    </row>
    <row r="1517" spans="1:43" x14ac:dyDescent="0.2">
      <c r="A1517" s="14" t="s">
        <v>500</v>
      </c>
      <c r="B1517" s="17">
        <v>17753710</v>
      </c>
      <c r="C1517" s="14" t="s">
        <v>490</v>
      </c>
      <c r="D1517" s="9">
        <v>24956150</v>
      </c>
      <c r="E1517" s="9" t="s">
        <v>491</v>
      </c>
      <c r="F1517" s="7">
        <v>45717</v>
      </c>
      <c r="G1517" s="20" t="s">
        <v>46</v>
      </c>
      <c r="H1517" s="8">
        <v>930197831</v>
      </c>
      <c r="I1517" s="19">
        <v>65384432</v>
      </c>
      <c r="J1517" s="10">
        <v>34967</v>
      </c>
      <c r="K1517" s="10">
        <v>0</v>
      </c>
      <c r="L1517" s="10">
        <v>34967</v>
      </c>
      <c r="M1517" s="10">
        <v>0</v>
      </c>
      <c r="N1517" s="11">
        <v>34967</v>
      </c>
      <c r="O1517" s="12">
        <v>930197831</v>
      </c>
      <c r="P1517" s="9">
        <v>285123</v>
      </c>
      <c r="Q1517" s="9" t="s">
        <v>37</v>
      </c>
      <c r="R1517" s="13">
        <v>45717</v>
      </c>
      <c r="S1517" s="22">
        <v>45742</v>
      </c>
      <c r="T1517" s="13">
        <v>45661</v>
      </c>
      <c r="U1517" s="13">
        <v>45661</v>
      </c>
      <c r="V1517" s="9" t="s">
        <v>47</v>
      </c>
      <c r="W1517" s="9">
        <v>22770288</v>
      </c>
      <c r="X1517" s="9">
        <v>3311105</v>
      </c>
      <c r="Y1517" s="9">
        <v>69251300</v>
      </c>
      <c r="Z1517" s="9" t="s">
        <v>39</v>
      </c>
      <c r="AA1517" s="9">
        <v>21537321</v>
      </c>
      <c r="AB1517" s="9">
        <v>78070</v>
      </c>
      <c r="AC1517" s="9" t="s">
        <v>41</v>
      </c>
      <c r="AD1517" s="9" t="s">
        <v>132</v>
      </c>
      <c r="AE1517" s="9" t="s">
        <v>133</v>
      </c>
      <c r="AF1517" s="9" t="s">
        <v>133</v>
      </c>
      <c r="AG1517" s="14" t="str">
        <f t="shared" si="50"/>
        <v>EXAMENES DE LABORATORIO</v>
      </c>
      <c r="AH1517" s="9">
        <v>0</v>
      </c>
      <c r="AI1517" s="9">
        <v>0</v>
      </c>
      <c r="AJ1517" s="9">
        <v>93930000</v>
      </c>
      <c r="AK1517" s="9">
        <v>7</v>
      </c>
      <c r="AL1517" s="26" t="s">
        <v>52</v>
      </c>
      <c r="AM1517" s="14" t="s">
        <v>753</v>
      </c>
      <c r="AN1517" s="27" t="str">
        <f t="shared" si="49"/>
        <v>17753710|93930000|930197831|65384432</v>
      </c>
      <c r="AO1517" t="s">
        <v>44</v>
      </c>
      <c r="AP1517" t="b">
        <v>0</v>
      </c>
      <c r="AQ1517" t="s">
        <v>763</v>
      </c>
    </row>
    <row r="1518" spans="1:43" x14ac:dyDescent="0.2">
      <c r="A1518" s="14" t="s">
        <v>500</v>
      </c>
      <c r="B1518" s="17">
        <v>12752688</v>
      </c>
      <c r="C1518" s="14" t="s">
        <v>477</v>
      </c>
      <c r="D1518" s="9">
        <v>12752688</v>
      </c>
      <c r="E1518" s="9" t="s">
        <v>477</v>
      </c>
      <c r="F1518" s="7">
        <v>45658</v>
      </c>
      <c r="G1518" s="20" t="s">
        <v>36</v>
      </c>
      <c r="H1518" s="8">
        <v>930213898</v>
      </c>
      <c r="I1518" s="19">
        <v>930213898</v>
      </c>
      <c r="J1518" s="10">
        <v>1769</v>
      </c>
      <c r="K1518" s="10">
        <v>1280</v>
      </c>
      <c r="L1518" s="10">
        <v>489</v>
      </c>
      <c r="M1518" s="10">
        <v>0</v>
      </c>
      <c r="N1518" s="11">
        <v>489</v>
      </c>
      <c r="O1518" s="12">
        <v>930213898</v>
      </c>
      <c r="P1518" s="9">
        <v>285123</v>
      </c>
      <c r="Q1518" s="9" t="s">
        <v>37</v>
      </c>
      <c r="R1518" s="13">
        <v>45660</v>
      </c>
      <c r="S1518" s="22">
        <v>45660</v>
      </c>
      <c r="T1518" s="13">
        <v>45660</v>
      </c>
      <c r="U1518" s="13">
        <v>45660</v>
      </c>
      <c r="V1518" s="9" t="s">
        <v>47</v>
      </c>
      <c r="W1518" s="9">
        <v>22473670</v>
      </c>
      <c r="X1518" s="9">
        <v>1061637</v>
      </c>
      <c r="Y1518" s="9">
        <v>68611505</v>
      </c>
      <c r="Z1518" s="9" t="s">
        <v>39</v>
      </c>
      <c r="AA1518" s="9">
        <v>5012025</v>
      </c>
      <c r="AB1518" s="9">
        <v>77320</v>
      </c>
      <c r="AC1518" s="9" t="s">
        <v>41</v>
      </c>
      <c r="AD1518" s="9" t="s">
        <v>132</v>
      </c>
      <c r="AE1518" s="9" t="s">
        <v>133</v>
      </c>
      <c r="AF1518" s="9" t="s">
        <v>133</v>
      </c>
      <c r="AG1518" s="14" t="str">
        <f t="shared" si="50"/>
        <v>EXAMENES DE LABORATORIO</v>
      </c>
      <c r="AH1518" s="9" t="s">
        <v>758</v>
      </c>
      <c r="AI1518" s="9">
        <v>0</v>
      </c>
      <c r="AJ1518" s="9">
        <v>81949100</v>
      </c>
      <c r="AK1518" s="9">
        <v>3</v>
      </c>
      <c r="AL1518" s="26" t="s">
        <v>83</v>
      </c>
      <c r="AM1518" s="14" t="s">
        <v>745</v>
      </c>
      <c r="AN1518" s="27" t="str">
        <f t="shared" si="49"/>
        <v>12752688|81949100|930213898|930213898</v>
      </c>
      <c r="AO1518" t="s">
        <v>758</v>
      </c>
      <c r="AP1518" t="b">
        <v>1</v>
      </c>
      <c r="AQ1518" t="s">
        <v>764</v>
      </c>
    </row>
    <row r="1519" spans="1:43" x14ac:dyDescent="0.2">
      <c r="A1519" s="14" t="s">
        <v>500</v>
      </c>
      <c r="B1519" s="17">
        <v>12752688</v>
      </c>
      <c r="C1519" s="14" t="s">
        <v>477</v>
      </c>
      <c r="D1519" s="9">
        <v>12752688</v>
      </c>
      <c r="E1519" s="9" t="s">
        <v>477</v>
      </c>
      <c r="F1519" s="7">
        <v>45717</v>
      </c>
      <c r="G1519" s="20" t="s">
        <v>46</v>
      </c>
      <c r="H1519" s="8">
        <v>930213898</v>
      </c>
      <c r="I1519" s="19">
        <v>65384042</v>
      </c>
      <c r="J1519" s="10">
        <v>384</v>
      </c>
      <c r="K1519" s="10">
        <v>0</v>
      </c>
      <c r="L1519" s="10">
        <v>384</v>
      </c>
      <c r="M1519" s="10">
        <v>0</v>
      </c>
      <c r="N1519" s="11">
        <v>384</v>
      </c>
      <c r="O1519" s="12">
        <v>930213898</v>
      </c>
      <c r="P1519" s="9">
        <v>285123</v>
      </c>
      <c r="Q1519" s="9" t="s">
        <v>37</v>
      </c>
      <c r="R1519" s="13">
        <v>45717</v>
      </c>
      <c r="S1519" s="22">
        <v>45742</v>
      </c>
      <c r="T1519" s="13">
        <v>45660</v>
      </c>
      <c r="U1519" s="13">
        <v>45660</v>
      </c>
      <c r="V1519" s="9" t="s">
        <v>47</v>
      </c>
      <c r="W1519" s="9">
        <v>22770282</v>
      </c>
      <c r="X1519" s="9">
        <v>3311105</v>
      </c>
      <c r="Y1519" s="9">
        <v>69250930</v>
      </c>
      <c r="Z1519" s="9" t="s">
        <v>39</v>
      </c>
      <c r="AA1519" s="9">
        <v>6308651</v>
      </c>
      <c r="AB1519" s="9">
        <v>78070</v>
      </c>
      <c r="AC1519" s="9" t="s">
        <v>41</v>
      </c>
      <c r="AD1519" s="9" t="s">
        <v>132</v>
      </c>
      <c r="AE1519" s="9" t="s">
        <v>133</v>
      </c>
      <c r="AF1519" s="9" t="s">
        <v>133</v>
      </c>
      <c r="AG1519" s="14" t="str">
        <f t="shared" si="50"/>
        <v>EXAMENES DE LABORATORIO</v>
      </c>
      <c r="AH1519" s="9">
        <v>0</v>
      </c>
      <c r="AI1519" s="9">
        <v>0</v>
      </c>
      <c r="AJ1519" s="9">
        <v>81949100</v>
      </c>
      <c r="AK1519" s="9">
        <v>3</v>
      </c>
      <c r="AL1519" s="26" t="s">
        <v>52</v>
      </c>
      <c r="AM1519" s="14" t="s">
        <v>745</v>
      </c>
      <c r="AN1519" s="27" t="str">
        <f t="shared" si="49"/>
        <v>12752688|81949100|930213898|65384042</v>
      </c>
      <c r="AO1519" t="s">
        <v>44</v>
      </c>
      <c r="AP1519" t="b">
        <v>0</v>
      </c>
      <c r="AQ1519" t="s">
        <v>763</v>
      </c>
    </row>
    <row r="1520" spans="1:43" x14ac:dyDescent="0.2">
      <c r="A1520" s="14" t="s">
        <v>500</v>
      </c>
      <c r="B1520" s="17">
        <v>12752688</v>
      </c>
      <c r="C1520" s="14" t="s">
        <v>477</v>
      </c>
      <c r="D1520" s="9">
        <v>12752688</v>
      </c>
      <c r="E1520" s="9" t="s">
        <v>477</v>
      </c>
      <c r="F1520" s="7">
        <v>45658</v>
      </c>
      <c r="G1520" s="20" t="s">
        <v>36</v>
      </c>
      <c r="H1520" s="8">
        <v>930213899</v>
      </c>
      <c r="I1520" s="19">
        <v>930213899</v>
      </c>
      <c r="J1520" s="10">
        <v>48190</v>
      </c>
      <c r="K1520" s="10">
        <v>35997</v>
      </c>
      <c r="L1520" s="10">
        <v>12193</v>
      </c>
      <c r="M1520" s="10">
        <v>0</v>
      </c>
      <c r="N1520" s="11">
        <v>12193</v>
      </c>
      <c r="O1520" s="12">
        <v>930213899</v>
      </c>
      <c r="P1520" s="9">
        <v>285123</v>
      </c>
      <c r="Q1520" s="9" t="s">
        <v>37</v>
      </c>
      <c r="R1520" s="13">
        <v>45660</v>
      </c>
      <c r="S1520" s="22">
        <v>45660</v>
      </c>
      <c r="T1520" s="13">
        <v>45660</v>
      </c>
      <c r="U1520" s="13">
        <v>45660</v>
      </c>
      <c r="V1520" s="9" t="s">
        <v>47</v>
      </c>
      <c r="W1520" s="9">
        <v>22473670</v>
      </c>
      <c r="X1520" s="9">
        <v>1061637</v>
      </c>
      <c r="Y1520" s="9">
        <v>68611506</v>
      </c>
      <c r="Z1520" s="9" t="s">
        <v>39</v>
      </c>
      <c r="AA1520" s="9">
        <v>5012025</v>
      </c>
      <c r="AB1520" s="9">
        <v>77320</v>
      </c>
      <c r="AC1520" s="9" t="s">
        <v>41</v>
      </c>
      <c r="AD1520" s="9" t="s">
        <v>132</v>
      </c>
      <c r="AE1520" s="9" t="s">
        <v>133</v>
      </c>
      <c r="AF1520" s="9" t="s">
        <v>133</v>
      </c>
      <c r="AG1520" s="14" t="str">
        <f t="shared" si="50"/>
        <v>EXAMENES DE LABORATORIO</v>
      </c>
      <c r="AH1520" s="9" t="s">
        <v>758</v>
      </c>
      <c r="AI1520" s="9">
        <v>0</v>
      </c>
      <c r="AJ1520" s="9">
        <v>81949100</v>
      </c>
      <c r="AK1520" s="9">
        <v>3</v>
      </c>
      <c r="AL1520" s="26" t="s">
        <v>83</v>
      </c>
      <c r="AM1520" s="14" t="s">
        <v>745</v>
      </c>
      <c r="AN1520" s="27" t="str">
        <f t="shared" si="49"/>
        <v>12752688|81949100|930213899|930213899</v>
      </c>
      <c r="AO1520" t="s">
        <v>758</v>
      </c>
      <c r="AP1520" t="b">
        <v>1</v>
      </c>
      <c r="AQ1520" t="s">
        <v>764</v>
      </c>
    </row>
    <row r="1521" spans="1:43" x14ac:dyDescent="0.2">
      <c r="A1521" s="14" t="s">
        <v>500</v>
      </c>
      <c r="B1521" s="17">
        <v>12752688</v>
      </c>
      <c r="C1521" s="14" t="s">
        <v>477</v>
      </c>
      <c r="D1521" s="9">
        <v>12752688</v>
      </c>
      <c r="E1521" s="9" t="s">
        <v>477</v>
      </c>
      <c r="F1521" s="7">
        <v>45717</v>
      </c>
      <c r="G1521" s="20" t="s">
        <v>46</v>
      </c>
      <c r="H1521" s="8">
        <v>930213899</v>
      </c>
      <c r="I1521" s="19">
        <v>65384043</v>
      </c>
      <c r="J1521" s="10">
        <v>11909</v>
      </c>
      <c r="K1521" s="10">
        <v>0</v>
      </c>
      <c r="L1521" s="10">
        <v>11909</v>
      </c>
      <c r="M1521" s="10">
        <v>0</v>
      </c>
      <c r="N1521" s="11">
        <v>11909</v>
      </c>
      <c r="O1521" s="12">
        <v>930213899</v>
      </c>
      <c r="P1521" s="9">
        <v>285123</v>
      </c>
      <c r="Q1521" s="9" t="s">
        <v>37</v>
      </c>
      <c r="R1521" s="13">
        <v>45717</v>
      </c>
      <c r="S1521" s="22">
        <v>45742</v>
      </c>
      <c r="T1521" s="13">
        <v>45660</v>
      </c>
      <c r="U1521" s="13">
        <v>45660</v>
      </c>
      <c r="V1521" s="9" t="s">
        <v>47</v>
      </c>
      <c r="W1521" s="9">
        <v>22770282</v>
      </c>
      <c r="X1521" s="9">
        <v>3311105</v>
      </c>
      <c r="Y1521" s="9">
        <v>69250931</v>
      </c>
      <c r="Z1521" s="9" t="s">
        <v>39</v>
      </c>
      <c r="AA1521" s="9">
        <v>6308651</v>
      </c>
      <c r="AB1521" s="9">
        <v>78070</v>
      </c>
      <c r="AC1521" s="9" t="s">
        <v>41</v>
      </c>
      <c r="AD1521" s="9" t="s">
        <v>132</v>
      </c>
      <c r="AE1521" s="9" t="s">
        <v>133</v>
      </c>
      <c r="AF1521" s="9" t="s">
        <v>133</v>
      </c>
      <c r="AG1521" s="14" t="str">
        <f t="shared" si="50"/>
        <v>EXAMENES DE LABORATORIO</v>
      </c>
      <c r="AH1521" s="9">
        <v>0</v>
      </c>
      <c r="AI1521" s="9">
        <v>0</v>
      </c>
      <c r="AJ1521" s="9">
        <v>81949100</v>
      </c>
      <c r="AK1521" s="9">
        <v>3</v>
      </c>
      <c r="AL1521" s="26" t="s">
        <v>52</v>
      </c>
      <c r="AM1521" s="14" t="s">
        <v>745</v>
      </c>
      <c r="AN1521" s="27" t="str">
        <f t="shared" si="49"/>
        <v>12752688|81949100|930213899|65384043</v>
      </c>
      <c r="AO1521" t="s">
        <v>44</v>
      </c>
      <c r="AP1521" t="b">
        <v>0</v>
      </c>
      <c r="AQ1521" t="s">
        <v>763</v>
      </c>
    </row>
    <row r="1522" spans="1:43" x14ac:dyDescent="0.2">
      <c r="A1522" s="14" t="s">
        <v>500</v>
      </c>
      <c r="B1522" s="17">
        <v>11492055</v>
      </c>
      <c r="C1522" s="14" t="s">
        <v>492</v>
      </c>
      <c r="D1522" s="9">
        <v>11492055</v>
      </c>
      <c r="E1522" s="9" t="s">
        <v>492</v>
      </c>
      <c r="F1522" s="7">
        <v>45689</v>
      </c>
      <c r="G1522" s="20" t="s">
        <v>36</v>
      </c>
      <c r="H1522" s="8">
        <v>1485661525</v>
      </c>
      <c r="I1522" s="19">
        <v>983662</v>
      </c>
      <c r="J1522" s="10">
        <v>19720</v>
      </c>
      <c r="K1522" s="10">
        <v>0</v>
      </c>
      <c r="L1522" s="10">
        <v>19720</v>
      </c>
      <c r="M1522" s="10">
        <v>0</v>
      </c>
      <c r="N1522" s="11">
        <v>19720</v>
      </c>
      <c r="O1522" s="12">
        <v>1485661525</v>
      </c>
      <c r="P1522" s="9">
        <v>285123</v>
      </c>
      <c r="Q1522" s="9" t="s">
        <v>37</v>
      </c>
      <c r="R1522" s="13">
        <v>45699</v>
      </c>
      <c r="S1522" s="22">
        <v>45699</v>
      </c>
      <c r="T1522" s="13">
        <v>45687</v>
      </c>
      <c r="U1522" s="13">
        <v>45687</v>
      </c>
      <c r="V1522" s="9" t="s">
        <v>47</v>
      </c>
      <c r="W1522" s="9">
        <v>22590863</v>
      </c>
      <c r="X1522" s="9">
        <v>2171726</v>
      </c>
      <c r="Y1522" s="9">
        <v>68884984</v>
      </c>
      <c r="Z1522" s="9" t="s">
        <v>39</v>
      </c>
      <c r="AA1522" s="9">
        <v>61234578</v>
      </c>
      <c r="AB1522" s="9">
        <v>77628</v>
      </c>
      <c r="AC1522" s="9" t="s">
        <v>41</v>
      </c>
      <c r="AD1522" s="9" t="s">
        <v>128</v>
      </c>
      <c r="AE1522" s="9" t="s">
        <v>129</v>
      </c>
      <c r="AF1522" s="9" t="s">
        <v>124</v>
      </c>
      <c r="AG1522" s="14" t="s">
        <v>125</v>
      </c>
      <c r="AH1522" s="9">
        <v>0</v>
      </c>
      <c r="AI1522" s="9">
        <v>0</v>
      </c>
      <c r="AJ1522" s="9">
        <v>89807200</v>
      </c>
      <c r="AK1522" s="9">
        <v>2</v>
      </c>
      <c r="AL1522" s="26" t="s">
        <v>52</v>
      </c>
      <c r="AM1522" s="14" t="s">
        <v>754</v>
      </c>
      <c r="AN1522" s="27" t="str">
        <f t="shared" si="49"/>
        <v>11492055|89807200|1485661525|983662</v>
      </c>
      <c r="AO1522" t="s">
        <v>44</v>
      </c>
      <c r="AP1522" t="b">
        <v>0</v>
      </c>
      <c r="AQ1522" t="s">
        <v>763</v>
      </c>
    </row>
    <row r="1523" spans="1:43" x14ac:dyDescent="0.2">
      <c r="A1523" s="14" t="s">
        <v>500</v>
      </c>
      <c r="B1523" s="17">
        <v>11492055</v>
      </c>
      <c r="C1523" s="14" t="s">
        <v>492</v>
      </c>
      <c r="D1523" s="9">
        <v>11492055</v>
      </c>
      <c r="E1523" s="9" t="s">
        <v>492</v>
      </c>
      <c r="F1523" s="7">
        <v>45717</v>
      </c>
      <c r="G1523" s="20" t="s">
        <v>46</v>
      </c>
      <c r="H1523" s="8">
        <v>1485661525</v>
      </c>
      <c r="I1523" s="19">
        <v>65213031</v>
      </c>
      <c r="J1523" s="10">
        <v>19576</v>
      </c>
      <c r="K1523" s="10">
        <v>0</v>
      </c>
      <c r="L1523" s="10">
        <v>19576</v>
      </c>
      <c r="M1523" s="10">
        <v>0</v>
      </c>
      <c r="N1523" s="11">
        <v>19576</v>
      </c>
      <c r="O1523" s="12">
        <v>1485661525</v>
      </c>
      <c r="P1523" s="9">
        <v>285123</v>
      </c>
      <c r="Q1523" s="9" t="s">
        <v>37</v>
      </c>
      <c r="R1523" s="13">
        <v>45717</v>
      </c>
      <c r="S1523" s="22">
        <v>45733</v>
      </c>
      <c r="T1523" s="13">
        <v>45687</v>
      </c>
      <c r="U1523" s="13">
        <v>45687</v>
      </c>
      <c r="V1523" s="9" t="s">
        <v>47</v>
      </c>
      <c r="W1523" s="9">
        <v>22753674</v>
      </c>
      <c r="X1523" s="9">
        <v>3251558</v>
      </c>
      <c r="Y1523" s="9">
        <v>69156432</v>
      </c>
      <c r="Z1523" s="9" t="s">
        <v>39</v>
      </c>
      <c r="AA1523" s="9">
        <v>61234578</v>
      </c>
      <c r="AB1523" s="9">
        <v>78017</v>
      </c>
      <c r="AC1523" s="9" t="s">
        <v>41</v>
      </c>
      <c r="AD1523" s="9" t="s">
        <v>128</v>
      </c>
      <c r="AE1523" s="9" t="s">
        <v>129</v>
      </c>
      <c r="AF1523" s="9" t="s">
        <v>124</v>
      </c>
      <c r="AG1523" s="14" t="s">
        <v>125</v>
      </c>
      <c r="AH1523" s="9">
        <v>0</v>
      </c>
      <c r="AI1523" s="9">
        <v>0</v>
      </c>
      <c r="AJ1523" s="9">
        <v>89807200</v>
      </c>
      <c r="AK1523" s="9">
        <v>2</v>
      </c>
      <c r="AL1523" s="26" t="s">
        <v>52</v>
      </c>
      <c r="AM1523" s="14" t="s">
        <v>754</v>
      </c>
      <c r="AN1523" s="27" t="str">
        <f t="shared" si="49"/>
        <v>11492055|89807200|1485661525|65213031</v>
      </c>
      <c r="AO1523" t="s">
        <v>44</v>
      </c>
      <c r="AP1523" t="b">
        <v>0</v>
      </c>
      <c r="AQ1523" t="s">
        <v>763</v>
      </c>
    </row>
    <row r="1524" spans="1:43" x14ac:dyDescent="0.2">
      <c r="A1524" s="14" t="s">
        <v>500</v>
      </c>
      <c r="B1524" s="17">
        <v>12875970</v>
      </c>
      <c r="C1524" s="14" t="s">
        <v>493</v>
      </c>
      <c r="D1524" s="9">
        <v>12875970</v>
      </c>
      <c r="E1524" s="9" t="s">
        <v>493</v>
      </c>
      <c r="F1524" s="7">
        <v>45689</v>
      </c>
      <c r="G1524" s="20" t="s">
        <v>36</v>
      </c>
      <c r="H1524" s="8">
        <v>1512009398</v>
      </c>
      <c r="I1524" s="19">
        <v>986140</v>
      </c>
      <c r="J1524" s="10">
        <v>14231</v>
      </c>
      <c r="K1524" s="10">
        <v>0</v>
      </c>
      <c r="L1524" s="10">
        <v>14231</v>
      </c>
      <c r="M1524" s="10">
        <v>0</v>
      </c>
      <c r="N1524" s="11">
        <v>14231</v>
      </c>
      <c r="O1524" s="12">
        <v>1512009398</v>
      </c>
      <c r="P1524" s="9">
        <v>285123</v>
      </c>
      <c r="Q1524" s="9" t="s">
        <v>37</v>
      </c>
      <c r="R1524" s="13">
        <v>45706</v>
      </c>
      <c r="S1524" s="22">
        <v>45706</v>
      </c>
      <c r="T1524" s="13">
        <v>45685</v>
      </c>
      <c r="U1524" s="13">
        <v>45691</v>
      </c>
      <c r="V1524" s="9" t="s">
        <v>47</v>
      </c>
      <c r="W1524" s="9">
        <v>22616399</v>
      </c>
      <c r="X1524" s="9">
        <v>2251257</v>
      </c>
      <c r="Y1524" s="9">
        <v>68922985</v>
      </c>
      <c r="Z1524" s="9" t="s">
        <v>39</v>
      </c>
      <c r="AA1524" s="9">
        <v>7009361680</v>
      </c>
      <c r="AB1524" s="9">
        <v>77692</v>
      </c>
      <c r="AC1524" s="9" t="s">
        <v>41</v>
      </c>
      <c r="AD1524" s="9" t="s">
        <v>128</v>
      </c>
      <c r="AE1524" s="9" t="s">
        <v>129</v>
      </c>
      <c r="AF1524" s="9" t="s">
        <v>124</v>
      </c>
      <c r="AG1524" s="14" t="s">
        <v>125</v>
      </c>
      <c r="AH1524" s="9">
        <v>0</v>
      </c>
      <c r="AI1524" s="9">
        <v>0</v>
      </c>
      <c r="AJ1524" s="9">
        <v>89807200</v>
      </c>
      <c r="AK1524" s="9">
        <v>2</v>
      </c>
      <c r="AL1524" s="26" t="s">
        <v>62</v>
      </c>
      <c r="AM1524" s="14" t="s">
        <v>755</v>
      </c>
      <c r="AN1524" s="27" t="str">
        <f t="shared" si="49"/>
        <v>12875970|89807200|1512009398|986140</v>
      </c>
      <c r="AO1524" t="s">
        <v>44</v>
      </c>
      <c r="AP1524" t="b">
        <v>0</v>
      </c>
      <c r="AQ1524" t="s">
        <v>763</v>
      </c>
    </row>
    <row r="1525" spans="1:43" x14ac:dyDescent="0.2">
      <c r="A1525" s="14" t="s">
        <v>500</v>
      </c>
      <c r="B1525" s="17">
        <v>12875970</v>
      </c>
      <c r="C1525" s="14" t="s">
        <v>493</v>
      </c>
      <c r="D1525" s="9">
        <v>12875970</v>
      </c>
      <c r="E1525" s="9" t="s">
        <v>493</v>
      </c>
      <c r="F1525" s="7">
        <v>45689</v>
      </c>
      <c r="G1525" s="20" t="s">
        <v>36</v>
      </c>
      <c r="H1525" s="8">
        <v>1512009398</v>
      </c>
      <c r="I1525" s="19">
        <v>986140</v>
      </c>
      <c r="J1525" s="10">
        <v>27750</v>
      </c>
      <c r="K1525" s="10">
        <v>0</v>
      </c>
      <c r="L1525" s="10">
        <v>27750</v>
      </c>
      <c r="M1525" s="10">
        <v>0</v>
      </c>
      <c r="N1525" s="11">
        <v>27750</v>
      </c>
      <c r="O1525" s="12">
        <v>1512009398</v>
      </c>
      <c r="P1525" s="9">
        <v>285123</v>
      </c>
      <c r="Q1525" s="9" t="s">
        <v>37</v>
      </c>
      <c r="R1525" s="13">
        <v>45706</v>
      </c>
      <c r="S1525" s="22">
        <v>45706</v>
      </c>
      <c r="T1525" s="13">
        <v>45685</v>
      </c>
      <c r="U1525" s="13">
        <v>45685</v>
      </c>
      <c r="V1525" s="9" t="s">
        <v>47</v>
      </c>
      <c r="W1525" s="9">
        <v>22616399</v>
      </c>
      <c r="X1525" s="9">
        <v>2251257</v>
      </c>
      <c r="Y1525" s="9">
        <v>68922985</v>
      </c>
      <c r="Z1525" s="9" t="s">
        <v>39</v>
      </c>
      <c r="AA1525" s="9">
        <v>7009361680</v>
      </c>
      <c r="AB1525" s="9">
        <v>77692</v>
      </c>
      <c r="AC1525" s="9" t="s">
        <v>41</v>
      </c>
      <c r="AD1525" s="9" t="s">
        <v>65</v>
      </c>
      <c r="AE1525" s="9" t="s">
        <v>66</v>
      </c>
      <c r="AF1525" s="9" t="s">
        <v>66</v>
      </c>
      <c r="AG1525" s="14" t="str">
        <f>+AF1525</f>
        <v>PROCEDIMIENTOS TERAPEUTICOS</v>
      </c>
      <c r="AH1525" s="9">
        <v>0</v>
      </c>
      <c r="AI1525" s="9">
        <v>0</v>
      </c>
      <c r="AJ1525" s="9">
        <v>77580622</v>
      </c>
      <c r="AK1525" s="9">
        <v>2</v>
      </c>
      <c r="AL1525" s="26" t="s">
        <v>62</v>
      </c>
      <c r="AM1525" s="14" t="s">
        <v>755</v>
      </c>
      <c r="AN1525" s="27" t="str">
        <f t="shared" si="49"/>
        <v>12875970|77580622|1512009398|986140</v>
      </c>
      <c r="AO1525" t="s">
        <v>44</v>
      </c>
      <c r="AP1525" t="b">
        <v>0</v>
      </c>
      <c r="AQ1525" t="s">
        <v>763</v>
      </c>
    </row>
    <row r="1526" spans="1:43" x14ac:dyDescent="0.2">
      <c r="A1526" s="14" t="s">
        <v>500</v>
      </c>
      <c r="B1526" s="17">
        <v>12875970</v>
      </c>
      <c r="C1526" s="14" t="s">
        <v>493</v>
      </c>
      <c r="D1526" s="9">
        <v>12875970</v>
      </c>
      <c r="E1526" s="9" t="s">
        <v>493</v>
      </c>
      <c r="F1526" s="7">
        <v>45689</v>
      </c>
      <c r="G1526" s="20" t="s">
        <v>36</v>
      </c>
      <c r="H1526" s="8">
        <v>1512009398</v>
      </c>
      <c r="I1526" s="19">
        <v>986140</v>
      </c>
      <c r="J1526" s="10">
        <v>20800</v>
      </c>
      <c r="K1526" s="10">
        <v>0</v>
      </c>
      <c r="L1526" s="10">
        <v>20800</v>
      </c>
      <c r="M1526" s="10">
        <v>0</v>
      </c>
      <c r="N1526" s="11">
        <v>20800</v>
      </c>
      <c r="O1526" s="12">
        <v>1512009398</v>
      </c>
      <c r="P1526" s="9">
        <v>285123</v>
      </c>
      <c r="Q1526" s="9" t="s">
        <v>37</v>
      </c>
      <c r="R1526" s="13">
        <v>45706</v>
      </c>
      <c r="S1526" s="22">
        <v>45706</v>
      </c>
      <c r="T1526" s="13">
        <v>45685</v>
      </c>
      <c r="U1526" s="13">
        <v>45695</v>
      </c>
      <c r="V1526" s="9" t="s">
        <v>58</v>
      </c>
      <c r="W1526" s="9">
        <v>22616399</v>
      </c>
      <c r="X1526" s="9">
        <v>2251257</v>
      </c>
      <c r="Y1526" s="9">
        <v>68922985</v>
      </c>
      <c r="Z1526" s="9" t="s">
        <v>39</v>
      </c>
      <c r="AA1526" s="9">
        <v>7009361680</v>
      </c>
      <c r="AB1526" s="9">
        <v>77692</v>
      </c>
      <c r="AC1526" s="9" t="s">
        <v>41</v>
      </c>
      <c r="AD1526" s="9" t="s">
        <v>71</v>
      </c>
      <c r="AE1526" s="9" t="s">
        <v>72</v>
      </c>
      <c r="AF1526" s="9" t="s">
        <v>73</v>
      </c>
      <c r="AG1526" s="14" t="str">
        <f>+AF1526</f>
        <v>CONSULTA PSIQUIATRICA</v>
      </c>
      <c r="AH1526" s="9">
        <v>0</v>
      </c>
      <c r="AI1526" s="9">
        <v>0</v>
      </c>
      <c r="AJ1526" s="9">
        <v>77892462</v>
      </c>
      <c r="AK1526" s="9">
        <v>5</v>
      </c>
      <c r="AL1526" s="26" t="s">
        <v>62</v>
      </c>
      <c r="AM1526" s="14" t="s">
        <v>755</v>
      </c>
      <c r="AN1526" s="27" t="str">
        <f t="shared" si="49"/>
        <v>12875970|77892462|1512009398|986140</v>
      </c>
      <c r="AO1526" t="s">
        <v>44</v>
      </c>
      <c r="AP1526" t="b">
        <v>0</v>
      </c>
      <c r="AQ1526" t="s">
        <v>763</v>
      </c>
    </row>
    <row r="1527" spans="1:43" x14ac:dyDescent="0.2">
      <c r="A1527" s="14" t="s">
        <v>500</v>
      </c>
      <c r="B1527" s="17">
        <v>12875970</v>
      </c>
      <c r="C1527" s="14" t="s">
        <v>493</v>
      </c>
      <c r="D1527" s="9">
        <v>12875970</v>
      </c>
      <c r="E1527" s="9" t="s">
        <v>493</v>
      </c>
      <c r="F1527" s="7">
        <v>45689</v>
      </c>
      <c r="G1527" s="20" t="s">
        <v>36</v>
      </c>
      <c r="H1527" s="8">
        <v>1512009398</v>
      </c>
      <c r="I1527" s="19">
        <v>986140</v>
      </c>
      <c r="J1527" s="10">
        <v>27750</v>
      </c>
      <c r="K1527" s="10">
        <v>0</v>
      </c>
      <c r="L1527" s="10">
        <v>27750</v>
      </c>
      <c r="M1527" s="10">
        <v>0</v>
      </c>
      <c r="N1527" s="11">
        <v>27750</v>
      </c>
      <c r="O1527" s="12">
        <v>1512009398</v>
      </c>
      <c r="P1527" s="9">
        <v>285123</v>
      </c>
      <c r="Q1527" s="9" t="s">
        <v>37</v>
      </c>
      <c r="R1527" s="13">
        <v>45706</v>
      </c>
      <c r="S1527" s="22">
        <v>45706</v>
      </c>
      <c r="T1527" s="13">
        <v>45685</v>
      </c>
      <c r="U1527" s="13">
        <v>45686</v>
      </c>
      <c r="V1527" s="9" t="s">
        <v>47</v>
      </c>
      <c r="W1527" s="9">
        <v>22616399</v>
      </c>
      <c r="X1527" s="9">
        <v>2251257</v>
      </c>
      <c r="Y1527" s="9">
        <v>68922985</v>
      </c>
      <c r="Z1527" s="9" t="s">
        <v>39</v>
      </c>
      <c r="AA1527" s="9">
        <v>7009361680</v>
      </c>
      <c r="AB1527" s="9">
        <v>77692</v>
      </c>
      <c r="AC1527" s="9" t="s">
        <v>41</v>
      </c>
      <c r="AD1527" s="9" t="s">
        <v>65</v>
      </c>
      <c r="AE1527" s="9" t="s">
        <v>66</v>
      </c>
      <c r="AF1527" s="9" t="s">
        <v>66</v>
      </c>
      <c r="AG1527" s="14" t="str">
        <f>+AF1527</f>
        <v>PROCEDIMIENTOS TERAPEUTICOS</v>
      </c>
      <c r="AH1527" s="9">
        <v>0</v>
      </c>
      <c r="AI1527" s="9">
        <v>0</v>
      </c>
      <c r="AJ1527" s="9">
        <v>77580622</v>
      </c>
      <c r="AK1527" s="9">
        <v>2</v>
      </c>
      <c r="AL1527" s="26" t="s">
        <v>62</v>
      </c>
      <c r="AM1527" s="14" t="s">
        <v>755</v>
      </c>
      <c r="AN1527" s="27" t="str">
        <f t="shared" si="49"/>
        <v>12875970|77580622|1512009398|986140</v>
      </c>
      <c r="AO1527" t="s">
        <v>44</v>
      </c>
      <c r="AP1527" t="b">
        <v>0</v>
      </c>
      <c r="AQ1527" t="s">
        <v>763</v>
      </c>
    </row>
    <row r="1528" spans="1:43" x14ac:dyDescent="0.2">
      <c r="A1528" s="14" t="s">
        <v>500</v>
      </c>
      <c r="B1528" s="17">
        <v>12875970</v>
      </c>
      <c r="C1528" s="14" t="s">
        <v>493</v>
      </c>
      <c r="D1528" s="9">
        <v>12875970</v>
      </c>
      <c r="E1528" s="9" t="s">
        <v>493</v>
      </c>
      <c r="F1528" s="7">
        <v>45717</v>
      </c>
      <c r="G1528" s="20" t="s">
        <v>46</v>
      </c>
      <c r="H1528" s="8">
        <v>1512009398</v>
      </c>
      <c r="I1528" s="19">
        <v>65213074</v>
      </c>
      <c r="J1528" s="10">
        <v>14196</v>
      </c>
      <c r="K1528" s="10">
        <v>0</v>
      </c>
      <c r="L1528" s="10">
        <v>14196</v>
      </c>
      <c r="M1528" s="10">
        <v>0</v>
      </c>
      <c r="N1528" s="11">
        <v>14196</v>
      </c>
      <c r="O1528" s="12">
        <v>1512009398</v>
      </c>
      <c r="P1528" s="9">
        <v>285123</v>
      </c>
      <c r="Q1528" s="9" t="s">
        <v>37</v>
      </c>
      <c r="R1528" s="13">
        <v>45717</v>
      </c>
      <c r="S1528" s="22">
        <v>45733</v>
      </c>
      <c r="T1528" s="13">
        <v>45695</v>
      </c>
      <c r="U1528" s="13">
        <v>45695</v>
      </c>
      <c r="V1528" s="9" t="s">
        <v>47</v>
      </c>
      <c r="W1528" s="9">
        <v>22753716</v>
      </c>
      <c r="X1528" s="9">
        <v>3251558</v>
      </c>
      <c r="Y1528" s="9">
        <v>69156471</v>
      </c>
      <c r="Z1528" s="9" t="s">
        <v>39</v>
      </c>
      <c r="AA1528" s="9">
        <v>7009361680</v>
      </c>
      <c r="AB1528" s="9">
        <v>78017</v>
      </c>
      <c r="AC1528" s="9" t="s">
        <v>41</v>
      </c>
      <c r="AD1528" s="9" t="s">
        <v>128</v>
      </c>
      <c r="AE1528" s="9" t="s">
        <v>129</v>
      </c>
      <c r="AF1528" s="9" t="s">
        <v>124</v>
      </c>
      <c r="AG1528" s="14" t="s">
        <v>125</v>
      </c>
      <c r="AH1528" s="9">
        <v>0</v>
      </c>
      <c r="AI1528" s="9">
        <v>0</v>
      </c>
      <c r="AJ1528" s="9">
        <v>89807200</v>
      </c>
      <c r="AK1528" s="9">
        <v>2</v>
      </c>
      <c r="AL1528" s="26" t="s">
        <v>52</v>
      </c>
      <c r="AM1528" s="14" t="s">
        <v>755</v>
      </c>
      <c r="AN1528" s="27" t="str">
        <f t="shared" si="49"/>
        <v>12875970|89807200|1512009398|65213074</v>
      </c>
      <c r="AO1528" t="s">
        <v>44</v>
      </c>
      <c r="AP1528" t="b">
        <v>0</v>
      </c>
      <c r="AQ1528" t="s">
        <v>763</v>
      </c>
    </row>
    <row r="1529" spans="1:43" x14ac:dyDescent="0.2">
      <c r="A1529" s="14" t="s">
        <v>500</v>
      </c>
      <c r="B1529" s="17">
        <v>12875970</v>
      </c>
      <c r="C1529" s="14" t="s">
        <v>493</v>
      </c>
      <c r="D1529" s="9">
        <v>12875970</v>
      </c>
      <c r="E1529" s="9" t="s">
        <v>493</v>
      </c>
      <c r="F1529" s="7">
        <v>45717</v>
      </c>
      <c r="G1529" s="20" t="s">
        <v>46</v>
      </c>
      <c r="H1529" s="8">
        <v>1512009398</v>
      </c>
      <c r="I1529" s="19">
        <v>65213074</v>
      </c>
      <c r="J1529" s="10">
        <v>21102</v>
      </c>
      <c r="K1529" s="10">
        <v>0</v>
      </c>
      <c r="L1529" s="10">
        <v>21102</v>
      </c>
      <c r="M1529" s="10">
        <v>0</v>
      </c>
      <c r="N1529" s="11">
        <v>21102</v>
      </c>
      <c r="O1529" s="12">
        <v>1512009398</v>
      </c>
      <c r="P1529" s="9">
        <v>285123</v>
      </c>
      <c r="Q1529" s="9" t="s">
        <v>37</v>
      </c>
      <c r="R1529" s="13">
        <v>45717</v>
      </c>
      <c r="S1529" s="22">
        <v>45733</v>
      </c>
      <c r="T1529" s="13">
        <v>45695</v>
      </c>
      <c r="U1529" s="13">
        <v>45695</v>
      </c>
      <c r="V1529" s="9" t="s">
        <v>58</v>
      </c>
      <c r="W1529" s="9">
        <v>22753716</v>
      </c>
      <c r="X1529" s="9">
        <v>3251558</v>
      </c>
      <c r="Y1529" s="9">
        <v>69156471</v>
      </c>
      <c r="Z1529" s="9" t="s">
        <v>39</v>
      </c>
      <c r="AA1529" s="9">
        <v>7009361680</v>
      </c>
      <c r="AB1529" s="9">
        <v>78017</v>
      </c>
      <c r="AC1529" s="9" t="s">
        <v>41</v>
      </c>
      <c r="AD1529" s="9" t="s">
        <v>71</v>
      </c>
      <c r="AE1529" s="9" t="s">
        <v>72</v>
      </c>
      <c r="AF1529" s="9" t="s">
        <v>73</v>
      </c>
      <c r="AG1529" s="14" t="str">
        <f>+AF1529</f>
        <v>CONSULTA PSIQUIATRICA</v>
      </c>
      <c r="AH1529" s="9">
        <v>0</v>
      </c>
      <c r="AI1529" s="9">
        <v>0</v>
      </c>
      <c r="AJ1529" s="9">
        <v>77892462</v>
      </c>
      <c r="AK1529" s="9">
        <v>5</v>
      </c>
      <c r="AL1529" s="26" t="s">
        <v>52</v>
      </c>
      <c r="AM1529" s="14" t="s">
        <v>755</v>
      </c>
      <c r="AN1529" s="27" t="str">
        <f t="shared" si="49"/>
        <v>12875970|77892462|1512009398|65213074</v>
      </c>
      <c r="AO1529" t="s">
        <v>44</v>
      </c>
      <c r="AP1529" t="b">
        <v>0</v>
      </c>
      <c r="AQ1529" t="s">
        <v>763</v>
      </c>
    </row>
    <row r="1530" spans="1:43" x14ac:dyDescent="0.2">
      <c r="A1530" s="14" t="s">
        <v>500</v>
      </c>
      <c r="B1530" s="17">
        <v>18022530</v>
      </c>
      <c r="C1530" s="14" t="s">
        <v>130</v>
      </c>
      <c r="D1530" s="9">
        <v>18022530</v>
      </c>
      <c r="E1530" s="9" t="s">
        <v>130</v>
      </c>
      <c r="F1530" s="7">
        <v>45689</v>
      </c>
      <c r="G1530" s="20" t="s">
        <v>36</v>
      </c>
      <c r="H1530" s="8">
        <v>1525027337</v>
      </c>
      <c r="I1530" s="19">
        <v>979501</v>
      </c>
      <c r="J1530" s="10">
        <v>31720</v>
      </c>
      <c r="K1530" s="10">
        <v>0</v>
      </c>
      <c r="L1530" s="10">
        <v>31720</v>
      </c>
      <c r="M1530" s="10">
        <v>0</v>
      </c>
      <c r="N1530" s="11">
        <v>31720</v>
      </c>
      <c r="O1530" s="12">
        <v>1525027337</v>
      </c>
      <c r="P1530" s="9">
        <v>285123</v>
      </c>
      <c r="Q1530" s="9" t="s">
        <v>37</v>
      </c>
      <c r="R1530" s="13">
        <v>45689</v>
      </c>
      <c r="S1530" s="22">
        <v>45695</v>
      </c>
      <c r="T1530" s="13">
        <v>45684</v>
      </c>
      <c r="U1530" s="13">
        <v>45684</v>
      </c>
      <c r="V1530" s="9" t="s">
        <v>47</v>
      </c>
      <c r="W1530" s="9">
        <v>22589733</v>
      </c>
      <c r="X1530" s="9">
        <v>2171726</v>
      </c>
      <c r="Y1530" s="9">
        <v>68883097</v>
      </c>
      <c r="Z1530" s="9" t="s">
        <v>39</v>
      </c>
      <c r="AA1530" s="9">
        <v>987579102</v>
      </c>
      <c r="AB1530" s="9">
        <v>77628</v>
      </c>
      <c r="AC1530" s="9" t="s">
        <v>41</v>
      </c>
      <c r="AD1530" s="9" t="s">
        <v>128</v>
      </c>
      <c r="AE1530" s="9" t="s">
        <v>129</v>
      </c>
      <c r="AF1530" s="9" t="s">
        <v>124</v>
      </c>
      <c r="AG1530" s="14" t="s">
        <v>125</v>
      </c>
      <c r="AH1530" s="9">
        <v>0</v>
      </c>
      <c r="AI1530" s="9">
        <v>0</v>
      </c>
      <c r="AJ1530" s="9">
        <v>89807200</v>
      </c>
      <c r="AK1530" s="9">
        <v>2</v>
      </c>
      <c r="AL1530" s="26" t="s">
        <v>52</v>
      </c>
      <c r="AM1530" s="14" t="s">
        <v>520</v>
      </c>
      <c r="AN1530" s="27" t="str">
        <f t="shared" si="49"/>
        <v>18022530|89807200|1525027337|979501</v>
      </c>
      <c r="AO1530" t="s">
        <v>44</v>
      </c>
      <c r="AP1530" t="b">
        <v>0</v>
      </c>
      <c r="AQ1530" t="s">
        <v>763</v>
      </c>
    </row>
    <row r="1531" spans="1:43" x14ac:dyDescent="0.2">
      <c r="A1531" s="14" t="s">
        <v>500</v>
      </c>
      <c r="B1531" s="17">
        <v>18022530</v>
      </c>
      <c r="C1531" s="14" t="s">
        <v>131</v>
      </c>
      <c r="D1531" s="9">
        <v>18022530</v>
      </c>
      <c r="E1531" s="9" t="s">
        <v>131</v>
      </c>
      <c r="F1531" s="7">
        <v>45717</v>
      </c>
      <c r="G1531" s="20" t="s">
        <v>46</v>
      </c>
      <c r="H1531" s="8">
        <v>1525027337</v>
      </c>
      <c r="I1531" s="19">
        <v>65213279</v>
      </c>
      <c r="J1531" s="10">
        <v>31865</v>
      </c>
      <c r="K1531" s="10">
        <v>0</v>
      </c>
      <c r="L1531" s="10">
        <v>31865</v>
      </c>
      <c r="M1531" s="10">
        <v>0</v>
      </c>
      <c r="N1531" s="11">
        <v>31865</v>
      </c>
      <c r="O1531" s="12">
        <v>1525027337</v>
      </c>
      <c r="P1531" s="9">
        <v>285123</v>
      </c>
      <c r="Q1531" s="9" t="s">
        <v>37</v>
      </c>
      <c r="R1531" s="13">
        <v>45717</v>
      </c>
      <c r="S1531" s="22">
        <v>45733</v>
      </c>
      <c r="T1531" s="13">
        <v>45684</v>
      </c>
      <c r="U1531" s="13">
        <v>45684</v>
      </c>
      <c r="V1531" s="9" t="s">
        <v>47</v>
      </c>
      <c r="W1531" s="9">
        <v>22753651</v>
      </c>
      <c r="X1531" s="9">
        <v>3251558</v>
      </c>
      <c r="Y1531" s="9">
        <v>69156650</v>
      </c>
      <c r="Z1531" s="9" t="s">
        <v>39</v>
      </c>
      <c r="AA1531" s="9">
        <v>987579102</v>
      </c>
      <c r="AB1531" s="9">
        <v>78017</v>
      </c>
      <c r="AC1531" s="9" t="s">
        <v>41</v>
      </c>
      <c r="AD1531" s="9" t="s">
        <v>128</v>
      </c>
      <c r="AE1531" s="9" t="s">
        <v>129</v>
      </c>
      <c r="AF1531" s="9" t="s">
        <v>124</v>
      </c>
      <c r="AG1531" s="14" t="s">
        <v>125</v>
      </c>
      <c r="AH1531" s="9">
        <v>0</v>
      </c>
      <c r="AI1531" s="9">
        <v>0</v>
      </c>
      <c r="AJ1531" s="9">
        <v>89807200</v>
      </c>
      <c r="AK1531" s="9">
        <v>2</v>
      </c>
      <c r="AL1531" s="26" t="s">
        <v>52</v>
      </c>
      <c r="AM1531" s="14" t="s">
        <v>520</v>
      </c>
      <c r="AN1531" s="27" t="str">
        <f t="shared" si="49"/>
        <v>18022530|89807200|1525027337|65213279</v>
      </c>
      <c r="AO1531" t="s">
        <v>44</v>
      </c>
      <c r="AP1531" t="b">
        <v>0</v>
      </c>
      <c r="AQ1531" t="s">
        <v>763</v>
      </c>
    </row>
    <row r="1532" spans="1:43" x14ac:dyDescent="0.2">
      <c r="A1532" s="14" t="s">
        <v>500</v>
      </c>
      <c r="B1532" s="17">
        <v>15510748</v>
      </c>
      <c r="C1532" s="14" t="s">
        <v>256</v>
      </c>
      <c r="D1532" s="9">
        <v>15510748</v>
      </c>
      <c r="E1532" s="9" t="s">
        <v>256</v>
      </c>
      <c r="F1532" s="7">
        <v>45689</v>
      </c>
      <c r="G1532" s="20" t="s">
        <v>36</v>
      </c>
      <c r="H1532" s="8">
        <v>1535985481</v>
      </c>
      <c r="I1532" s="19">
        <v>984403</v>
      </c>
      <c r="J1532" s="10">
        <v>6790</v>
      </c>
      <c r="K1532" s="10">
        <v>0</v>
      </c>
      <c r="L1532" s="10">
        <v>6790</v>
      </c>
      <c r="M1532" s="10">
        <v>0</v>
      </c>
      <c r="N1532" s="11">
        <v>6790</v>
      </c>
      <c r="O1532" s="12">
        <v>1535985481</v>
      </c>
      <c r="P1532" s="9">
        <v>285123</v>
      </c>
      <c r="Q1532" s="9" t="s">
        <v>37</v>
      </c>
      <c r="R1532" s="13">
        <v>45701</v>
      </c>
      <c r="S1532" s="22">
        <v>45708</v>
      </c>
      <c r="T1532" s="13">
        <v>45698</v>
      </c>
      <c r="U1532" s="13">
        <v>45698</v>
      </c>
      <c r="V1532" s="9" t="s">
        <v>47</v>
      </c>
      <c r="W1532" s="9">
        <v>22616365</v>
      </c>
      <c r="X1532" s="9">
        <v>2251257</v>
      </c>
      <c r="Y1532" s="9">
        <v>68922350</v>
      </c>
      <c r="Z1532" s="9" t="s">
        <v>39</v>
      </c>
      <c r="AA1532" s="9">
        <v>104294701</v>
      </c>
      <c r="AB1532" s="9">
        <v>77692</v>
      </c>
      <c r="AC1532" s="9" t="s">
        <v>41</v>
      </c>
      <c r="AD1532" s="9" t="s">
        <v>128</v>
      </c>
      <c r="AE1532" s="9" t="s">
        <v>129</v>
      </c>
      <c r="AF1532" s="9" t="s">
        <v>124</v>
      </c>
      <c r="AG1532" s="14" t="s">
        <v>125</v>
      </c>
      <c r="AH1532" s="9">
        <v>0</v>
      </c>
      <c r="AI1532" s="9">
        <v>0</v>
      </c>
      <c r="AJ1532" s="9">
        <v>89807200</v>
      </c>
      <c r="AK1532" s="9">
        <v>2</v>
      </c>
      <c r="AL1532" s="26" t="s">
        <v>52</v>
      </c>
      <c r="AM1532" s="14" t="s">
        <v>591</v>
      </c>
      <c r="AN1532" s="27" t="str">
        <f t="shared" si="49"/>
        <v>15510748|89807200|1535985481|984403</v>
      </c>
      <c r="AO1532" t="s">
        <v>44</v>
      </c>
      <c r="AP1532" t="b">
        <v>0</v>
      </c>
      <c r="AQ1532" t="s">
        <v>763</v>
      </c>
    </row>
    <row r="1533" spans="1:43" x14ac:dyDescent="0.2">
      <c r="A1533" s="14" t="s">
        <v>500</v>
      </c>
      <c r="B1533" s="17">
        <v>15510748</v>
      </c>
      <c r="C1533" s="14" t="s">
        <v>256</v>
      </c>
      <c r="D1533" s="9">
        <v>15510748</v>
      </c>
      <c r="E1533" s="9" t="s">
        <v>256</v>
      </c>
      <c r="F1533" s="7">
        <v>45717</v>
      </c>
      <c r="G1533" s="20" t="s">
        <v>46</v>
      </c>
      <c r="H1533" s="8">
        <v>1535985481</v>
      </c>
      <c r="I1533" s="19">
        <v>65213178</v>
      </c>
      <c r="J1533" s="10">
        <v>6905</v>
      </c>
      <c r="K1533" s="10">
        <v>0</v>
      </c>
      <c r="L1533" s="10">
        <v>6905</v>
      </c>
      <c r="M1533" s="10">
        <v>0</v>
      </c>
      <c r="N1533" s="11">
        <v>6905</v>
      </c>
      <c r="O1533" s="12">
        <v>1535985481</v>
      </c>
      <c r="P1533" s="9">
        <v>285123</v>
      </c>
      <c r="Q1533" s="9" t="s">
        <v>37</v>
      </c>
      <c r="R1533" s="13">
        <v>45717</v>
      </c>
      <c r="S1533" s="22">
        <v>45733</v>
      </c>
      <c r="T1533" s="13">
        <v>45698</v>
      </c>
      <c r="U1533" s="13">
        <v>45698</v>
      </c>
      <c r="V1533" s="9" t="s">
        <v>47</v>
      </c>
      <c r="W1533" s="9">
        <v>22753741</v>
      </c>
      <c r="X1533" s="9">
        <v>3251558</v>
      </c>
      <c r="Y1533" s="9">
        <v>69156562</v>
      </c>
      <c r="Z1533" s="9" t="s">
        <v>39</v>
      </c>
      <c r="AA1533" s="9">
        <v>104294701</v>
      </c>
      <c r="AB1533" s="9">
        <v>78017</v>
      </c>
      <c r="AC1533" s="9" t="s">
        <v>41</v>
      </c>
      <c r="AD1533" s="9" t="s">
        <v>128</v>
      </c>
      <c r="AE1533" s="9" t="s">
        <v>129</v>
      </c>
      <c r="AF1533" s="9" t="s">
        <v>124</v>
      </c>
      <c r="AG1533" s="14" t="s">
        <v>125</v>
      </c>
      <c r="AH1533" s="9">
        <v>0</v>
      </c>
      <c r="AI1533" s="9">
        <v>0</v>
      </c>
      <c r="AJ1533" s="9">
        <v>89807200</v>
      </c>
      <c r="AK1533" s="9">
        <v>2</v>
      </c>
      <c r="AL1533" s="26" t="s">
        <v>52</v>
      </c>
      <c r="AM1533" s="14" t="s">
        <v>591</v>
      </c>
      <c r="AN1533" s="27" t="str">
        <f t="shared" si="49"/>
        <v>15510748|89807200|1535985481|65213178</v>
      </c>
      <c r="AO1533" t="s">
        <v>44</v>
      </c>
      <c r="AP1533" t="b">
        <v>0</v>
      </c>
      <c r="AQ1533" t="s">
        <v>763</v>
      </c>
    </row>
    <row r="1534" spans="1:43" x14ac:dyDescent="0.2">
      <c r="A1534" s="14" t="s">
        <v>500</v>
      </c>
      <c r="B1534" s="17">
        <v>15315135</v>
      </c>
      <c r="C1534" s="14" t="s">
        <v>494</v>
      </c>
      <c r="D1534" s="9">
        <v>15315135</v>
      </c>
      <c r="E1534" s="9" t="s">
        <v>494</v>
      </c>
      <c r="F1534" s="7">
        <v>45717</v>
      </c>
      <c r="G1534" s="20" t="s">
        <v>36</v>
      </c>
      <c r="H1534" s="8">
        <v>1549594590</v>
      </c>
      <c r="I1534" s="19">
        <v>991394</v>
      </c>
      <c r="J1534" s="10">
        <v>10074</v>
      </c>
      <c r="K1534" s="10">
        <v>4030</v>
      </c>
      <c r="L1534" s="10">
        <v>6044</v>
      </c>
      <c r="M1534" s="10">
        <v>0</v>
      </c>
      <c r="N1534" s="11">
        <v>6044</v>
      </c>
      <c r="O1534" s="12">
        <v>1549594590</v>
      </c>
      <c r="P1534" s="9">
        <v>285123</v>
      </c>
      <c r="Q1534" s="9" t="s">
        <v>37</v>
      </c>
      <c r="R1534" s="13">
        <v>45720</v>
      </c>
      <c r="S1534" s="22">
        <v>45720</v>
      </c>
      <c r="T1534" s="13">
        <v>45708</v>
      </c>
      <c r="U1534" s="13">
        <v>45708</v>
      </c>
      <c r="V1534" s="9" t="s">
        <v>47</v>
      </c>
      <c r="W1534" s="9">
        <v>22670145</v>
      </c>
      <c r="X1534" s="9">
        <v>3101250</v>
      </c>
      <c r="Y1534" s="9">
        <v>68973184</v>
      </c>
      <c r="Z1534" s="9" t="s">
        <v>39</v>
      </c>
      <c r="AA1534" s="9">
        <v>64036670</v>
      </c>
      <c r="AB1534" s="9">
        <v>77859</v>
      </c>
      <c r="AC1534" s="9" t="s">
        <v>41</v>
      </c>
      <c r="AD1534" s="9" t="s">
        <v>140</v>
      </c>
      <c r="AE1534" s="9" t="s">
        <v>141</v>
      </c>
      <c r="AF1534" s="9" t="s">
        <v>124</v>
      </c>
      <c r="AG1534" s="14" t="s">
        <v>125</v>
      </c>
      <c r="AH1534" s="9">
        <v>0</v>
      </c>
      <c r="AI1534" s="9">
        <v>0</v>
      </c>
      <c r="AJ1534" s="9">
        <v>89807200</v>
      </c>
      <c r="AK1534" s="9">
        <v>2</v>
      </c>
      <c r="AL1534" s="26" t="s">
        <v>62</v>
      </c>
      <c r="AM1534" s="14" t="s">
        <v>756</v>
      </c>
      <c r="AN1534" s="27" t="str">
        <f t="shared" si="49"/>
        <v>15315135|89807200|1549594590|991394</v>
      </c>
      <c r="AO1534" t="s">
        <v>44</v>
      </c>
      <c r="AP1534" t="b">
        <v>0</v>
      </c>
      <c r="AQ1534" t="s">
        <v>763</v>
      </c>
    </row>
    <row r="1535" spans="1:43" x14ac:dyDescent="0.2">
      <c r="A1535" s="14" t="s">
        <v>500</v>
      </c>
      <c r="B1535" s="17">
        <v>15315135</v>
      </c>
      <c r="C1535" s="14" t="s">
        <v>494</v>
      </c>
      <c r="D1535" s="9">
        <v>15315135</v>
      </c>
      <c r="E1535" s="9" t="s">
        <v>494</v>
      </c>
      <c r="F1535" s="7">
        <v>45717</v>
      </c>
      <c r="G1535" s="20" t="s">
        <v>46</v>
      </c>
      <c r="H1535" s="8">
        <v>1549594590</v>
      </c>
      <c r="I1535" s="19">
        <v>65213161</v>
      </c>
      <c r="J1535" s="10">
        <v>10021</v>
      </c>
      <c r="K1535" s="10">
        <v>0</v>
      </c>
      <c r="L1535" s="10">
        <v>10021</v>
      </c>
      <c r="M1535" s="10">
        <v>0</v>
      </c>
      <c r="N1535" s="11">
        <v>10021</v>
      </c>
      <c r="O1535" s="12">
        <v>1549594590</v>
      </c>
      <c r="P1535" s="9">
        <v>285123</v>
      </c>
      <c r="Q1535" s="9" t="s">
        <v>37</v>
      </c>
      <c r="R1535" s="13">
        <v>45717</v>
      </c>
      <c r="S1535" s="22">
        <v>45733</v>
      </c>
      <c r="T1535" s="13">
        <v>45708</v>
      </c>
      <c r="U1535" s="13">
        <v>45708</v>
      </c>
      <c r="V1535" s="9" t="s">
        <v>47</v>
      </c>
      <c r="W1535" s="9">
        <v>22753799</v>
      </c>
      <c r="X1535" s="9">
        <v>3251558</v>
      </c>
      <c r="Y1535" s="9">
        <v>69156546</v>
      </c>
      <c r="Z1535" s="9" t="s">
        <v>39</v>
      </c>
      <c r="AA1535" s="9">
        <v>64036670</v>
      </c>
      <c r="AB1535" s="9">
        <v>78017</v>
      </c>
      <c r="AC1535" s="9" t="s">
        <v>41</v>
      </c>
      <c r="AD1535" s="9" t="s">
        <v>140</v>
      </c>
      <c r="AE1535" s="9" t="s">
        <v>141</v>
      </c>
      <c r="AF1535" s="9" t="s">
        <v>124</v>
      </c>
      <c r="AG1535" s="14" t="s">
        <v>125</v>
      </c>
      <c r="AH1535" s="9">
        <v>0</v>
      </c>
      <c r="AI1535" s="9">
        <v>0</v>
      </c>
      <c r="AJ1535" s="9">
        <v>89807200</v>
      </c>
      <c r="AK1535" s="9">
        <v>2</v>
      </c>
      <c r="AL1535" s="26" t="s">
        <v>52</v>
      </c>
      <c r="AM1535" s="14" t="s">
        <v>756</v>
      </c>
      <c r="AN1535" s="27" t="str">
        <f t="shared" si="49"/>
        <v>15315135|89807200|1549594590|65213161</v>
      </c>
      <c r="AO1535" t="s">
        <v>44</v>
      </c>
      <c r="AP1535" t="b">
        <v>0</v>
      </c>
      <c r="AQ1535" t="s">
        <v>763</v>
      </c>
    </row>
    <row r="1536" spans="1:43" x14ac:dyDescent="0.2">
      <c r="A1536" s="14" t="s">
        <v>500</v>
      </c>
      <c r="B1536" s="17">
        <v>19745778</v>
      </c>
      <c r="C1536" s="14" t="s">
        <v>342</v>
      </c>
      <c r="D1536" s="9">
        <v>19745778</v>
      </c>
      <c r="E1536" s="9" t="s">
        <v>342</v>
      </c>
      <c r="F1536" s="7">
        <v>45717</v>
      </c>
      <c r="G1536" s="20" t="s">
        <v>36</v>
      </c>
      <c r="H1536" s="8">
        <v>1572866966</v>
      </c>
      <c r="I1536" s="19">
        <v>991297</v>
      </c>
      <c r="J1536" s="10">
        <v>20923</v>
      </c>
      <c r="K1536" s="10">
        <v>0</v>
      </c>
      <c r="L1536" s="10">
        <v>20923</v>
      </c>
      <c r="M1536" s="10">
        <v>0</v>
      </c>
      <c r="N1536" s="11">
        <v>20923</v>
      </c>
      <c r="O1536" s="12">
        <v>1572866966</v>
      </c>
      <c r="P1536" s="9">
        <v>285123</v>
      </c>
      <c r="Q1536" s="9" t="s">
        <v>37</v>
      </c>
      <c r="R1536" s="13">
        <v>45720</v>
      </c>
      <c r="S1536" s="22">
        <v>45729</v>
      </c>
      <c r="T1536" s="13">
        <v>45670</v>
      </c>
      <c r="U1536" s="13">
        <v>45701</v>
      </c>
      <c r="V1536" s="9" t="s">
        <v>47</v>
      </c>
      <c r="W1536" s="9">
        <v>22705234</v>
      </c>
      <c r="X1536" s="9">
        <v>3171658</v>
      </c>
      <c r="Y1536" s="9">
        <v>69026590</v>
      </c>
      <c r="Z1536" s="9" t="s">
        <v>39</v>
      </c>
      <c r="AA1536" s="9">
        <v>4461488202</v>
      </c>
      <c r="AB1536" s="9">
        <v>77929</v>
      </c>
      <c r="AC1536" s="9" t="s">
        <v>41</v>
      </c>
      <c r="AD1536" s="9" t="s">
        <v>128</v>
      </c>
      <c r="AE1536" s="9" t="s">
        <v>129</v>
      </c>
      <c r="AF1536" s="9" t="s">
        <v>124</v>
      </c>
      <c r="AG1536" s="14" t="s">
        <v>125</v>
      </c>
      <c r="AH1536" s="9">
        <v>0</v>
      </c>
      <c r="AI1536" s="9">
        <v>0</v>
      </c>
      <c r="AJ1536" s="9">
        <v>89807200</v>
      </c>
      <c r="AK1536" s="9">
        <v>2</v>
      </c>
      <c r="AL1536" s="26" t="s">
        <v>52</v>
      </c>
      <c r="AM1536" s="14" t="s">
        <v>644</v>
      </c>
      <c r="AN1536" s="27" t="str">
        <f t="shared" si="49"/>
        <v>19745778|89807200|1572866966|991297</v>
      </c>
      <c r="AO1536" t="s">
        <v>44</v>
      </c>
      <c r="AP1536" t="b">
        <v>0</v>
      </c>
      <c r="AQ1536" t="s">
        <v>763</v>
      </c>
    </row>
    <row r="1537" spans="1:43" x14ac:dyDescent="0.2">
      <c r="A1537" s="14" t="s">
        <v>500</v>
      </c>
      <c r="B1537" s="17">
        <v>19745778</v>
      </c>
      <c r="C1537" s="14" t="s">
        <v>342</v>
      </c>
      <c r="D1537" s="9">
        <v>19745778</v>
      </c>
      <c r="E1537" s="9" t="s">
        <v>342</v>
      </c>
      <c r="F1537" s="7">
        <v>45717</v>
      </c>
      <c r="G1537" s="20" t="s">
        <v>36</v>
      </c>
      <c r="H1537" s="8">
        <v>1572866966</v>
      </c>
      <c r="I1537" s="19">
        <v>991297</v>
      </c>
      <c r="J1537" s="10">
        <v>22075</v>
      </c>
      <c r="K1537" s="10">
        <v>0</v>
      </c>
      <c r="L1537" s="10">
        <v>22075</v>
      </c>
      <c r="M1537" s="10">
        <v>0</v>
      </c>
      <c r="N1537" s="11">
        <v>22075</v>
      </c>
      <c r="O1537" s="12">
        <v>1572866966</v>
      </c>
      <c r="P1537" s="9">
        <v>285123</v>
      </c>
      <c r="Q1537" s="9" t="s">
        <v>37</v>
      </c>
      <c r="R1537" s="13">
        <v>45720</v>
      </c>
      <c r="S1537" s="22">
        <v>45729</v>
      </c>
      <c r="T1537" s="13">
        <v>45670</v>
      </c>
      <c r="U1537" s="13">
        <v>45670</v>
      </c>
      <c r="V1537" s="9" t="s">
        <v>47</v>
      </c>
      <c r="W1537" s="9">
        <v>22705234</v>
      </c>
      <c r="X1537" s="9">
        <v>3171658</v>
      </c>
      <c r="Y1537" s="9">
        <v>69026590</v>
      </c>
      <c r="Z1537" s="9" t="s">
        <v>39</v>
      </c>
      <c r="AA1537" s="9">
        <v>4461488202</v>
      </c>
      <c r="AB1537" s="9">
        <v>77929</v>
      </c>
      <c r="AC1537" s="9" t="s">
        <v>41</v>
      </c>
      <c r="AD1537" s="9" t="s">
        <v>128</v>
      </c>
      <c r="AE1537" s="9" t="s">
        <v>129</v>
      </c>
      <c r="AF1537" s="9" t="s">
        <v>124</v>
      </c>
      <c r="AG1537" s="14" t="s">
        <v>125</v>
      </c>
      <c r="AH1537" s="9">
        <v>0</v>
      </c>
      <c r="AI1537" s="9">
        <v>0</v>
      </c>
      <c r="AJ1537" s="9">
        <v>89807200</v>
      </c>
      <c r="AK1537" s="9">
        <v>2</v>
      </c>
      <c r="AL1537" s="26" t="s">
        <v>52</v>
      </c>
      <c r="AM1537" s="14" t="s">
        <v>644</v>
      </c>
      <c r="AN1537" s="27" t="str">
        <f t="shared" si="49"/>
        <v>19745778|89807200|1572866966|991297</v>
      </c>
      <c r="AO1537" t="s">
        <v>44</v>
      </c>
      <c r="AP1537" t="b">
        <v>0</v>
      </c>
      <c r="AQ1537" t="s">
        <v>763</v>
      </c>
    </row>
    <row r="1538" spans="1:43" x14ac:dyDescent="0.2">
      <c r="A1538" s="14" t="s">
        <v>500</v>
      </c>
      <c r="B1538" s="17">
        <v>19745778</v>
      </c>
      <c r="C1538" s="14" t="s">
        <v>342</v>
      </c>
      <c r="D1538" s="9">
        <v>19745778</v>
      </c>
      <c r="E1538" s="9" t="s">
        <v>342</v>
      </c>
      <c r="F1538" s="7">
        <v>45717</v>
      </c>
      <c r="G1538" s="20" t="s">
        <v>46</v>
      </c>
      <c r="H1538" s="8">
        <v>1572866966</v>
      </c>
      <c r="I1538" s="19">
        <v>65213301</v>
      </c>
      <c r="J1538" s="10">
        <v>43417</v>
      </c>
      <c r="K1538" s="10">
        <v>0</v>
      </c>
      <c r="L1538" s="10">
        <v>43417</v>
      </c>
      <c r="M1538" s="10">
        <v>0</v>
      </c>
      <c r="N1538" s="11">
        <v>43417</v>
      </c>
      <c r="O1538" s="12">
        <v>1572866966</v>
      </c>
      <c r="P1538" s="9">
        <v>285123</v>
      </c>
      <c r="Q1538" s="9" t="s">
        <v>37</v>
      </c>
      <c r="R1538" s="13">
        <v>45717</v>
      </c>
      <c r="S1538" s="22">
        <v>45733</v>
      </c>
      <c r="T1538" s="13">
        <v>45670</v>
      </c>
      <c r="U1538" s="13">
        <v>45670</v>
      </c>
      <c r="V1538" s="9" t="s">
        <v>47</v>
      </c>
      <c r="W1538" s="9">
        <v>22753766</v>
      </c>
      <c r="X1538" s="9">
        <v>3251558</v>
      </c>
      <c r="Y1538" s="9">
        <v>69156668</v>
      </c>
      <c r="Z1538" s="9" t="s">
        <v>39</v>
      </c>
      <c r="AA1538" s="9">
        <v>4461488202</v>
      </c>
      <c r="AB1538" s="9">
        <v>78017</v>
      </c>
      <c r="AC1538" s="9" t="s">
        <v>41</v>
      </c>
      <c r="AD1538" s="9" t="s">
        <v>128</v>
      </c>
      <c r="AE1538" s="9" t="s">
        <v>129</v>
      </c>
      <c r="AF1538" s="9" t="s">
        <v>124</v>
      </c>
      <c r="AG1538" s="14" t="s">
        <v>125</v>
      </c>
      <c r="AH1538" s="9">
        <v>0</v>
      </c>
      <c r="AI1538" s="9">
        <v>0</v>
      </c>
      <c r="AJ1538" s="9">
        <v>89807200</v>
      </c>
      <c r="AK1538" s="9">
        <v>2</v>
      </c>
      <c r="AL1538" s="26" t="s">
        <v>52</v>
      </c>
      <c r="AM1538" s="14" t="s">
        <v>644</v>
      </c>
      <c r="AN1538" s="27" t="str">
        <f t="shared" si="49"/>
        <v>19745778|89807200|1572866966|65213301</v>
      </c>
      <c r="AO1538" t="s">
        <v>44</v>
      </c>
      <c r="AP1538" t="b">
        <v>0</v>
      </c>
      <c r="AQ1538" t="s">
        <v>763</v>
      </c>
    </row>
    <row r="1539" spans="1:43" x14ac:dyDescent="0.2">
      <c r="A1539" s="14" t="s">
        <v>500</v>
      </c>
      <c r="B1539" s="17">
        <v>11266109</v>
      </c>
      <c r="C1539" s="14" t="s">
        <v>446</v>
      </c>
      <c r="D1539" s="9">
        <v>11860577</v>
      </c>
      <c r="E1539" s="9" t="s">
        <v>495</v>
      </c>
      <c r="F1539" s="7">
        <v>45717</v>
      </c>
      <c r="G1539" s="20" t="s">
        <v>36</v>
      </c>
      <c r="H1539" s="8">
        <v>1575002263</v>
      </c>
      <c r="I1539" s="19">
        <v>987772</v>
      </c>
      <c r="J1539" s="10">
        <v>18290</v>
      </c>
      <c r="K1539" s="10">
        <v>6438</v>
      </c>
      <c r="L1539" s="10">
        <v>11852</v>
      </c>
      <c r="M1539" s="10">
        <v>0</v>
      </c>
      <c r="N1539" s="11">
        <v>11852</v>
      </c>
      <c r="O1539" s="12">
        <v>1575002263</v>
      </c>
      <c r="P1539" s="9">
        <v>285123</v>
      </c>
      <c r="Q1539" s="9" t="s">
        <v>37</v>
      </c>
      <c r="R1539" s="13">
        <v>45717</v>
      </c>
      <c r="S1539" s="22">
        <v>45719</v>
      </c>
      <c r="T1539" s="13">
        <v>45693</v>
      </c>
      <c r="U1539" s="13">
        <v>45693</v>
      </c>
      <c r="V1539" s="9" t="s">
        <v>47</v>
      </c>
      <c r="W1539" s="9">
        <v>22669557</v>
      </c>
      <c r="X1539" s="9">
        <v>3101250</v>
      </c>
      <c r="Y1539" s="9">
        <v>68970875</v>
      </c>
      <c r="Z1539" s="9" t="s">
        <v>39</v>
      </c>
      <c r="AA1539" s="9">
        <v>89037107</v>
      </c>
      <c r="AB1539" s="9">
        <v>77859</v>
      </c>
      <c r="AC1539" s="9" t="s">
        <v>41</v>
      </c>
      <c r="AD1539" s="9" t="s">
        <v>128</v>
      </c>
      <c r="AE1539" s="9" t="s">
        <v>129</v>
      </c>
      <c r="AF1539" s="9" t="s">
        <v>124</v>
      </c>
      <c r="AG1539" s="14" t="s">
        <v>125</v>
      </c>
      <c r="AH1539" s="9">
        <v>0</v>
      </c>
      <c r="AI1539" s="9">
        <v>0</v>
      </c>
      <c r="AJ1539" s="9">
        <v>89807200</v>
      </c>
      <c r="AK1539" s="9">
        <v>2</v>
      </c>
      <c r="AL1539" s="26" t="s">
        <v>52</v>
      </c>
      <c r="AM1539" s="14" t="s">
        <v>721</v>
      </c>
      <c r="AN1539" s="27" t="str">
        <f t="shared" ref="AN1539:AN1548" si="51">B1539&amp;"|"&amp;AJ1539&amp;"|"&amp;H1539&amp;"|"&amp;I1539</f>
        <v>11266109|89807200|1575002263|987772</v>
      </c>
      <c r="AO1539" t="s">
        <v>44</v>
      </c>
      <c r="AP1539" t="b">
        <v>0</v>
      </c>
      <c r="AQ1539" t="s">
        <v>763</v>
      </c>
    </row>
    <row r="1540" spans="1:43" x14ac:dyDescent="0.2">
      <c r="A1540" s="14" t="s">
        <v>500</v>
      </c>
      <c r="B1540" s="17">
        <v>11266109</v>
      </c>
      <c r="C1540" s="14" t="s">
        <v>446</v>
      </c>
      <c r="D1540" s="9">
        <v>11860577</v>
      </c>
      <c r="E1540" s="9" t="s">
        <v>495</v>
      </c>
      <c r="F1540" s="7">
        <v>45717</v>
      </c>
      <c r="G1540" s="20" t="s">
        <v>46</v>
      </c>
      <c r="H1540" s="8">
        <v>1575002263</v>
      </c>
      <c r="I1540" s="19">
        <v>65213020</v>
      </c>
      <c r="J1540" s="10">
        <v>16112</v>
      </c>
      <c r="K1540" s="10">
        <v>0</v>
      </c>
      <c r="L1540" s="10">
        <v>16112</v>
      </c>
      <c r="M1540" s="10">
        <v>0</v>
      </c>
      <c r="N1540" s="11">
        <v>16112</v>
      </c>
      <c r="O1540" s="12">
        <v>1575002263</v>
      </c>
      <c r="P1540" s="9">
        <v>285123</v>
      </c>
      <c r="Q1540" s="9" t="s">
        <v>37</v>
      </c>
      <c r="R1540" s="13">
        <v>45717</v>
      </c>
      <c r="S1540" s="22">
        <v>45733</v>
      </c>
      <c r="T1540" s="13">
        <v>45693</v>
      </c>
      <c r="U1540" s="13">
        <v>45693</v>
      </c>
      <c r="V1540" s="9" t="s">
        <v>47</v>
      </c>
      <c r="W1540" s="9">
        <v>22753737</v>
      </c>
      <c r="X1540" s="9">
        <v>3251558</v>
      </c>
      <c r="Y1540" s="9">
        <v>69156424</v>
      </c>
      <c r="Z1540" s="9" t="s">
        <v>39</v>
      </c>
      <c r="AA1540" s="9">
        <v>89037107</v>
      </c>
      <c r="AB1540" s="9">
        <v>78017</v>
      </c>
      <c r="AC1540" s="9" t="s">
        <v>41</v>
      </c>
      <c r="AD1540" s="9" t="s">
        <v>128</v>
      </c>
      <c r="AE1540" s="9" t="s">
        <v>129</v>
      </c>
      <c r="AF1540" s="9" t="s">
        <v>124</v>
      </c>
      <c r="AG1540" s="14" t="s">
        <v>125</v>
      </c>
      <c r="AH1540" s="9">
        <v>0</v>
      </c>
      <c r="AI1540" s="9">
        <v>0</v>
      </c>
      <c r="AJ1540" s="9">
        <v>89807200</v>
      </c>
      <c r="AK1540" s="9">
        <v>2</v>
      </c>
      <c r="AL1540" s="26" t="s">
        <v>52</v>
      </c>
      <c r="AM1540" s="14" t="s">
        <v>721</v>
      </c>
      <c r="AN1540" s="27" t="str">
        <f t="shared" si="51"/>
        <v>11266109|89807200|1575002263|65213020</v>
      </c>
      <c r="AO1540" t="s">
        <v>44</v>
      </c>
      <c r="AP1540" t="b">
        <v>0</v>
      </c>
      <c r="AQ1540" t="s">
        <v>763</v>
      </c>
    </row>
    <row r="1541" spans="1:43" x14ac:dyDescent="0.2">
      <c r="A1541" s="14" t="s">
        <v>500</v>
      </c>
      <c r="B1541" s="17">
        <v>9177419</v>
      </c>
      <c r="C1541" s="14" t="s">
        <v>496</v>
      </c>
      <c r="D1541" s="9">
        <v>9177419</v>
      </c>
      <c r="E1541" s="9" t="s">
        <v>496</v>
      </c>
      <c r="F1541" s="7">
        <v>45809</v>
      </c>
      <c r="G1541" s="20" t="s">
        <v>36</v>
      </c>
      <c r="H1541" s="8">
        <v>1579874258</v>
      </c>
      <c r="I1541" s="19">
        <v>1040661</v>
      </c>
      <c r="J1541" s="10">
        <v>13978</v>
      </c>
      <c r="K1541" s="10">
        <v>0</v>
      </c>
      <c r="L1541" s="10">
        <v>13978</v>
      </c>
      <c r="M1541" s="10">
        <v>0</v>
      </c>
      <c r="N1541" s="11">
        <v>13978</v>
      </c>
      <c r="O1541" s="12">
        <v>1579874258</v>
      </c>
      <c r="P1541" s="9">
        <v>285123</v>
      </c>
      <c r="Q1541" s="9" t="s">
        <v>37</v>
      </c>
      <c r="R1541" s="13">
        <v>45833</v>
      </c>
      <c r="S1541" s="22">
        <v>45833.676157407404</v>
      </c>
      <c r="T1541" s="13">
        <v>45806</v>
      </c>
      <c r="U1541" s="13">
        <v>45806</v>
      </c>
      <c r="V1541" s="9"/>
      <c r="W1541" s="9" t="s">
        <v>38</v>
      </c>
      <c r="X1541" s="9" t="s">
        <v>38</v>
      </c>
      <c r="Y1541" s="9" t="s">
        <v>38</v>
      </c>
      <c r="Z1541" s="9" t="s">
        <v>39</v>
      </c>
      <c r="AA1541" s="9" t="s">
        <v>38</v>
      </c>
      <c r="AB1541" s="9" t="s">
        <v>38</v>
      </c>
      <c r="AC1541" s="9" t="s">
        <v>41</v>
      </c>
      <c r="AD1541" s="9" t="s">
        <v>123</v>
      </c>
      <c r="AE1541" s="9" t="s">
        <v>124</v>
      </c>
      <c r="AF1541" s="9" t="s">
        <v>124</v>
      </c>
      <c r="AG1541" s="14" t="s">
        <v>125</v>
      </c>
      <c r="AH1541" s="9" t="s">
        <v>44</v>
      </c>
      <c r="AI1541" s="9" t="s">
        <v>497</v>
      </c>
      <c r="AJ1541" s="9">
        <v>89807200</v>
      </c>
      <c r="AK1541" s="9" t="s">
        <v>38</v>
      </c>
      <c r="AL1541" s="26" t="s">
        <v>38</v>
      </c>
      <c r="AM1541" s="14" t="s">
        <v>757</v>
      </c>
      <c r="AN1541" s="27" t="str">
        <f t="shared" si="51"/>
        <v>9177419|89807200|1579874258|1040661</v>
      </c>
      <c r="AO1541" t="s">
        <v>44</v>
      </c>
      <c r="AP1541" t="b">
        <v>1</v>
      </c>
      <c r="AQ1541" t="s">
        <v>763</v>
      </c>
    </row>
    <row r="1542" spans="1:43" x14ac:dyDescent="0.2">
      <c r="A1542" s="14" t="s">
        <v>500</v>
      </c>
      <c r="B1542" s="17">
        <v>9177419</v>
      </c>
      <c r="C1542" s="14" t="s">
        <v>496</v>
      </c>
      <c r="D1542" s="9">
        <v>9177419</v>
      </c>
      <c r="E1542" s="9" t="s">
        <v>496</v>
      </c>
      <c r="F1542" s="7">
        <v>45809</v>
      </c>
      <c r="G1542" s="20" t="s">
        <v>36</v>
      </c>
      <c r="H1542" s="8">
        <v>1579874258</v>
      </c>
      <c r="I1542" s="19">
        <v>1040661</v>
      </c>
      <c r="J1542" s="10">
        <v>15447</v>
      </c>
      <c r="K1542" s="10">
        <v>0</v>
      </c>
      <c r="L1542" s="10">
        <v>15447</v>
      </c>
      <c r="M1542" s="10">
        <v>0</v>
      </c>
      <c r="N1542" s="11">
        <v>15447</v>
      </c>
      <c r="O1542" s="12">
        <v>1579874258</v>
      </c>
      <c r="P1542" s="9">
        <v>285123</v>
      </c>
      <c r="Q1542" s="9" t="s">
        <v>37</v>
      </c>
      <c r="R1542" s="13">
        <v>45833</v>
      </c>
      <c r="S1542" s="22">
        <v>45833.676157407404</v>
      </c>
      <c r="T1542" s="13">
        <v>45806</v>
      </c>
      <c r="U1542" s="13">
        <v>45806</v>
      </c>
      <c r="V1542" s="9"/>
      <c r="W1542" s="9" t="s">
        <v>38</v>
      </c>
      <c r="X1542" s="9" t="s">
        <v>38</v>
      </c>
      <c r="Y1542" s="9" t="s">
        <v>38</v>
      </c>
      <c r="Z1542" s="9" t="s">
        <v>39</v>
      </c>
      <c r="AA1542" s="9" t="s">
        <v>38</v>
      </c>
      <c r="AB1542" s="9" t="s">
        <v>38</v>
      </c>
      <c r="AC1542" s="9" t="s">
        <v>41</v>
      </c>
      <c r="AD1542" s="9" t="s">
        <v>123</v>
      </c>
      <c r="AE1542" s="9" t="s">
        <v>124</v>
      </c>
      <c r="AF1542" s="9" t="s">
        <v>124</v>
      </c>
      <c r="AG1542" s="14" t="s">
        <v>125</v>
      </c>
      <c r="AH1542" s="9" t="s">
        <v>44</v>
      </c>
      <c r="AI1542" s="9" t="s">
        <v>497</v>
      </c>
      <c r="AJ1542" s="9">
        <v>89807200</v>
      </c>
      <c r="AK1542" s="9" t="s">
        <v>38</v>
      </c>
      <c r="AL1542" s="26" t="s">
        <v>38</v>
      </c>
      <c r="AM1542" s="14" t="s">
        <v>757</v>
      </c>
      <c r="AN1542" s="27" t="str">
        <f t="shared" si="51"/>
        <v>9177419|89807200|1579874258|1040661</v>
      </c>
      <c r="AO1542" t="s">
        <v>44</v>
      </c>
      <c r="AP1542" t="b">
        <v>1</v>
      </c>
      <c r="AQ1542" t="s">
        <v>763</v>
      </c>
    </row>
    <row r="1543" spans="1:43" x14ac:dyDescent="0.2">
      <c r="A1543" s="14" t="s">
        <v>500</v>
      </c>
      <c r="B1543" s="17">
        <v>9177419</v>
      </c>
      <c r="C1543" s="14" t="s">
        <v>498</v>
      </c>
      <c r="D1543" s="9">
        <v>9177419</v>
      </c>
      <c r="E1543" s="9" t="s">
        <v>498</v>
      </c>
      <c r="F1543" s="7">
        <v>45839</v>
      </c>
      <c r="G1543" s="20" t="s">
        <v>46</v>
      </c>
      <c r="H1543" s="8">
        <v>1579874258</v>
      </c>
      <c r="I1543" s="19">
        <v>66380941</v>
      </c>
      <c r="J1543" s="10">
        <v>29425</v>
      </c>
      <c r="K1543" s="10">
        <v>0</v>
      </c>
      <c r="L1543" s="10">
        <v>29425</v>
      </c>
      <c r="M1543" s="10">
        <v>0</v>
      </c>
      <c r="N1543" s="11">
        <v>29425</v>
      </c>
      <c r="O1543" s="12">
        <v>1579874258</v>
      </c>
      <c r="P1543" s="9">
        <v>285123</v>
      </c>
      <c r="Q1543" s="9" t="s">
        <v>37</v>
      </c>
      <c r="R1543" s="13">
        <v>45839</v>
      </c>
      <c r="S1543" s="22">
        <v>45839</v>
      </c>
      <c r="T1543" s="13">
        <v>45806</v>
      </c>
      <c r="U1543" s="13">
        <v>45806</v>
      </c>
      <c r="V1543" s="9" t="s">
        <v>47</v>
      </c>
      <c r="W1543" s="9">
        <v>23307083</v>
      </c>
      <c r="X1543" s="9">
        <v>7241739</v>
      </c>
      <c r="Y1543" s="9">
        <v>70359727</v>
      </c>
      <c r="Z1543" s="9" t="s">
        <v>39</v>
      </c>
      <c r="AA1543" s="9">
        <v>1714103519</v>
      </c>
      <c r="AB1543" s="9">
        <v>79359</v>
      </c>
      <c r="AC1543" s="9" t="s">
        <v>41</v>
      </c>
      <c r="AD1543" s="9" t="s">
        <v>128</v>
      </c>
      <c r="AE1543" s="9" t="s">
        <v>129</v>
      </c>
      <c r="AF1543" s="9" t="s">
        <v>124</v>
      </c>
      <c r="AG1543" s="14" t="s">
        <v>125</v>
      </c>
      <c r="AH1543" s="9">
        <v>0</v>
      </c>
      <c r="AI1543" s="9">
        <v>0</v>
      </c>
      <c r="AJ1543" s="9">
        <v>89807200</v>
      </c>
      <c r="AK1543" s="9">
        <v>2</v>
      </c>
      <c r="AL1543" s="26" t="s">
        <v>52</v>
      </c>
      <c r="AM1543" s="14" t="s">
        <v>757</v>
      </c>
      <c r="AN1543" s="27" t="str">
        <f t="shared" si="51"/>
        <v>9177419|89807200|1579874258|66380941</v>
      </c>
      <c r="AO1543" t="s">
        <v>44</v>
      </c>
      <c r="AP1543" t="b">
        <v>0</v>
      </c>
      <c r="AQ1543" t="s">
        <v>763</v>
      </c>
    </row>
    <row r="1544" spans="1:43" x14ac:dyDescent="0.2">
      <c r="A1544" s="14" t="s">
        <v>500</v>
      </c>
      <c r="B1544" s="17">
        <v>18307619</v>
      </c>
      <c r="C1544" s="14" t="s">
        <v>170</v>
      </c>
      <c r="D1544" s="9">
        <v>27677718</v>
      </c>
      <c r="E1544" s="9" t="s">
        <v>499</v>
      </c>
      <c r="F1544" s="7">
        <v>45809</v>
      </c>
      <c r="G1544" s="20" t="s">
        <v>36</v>
      </c>
      <c r="H1544" s="8">
        <v>1585062482</v>
      </c>
      <c r="I1544" s="19">
        <v>1040671</v>
      </c>
      <c r="J1544" s="10">
        <v>4256</v>
      </c>
      <c r="K1544" s="10">
        <v>0</v>
      </c>
      <c r="L1544" s="10">
        <v>4256</v>
      </c>
      <c r="M1544" s="10">
        <v>0</v>
      </c>
      <c r="N1544" s="11">
        <v>4256</v>
      </c>
      <c r="O1544" s="12">
        <v>1585062482</v>
      </c>
      <c r="P1544" s="9">
        <v>285123</v>
      </c>
      <c r="Q1544" s="9" t="s">
        <v>37</v>
      </c>
      <c r="R1544" s="13">
        <v>45833</v>
      </c>
      <c r="S1544" s="22">
        <v>45833.691458333335</v>
      </c>
      <c r="T1544" s="13">
        <v>45809</v>
      </c>
      <c r="U1544" s="13">
        <v>45809</v>
      </c>
      <c r="V1544" s="9"/>
      <c r="W1544" s="9" t="s">
        <v>38</v>
      </c>
      <c r="X1544" s="9" t="s">
        <v>38</v>
      </c>
      <c r="Y1544" s="9" t="s">
        <v>38</v>
      </c>
      <c r="Z1544" s="9" t="s">
        <v>39</v>
      </c>
      <c r="AA1544" s="9" t="s">
        <v>38</v>
      </c>
      <c r="AB1544" s="9" t="s">
        <v>38</v>
      </c>
      <c r="AC1544" s="9" t="s">
        <v>41</v>
      </c>
      <c r="AD1544" s="9" t="s">
        <v>123</v>
      </c>
      <c r="AE1544" s="9" t="s">
        <v>124</v>
      </c>
      <c r="AF1544" s="9" t="s">
        <v>124</v>
      </c>
      <c r="AG1544" s="14" t="s">
        <v>125</v>
      </c>
      <c r="AH1544" s="9" t="s">
        <v>44</v>
      </c>
      <c r="AI1544" s="9" t="s">
        <v>171</v>
      </c>
      <c r="AJ1544" s="9">
        <v>89807200</v>
      </c>
      <c r="AK1544" s="9" t="s">
        <v>38</v>
      </c>
      <c r="AL1544" s="26" t="s">
        <v>38</v>
      </c>
      <c r="AM1544" s="14" t="s">
        <v>531</v>
      </c>
      <c r="AN1544" s="27" t="str">
        <f t="shared" si="51"/>
        <v>18307619|89807200|1585062482|1040671</v>
      </c>
      <c r="AO1544" t="s">
        <v>44</v>
      </c>
      <c r="AP1544" t="b">
        <v>1</v>
      </c>
      <c r="AQ1544" t="s">
        <v>763</v>
      </c>
    </row>
    <row r="1545" spans="1:43" x14ac:dyDescent="0.2">
      <c r="A1545" s="14" t="s">
        <v>500</v>
      </c>
      <c r="B1545" s="17">
        <v>18307619</v>
      </c>
      <c r="C1545" s="14" t="s">
        <v>170</v>
      </c>
      <c r="D1545" s="9">
        <v>27677718</v>
      </c>
      <c r="E1545" s="9" t="s">
        <v>499</v>
      </c>
      <c r="F1545" s="7">
        <v>45809</v>
      </c>
      <c r="G1545" s="20" t="s">
        <v>36</v>
      </c>
      <c r="H1545" s="8">
        <v>1585062482</v>
      </c>
      <c r="I1545" s="19">
        <v>1040671</v>
      </c>
      <c r="J1545" s="10">
        <v>2444</v>
      </c>
      <c r="K1545" s="10">
        <v>0</v>
      </c>
      <c r="L1545" s="10">
        <v>2444</v>
      </c>
      <c r="M1545" s="10">
        <v>0</v>
      </c>
      <c r="N1545" s="11">
        <v>2444</v>
      </c>
      <c r="O1545" s="12">
        <v>1585062482</v>
      </c>
      <c r="P1545" s="9">
        <v>285123</v>
      </c>
      <c r="Q1545" s="9" t="s">
        <v>37</v>
      </c>
      <c r="R1545" s="13">
        <v>45833</v>
      </c>
      <c r="S1545" s="22">
        <v>45833.691458333335</v>
      </c>
      <c r="T1545" s="13">
        <v>45809</v>
      </c>
      <c r="U1545" s="13">
        <v>45809</v>
      </c>
      <c r="V1545" s="9"/>
      <c r="W1545" s="9" t="s">
        <v>38</v>
      </c>
      <c r="X1545" s="9" t="s">
        <v>38</v>
      </c>
      <c r="Y1545" s="9" t="s">
        <v>38</v>
      </c>
      <c r="Z1545" s="9" t="s">
        <v>39</v>
      </c>
      <c r="AA1545" s="9" t="s">
        <v>38</v>
      </c>
      <c r="AB1545" s="9" t="s">
        <v>38</v>
      </c>
      <c r="AC1545" s="9" t="s">
        <v>41</v>
      </c>
      <c r="AD1545" s="9" t="s">
        <v>123</v>
      </c>
      <c r="AE1545" s="9" t="s">
        <v>124</v>
      </c>
      <c r="AF1545" s="9" t="s">
        <v>124</v>
      </c>
      <c r="AG1545" s="14" t="s">
        <v>125</v>
      </c>
      <c r="AH1545" s="9" t="s">
        <v>44</v>
      </c>
      <c r="AI1545" s="9" t="s">
        <v>171</v>
      </c>
      <c r="AJ1545" s="9">
        <v>89807200</v>
      </c>
      <c r="AK1545" s="9" t="s">
        <v>38</v>
      </c>
      <c r="AL1545" s="26" t="s">
        <v>38</v>
      </c>
      <c r="AM1545" s="14" t="s">
        <v>531</v>
      </c>
      <c r="AN1545" s="27" t="str">
        <f t="shared" si="51"/>
        <v>18307619|89807200|1585062482|1040671</v>
      </c>
      <c r="AO1545" t="s">
        <v>44</v>
      </c>
      <c r="AP1545" t="b">
        <v>1</v>
      </c>
      <c r="AQ1545" t="s">
        <v>763</v>
      </c>
    </row>
    <row r="1546" spans="1:43" x14ac:dyDescent="0.2">
      <c r="A1546" s="14" t="s">
        <v>500</v>
      </c>
      <c r="B1546" s="17">
        <v>18307619</v>
      </c>
      <c r="C1546" s="14" t="s">
        <v>170</v>
      </c>
      <c r="D1546" s="9">
        <v>27677718</v>
      </c>
      <c r="E1546" s="9" t="s">
        <v>499</v>
      </c>
      <c r="F1546" s="7">
        <v>45809</v>
      </c>
      <c r="G1546" s="20" t="s">
        <v>36</v>
      </c>
      <c r="H1546" s="8">
        <v>1585062482</v>
      </c>
      <c r="I1546" s="19">
        <v>1040671</v>
      </c>
      <c r="J1546" s="10">
        <v>5454</v>
      </c>
      <c r="K1546" s="10">
        <v>0</v>
      </c>
      <c r="L1546" s="10">
        <v>5454</v>
      </c>
      <c r="M1546" s="10">
        <v>0</v>
      </c>
      <c r="N1546" s="11">
        <v>5454</v>
      </c>
      <c r="O1546" s="12">
        <v>1585062482</v>
      </c>
      <c r="P1546" s="9">
        <v>285123</v>
      </c>
      <c r="Q1546" s="9" t="s">
        <v>37</v>
      </c>
      <c r="R1546" s="13">
        <v>45833</v>
      </c>
      <c r="S1546" s="22">
        <v>45833.691458333335</v>
      </c>
      <c r="T1546" s="13">
        <v>45809</v>
      </c>
      <c r="U1546" s="13">
        <v>45809</v>
      </c>
      <c r="V1546" s="9"/>
      <c r="W1546" s="9" t="s">
        <v>38</v>
      </c>
      <c r="X1546" s="9" t="s">
        <v>38</v>
      </c>
      <c r="Y1546" s="9" t="s">
        <v>38</v>
      </c>
      <c r="Z1546" s="9" t="s">
        <v>39</v>
      </c>
      <c r="AA1546" s="9" t="s">
        <v>38</v>
      </c>
      <c r="AB1546" s="9" t="s">
        <v>38</v>
      </c>
      <c r="AC1546" s="9" t="s">
        <v>41</v>
      </c>
      <c r="AD1546" s="9" t="s">
        <v>123</v>
      </c>
      <c r="AE1546" s="9" t="s">
        <v>124</v>
      </c>
      <c r="AF1546" s="9" t="s">
        <v>124</v>
      </c>
      <c r="AG1546" s="14" t="s">
        <v>125</v>
      </c>
      <c r="AH1546" s="9" t="s">
        <v>44</v>
      </c>
      <c r="AI1546" s="9" t="s">
        <v>171</v>
      </c>
      <c r="AJ1546" s="9">
        <v>89807200</v>
      </c>
      <c r="AK1546" s="9" t="s">
        <v>38</v>
      </c>
      <c r="AL1546" s="26" t="s">
        <v>38</v>
      </c>
      <c r="AM1546" s="14" t="s">
        <v>531</v>
      </c>
      <c r="AN1546" s="27" t="str">
        <f t="shared" si="51"/>
        <v>18307619|89807200|1585062482|1040671</v>
      </c>
      <c r="AO1546" t="s">
        <v>44</v>
      </c>
      <c r="AP1546" t="b">
        <v>1</v>
      </c>
      <c r="AQ1546" t="s">
        <v>763</v>
      </c>
    </row>
    <row r="1547" spans="1:43" x14ac:dyDescent="0.2">
      <c r="A1547" s="14" t="s">
        <v>500</v>
      </c>
      <c r="B1547" s="17">
        <v>18307619</v>
      </c>
      <c r="C1547" s="14" t="s">
        <v>170</v>
      </c>
      <c r="D1547" s="9">
        <v>27677718</v>
      </c>
      <c r="E1547" s="9" t="s">
        <v>499</v>
      </c>
      <c r="F1547" s="7">
        <v>45809</v>
      </c>
      <c r="G1547" s="20" t="s">
        <v>36</v>
      </c>
      <c r="H1547" s="8">
        <v>1585062482</v>
      </c>
      <c r="I1547" s="19">
        <v>1040671</v>
      </c>
      <c r="J1547" s="10">
        <v>6656</v>
      </c>
      <c r="K1547" s="10">
        <v>0</v>
      </c>
      <c r="L1547" s="10">
        <v>6656</v>
      </c>
      <c r="M1547" s="10">
        <v>0</v>
      </c>
      <c r="N1547" s="11">
        <v>6656</v>
      </c>
      <c r="O1547" s="12">
        <v>1585062482</v>
      </c>
      <c r="P1547" s="9">
        <v>285123</v>
      </c>
      <c r="Q1547" s="9" t="s">
        <v>37</v>
      </c>
      <c r="R1547" s="13">
        <v>45833</v>
      </c>
      <c r="S1547" s="22">
        <v>45833.691458333335</v>
      </c>
      <c r="T1547" s="13">
        <v>45809</v>
      </c>
      <c r="U1547" s="13">
        <v>45809</v>
      </c>
      <c r="V1547" s="9"/>
      <c r="W1547" s="9" t="s">
        <v>38</v>
      </c>
      <c r="X1547" s="9" t="s">
        <v>38</v>
      </c>
      <c r="Y1547" s="9" t="s">
        <v>38</v>
      </c>
      <c r="Z1547" s="9" t="s">
        <v>39</v>
      </c>
      <c r="AA1547" s="9" t="s">
        <v>38</v>
      </c>
      <c r="AB1547" s="9" t="s">
        <v>38</v>
      </c>
      <c r="AC1547" s="9" t="s">
        <v>41</v>
      </c>
      <c r="AD1547" s="9" t="s">
        <v>123</v>
      </c>
      <c r="AE1547" s="9" t="s">
        <v>124</v>
      </c>
      <c r="AF1547" s="9" t="s">
        <v>124</v>
      </c>
      <c r="AG1547" s="14" t="s">
        <v>125</v>
      </c>
      <c r="AH1547" s="9" t="s">
        <v>44</v>
      </c>
      <c r="AI1547" s="9" t="s">
        <v>171</v>
      </c>
      <c r="AJ1547" s="9">
        <v>89807200</v>
      </c>
      <c r="AK1547" s="9" t="s">
        <v>38</v>
      </c>
      <c r="AL1547" s="26" t="s">
        <v>38</v>
      </c>
      <c r="AM1547" s="14" t="s">
        <v>531</v>
      </c>
      <c r="AN1547" s="27" t="str">
        <f t="shared" si="51"/>
        <v>18307619|89807200|1585062482|1040671</v>
      </c>
      <c r="AO1547" t="s">
        <v>44</v>
      </c>
      <c r="AP1547" t="b">
        <v>1</v>
      </c>
      <c r="AQ1547" t="s">
        <v>763</v>
      </c>
    </row>
    <row r="1548" spans="1:43" x14ac:dyDescent="0.2">
      <c r="A1548" s="14" t="s">
        <v>500</v>
      </c>
      <c r="B1548" s="17">
        <v>18307619</v>
      </c>
      <c r="C1548" s="14" t="s">
        <v>172</v>
      </c>
      <c r="D1548" s="9">
        <v>27677718</v>
      </c>
      <c r="E1548" s="9" t="s">
        <v>270</v>
      </c>
      <c r="F1548" s="7">
        <v>45839</v>
      </c>
      <c r="G1548" s="20" t="s">
        <v>46</v>
      </c>
      <c r="H1548" s="8">
        <v>1585062482</v>
      </c>
      <c r="I1548" s="19">
        <v>66380824</v>
      </c>
      <c r="J1548" s="10">
        <v>18810</v>
      </c>
      <c r="K1548" s="10">
        <v>0</v>
      </c>
      <c r="L1548" s="10">
        <v>18810</v>
      </c>
      <c r="M1548" s="10">
        <v>0</v>
      </c>
      <c r="N1548" s="11">
        <v>18810</v>
      </c>
      <c r="O1548" s="12">
        <v>1585062482</v>
      </c>
      <c r="P1548" s="9">
        <v>285123</v>
      </c>
      <c r="Q1548" s="9" t="s">
        <v>37</v>
      </c>
      <c r="R1548" s="13">
        <v>45839</v>
      </c>
      <c r="S1548" s="22">
        <v>45839</v>
      </c>
      <c r="T1548" s="13">
        <v>45809</v>
      </c>
      <c r="U1548" s="13">
        <v>45809</v>
      </c>
      <c r="V1548" s="9" t="s">
        <v>47</v>
      </c>
      <c r="W1548" s="9">
        <v>23307201</v>
      </c>
      <c r="X1548" s="9">
        <v>7241739</v>
      </c>
      <c r="Y1548" s="9">
        <v>70359716</v>
      </c>
      <c r="Z1548" s="9" t="s">
        <v>39</v>
      </c>
      <c r="AA1548" s="9">
        <v>226499717</v>
      </c>
      <c r="AB1548" s="9">
        <v>79359</v>
      </c>
      <c r="AC1548" s="9" t="s">
        <v>41</v>
      </c>
      <c r="AD1548" s="9" t="s">
        <v>128</v>
      </c>
      <c r="AE1548" s="9" t="s">
        <v>129</v>
      </c>
      <c r="AF1548" s="9" t="s">
        <v>124</v>
      </c>
      <c r="AG1548" s="14" t="s">
        <v>125</v>
      </c>
      <c r="AH1548" s="9">
        <v>0</v>
      </c>
      <c r="AI1548" s="9">
        <v>0</v>
      </c>
      <c r="AJ1548" s="9">
        <v>89807200</v>
      </c>
      <c r="AK1548" s="9">
        <v>2</v>
      </c>
      <c r="AL1548" s="26" t="s">
        <v>52</v>
      </c>
      <c r="AM1548" s="14" t="s">
        <v>531</v>
      </c>
      <c r="AN1548" s="27" t="str">
        <f t="shared" si="51"/>
        <v>18307619|89807200|1585062482|66380824</v>
      </c>
      <c r="AO1548" t="s">
        <v>44</v>
      </c>
      <c r="AP1548" t="b">
        <v>0</v>
      </c>
      <c r="AQ1548" t="s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CARTAS A ENVIAR</vt:lpstr>
      <vt:lpstr>HACER CARTAS PERO NO ENVIAR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Badilla</dc:creator>
  <cp:lastModifiedBy>Camilo Salazar</cp:lastModifiedBy>
  <dcterms:created xsi:type="dcterms:W3CDTF">2025-09-11T23:39:57Z</dcterms:created>
  <dcterms:modified xsi:type="dcterms:W3CDTF">2025-09-15T20:08:55Z</dcterms:modified>
</cp:coreProperties>
</file>